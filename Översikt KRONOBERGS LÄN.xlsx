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77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996-2022</t>
        </is>
      </c>
      <c r="B2" t="inlineStr">
        <is>
          <t>samrådsanmälan</t>
        </is>
      </c>
      <c r="C2" t="inlineStr">
        <is>
          <t>Askåterföring</t>
        </is>
      </c>
      <c r="D2" s="1" t="n">
        <v>44607</v>
      </c>
      <c r="E2" s="1" t="n">
        <v>46316</v>
      </c>
      <c r="F2" t="inlineStr">
        <is>
          <t>KRONOBERGS LÄN</t>
        </is>
      </c>
      <c r="G2" t="inlineStr">
        <is>
          <t>UPPVIDINGE</t>
        </is>
      </c>
      <c r="H2" t="inlineStr">
        <is>
          <t>Sveaskog</t>
        </is>
      </c>
      <c r="I2" t="n">
        <v>907.5</v>
      </c>
      <c r="J2" t="n">
        <v>15</v>
      </c>
      <c r="K2" t="n">
        <v>3</v>
      </c>
      <c r="L2" t="n">
        <v>15</v>
      </c>
      <c r="M2" t="n">
        <v>6</v>
      </c>
      <c r="N2" t="n">
        <v>1</v>
      </c>
      <c r="O2" t="n">
        <v>0</v>
      </c>
      <c r="P2" t="n">
        <v>0</v>
      </c>
      <c r="Q2" t="n">
        <v>22</v>
      </c>
      <c r="R2" t="n">
        <v>7</v>
      </c>
      <c r="S2" t="n">
        <v>36</v>
      </c>
      <c r="T2" t="n">
        <v>78</v>
      </c>
      <c r="U2" t="n">
        <v>25</v>
      </c>
      <c r="V2" s="2" t="inlineStr">
        <is>
          <t>Mosippa
Bredbrämad bastardsvärmare
Brunfläckig pärlemorfjäril
Mindre bastardsvärmare
Raggbock
Slåttergubbe
Slåttergubbemal
Berggräsfjäril
Borsttåg
Granspira
Gullklöver
Jungfrulin
Klubbsprötad bastardsvärmare
Krusfrö
Scharlakansvaxing
Silversmygare
Solvända
Sommarfibbla
Svinrot
Talltita
Vårstarr
Ängsskära
Korallrot
Spindelblomster
Tibast
Mattlummer
Tjäder
Grönsiska
Kungsfågel
Orre
Trädlärka
Huggorm
Brudsporre
Fläcknycklar
Gullviva
Lopplummer (aggregat)</t>
        </is>
      </c>
      <c r="W2">
        <f>HYPERLINK("https://klasma.github.io/Logging_0760/artfynd/S 996-2022 artfynd.xlsx", "S 996-2022")</f>
        <v/>
      </c>
      <c r="X2">
        <f>HYPERLINK("https://klasma.github.io/Logging_0760/kartor/S 996-2022 karta.png", "S 996-2022")</f>
        <v/>
      </c>
      <c r="Y2">
        <f>HYPERLINK("https://klasma.github.io/Logging_0760/kartor_geotiff/S 996-2022 georefererad karta.tif", "S 996-2022")</f>
        <v/>
      </c>
      <c r="AA2">
        <f>HYPERLINK("https://klasma.github.io/Logging_0760/klagomål/S 996-2022 FSC-klagomål.docx", "S 996-2022")</f>
        <v/>
      </c>
      <c r="AB2">
        <f>HYPERLINK("https://klasma.github.io/Logging_0760/klagomålsmail/S 996-2022 FSC-klagomål mail.docx", "S 996-2022")</f>
        <v/>
      </c>
      <c r="AC2">
        <f>HYPERLINK("https://klasma.github.io/Logging_0760/tillsyn/S 996-2022 tillsynsbegäran.docx", "S 996-2022")</f>
        <v/>
      </c>
      <c r="AD2">
        <f>HYPERLINK("https://klasma.github.io/Logging_0760/tillsynsmail/S 996-2022 tillsynsbegäran mail.docx", "S 996-2022")</f>
        <v/>
      </c>
      <c r="AE2">
        <f>HYPERLINK("https://klasma.github.io/Logging_0760/fåglar/S 996-2022 prioriterade fågelarter.docx", "S 996-2022")</f>
        <v/>
      </c>
    </row>
    <row r="3" ht="15" customHeight="1">
      <c r="A3" t="inlineStr">
        <is>
          <t>A 41968-2023</t>
        </is>
      </c>
      <c r="B3" t="inlineStr">
        <is>
          <t>avverkningsanmälan</t>
        </is>
      </c>
      <c r="C3" t="inlineStr">
        <is>
          <t>Avverkning för annat ändamål</t>
        </is>
      </c>
      <c r="D3" s="1" t="n">
        <v>45174</v>
      </c>
      <c r="E3" s="1" t="n">
        <v>46316</v>
      </c>
      <c r="F3" t="inlineStr">
        <is>
          <t>KRONOBERGS LÄN</t>
        </is>
      </c>
      <c r="G3" t="inlineStr">
        <is>
          <t>UPPVIDINGE</t>
        </is>
      </c>
      <c r="I3" t="n">
        <v>2.8</v>
      </c>
      <c r="J3" t="n">
        <v>2</v>
      </c>
      <c r="K3" t="n">
        <v>14</v>
      </c>
      <c r="L3" t="n">
        <v>7</v>
      </c>
      <c r="M3" t="n">
        <v>10</v>
      </c>
      <c r="N3" t="n">
        <v>0</v>
      </c>
      <c r="O3" t="n">
        <v>0</v>
      </c>
      <c r="P3" t="n">
        <v>0</v>
      </c>
      <c r="Q3" t="n">
        <v>17</v>
      </c>
      <c r="R3" t="n">
        <v>10</v>
      </c>
      <c r="S3" t="n">
        <v>32</v>
      </c>
      <c r="T3" t="n">
        <v>63</v>
      </c>
      <c r="U3" t="n">
        <v>2</v>
      </c>
      <c r="V3" s="2" t="inlineStr">
        <is>
          <t>Bredgentiana
Brunfläckig pärlemorfjäril
Mindre bastardsvärmare
Sepiavaxing
Silverblåvinge
Slåttergubbe
Slåttergubbemal
Smalsprötad bastardsvärmare
Trådvaxing
Ängsblåvinge
Fagervaxing
Praktvaxing
Scharlakansvaxing
Solvända
Sommarfibbla
Spindelört
Spindelörtskinnbagge
Blodvaxing
Broskvaxing
Gråvaxing
Gulvaxing
Honungsvaxing
Kantarellvaxing
Luktvaxing
Mönjevaxing
Papegojvaxing
Småvaxing
Sprödvaxing
Toppvaxing
Vitvaxing agg.
Ängsvaxing agg.
Brudsporre</t>
        </is>
      </c>
      <c r="W3">
        <f>HYPERLINK("https://klasma.github.io/Logging_0760/artfynd/A 41968-2023 artfynd.xlsx", "A 41968-2023")</f>
        <v/>
      </c>
      <c r="X3">
        <f>HYPERLINK("https://klasma.github.io/Logging_0760/kartor/A 41968-2023 karta.png", "A 41968-2023")</f>
        <v/>
      </c>
      <c r="Y3">
        <f>HYPERLINK("https://klasma.github.io/Logging_0760/kartor_geotiff/A 41968-2023 georefererad karta.tif", "A 41968-2023")</f>
        <v/>
      </c>
      <c r="AA3">
        <f>HYPERLINK("https://klasma.github.io/Logging_0760/klagomål/A 41968-2023 FSC-klagomål.docx", "A 41968-2023")</f>
        <v/>
      </c>
      <c r="AB3">
        <f>HYPERLINK("https://klasma.github.io/Logging_0760/klagomålsmail/A 41968-2023 FSC-klagomål mail.docx", "A 41968-2023")</f>
        <v/>
      </c>
      <c r="AC3">
        <f>HYPERLINK("https://klasma.github.io/Logging_0760/tillsyn/A 41968-2023 tillsynsbegäran.docx", "A 41968-2023")</f>
        <v/>
      </c>
      <c r="AD3">
        <f>HYPERLINK("https://klasma.github.io/Logging_0760/tillsynsmail/A 41968-2023 tillsynsbegäran mail.docx", "A 41968-2023")</f>
        <v/>
      </c>
    </row>
    <row r="4" ht="15" customHeight="1">
      <c r="A4" t="inlineStr">
        <is>
          <t>S 617-2023</t>
        </is>
      </c>
      <c r="B4" t="inlineStr">
        <is>
          <t>samrådsanmälan</t>
        </is>
      </c>
      <c r="C4" t="inlineStr">
        <is>
          <t>Askåterföring</t>
        </is>
      </c>
      <c r="D4" s="1" t="n">
        <v>44972</v>
      </c>
      <c r="E4" s="1" t="n">
        <v>46316</v>
      </c>
      <c r="F4" t="inlineStr">
        <is>
          <t>KRONOBERGS LÄN</t>
        </is>
      </c>
      <c r="G4" t="inlineStr">
        <is>
          <t>UPPVIDINGE</t>
        </is>
      </c>
      <c r="H4" t="inlineStr">
        <is>
          <t>Sveaskog</t>
        </is>
      </c>
      <c r="I4" t="n">
        <v>493.3</v>
      </c>
      <c r="J4" t="n">
        <v>10</v>
      </c>
      <c r="K4" t="n">
        <v>8</v>
      </c>
      <c r="L4" t="n">
        <v>12</v>
      </c>
      <c r="M4" t="n">
        <v>0</v>
      </c>
      <c r="N4" t="n">
        <v>0</v>
      </c>
      <c r="O4" t="n">
        <v>0</v>
      </c>
      <c r="P4" t="n">
        <v>0</v>
      </c>
      <c r="Q4" t="n">
        <v>12</v>
      </c>
      <c r="R4" t="n">
        <v>0</v>
      </c>
      <c r="S4" t="n">
        <v>28</v>
      </c>
      <c r="T4" t="n">
        <v>35</v>
      </c>
      <c r="U4" t="n">
        <v>11</v>
      </c>
      <c r="V4" s="2" t="inlineStr">
        <is>
          <t>Backmåra
Brödmärgsticka
Ekticka
Gullpudra
Kattfotslav
Kungsfiskare
Rosenporing
Rutskinn
Skogshare
Spindelört
Stäppröksvamp
Älg
Björksplintborre
Bronshjon
Hasselsopp
Honungsvaxing
Kantarellvaxing
Korallrot
Småskölding
Vågbandad barkbock
Blåsippa
Spillkråka
Tallbit
Tjäder
Havsörn
Orre
Vanlig snok
Revlummer</t>
        </is>
      </c>
      <c r="W4">
        <f>HYPERLINK("https://klasma.github.io/Logging_0760/artfynd/S 617-2023 artfynd.xlsx", "S 617-2023")</f>
        <v/>
      </c>
      <c r="X4">
        <f>HYPERLINK("https://klasma.github.io/Logging_0760/kartor/S 617-2023 karta.png", "S 617-2023")</f>
        <v/>
      </c>
      <c r="Y4">
        <f>HYPERLINK("https://klasma.github.io/Logging_0760/kartor_geotiff/S 617-2023 georefererad karta.tif", "S 617-2023")</f>
        <v/>
      </c>
      <c r="AA4">
        <f>HYPERLINK("https://klasma.github.io/Logging_0760/klagomål/S 617-2023 FSC-klagomål.docx", "S 617-2023")</f>
        <v/>
      </c>
      <c r="AB4">
        <f>HYPERLINK("https://klasma.github.io/Logging_0760/klagomålsmail/S 617-2023 FSC-klagomål mail.docx", "S 617-2023")</f>
        <v/>
      </c>
      <c r="AC4">
        <f>HYPERLINK("https://klasma.github.io/Logging_0760/tillsyn/S 617-2023 tillsynsbegäran.docx", "S 617-2023")</f>
        <v/>
      </c>
      <c r="AD4">
        <f>HYPERLINK("https://klasma.github.io/Logging_0760/tillsynsmail/S 617-2023 tillsynsbegäran mail.docx", "S 617-2023")</f>
        <v/>
      </c>
      <c r="AE4">
        <f>HYPERLINK("https://klasma.github.io/Logging_0760/fåglar/S 617-2023 prioriterade fågelarter.docx", "S 617-2023")</f>
        <v/>
      </c>
    </row>
    <row r="5" ht="15" customHeight="1">
      <c r="A5" t="inlineStr">
        <is>
          <t>S 987-2022</t>
        </is>
      </c>
      <c r="B5" t="inlineStr">
        <is>
          <t>samrådsanmälan</t>
        </is>
      </c>
      <c r="C5" t="inlineStr">
        <is>
          <t>Askåterföring</t>
        </is>
      </c>
      <c r="D5" s="1" t="n">
        <v>44607</v>
      </c>
      <c r="E5" s="1" t="n">
        <v>46316</v>
      </c>
      <c r="F5" t="inlineStr">
        <is>
          <t>KRONOBERGS LÄN</t>
        </is>
      </c>
      <c r="G5" t="inlineStr">
        <is>
          <t>UPPVIDINGE</t>
        </is>
      </c>
      <c r="H5" t="inlineStr">
        <is>
          <t>Sveaskog</t>
        </is>
      </c>
      <c r="I5" t="n">
        <v>622.4</v>
      </c>
      <c r="J5" t="n">
        <v>8</v>
      </c>
      <c r="K5" t="n">
        <v>4</v>
      </c>
      <c r="L5" t="n">
        <v>11</v>
      </c>
      <c r="M5" t="n">
        <v>1</v>
      </c>
      <c r="N5" t="n">
        <v>2</v>
      </c>
      <c r="O5" t="n">
        <v>0</v>
      </c>
      <c r="P5" t="n">
        <v>0</v>
      </c>
      <c r="Q5" t="n">
        <v>14</v>
      </c>
      <c r="R5" t="n">
        <v>3</v>
      </c>
      <c r="S5" t="n">
        <v>25</v>
      </c>
      <c r="T5" t="n">
        <v>29</v>
      </c>
      <c r="U5" t="n">
        <v>22</v>
      </c>
      <c r="V5" s="2" t="inlineStr">
        <is>
          <t>Ljungögontröst
Skogsalm
Slåttergubbe
Backruta
Backstarr
Borsttåg
Gullklöver
Hårig blombock
Slåtterfibbla
Solvända
Svinrot
Tretåig hackspett
Vårstarr
Vårärt
Grönpyrola
Lömsk flugsvamp
Underviol
Vätteros
Blåsippa
Nattskärra
Spillkråka
Svartvit flugsnappare
Fläcknycklar
Gullviva
Revlummer</t>
        </is>
      </c>
      <c r="W5">
        <f>HYPERLINK("https://klasma.github.io/Logging_0760/artfynd/S 987-2022 artfynd.xlsx", "S 987-2022")</f>
        <v/>
      </c>
      <c r="X5">
        <f>HYPERLINK("https://klasma.github.io/Logging_0760/kartor/S 987-2022 karta.png", "S 987-2022")</f>
        <v/>
      </c>
      <c r="Y5">
        <f>HYPERLINK("https://klasma.github.io/Logging_0760/kartor_geotiff/S 987-2022 georefererad karta.tif", "S 987-2022")</f>
        <v/>
      </c>
      <c r="AA5">
        <f>HYPERLINK("https://klasma.github.io/Logging_0760/klagomål/S 987-2022 FSC-klagomål.docx", "S 987-2022")</f>
        <v/>
      </c>
      <c r="AB5">
        <f>HYPERLINK("https://klasma.github.io/Logging_0760/klagomålsmail/S 987-2022 FSC-klagomål mail.docx", "S 987-2022")</f>
        <v/>
      </c>
      <c r="AC5">
        <f>HYPERLINK("https://klasma.github.io/Logging_0760/tillsyn/S 987-2022 tillsynsbegäran.docx", "S 987-2022")</f>
        <v/>
      </c>
      <c r="AD5">
        <f>HYPERLINK("https://klasma.github.io/Logging_0760/tillsynsmail/S 987-2022 tillsynsbegäran mail.docx", "S 987-2022")</f>
        <v/>
      </c>
      <c r="AE5">
        <f>HYPERLINK("https://klasma.github.io/Logging_0760/fåglar/S 987-2022 prioriterade fågelarter.docx", "S 987-2022")</f>
        <v/>
      </c>
    </row>
    <row r="6" ht="15" customHeight="1">
      <c r="A6" t="inlineStr">
        <is>
          <t>S 614-2023</t>
        </is>
      </c>
      <c r="B6" t="inlineStr">
        <is>
          <t>samrådsanmälan</t>
        </is>
      </c>
      <c r="C6" t="inlineStr">
        <is>
          <t>Askåterföring</t>
        </is>
      </c>
      <c r="D6" s="1" t="n">
        <v>44972</v>
      </c>
      <c r="E6" s="1" t="n">
        <v>46316</v>
      </c>
      <c r="F6" t="inlineStr">
        <is>
          <t>KRONOBERGS LÄN</t>
        </is>
      </c>
      <c r="G6" t="inlineStr">
        <is>
          <t>UPPVIDINGE</t>
        </is>
      </c>
      <c r="H6" t="inlineStr">
        <is>
          <t>Sveaskog</t>
        </is>
      </c>
      <c r="I6" t="n">
        <v>975.5</v>
      </c>
      <c r="J6" t="n">
        <v>13</v>
      </c>
      <c r="K6" t="n">
        <v>2</v>
      </c>
      <c r="L6" t="n">
        <v>9</v>
      </c>
      <c r="M6" t="n">
        <v>2</v>
      </c>
      <c r="N6" t="n">
        <v>0</v>
      </c>
      <c r="O6" t="n">
        <v>0</v>
      </c>
      <c r="P6" t="n">
        <v>0</v>
      </c>
      <c r="Q6" t="n">
        <v>11</v>
      </c>
      <c r="R6" t="n">
        <v>2</v>
      </c>
      <c r="S6" t="n">
        <v>23</v>
      </c>
      <c r="T6" t="n">
        <v>26</v>
      </c>
      <c r="U6" t="n">
        <v>13</v>
      </c>
      <c r="V6" s="2" t="inlineStr">
        <is>
          <t>Knärot
Slåttergubbe
Etternässla
Fjällig taggsvamp s.str.
Klubbsprötad bastardsvärmare
Kungsfiskare
Rödvingetrast
Slåtterfibbla
Sommarfibbla
Spindelört
Vårärt
Avlång flatbagge
Grönpyrola
Nattskärra
Fiskgjuse
Gröngöling
Havsörn
Kråka
Kungsfågel
Orre
Svartvit flugsnappare
Utter
Gullviva</t>
        </is>
      </c>
      <c r="W6">
        <f>HYPERLINK("https://klasma.github.io/Logging_0760/artfynd/S 614-2023 artfynd.xlsx", "S 614-2023")</f>
        <v/>
      </c>
      <c r="X6">
        <f>HYPERLINK("https://klasma.github.io/Logging_0760/kartor/S 614-2023 karta.png", "S 614-2023")</f>
        <v/>
      </c>
      <c r="Y6">
        <f>HYPERLINK("https://klasma.github.io/Logging_0760/kartor_geotiff/S 614-2023 georefererad karta.tif", "S 614-2023")</f>
        <v/>
      </c>
      <c r="Z6">
        <f>HYPERLINK("https://klasma.github.io/Logging_0760/knärot/S 614-2023 karta knärot.png", "S 614-2023")</f>
        <v/>
      </c>
      <c r="AA6">
        <f>HYPERLINK("https://klasma.github.io/Logging_0760/klagomål/S 614-2023 FSC-klagomål.docx", "S 614-2023")</f>
        <v/>
      </c>
      <c r="AB6">
        <f>HYPERLINK("https://klasma.github.io/Logging_0760/klagomålsmail/S 614-2023 FSC-klagomål mail.docx", "S 614-2023")</f>
        <v/>
      </c>
      <c r="AC6">
        <f>HYPERLINK("https://klasma.github.io/Logging_0760/tillsyn/S 614-2023 tillsynsbegäran.docx", "S 614-2023")</f>
        <v/>
      </c>
      <c r="AD6">
        <f>HYPERLINK("https://klasma.github.io/Logging_0760/tillsynsmail/S 614-2023 tillsynsbegäran mail.docx", "S 614-2023")</f>
        <v/>
      </c>
      <c r="AE6">
        <f>HYPERLINK("https://klasma.github.io/Logging_0760/fåglar/S 614-2023 prioriterade fågelarter.docx", "S 614-2023")</f>
        <v/>
      </c>
    </row>
    <row r="7" ht="15" customHeight="1">
      <c r="A7" t="inlineStr">
        <is>
          <t>S 649-2023</t>
        </is>
      </c>
      <c r="B7" t="inlineStr">
        <is>
          <t>samrådsanmälan</t>
        </is>
      </c>
      <c r="C7" t="inlineStr">
        <is>
          <t>Askåterföring</t>
        </is>
      </c>
      <c r="D7" s="1" t="n">
        <v>44974</v>
      </c>
      <c r="E7" s="1" t="n">
        <v>46316</v>
      </c>
      <c r="F7" t="inlineStr">
        <is>
          <t>KRONOBERGS LÄN</t>
        </is>
      </c>
      <c r="G7" t="inlineStr">
        <is>
          <t>VÄXJÖ</t>
        </is>
      </c>
      <c r="H7" t="inlineStr">
        <is>
          <t>Sveaskog</t>
        </is>
      </c>
      <c r="I7" t="n">
        <v>632.9</v>
      </c>
      <c r="J7" t="n">
        <v>13</v>
      </c>
      <c r="K7" t="n">
        <v>1</v>
      </c>
      <c r="L7" t="n">
        <v>7</v>
      </c>
      <c r="M7" t="n">
        <v>3</v>
      </c>
      <c r="N7" t="n">
        <v>1</v>
      </c>
      <c r="O7" t="n">
        <v>0</v>
      </c>
      <c r="P7" t="n">
        <v>0</v>
      </c>
      <c r="Q7" t="n">
        <v>11</v>
      </c>
      <c r="R7" t="n">
        <v>4</v>
      </c>
      <c r="S7" t="n">
        <v>21</v>
      </c>
      <c r="T7" t="n">
        <v>28</v>
      </c>
      <c r="U7" t="n">
        <v>15</v>
      </c>
      <c r="V7" s="2" t="inlineStr">
        <is>
          <t>Hornuggla
Brunfläckig pärlemorfjäril
Igelkott
Slåttergubbe
Järnsparv
Mindre tåtelsmygare
Motaggsvamp
Skogshare
Sparvuggla
Talltita
Älg
Tibast
Mattlummer
Nattskärra
Tjäder
Grönsiska
Kråka
Kungsfågel
Svartvit flugsnappare
Utter
Revlummer</t>
        </is>
      </c>
      <c r="W7">
        <f>HYPERLINK("https://klasma.github.io/Logging_0780/artfynd/S 649-2023 artfynd.xlsx", "S 649-2023")</f>
        <v/>
      </c>
      <c r="X7">
        <f>HYPERLINK("https://klasma.github.io/Logging_0780/kartor/S 649-2023 karta.png", "S 649-2023")</f>
        <v/>
      </c>
      <c r="Y7">
        <f>HYPERLINK("https://klasma.github.io/Logging_0780/kartor_geotiff/S 649-2023 georefererad karta.tif", "S 649-2023")</f>
        <v/>
      </c>
      <c r="AA7">
        <f>HYPERLINK("https://klasma.github.io/Logging_0780/klagomål/S 649-2023 FSC-klagomål.docx", "S 649-2023")</f>
        <v/>
      </c>
      <c r="AB7">
        <f>HYPERLINK("https://klasma.github.io/Logging_0780/klagomålsmail/S 649-2023 FSC-klagomål mail.docx", "S 649-2023")</f>
        <v/>
      </c>
      <c r="AC7">
        <f>HYPERLINK("https://klasma.github.io/Logging_0780/tillsyn/S 649-2023 tillsynsbegäran.docx", "S 649-2023")</f>
        <v/>
      </c>
      <c r="AD7">
        <f>HYPERLINK("https://klasma.github.io/Logging_0780/tillsynsmail/S 649-2023 tillsynsbegäran mail.docx", "S 649-2023")</f>
        <v/>
      </c>
      <c r="AE7">
        <f>HYPERLINK("https://klasma.github.io/Logging_0780/fåglar/S 649-2023 prioriterade fågelarter.docx", "S 649-2023")</f>
        <v/>
      </c>
    </row>
    <row r="8" ht="15" customHeight="1">
      <c r="A8" t="inlineStr">
        <is>
          <t>S 1898-2024</t>
        </is>
      </c>
      <c r="B8" t="inlineStr">
        <is>
          <t>samrådsanmälan</t>
        </is>
      </c>
      <c r="C8" t="inlineStr">
        <is>
          <t>Annan skogsbruksåtgärd</t>
        </is>
      </c>
      <c r="D8" s="1" t="n">
        <v>45442</v>
      </c>
      <c r="E8" s="1" t="n">
        <v>46316</v>
      </c>
      <c r="F8" t="inlineStr">
        <is>
          <t>KRONOBERGS LÄN</t>
        </is>
      </c>
      <c r="G8" t="inlineStr">
        <is>
          <t>UPPVIDINGE</t>
        </is>
      </c>
      <c r="I8" t="n">
        <v>10.4</v>
      </c>
      <c r="J8" t="n">
        <v>2</v>
      </c>
      <c r="K8" t="n">
        <v>9</v>
      </c>
      <c r="L8" t="n">
        <v>8</v>
      </c>
      <c r="M8" t="n">
        <v>2</v>
      </c>
      <c r="N8" t="n">
        <v>2</v>
      </c>
      <c r="O8" t="n">
        <v>0</v>
      </c>
      <c r="P8" t="n">
        <v>0</v>
      </c>
      <c r="Q8" t="n">
        <v>12</v>
      </c>
      <c r="R8" t="n">
        <v>4</v>
      </c>
      <c r="S8" t="n">
        <v>21</v>
      </c>
      <c r="T8" t="n">
        <v>62</v>
      </c>
      <c r="U8" t="n">
        <v>0</v>
      </c>
      <c r="V8" s="2" t="inlineStr">
        <is>
          <t>Bitter taggsvamp
Spricktaggsvamp
Garnlav
Knärot
Dropptaggsvamp
Fjällig taggsvamp s.str.
Orange taggsvamp
Skarp dropptaggsvamp
Tallriska
Talltita
Tjockfotad fingersvamp
Ullticka
Blomkålssvamp
Brandticka
Bronshjon
Broskvaxing
Grönpyrola
Rödgul trumpetsvamp
Rökmusseron
Stor revmossa
Thomsons trägnagare</t>
        </is>
      </c>
      <c r="W8">
        <f>HYPERLINK("https://klasma.github.io/Logging_0760/artfynd/S 1898-2024 artfynd.xlsx", "S 1898-2024")</f>
        <v/>
      </c>
      <c r="X8">
        <f>HYPERLINK("https://klasma.github.io/Logging_0760/kartor/S 1898-2024 karta.png", "S 1898-2024")</f>
        <v/>
      </c>
      <c r="Y8">
        <f>HYPERLINK("https://klasma.github.io/Logging_0760/kartor_geotiff/S 1898-2024 georefererad karta.tif", "S 1898-2024")</f>
        <v/>
      </c>
      <c r="Z8">
        <f>HYPERLINK("https://klasma.github.io/Logging_0760/knärot/S 1898-2024 karta knärot.png", "S 1898-2024")</f>
        <v/>
      </c>
      <c r="AA8">
        <f>HYPERLINK("https://klasma.github.io/Logging_0760/klagomål/S 1898-2024 FSC-klagomål.docx", "S 1898-2024")</f>
        <v/>
      </c>
      <c r="AB8">
        <f>HYPERLINK("https://klasma.github.io/Logging_0760/klagomålsmail/S 1898-2024 FSC-klagomål mail.docx", "S 1898-2024")</f>
        <v/>
      </c>
      <c r="AC8">
        <f>HYPERLINK("https://klasma.github.io/Logging_0760/tillsyn/S 1898-2024 tillsynsbegäran.docx", "S 1898-2024")</f>
        <v/>
      </c>
      <c r="AD8">
        <f>HYPERLINK("https://klasma.github.io/Logging_0760/tillsynsmail/S 1898-2024 tillsynsbegäran mail.docx", "S 1898-2024")</f>
        <v/>
      </c>
      <c r="AE8">
        <f>HYPERLINK("https://klasma.github.io/Logging_0760/fåglar/S 1898-2024 prioriterade fågelarter.docx", "S 1898-2024")</f>
        <v/>
      </c>
    </row>
    <row r="9" ht="15" customHeight="1">
      <c r="A9" t="inlineStr">
        <is>
          <t>S 1487-2025</t>
        </is>
      </c>
      <c r="B9" t="inlineStr">
        <is>
          <t>samrådsanmälan</t>
        </is>
      </c>
      <c r="C9" t="inlineStr">
        <is>
          <t>Askåterföring</t>
        </is>
      </c>
      <c r="D9" s="1" t="n">
        <v>45789</v>
      </c>
      <c r="E9" s="1" t="n">
        <v>46316</v>
      </c>
      <c r="F9" t="inlineStr">
        <is>
          <t>KRONOBERGS LÄN</t>
        </is>
      </c>
      <c r="G9" t="inlineStr">
        <is>
          <t>UPPVIDINGE</t>
        </is>
      </c>
      <c r="H9" t="inlineStr">
        <is>
          <t>Sveaskog</t>
        </is>
      </c>
      <c r="I9" t="n">
        <v>814.1</v>
      </c>
      <c r="J9" t="n">
        <v>7</v>
      </c>
      <c r="K9" t="n">
        <v>7</v>
      </c>
      <c r="L9" t="n">
        <v>7</v>
      </c>
      <c r="M9" t="n">
        <v>2</v>
      </c>
      <c r="N9" t="n">
        <v>0</v>
      </c>
      <c r="O9" t="n">
        <v>0</v>
      </c>
      <c r="P9" t="n">
        <v>0</v>
      </c>
      <c r="Q9" t="n">
        <v>9</v>
      </c>
      <c r="R9" t="n">
        <v>2</v>
      </c>
      <c r="S9" t="n">
        <v>21</v>
      </c>
      <c r="T9" t="n">
        <v>28</v>
      </c>
      <c r="U9" t="n">
        <v>3</v>
      </c>
      <c r="V9" s="2" t="inlineStr">
        <is>
          <t>Bredbrämad bastardsvärmare
Garnlav
Cis rugulosus
Kattfotslav
Nordfladdermus
Pteryx splendens
Svedjenäva
Tallticka
Vedskivlav
Björksplintborre
Blåmossa
Grön sköldmossa
Gulnål
Robust tickgnagare
Stor revmossa
Thomsons trägnagare
Mattlummer
Tjäder
Dvärgpipistrell
Svartvit flugsnappare
Revlummer</t>
        </is>
      </c>
      <c r="W9">
        <f>HYPERLINK("https://klasma.github.io/Logging_0760/artfynd/S 1487-2025 artfynd.xlsx", "S 1487-2025")</f>
        <v/>
      </c>
      <c r="X9">
        <f>HYPERLINK("https://klasma.github.io/Logging_0760/kartor/S 1487-2025 karta.png", "S 1487-2025")</f>
        <v/>
      </c>
      <c r="Y9">
        <f>HYPERLINK("https://klasma.github.io/Logging_0760/kartor_geotiff/S 1487-2025 georefererad karta.tif", "S 1487-2025")</f>
        <v/>
      </c>
      <c r="AA9">
        <f>HYPERLINK("https://klasma.github.io/Logging_0760/klagomål/S 1487-2025 FSC-klagomål.docx", "S 1487-2025")</f>
        <v/>
      </c>
      <c r="AB9">
        <f>HYPERLINK("https://klasma.github.io/Logging_0760/klagomålsmail/S 1487-2025 FSC-klagomål mail.docx", "S 1487-2025")</f>
        <v/>
      </c>
      <c r="AC9">
        <f>HYPERLINK("https://klasma.github.io/Logging_0760/tillsyn/S 1487-2025 tillsynsbegäran.docx", "S 1487-2025")</f>
        <v/>
      </c>
      <c r="AD9">
        <f>HYPERLINK("https://klasma.github.io/Logging_0760/tillsynsmail/S 1487-2025 tillsynsbegäran mail.docx", "S 1487-2025")</f>
        <v/>
      </c>
      <c r="AE9">
        <f>HYPERLINK("https://klasma.github.io/Logging_0760/fåglar/S 1487-2025 prioriterade fågelarter.docx", "S 1487-2025")</f>
        <v/>
      </c>
    </row>
    <row r="10" ht="15" customHeight="1">
      <c r="A10" t="inlineStr">
        <is>
          <t>S 126-2026</t>
        </is>
      </c>
      <c r="B10" t="inlineStr">
        <is>
          <t>samrådsanmälan</t>
        </is>
      </c>
      <c r="C10" t="inlineStr">
        <is>
          <t>Annan skogsbruksåtgärd</t>
        </is>
      </c>
      <c r="D10" s="1" t="n">
        <v>46041</v>
      </c>
      <c r="E10" s="1" t="n">
        <v>46316</v>
      </c>
      <c r="F10" t="inlineStr">
        <is>
          <t>KRONOBERGS LÄN</t>
        </is>
      </c>
      <c r="G10" t="inlineStr">
        <is>
          <t>ALVESTA</t>
        </is>
      </c>
      <c r="I10" t="n">
        <v>7.5</v>
      </c>
      <c r="J10" t="n">
        <v>0</v>
      </c>
      <c r="K10" t="n">
        <v>7</v>
      </c>
      <c r="L10" t="n">
        <v>4</v>
      </c>
      <c r="M10" t="n">
        <v>3</v>
      </c>
      <c r="N10" t="n">
        <v>3</v>
      </c>
      <c r="O10" t="n">
        <v>0</v>
      </c>
      <c r="P10" t="n">
        <v>0</v>
      </c>
      <c r="Q10" t="n">
        <v>10</v>
      </c>
      <c r="R10" t="n">
        <v>6</v>
      </c>
      <c r="S10" t="n">
        <v>17</v>
      </c>
      <c r="T10" t="n">
        <v>54</v>
      </c>
      <c r="U10" t="n">
        <v>0</v>
      </c>
      <c r="V10" s="2" t="inlineStr">
        <is>
          <t>Ask
Savlundlav
Skogsalm
Gulvit blekspik
Klosterlav
Rosa lundlav
Dvärgbägarlav
Liten sönderfallslav
Parknål
Puderfläck
Fällmossa
Gulnål
Gulpudrad spiklav
Kornig nållav
Lindskål
Lönnlav
Rostfläck</t>
        </is>
      </c>
      <c r="W10">
        <f>HYPERLINK("https://klasma.github.io/Logging_0764/artfynd/S 126-2026 artfynd.xlsx", "S 126-2026")</f>
        <v/>
      </c>
      <c r="X10">
        <f>HYPERLINK("https://klasma.github.io/Logging_0764/kartor/S 126-2026 karta.png", "S 126-2026")</f>
        <v/>
      </c>
      <c r="Y10">
        <f>HYPERLINK("https://klasma.github.io/Logging_0764/kartor_geotiff/S 126-2026 georefererad karta.tif", "S 126-2026")</f>
        <v/>
      </c>
      <c r="AA10">
        <f>HYPERLINK("https://klasma.github.io/Logging_0764/klagomål/S 126-2026 FSC-klagomål.docx", "S 126-2026")</f>
        <v/>
      </c>
      <c r="AB10">
        <f>HYPERLINK("https://klasma.github.io/Logging_0764/klagomålsmail/S 126-2026 FSC-klagomål mail.docx", "S 126-2026")</f>
        <v/>
      </c>
      <c r="AC10">
        <f>HYPERLINK("https://klasma.github.io/Logging_0764/tillsyn/S 126-2026 tillsynsbegäran.docx", "S 126-2026")</f>
        <v/>
      </c>
      <c r="AD10">
        <f>HYPERLINK("https://klasma.github.io/Logging_0764/tillsynsmail/S 126-2026 tillsynsbegäran mail.docx", "S 126-2026")</f>
        <v/>
      </c>
    </row>
    <row r="11" ht="15" customHeight="1">
      <c r="A11" t="inlineStr">
        <is>
          <t>S 2406-2025</t>
        </is>
      </c>
      <c r="B11" t="inlineStr">
        <is>
          <t>samrådsanmälan</t>
        </is>
      </c>
      <c r="C11" t="inlineStr">
        <is>
          <t>Askåterföring</t>
        </is>
      </c>
      <c r="D11" s="1" t="n">
        <v>45895</v>
      </c>
      <c r="E11" s="1" t="n">
        <v>46316</v>
      </c>
      <c r="F11" t="inlineStr">
        <is>
          <t>KRONOBERGS LÄN</t>
        </is>
      </c>
      <c r="G11" t="inlineStr">
        <is>
          <t>VÄXJÖ</t>
        </is>
      </c>
      <c r="I11" t="n">
        <v>24</v>
      </c>
      <c r="J11" t="n">
        <v>10</v>
      </c>
      <c r="K11" t="n">
        <v>4</v>
      </c>
      <c r="L11" t="n">
        <v>6</v>
      </c>
      <c r="M11" t="n">
        <v>0</v>
      </c>
      <c r="N11" t="n">
        <v>1</v>
      </c>
      <c r="O11" t="n">
        <v>0</v>
      </c>
      <c r="P11" t="n">
        <v>0</v>
      </c>
      <c r="Q11" t="n">
        <v>7</v>
      </c>
      <c r="R11" t="n">
        <v>1</v>
      </c>
      <c r="S11" t="n">
        <v>16</v>
      </c>
      <c r="T11" t="n">
        <v>55</v>
      </c>
      <c r="U11" t="n">
        <v>1</v>
      </c>
      <c r="V11" s="2" t="inlineStr">
        <is>
          <t>Storspov
Björktrast
Gulsparv
Kattfotslav
Nötkråka
Talltita
Vedtrappmossa
Bronshjon
Flagellkvastmossa
Thomsons trägnagare
Västlig hakmossa
Spillkråka
Grönsiska
Kungsfågel
Svartvit flugsnappare
Trädlärka</t>
        </is>
      </c>
      <c r="W11">
        <f>HYPERLINK("https://klasma.github.io/Logging_0780/artfynd/S 2406-2025 artfynd.xlsx", "S 2406-2025")</f>
        <v/>
      </c>
      <c r="X11">
        <f>HYPERLINK("https://klasma.github.io/Logging_0780/kartor/S 2406-2025 karta.png", "S 2406-2025")</f>
        <v/>
      </c>
      <c r="Y11">
        <f>HYPERLINK("https://klasma.github.io/Logging_0780/kartor_geotiff/S 2406-2025 georefererad karta.tif", "S 2406-2025")</f>
        <v/>
      </c>
      <c r="AA11">
        <f>HYPERLINK("https://klasma.github.io/Logging_0780/klagomål/S 2406-2025 FSC-klagomål.docx", "S 2406-2025")</f>
        <v/>
      </c>
      <c r="AB11">
        <f>HYPERLINK("https://klasma.github.io/Logging_0780/klagomålsmail/S 2406-2025 FSC-klagomål mail.docx", "S 2406-2025")</f>
        <v/>
      </c>
      <c r="AC11">
        <f>HYPERLINK("https://klasma.github.io/Logging_0780/tillsyn/S 2406-2025 tillsynsbegäran.docx", "S 2406-2025")</f>
        <v/>
      </c>
      <c r="AD11">
        <f>HYPERLINK("https://klasma.github.io/Logging_0780/tillsynsmail/S 2406-2025 tillsynsbegäran mail.docx", "S 2406-2025")</f>
        <v/>
      </c>
      <c r="AE11">
        <f>HYPERLINK("https://klasma.github.io/Logging_0780/fåglar/S 2406-2025 prioriterade fågelarter.docx", "S 2406-2025")</f>
        <v/>
      </c>
    </row>
    <row r="12" ht="15" customHeight="1">
      <c r="A12" t="inlineStr">
        <is>
          <t>S 997-2026</t>
        </is>
      </c>
      <c r="B12" t="inlineStr">
        <is>
          <t>samrådsanmälan</t>
        </is>
      </c>
      <c r="C12" t="inlineStr">
        <is>
          <t>Askåterföring</t>
        </is>
      </c>
      <c r="D12" s="1" t="n">
        <v>46119</v>
      </c>
      <c r="E12" s="1" t="n">
        <v>46316</v>
      </c>
      <c r="F12" t="inlineStr">
        <is>
          <t>KRONOBERGS LÄN</t>
        </is>
      </c>
      <c r="G12" t="inlineStr">
        <is>
          <t>UPPVIDINGE</t>
        </is>
      </c>
      <c r="H12" t="inlineStr">
        <is>
          <t>Sveaskog</t>
        </is>
      </c>
      <c r="I12" t="n">
        <v>887.4</v>
      </c>
      <c r="J12" t="n">
        <v>12</v>
      </c>
      <c r="K12" t="n">
        <v>2</v>
      </c>
      <c r="L12" t="n">
        <v>2</v>
      </c>
      <c r="M12" t="n">
        <v>2</v>
      </c>
      <c r="N12" t="n">
        <v>0</v>
      </c>
      <c r="O12" t="n">
        <v>0</v>
      </c>
      <c r="P12" t="n">
        <v>0</v>
      </c>
      <c r="Q12" t="n">
        <v>4</v>
      </c>
      <c r="R12" t="n">
        <v>2</v>
      </c>
      <c r="S12" t="n">
        <v>14</v>
      </c>
      <c r="T12" t="n">
        <v>20</v>
      </c>
      <c r="U12" t="n">
        <v>3</v>
      </c>
      <c r="V12" s="2" t="inlineStr">
        <is>
          <t>Gråtrut
Knärot
Gropticka
Sädesärla
Korallrot
Trådticka
Spillkråka
Tjäder
Kråka
Kungsfågel
Röd glada
Svartvit flugsnappare
Fläcknycklar
Grönvit nattviol</t>
        </is>
      </c>
      <c r="W12">
        <f>HYPERLINK("https://klasma.github.io/Logging_0760/artfynd/S 997-2026 artfynd.xlsx", "S 997-2026")</f>
        <v/>
      </c>
      <c r="X12">
        <f>HYPERLINK("https://klasma.github.io/Logging_0760/kartor/S 997-2026 karta.png", "S 997-2026")</f>
        <v/>
      </c>
      <c r="Y12">
        <f>HYPERLINK("https://klasma.github.io/Logging_0760/kartor_geotiff/S 997-2026 georefererad karta.tif", "S 997-2026")</f>
        <v/>
      </c>
      <c r="Z12">
        <f>HYPERLINK("https://klasma.github.io/Logging_0760/knärot/S 997-2026 karta knärot.png", "S 997-2026")</f>
        <v/>
      </c>
      <c r="AA12">
        <f>HYPERLINK("https://klasma.github.io/Logging_0760/klagomål/S 997-2026 FSC-klagomål.docx", "S 997-2026")</f>
        <v/>
      </c>
      <c r="AB12">
        <f>HYPERLINK("https://klasma.github.io/Logging_0760/klagomålsmail/S 997-2026 FSC-klagomål mail.docx", "S 997-2026")</f>
        <v/>
      </c>
      <c r="AC12">
        <f>HYPERLINK("https://klasma.github.io/Logging_0760/tillsyn/S 997-2026 tillsynsbegäran.docx", "S 997-2026")</f>
        <v/>
      </c>
      <c r="AD12">
        <f>HYPERLINK("https://klasma.github.io/Logging_0760/tillsynsmail/S 997-2026 tillsynsbegäran mail.docx", "S 997-2026")</f>
        <v/>
      </c>
      <c r="AE12">
        <f>HYPERLINK("https://klasma.github.io/Logging_0760/fåglar/S 997-2026 prioriterade fågelarter.docx", "S 997-2026")</f>
        <v/>
      </c>
    </row>
    <row r="13" ht="15" customHeight="1">
      <c r="A13" t="inlineStr">
        <is>
          <t>A 49699-2023</t>
        </is>
      </c>
      <c r="B13" t="inlineStr">
        <is>
          <t>avverkningsanmälan</t>
        </is>
      </c>
      <c r="C13" t="inlineStr">
        <is>
          <t>Föryngringsavverkning</t>
        </is>
      </c>
      <c r="D13" s="1" t="n">
        <v>45208</v>
      </c>
      <c r="E13" s="1" t="n">
        <v>46316</v>
      </c>
      <c r="F13" t="inlineStr">
        <is>
          <t>KRONOBERGS LÄN</t>
        </is>
      </c>
      <c r="G13" t="inlineStr">
        <is>
          <t>TINGSRYD</t>
        </is>
      </c>
      <c r="I13" t="n">
        <v>1.9</v>
      </c>
      <c r="J13" t="n">
        <v>11</v>
      </c>
      <c r="K13" t="n">
        <v>0</v>
      </c>
      <c r="L13" t="n">
        <v>3</v>
      </c>
      <c r="M13" t="n">
        <v>2</v>
      </c>
      <c r="N13" t="n">
        <v>1</v>
      </c>
      <c r="O13" t="n">
        <v>0</v>
      </c>
      <c r="P13" t="n">
        <v>0</v>
      </c>
      <c r="Q13" t="n">
        <v>6</v>
      </c>
      <c r="R13" t="n">
        <v>3</v>
      </c>
      <c r="S13" t="n">
        <v>12</v>
      </c>
      <c r="T13" t="n">
        <v>19</v>
      </c>
      <c r="U13" t="n">
        <v>17</v>
      </c>
      <c r="V13" s="2" t="inlineStr">
        <is>
          <t>Skogsalm
Hussvala
Tornseglare
Entita
Gulsparv
Ladusvala
Buskskvätta
Dvärgpipistrell
Röd glada
Skogsduva
Trana
Törnskata</t>
        </is>
      </c>
      <c r="W13">
        <f>HYPERLINK("https://klasma.github.io/Logging_0763/artfynd/A 49699-2023 artfynd.xlsx", "A 49699-2023")</f>
        <v/>
      </c>
      <c r="X13">
        <f>HYPERLINK("https://klasma.github.io/Logging_0763/kartor/A 49699-2023 karta.png", "A 49699-2023")</f>
        <v/>
      </c>
      <c r="Y13">
        <f>HYPERLINK("https://klasma.github.io/Logging_0763/kartor_geotiff/A 49699-2023 georefererad karta.tif", "A 49699-2023")</f>
        <v/>
      </c>
      <c r="AA13">
        <f>HYPERLINK("https://klasma.github.io/Logging_0763/klagomål/A 49699-2023 FSC-klagomål.docx", "A 49699-2023")</f>
        <v/>
      </c>
      <c r="AB13">
        <f>HYPERLINK("https://klasma.github.io/Logging_0763/klagomålsmail/A 49699-2023 FSC-klagomål mail.docx", "A 49699-2023")</f>
        <v/>
      </c>
      <c r="AC13">
        <f>HYPERLINK("https://klasma.github.io/Logging_0763/tillsyn/A 49699-2023 tillsynsbegäran.docx", "A 49699-2023")</f>
        <v/>
      </c>
      <c r="AD13">
        <f>HYPERLINK("https://klasma.github.io/Logging_0763/tillsynsmail/A 49699-2023 tillsynsbegäran mail.docx", "A 49699-2023")</f>
        <v/>
      </c>
      <c r="AE13">
        <f>HYPERLINK("https://klasma.github.io/Logging_0763/fåglar/A 49699-2023 prioriterade fågelarter.docx", "A 49699-2023")</f>
        <v/>
      </c>
    </row>
    <row r="14" ht="15" customHeight="1">
      <c r="A14" t="inlineStr">
        <is>
          <t>A 62564-2025</t>
        </is>
      </c>
      <c r="B14" t="inlineStr">
        <is>
          <t>avverkningsanmälan</t>
        </is>
      </c>
      <c r="C14" t="inlineStr">
        <is>
          <t>Föryngringsavverkning</t>
        </is>
      </c>
      <c r="D14" s="1" t="n">
        <v>46007</v>
      </c>
      <c r="E14" s="1" t="n">
        <v>46316</v>
      </c>
      <c r="F14" t="inlineStr">
        <is>
          <t>KRONOBERGS LÄN</t>
        </is>
      </c>
      <c r="G14" t="inlineStr">
        <is>
          <t>LJUNGBY</t>
        </is>
      </c>
      <c r="I14" t="n">
        <v>2.1</v>
      </c>
      <c r="J14" t="n">
        <v>12</v>
      </c>
      <c r="K14" t="n">
        <v>0</v>
      </c>
      <c r="L14" t="n">
        <v>8</v>
      </c>
      <c r="M14" t="n">
        <v>0</v>
      </c>
      <c r="N14" t="n">
        <v>0</v>
      </c>
      <c r="O14" t="n">
        <v>0</v>
      </c>
      <c r="P14" t="n">
        <v>0</v>
      </c>
      <c r="Q14" t="n">
        <v>8</v>
      </c>
      <c r="R14" t="n">
        <v>0</v>
      </c>
      <c r="S14" t="n">
        <v>12</v>
      </c>
      <c r="T14" t="n">
        <v>13</v>
      </c>
      <c r="U14" t="n">
        <v>13</v>
      </c>
      <c r="V14" s="2" t="inlineStr">
        <is>
          <t>Drillsnäppa
Enkelbeckasin
Entita
Järnsparv
Kricka
Ladusvala
Skrattmås
Sädesärla
Fiskgjuse
Röd glada
Sävsparv
Trana</t>
        </is>
      </c>
      <c r="W14">
        <f>HYPERLINK("https://klasma.github.io/Logging_0781/artfynd/A 62564-2025 artfynd.xlsx", "A 62564-2025")</f>
        <v/>
      </c>
      <c r="X14">
        <f>HYPERLINK("https://klasma.github.io/Logging_0781/kartor/A 62564-2025 karta.png", "A 62564-2025")</f>
        <v/>
      </c>
      <c r="Y14">
        <f>HYPERLINK("https://klasma.github.io/Logging_0781/kartor_geotiff/A 62564-2025 georefererad karta.tif", "A 62564-2025")</f>
        <v/>
      </c>
      <c r="AA14">
        <f>HYPERLINK("https://klasma.github.io/Logging_0781/klagomål/A 62564-2025 FSC-klagomål.docx", "A 62564-2025")</f>
        <v/>
      </c>
      <c r="AB14">
        <f>HYPERLINK("https://klasma.github.io/Logging_0781/klagomålsmail/A 62564-2025 FSC-klagomål mail.docx", "A 62564-2025")</f>
        <v/>
      </c>
      <c r="AC14">
        <f>HYPERLINK("https://klasma.github.io/Logging_0781/tillsyn/A 62564-2025 tillsynsbegäran.docx", "A 62564-2025")</f>
        <v/>
      </c>
      <c r="AD14">
        <f>HYPERLINK("https://klasma.github.io/Logging_0781/tillsynsmail/A 62564-2025 tillsynsbegäran mail.docx", "A 62564-2025")</f>
        <v/>
      </c>
      <c r="AE14">
        <f>HYPERLINK("https://klasma.github.io/Logging_0781/fåglar/A 62564-2025 prioriterade fågelarter.docx", "A 62564-2025")</f>
        <v/>
      </c>
    </row>
    <row r="15" ht="15" customHeight="1">
      <c r="A15" t="inlineStr">
        <is>
          <t>A 26442-2026</t>
        </is>
      </c>
      <c r="B15" t="inlineStr">
        <is>
          <t>avverkningsanmälan</t>
        </is>
      </c>
      <c r="C15" t="inlineStr">
        <is>
          <t>Föryngringsavverkning</t>
        </is>
      </c>
      <c r="D15" s="1" t="n">
        <v>46183</v>
      </c>
      <c r="E15" s="1" t="n">
        <v>46316</v>
      </c>
      <c r="F15" t="inlineStr">
        <is>
          <t>KRONOBERGS LÄN</t>
        </is>
      </c>
      <c r="G15" t="inlineStr">
        <is>
          <t>UPPVIDINGE</t>
        </is>
      </c>
      <c r="I15" t="n">
        <v>3.7</v>
      </c>
      <c r="J15" t="n">
        <v>1</v>
      </c>
      <c r="K15" t="n">
        <v>4</v>
      </c>
      <c r="L15" t="n">
        <v>7</v>
      </c>
      <c r="M15" t="n">
        <v>1</v>
      </c>
      <c r="N15" t="n">
        <v>0</v>
      </c>
      <c r="O15" t="n">
        <v>0</v>
      </c>
      <c r="P15" t="n">
        <v>0</v>
      </c>
      <c r="Q15" t="n">
        <v>8</v>
      </c>
      <c r="R15" t="n">
        <v>1</v>
      </c>
      <c r="S15" t="n">
        <v>12</v>
      </c>
      <c r="T15" t="n">
        <v>33</v>
      </c>
      <c r="U15" t="n">
        <v>2</v>
      </c>
      <c r="V15" s="2" t="inlineStr">
        <is>
          <t>Knärot
Dropptaggsvamp
Fjällig taggsvamp s.str.
Gropticka
Orange taggsvamp
Persiljespindling
Skarp dropptaggsvamp
Tjockfotad fingersvamp
Blomkålssvamp
Grönpyrola
Rökmusseron
Västlig hakmossa</t>
        </is>
      </c>
      <c r="W15">
        <f>HYPERLINK("https://klasma.github.io/Logging_0760/artfynd/A 26442-2026 artfynd.xlsx", "A 26442-2026")</f>
        <v/>
      </c>
      <c r="X15">
        <f>HYPERLINK("https://klasma.github.io/Logging_0760/kartor/A 26442-2026 karta.png", "A 26442-2026")</f>
        <v/>
      </c>
      <c r="Y15">
        <f>HYPERLINK("https://klasma.github.io/Logging_0760/kartor_geotiff/A 26442-2026 georefererad karta.tif", "A 26442-2026")</f>
        <v/>
      </c>
      <c r="Z15">
        <f>HYPERLINK("https://klasma.github.io/Logging_0760/knärot/A 26442-2026 karta knärot.png", "A 26442-2026")</f>
        <v/>
      </c>
      <c r="AA15">
        <f>HYPERLINK("https://klasma.github.io/Logging_0760/klagomål/A 26442-2026 FSC-klagomål.docx", "A 26442-2026")</f>
        <v/>
      </c>
      <c r="AB15">
        <f>HYPERLINK("https://klasma.github.io/Logging_0760/klagomålsmail/A 26442-2026 FSC-klagomål mail.docx", "A 26442-2026")</f>
        <v/>
      </c>
      <c r="AC15">
        <f>HYPERLINK("https://klasma.github.io/Logging_0760/tillsyn/A 26442-2026 tillsynsbegäran.docx", "A 26442-2026")</f>
        <v/>
      </c>
      <c r="AD15">
        <f>HYPERLINK("https://klasma.github.io/Logging_0760/tillsynsmail/A 26442-2026 tillsynsbegäran mail.docx", "A 26442-2026")</f>
        <v/>
      </c>
    </row>
    <row r="16" ht="15" customHeight="1">
      <c r="A16" t="inlineStr">
        <is>
          <t>S 745-2023</t>
        </is>
      </c>
      <c r="B16" t="inlineStr">
        <is>
          <t>samrådsanmälan</t>
        </is>
      </c>
      <c r="C16" t="inlineStr">
        <is>
          <t>Askåterföring</t>
        </is>
      </c>
      <c r="D16" s="1" t="n">
        <v>44980</v>
      </c>
      <c r="E16" s="1" t="n">
        <v>46316</v>
      </c>
      <c r="F16" t="inlineStr">
        <is>
          <t>KRONOBERGS LÄN</t>
        </is>
      </c>
      <c r="G16" t="inlineStr">
        <is>
          <t>UPPVIDINGE</t>
        </is>
      </c>
      <c r="H16" t="inlineStr">
        <is>
          <t>Sveaskog</t>
        </is>
      </c>
      <c r="I16" t="n">
        <v>120</v>
      </c>
      <c r="J16" t="n">
        <v>5</v>
      </c>
      <c r="K16" t="n">
        <v>0</v>
      </c>
      <c r="L16" t="n">
        <v>4</v>
      </c>
      <c r="M16" t="n">
        <v>3</v>
      </c>
      <c r="N16" t="n">
        <v>1</v>
      </c>
      <c r="O16" t="n">
        <v>0</v>
      </c>
      <c r="P16" t="n">
        <v>0</v>
      </c>
      <c r="Q16" t="n">
        <v>8</v>
      </c>
      <c r="R16" t="n">
        <v>4</v>
      </c>
      <c r="S16" t="n">
        <v>12</v>
      </c>
      <c r="T16" t="n">
        <v>15</v>
      </c>
      <c r="U16" t="n">
        <v>2</v>
      </c>
      <c r="V16" s="2" t="inlineStr">
        <is>
          <t>Mosippa
Bredbrämad bastardsvärmare
Mindre bastardsvärmare
Slåttergubbemal
Klubbsprötad bastardsvärmare
Solvända
Sommarfibbla
Ängsstarr
Brudsporre
Fläcknycklar
Nattviol
Gullviva</t>
        </is>
      </c>
      <c r="W16">
        <f>HYPERLINK("https://klasma.github.io/Logging_0760/artfynd/S 745-2023 artfynd.xlsx", "S 745-2023")</f>
        <v/>
      </c>
      <c r="X16">
        <f>HYPERLINK("https://klasma.github.io/Logging_0760/kartor/S 745-2023 karta.png", "S 745-2023")</f>
        <v/>
      </c>
      <c r="Y16">
        <f>HYPERLINK("https://klasma.github.io/Logging_0760/kartor_geotiff/S 745-2023 georefererad karta.tif", "S 745-2023")</f>
        <v/>
      </c>
      <c r="AA16">
        <f>HYPERLINK("https://klasma.github.io/Logging_0760/klagomål/S 745-2023 FSC-klagomål.docx", "S 745-2023")</f>
        <v/>
      </c>
      <c r="AB16">
        <f>HYPERLINK("https://klasma.github.io/Logging_0760/klagomålsmail/S 745-2023 FSC-klagomål mail.docx", "S 745-2023")</f>
        <v/>
      </c>
      <c r="AC16">
        <f>HYPERLINK("https://klasma.github.io/Logging_0760/tillsyn/S 745-2023 tillsynsbegäran.docx", "S 745-2023")</f>
        <v/>
      </c>
      <c r="AD16">
        <f>HYPERLINK("https://klasma.github.io/Logging_0760/tillsynsmail/S 745-2023 tillsynsbegäran mail.docx", "S 745-2023")</f>
        <v/>
      </c>
    </row>
    <row r="17" ht="15" customHeight="1">
      <c r="A17" t="inlineStr">
        <is>
          <t>A 29270-2023</t>
        </is>
      </c>
      <c r="B17" t="inlineStr">
        <is>
          <t>avverkningsanmälan</t>
        </is>
      </c>
      <c r="C17" t="inlineStr">
        <is>
          <t>Avverkning för annat ändamål</t>
        </is>
      </c>
      <c r="D17" s="1" t="n">
        <v>45105</v>
      </c>
      <c r="E17" s="1" t="n">
        <v>46316</v>
      </c>
      <c r="F17" t="inlineStr">
        <is>
          <t>KRONOBERGS LÄN</t>
        </is>
      </c>
      <c r="G17" t="inlineStr">
        <is>
          <t>LJUNGBY</t>
        </is>
      </c>
      <c r="H17" t="inlineStr">
        <is>
          <t>Kommuner</t>
        </is>
      </c>
      <c r="I17" t="n">
        <v>3.5</v>
      </c>
      <c r="J17" t="n">
        <v>9</v>
      </c>
      <c r="K17" t="n">
        <v>2</v>
      </c>
      <c r="L17" t="n">
        <v>4</v>
      </c>
      <c r="M17" t="n">
        <v>1</v>
      </c>
      <c r="N17" t="n">
        <v>0</v>
      </c>
      <c r="O17" t="n">
        <v>0</v>
      </c>
      <c r="P17" t="n">
        <v>0</v>
      </c>
      <c r="Q17" t="n">
        <v>5</v>
      </c>
      <c r="R17" t="n">
        <v>1</v>
      </c>
      <c r="S17" t="n">
        <v>11</v>
      </c>
      <c r="T17" t="n">
        <v>11</v>
      </c>
      <c r="U17" t="n">
        <v>8</v>
      </c>
      <c r="V17" s="2" t="inlineStr">
        <is>
          <t>Tofsvipa
Duvhök
Järnsparv
Kricka
Skrattmås
Bronshjon
Vågbandad barkbock
Spillkråka
Buskskvätta
Röd glada
Trana</t>
        </is>
      </c>
      <c r="W17">
        <f>HYPERLINK("https://klasma.github.io/Logging_0781/artfynd/A 29270-2023 artfynd.xlsx", "A 29270-2023")</f>
        <v/>
      </c>
      <c r="X17">
        <f>HYPERLINK("https://klasma.github.io/Logging_0781/kartor/A 29270-2023 karta.png", "A 29270-2023")</f>
        <v/>
      </c>
      <c r="Y17">
        <f>HYPERLINK("https://klasma.github.io/Logging_0781/kartor_geotiff/A 29270-2023 georefererad karta.tif", "A 29270-2023")</f>
        <v/>
      </c>
      <c r="AA17">
        <f>HYPERLINK("https://klasma.github.io/Logging_0781/klagomål/A 29270-2023 FSC-klagomål.docx", "A 29270-2023")</f>
        <v/>
      </c>
      <c r="AB17">
        <f>HYPERLINK("https://klasma.github.io/Logging_0781/klagomålsmail/A 29270-2023 FSC-klagomål mail.docx", "A 29270-2023")</f>
        <v/>
      </c>
      <c r="AC17">
        <f>HYPERLINK("https://klasma.github.io/Logging_0781/tillsyn/A 29270-2023 tillsynsbegäran.docx", "A 29270-2023")</f>
        <v/>
      </c>
      <c r="AD17">
        <f>HYPERLINK("https://klasma.github.io/Logging_0781/tillsynsmail/A 29270-2023 tillsynsbegäran mail.docx", "A 29270-2023")</f>
        <v/>
      </c>
      <c r="AE17">
        <f>HYPERLINK("https://klasma.github.io/Logging_0781/fåglar/A 29270-2023 prioriterade fågelarter.docx", "A 29270-2023")</f>
        <v/>
      </c>
    </row>
    <row r="18" ht="15" customHeight="1">
      <c r="A18" t="inlineStr">
        <is>
          <t>A 26449-2026</t>
        </is>
      </c>
      <c r="B18" t="inlineStr">
        <is>
          <t>avverkningsanmälan</t>
        </is>
      </c>
      <c r="C18" t="inlineStr">
        <is>
          <t>Föryngringsavverkning</t>
        </is>
      </c>
      <c r="D18" s="1" t="n">
        <v>46183</v>
      </c>
      <c r="E18" s="1" t="n">
        <v>46316</v>
      </c>
      <c r="F18" t="inlineStr">
        <is>
          <t>KRONOBERGS LÄN</t>
        </is>
      </c>
      <c r="G18" t="inlineStr">
        <is>
          <t>UPPVIDINGE</t>
        </is>
      </c>
      <c r="I18" t="n">
        <v>1.4</v>
      </c>
      <c r="J18" t="n">
        <v>2</v>
      </c>
      <c r="K18" t="n">
        <v>2</v>
      </c>
      <c r="L18" t="n">
        <v>7</v>
      </c>
      <c r="M18" t="n">
        <v>1</v>
      </c>
      <c r="N18" t="n">
        <v>0</v>
      </c>
      <c r="O18" t="n">
        <v>0</v>
      </c>
      <c r="P18" t="n">
        <v>0</v>
      </c>
      <c r="Q18" t="n">
        <v>8</v>
      </c>
      <c r="R18" t="n">
        <v>1</v>
      </c>
      <c r="S18" t="n">
        <v>11</v>
      </c>
      <c r="T18" t="n">
        <v>24</v>
      </c>
      <c r="U18" t="n">
        <v>1</v>
      </c>
      <c r="V18" s="2" t="inlineStr">
        <is>
          <t>Knärot
Dropptaggsvamp
Fjällig taggsvamp s.str.
Orange taggsvamp
Persiljespindling
Skarp dropptaggsvamp
Såpfingersvamp
Tjockfotad fingersvamp
Blomkålssvamp
Grönpyrola
Blåsippa</t>
        </is>
      </c>
      <c r="W18">
        <f>HYPERLINK("https://klasma.github.io/Logging_0760/artfynd/A 26449-2026 artfynd.xlsx", "A 26449-2026")</f>
        <v/>
      </c>
      <c r="X18">
        <f>HYPERLINK("https://klasma.github.io/Logging_0760/kartor/A 26449-2026 karta.png", "A 26449-2026")</f>
        <v/>
      </c>
      <c r="Y18">
        <f>HYPERLINK("https://klasma.github.io/Logging_0760/kartor_geotiff/A 26449-2026 georefererad karta.tif", "A 26449-2026")</f>
        <v/>
      </c>
      <c r="Z18">
        <f>HYPERLINK("https://klasma.github.io/Logging_0760/knärot/A 26449-2026 karta knärot.png", "A 26449-2026")</f>
        <v/>
      </c>
      <c r="AA18">
        <f>HYPERLINK("https://klasma.github.io/Logging_0760/klagomål/A 26449-2026 FSC-klagomål.docx", "A 26449-2026")</f>
        <v/>
      </c>
      <c r="AB18">
        <f>HYPERLINK("https://klasma.github.io/Logging_0760/klagomålsmail/A 26449-2026 FSC-klagomål mail.docx", "A 26449-2026")</f>
        <v/>
      </c>
      <c r="AC18">
        <f>HYPERLINK("https://klasma.github.io/Logging_0760/tillsyn/A 26449-2026 tillsynsbegäran.docx", "A 26449-2026")</f>
        <v/>
      </c>
      <c r="AD18">
        <f>HYPERLINK("https://klasma.github.io/Logging_0760/tillsynsmail/A 26449-2026 tillsynsbegäran mail.docx", "A 26449-2026")</f>
        <v/>
      </c>
    </row>
    <row r="19" ht="15" customHeight="1">
      <c r="A19" t="inlineStr">
        <is>
          <t>S 992-2022</t>
        </is>
      </c>
      <c r="B19" t="inlineStr">
        <is>
          <t>samrådsanmälan</t>
        </is>
      </c>
      <c r="C19" t="inlineStr">
        <is>
          <t>Askåterföring</t>
        </is>
      </c>
      <c r="D19" s="1" t="n">
        <v>44607</v>
      </c>
      <c r="E19" s="1" t="n">
        <v>46316</v>
      </c>
      <c r="F19" t="inlineStr">
        <is>
          <t>KRONOBERGS LÄN</t>
        </is>
      </c>
      <c r="G19" t="inlineStr">
        <is>
          <t>UPPVIDINGE</t>
        </is>
      </c>
      <c r="H19" t="inlineStr">
        <is>
          <t>Sveaskog</t>
        </is>
      </c>
      <c r="I19" t="n">
        <v>829.7</v>
      </c>
      <c r="J19" t="n">
        <v>4</v>
      </c>
      <c r="K19" t="n">
        <v>4</v>
      </c>
      <c r="L19" t="n">
        <v>3</v>
      </c>
      <c r="M19" t="n">
        <v>1</v>
      </c>
      <c r="N19" t="n">
        <v>1</v>
      </c>
      <c r="O19" t="n">
        <v>0</v>
      </c>
      <c r="P19" t="n">
        <v>0</v>
      </c>
      <c r="Q19" t="n">
        <v>5</v>
      </c>
      <c r="R19" t="n">
        <v>2</v>
      </c>
      <c r="S19" t="n">
        <v>11</v>
      </c>
      <c r="T19" t="n">
        <v>11</v>
      </c>
      <c r="U19" t="n">
        <v>7</v>
      </c>
      <c r="V19" s="2" t="inlineStr">
        <is>
          <t>Mosippa
Mindre bastardsvärmare
Solvända
Spindelört
Åkerkulla
Blåmossa
Flagellkvastmossa
Korallrot
Tibast
Mattlummer
Kungsfågel</t>
        </is>
      </c>
      <c r="W19">
        <f>HYPERLINK("https://klasma.github.io/Logging_0760/artfynd/S 992-2022 artfynd.xlsx", "S 992-2022")</f>
        <v/>
      </c>
      <c r="X19">
        <f>HYPERLINK("https://klasma.github.io/Logging_0760/kartor/S 992-2022 karta.png", "S 992-2022")</f>
        <v/>
      </c>
      <c r="Y19">
        <f>HYPERLINK("https://klasma.github.io/Logging_0760/kartor_geotiff/S 992-2022 georefererad karta.tif", "S 992-2022")</f>
        <v/>
      </c>
      <c r="AA19">
        <f>HYPERLINK("https://klasma.github.io/Logging_0760/klagomål/S 992-2022 FSC-klagomål.docx", "S 992-2022")</f>
        <v/>
      </c>
      <c r="AB19">
        <f>HYPERLINK("https://klasma.github.io/Logging_0760/klagomålsmail/S 992-2022 FSC-klagomål mail.docx", "S 992-2022")</f>
        <v/>
      </c>
      <c r="AC19">
        <f>HYPERLINK("https://klasma.github.io/Logging_0760/tillsyn/S 992-2022 tillsynsbegäran.docx", "S 992-2022")</f>
        <v/>
      </c>
      <c r="AD19">
        <f>HYPERLINK("https://klasma.github.io/Logging_0760/tillsynsmail/S 992-2022 tillsynsbegäran mail.docx", "S 992-2022")</f>
        <v/>
      </c>
    </row>
    <row r="20" ht="15" customHeight="1">
      <c r="A20" t="inlineStr">
        <is>
          <t>S 1490-2025</t>
        </is>
      </c>
      <c r="B20" t="inlineStr">
        <is>
          <t>samrådsanmälan</t>
        </is>
      </c>
      <c r="C20" t="inlineStr">
        <is>
          <t>Askåterföring</t>
        </is>
      </c>
      <c r="D20" s="1" t="n">
        <v>45789</v>
      </c>
      <c r="E20" s="1" t="n">
        <v>46316</v>
      </c>
      <c r="F20" t="inlineStr">
        <is>
          <t>KRONOBERGS LÄN</t>
        </is>
      </c>
      <c r="G20" t="inlineStr">
        <is>
          <t>UPPVIDINGE</t>
        </is>
      </c>
      <c r="H20" t="inlineStr">
        <is>
          <t>Sveaskog</t>
        </is>
      </c>
      <c r="I20" t="n">
        <v>376.5</v>
      </c>
      <c r="J20" t="n">
        <v>5</v>
      </c>
      <c r="K20" t="n">
        <v>3</v>
      </c>
      <c r="L20" t="n">
        <v>5</v>
      </c>
      <c r="M20" t="n">
        <v>0</v>
      </c>
      <c r="N20" t="n">
        <v>0</v>
      </c>
      <c r="O20" t="n">
        <v>0</v>
      </c>
      <c r="P20" t="n">
        <v>0</v>
      </c>
      <c r="Q20" t="n">
        <v>5</v>
      </c>
      <c r="R20" t="n">
        <v>0</v>
      </c>
      <c r="S20" t="n">
        <v>11</v>
      </c>
      <c r="T20" t="n">
        <v>13</v>
      </c>
      <c r="U20" t="n">
        <v>2</v>
      </c>
      <c r="V20" s="2" t="inlineStr">
        <is>
          <t>Brunlångöra
Kortskaftad ärgspik
Nordfladdermus
Sommarfibbla
Vedskivlav
Blåmossa
Gulnål
Kornig nållav
Blåsippa
Mattlummer
Spillkråka</t>
        </is>
      </c>
      <c r="W20">
        <f>HYPERLINK("https://klasma.github.io/Logging_0760/artfynd/S 1490-2025 artfynd.xlsx", "S 1490-2025")</f>
        <v/>
      </c>
      <c r="X20">
        <f>HYPERLINK("https://klasma.github.io/Logging_0760/kartor/S 1490-2025 karta.png", "S 1490-2025")</f>
        <v/>
      </c>
      <c r="Y20">
        <f>HYPERLINK("https://klasma.github.io/Logging_0760/kartor_geotiff/S 1490-2025 georefererad karta.tif", "S 1490-2025")</f>
        <v/>
      </c>
      <c r="AA20">
        <f>HYPERLINK("https://klasma.github.io/Logging_0760/klagomål/S 1490-2025 FSC-klagomål.docx", "S 1490-2025")</f>
        <v/>
      </c>
      <c r="AB20">
        <f>HYPERLINK("https://klasma.github.io/Logging_0760/klagomålsmail/S 1490-2025 FSC-klagomål mail.docx", "S 1490-2025")</f>
        <v/>
      </c>
      <c r="AC20">
        <f>HYPERLINK("https://klasma.github.io/Logging_0760/tillsyn/S 1490-2025 tillsynsbegäran.docx", "S 1490-2025")</f>
        <v/>
      </c>
      <c r="AD20">
        <f>HYPERLINK("https://klasma.github.io/Logging_0760/tillsynsmail/S 1490-2025 tillsynsbegäran mail.docx", "S 1490-2025")</f>
        <v/>
      </c>
      <c r="AE20">
        <f>HYPERLINK("https://klasma.github.io/Logging_0760/fåglar/S 1490-2025 prioriterade fågelarter.docx", "S 1490-2025")</f>
        <v/>
      </c>
    </row>
    <row r="21" ht="15" customHeight="1">
      <c r="A21" t="inlineStr">
        <is>
          <t>S 1574-2025</t>
        </is>
      </c>
      <c r="B21" t="inlineStr">
        <is>
          <t>samrådsanmälan</t>
        </is>
      </c>
      <c r="C21" t="inlineStr">
        <is>
          <t>Askåterföring</t>
        </is>
      </c>
      <c r="D21" s="1" t="n">
        <v>45796</v>
      </c>
      <c r="E21" s="1" t="n">
        <v>46316</v>
      </c>
      <c r="F21" t="inlineStr">
        <is>
          <t>KRONOBERGS LÄN</t>
        </is>
      </c>
      <c r="G21" t="inlineStr">
        <is>
          <t>UPPVIDINGE</t>
        </is>
      </c>
      <c r="H21" t="inlineStr">
        <is>
          <t>Sveaskog</t>
        </is>
      </c>
      <c r="I21" t="n">
        <v>473.1</v>
      </c>
      <c r="J21" t="n">
        <v>2</v>
      </c>
      <c r="K21" t="n">
        <v>3</v>
      </c>
      <c r="L21" t="n">
        <v>5</v>
      </c>
      <c r="M21" t="n">
        <v>1</v>
      </c>
      <c r="N21" t="n">
        <v>0</v>
      </c>
      <c r="O21" t="n">
        <v>0</v>
      </c>
      <c r="P21" t="n">
        <v>0</v>
      </c>
      <c r="Q21" t="n">
        <v>6</v>
      </c>
      <c r="R21" t="n">
        <v>1</v>
      </c>
      <c r="S21" t="n">
        <v>11</v>
      </c>
      <c r="T21" t="n">
        <v>11</v>
      </c>
      <c r="U21" t="n">
        <v>3</v>
      </c>
      <c r="V21" s="2" t="inlineStr">
        <is>
          <t>Igelkott
Skogshare
Solvända
Stor hagfibbla
Svinrot
Älg
Robust tickgnagare
Stekelbock
Tvåtandad aspborre
Tjäder
Kungsfågel</t>
        </is>
      </c>
      <c r="W21">
        <f>HYPERLINK("https://klasma.github.io/Logging_0760/artfynd/S 1574-2025 artfynd.xlsx", "S 1574-2025")</f>
        <v/>
      </c>
      <c r="X21">
        <f>HYPERLINK("https://klasma.github.io/Logging_0760/kartor/S 1574-2025 karta.png", "S 1574-2025")</f>
        <v/>
      </c>
      <c r="Y21">
        <f>HYPERLINK("https://klasma.github.io/Logging_0760/kartor_geotiff/S 1574-2025 georefererad karta.tif", "S 1574-2025")</f>
        <v/>
      </c>
      <c r="AA21">
        <f>HYPERLINK("https://klasma.github.io/Logging_0760/klagomål/S 1574-2025 FSC-klagomål.docx", "S 1574-2025")</f>
        <v/>
      </c>
      <c r="AB21">
        <f>HYPERLINK("https://klasma.github.io/Logging_0760/klagomålsmail/S 1574-2025 FSC-klagomål mail.docx", "S 1574-2025")</f>
        <v/>
      </c>
      <c r="AC21">
        <f>HYPERLINK("https://klasma.github.io/Logging_0760/tillsyn/S 1574-2025 tillsynsbegäran.docx", "S 1574-2025")</f>
        <v/>
      </c>
      <c r="AD21">
        <f>HYPERLINK("https://klasma.github.io/Logging_0760/tillsynsmail/S 1574-2025 tillsynsbegäran mail.docx", "S 1574-2025")</f>
        <v/>
      </c>
      <c r="AE21">
        <f>HYPERLINK("https://klasma.github.io/Logging_0760/fåglar/S 1574-2025 prioriterade fågelarter.docx", "S 1574-2025")</f>
        <v/>
      </c>
    </row>
    <row r="22" ht="15" customHeight="1">
      <c r="A22" t="inlineStr">
        <is>
          <t>S 1956-2026</t>
        </is>
      </c>
      <c r="B22" t="inlineStr">
        <is>
          <t>samrådsanmälan</t>
        </is>
      </c>
      <c r="C22" t="inlineStr">
        <is>
          <t>Annan skogsbruksåtgärd</t>
        </is>
      </c>
      <c r="D22" s="1" t="n">
        <v>46209</v>
      </c>
      <c r="E22" s="1" t="n">
        <v>46316</v>
      </c>
      <c r="F22" t="inlineStr">
        <is>
          <t>KRONOBERGS LÄN</t>
        </is>
      </c>
      <c r="G22" t="inlineStr">
        <is>
          <t>ÄLMHULT</t>
        </is>
      </c>
      <c r="I22" t="n">
        <v>6.6</v>
      </c>
      <c r="J22" t="n">
        <v>3</v>
      </c>
      <c r="K22" t="n">
        <v>4</v>
      </c>
      <c r="L22" t="n">
        <v>2</v>
      </c>
      <c r="M22" t="n">
        <v>1</v>
      </c>
      <c r="N22" t="n">
        <v>1</v>
      </c>
      <c r="O22" t="n">
        <v>0</v>
      </c>
      <c r="P22" t="n">
        <v>0</v>
      </c>
      <c r="Q22" t="n">
        <v>4</v>
      </c>
      <c r="R22" t="n">
        <v>2</v>
      </c>
      <c r="S22" t="n">
        <v>11</v>
      </c>
      <c r="T22" t="n">
        <v>13</v>
      </c>
      <c r="U22" t="n">
        <v>0</v>
      </c>
      <c r="V22" s="2" t="inlineStr">
        <is>
          <t>Ask
Klotgräs
Sadelrödrock
Stor sotdyna
Hasselsopp
Honungsvaxing
Kruskantarell
Toppvaxing
Blåsippa
Hårklomossa
Havsörn</t>
        </is>
      </c>
      <c r="W22">
        <f>HYPERLINK("https://klasma.github.io/Logging_0765/artfynd/S 1956-2026 artfynd.xlsx", "S 1956-2026")</f>
        <v/>
      </c>
      <c r="X22">
        <f>HYPERLINK("https://klasma.github.io/Logging_0765/kartor/S 1956-2026 karta.png", "S 1956-2026")</f>
        <v/>
      </c>
      <c r="Y22">
        <f>HYPERLINK("https://klasma.github.io/Logging_0765/kartor_geotiff/S 1956-2026 georefererad karta.tif", "S 1956-2026")</f>
        <v/>
      </c>
      <c r="AA22">
        <f>HYPERLINK("https://klasma.github.io/Logging_0765/klagomål/S 1956-2026 FSC-klagomål.docx", "S 1956-2026")</f>
        <v/>
      </c>
      <c r="AB22">
        <f>HYPERLINK("https://klasma.github.io/Logging_0765/klagomålsmail/S 1956-2026 FSC-klagomål mail.docx", "S 1956-2026")</f>
        <v/>
      </c>
      <c r="AC22">
        <f>HYPERLINK("https://klasma.github.io/Logging_0765/tillsyn/S 1956-2026 tillsynsbegäran.docx", "S 1956-2026")</f>
        <v/>
      </c>
      <c r="AD22">
        <f>HYPERLINK("https://klasma.github.io/Logging_0765/tillsynsmail/S 1956-2026 tillsynsbegäran mail.docx", "S 1956-2026")</f>
        <v/>
      </c>
      <c r="AE22">
        <f>HYPERLINK("https://klasma.github.io/Logging_0765/fåglar/S 1956-2026 prioriterade fågelarter.docx", "S 1956-2026")</f>
        <v/>
      </c>
    </row>
    <row r="23" ht="15" customHeight="1">
      <c r="A23" t="inlineStr">
        <is>
          <t>A 40568-2022</t>
        </is>
      </c>
      <c r="B23" t="inlineStr">
        <is>
          <t>avverkningsanmälan</t>
        </is>
      </c>
      <c r="C23" t="inlineStr">
        <is>
          <t>Föryngringsavverkning</t>
        </is>
      </c>
      <c r="D23" s="1" t="n">
        <v>44823</v>
      </c>
      <c r="E23" s="1" t="n">
        <v>46316</v>
      </c>
      <c r="F23" t="inlineStr">
        <is>
          <t>KRONOBERGS LÄN</t>
        </is>
      </c>
      <c r="G23" t="inlineStr">
        <is>
          <t>ALVESTA</t>
        </is>
      </c>
      <c r="I23" t="n">
        <v>1.7</v>
      </c>
      <c r="J23" t="n">
        <v>9</v>
      </c>
      <c r="K23" t="n">
        <v>1</v>
      </c>
      <c r="L23" t="n">
        <v>5</v>
      </c>
      <c r="M23" t="n">
        <v>1</v>
      </c>
      <c r="N23" t="n">
        <v>0</v>
      </c>
      <c r="O23" t="n">
        <v>0</v>
      </c>
      <c r="P23" t="n">
        <v>0</v>
      </c>
      <c r="Q23" t="n">
        <v>6</v>
      </c>
      <c r="R23" t="n">
        <v>1</v>
      </c>
      <c r="S23" t="n">
        <v>10</v>
      </c>
      <c r="T23" t="n">
        <v>10</v>
      </c>
      <c r="U23" t="n">
        <v>2</v>
      </c>
      <c r="V23" s="2" t="inlineStr">
        <is>
          <t>Grönfink
Björktrast
Gulsparv
Göktyta
Rödvingetrast
Skrattmås
Stor aspticka
Gröngöling
Grönsiska
Röd glada</t>
        </is>
      </c>
      <c r="W23">
        <f>HYPERLINK("https://klasma.github.io/Logging_0764/artfynd/A 40568-2022 artfynd.xlsx", "A 40568-2022")</f>
        <v/>
      </c>
      <c r="X23">
        <f>HYPERLINK("https://klasma.github.io/Logging_0764/kartor/A 40568-2022 karta.png", "A 40568-2022")</f>
        <v/>
      </c>
      <c r="Y23">
        <f>HYPERLINK("https://klasma.github.io/Logging_0764/kartor_geotiff/A 40568-2022 georefererad karta.tif", "A 40568-2022")</f>
        <v/>
      </c>
      <c r="AA23">
        <f>HYPERLINK("https://klasma.github.io/Logging_0764/klagomål/A 40568-2022 FSC-klagomål.docx", "A 40568-2022")</f>
        <v/>
      </c>
      <c r="AB23">
        <f>HYPERLINK("https://klasma.github.io/Logging_0764/klagomålsmail/A 40568-2022 FSC-klagomål mail.docx", "A 40568-2022")</f>
        <v/>
      </c>
      <c r="AC23">
        <f>HYPERLINK("https://klasma.github.io/Logging_0764/tillsyn/A 40568-2022 tillsynsbegäran.docx", "A 40568-2022")</f>
        <v/>
      </c>
      <c r="AD23">
        <f>HYPERLINK("https://klasma.github.io/Logging_0764/tillsynsmail/A 40568-2022 tillsynsbegäran mail.docx", "A 40568-2022")</f>
        <v/>
      </c>
      <c r="AE23">
        <f>HYPERLINK("https://klasma.github.io/Logging_0764/fåglar/A 40568-2022 prioriterade fågelarter.docx", "A 40568-2022")</f>
        <v/>
      </c>
    </row>
    <row r="24" ht="15" customHeight="1">
      <c r="A24" t="inlineStr">
        <is>
          <t>A 3041-2022</t>
        </is>
      </c>
      <c r="B24" t="inlineStr">
        <is>
          <t>avverkningsanmälan</t>
        </is>
      </c>
      <c r="C24" t="inlineStr">
        <is>
          <t>Föryngringsavverkning</t>
        </is>
      </c>
      <c r="D24" s="1" t="n">
        <v>44582</v>
      </c>
      <c r="E24" s="1" t="n">
        <v>46316</v>
      </c>
      <c r="F24" t="inlineStr">
        <is>
          <t>KRONOBERGS LÄN</t>
        </is>
      </c>
      <c r="G24" t="inlineStr">
        <is>
          <t>TINGSRYD</t>
        </is>
      </c>
      <c r="H24" t="inlineStr">
        <is>
          <t>Övriga Aktiebolag</t>
        </is>
      </c>
      <c r="I24" t="n">
        <v>3.1</v>
      </c>
      <c r="J24" t="n">
        <v>1</v>
      </c>
      <c r="K24" t="n">
        <v>2</v>
      </c>
      <c r="L24" t="n">
        <v>1</v>
      </c>
      <c r="M24" t="n">
        <v>0</v>
      </c>
      <c r="N24" t="n">
        <v>0</v>
      </c>
      <c r="O24" t="n">
        <v>0</v>
      </c>
      <c r="P24" t="n">
        <v>0</v>
      </c>
      <c r="Q24" t="n">
        <v>1</v>
      </c>
      <c r="R24" t="n">
        <v>0</v>
      </c>
      <c r="S24" t="n">
        <v>10</v>
      </c>
      <c r="T24" t="n">
        <v>11</v>
      </c>
      <c r="U24" t="n">
        <v>11</v>
      </c>
      <c r="V24" s="2" t="inlineStr">
        <is>
          <t>Jungfrulin
Myskmadra
Västlig hakmossa
Bandpraktmossa
Ekbräken
Hultbräken
Kärrviol
Liljekonvalj
Rankstarr
Havsörn</t>
        </is>
      </c>
      <c r="W24">
        <f>HYPERLINK("https://klasma.github.io/Logging_0763/artfynd/A 3041-2022 artfynd.xlsx", "A 3041-2022")</f>
        <v/>
      </c>
      <c r="X24">
        <f>HYPERLINK("https://klasma.github.io/Logging_0763/kartor/A 3041-2022 karta.png", "A 3041-2022")</f>
        <v/>
      </c>
      <c r="Y24">
        <f>HYPERLINK("https://klasma.github.io/Logging_0763/kartor_geotiff/A 3041-2022 georefererad karta.tif", "A 3041-2022")</f>
        <v/>
      </c>
      <c r="AA24">
        <f>HYPERLINK("https://klasma.github.io/Logging_0763/klagomål/A 3041-2022 FSC-klagomål.docx", "A 3041-2022")</f>
        <v/>
      </c>
      <c r="AB24">
        <f>HYPERLINK("https://klasma.github.io/Logging_0763/klagomålsmail/A 3041-2022 FSC-klagomål mail.docx", "A 3041-2022")</f>
        <v/>
      </c>
      <c r="AC24">
        <f>HYPERLINK("https://klasma.github.io/Logging_0763/tillsyn/A 3041-2022 tillsynsbegäran.docx", "A 3041-2022")</f>
        <v/>
      </c>
      <c r="AD24">
        <f>HYPERLINK("https://klasma.github.io/Logging_0763/tillsynsmail/A 3041-2022 tillsynsbegäran mail.docx", "A 3041-2022")</f>
        <v/>
      </c>
      <c r="AE24">
        <f>HYPERLINK("https://klasma.github.io/Logging_0763/fåglar/A 3041-2022 prioriterade fågelarter.docx", "A 3041-2022")</f>
        <v/>
      </c>
    </row>
    <row r="25" ht="15" customHeight="1">
      <c r="A25" t="inlineStr">
        <is>
          <t>S 713-2023</t>
        </is>
      </c>
      <c r="B25" t="inlineStr">
        <is>
          <t>samrådsanmälan</t>
        </is>
      </c>
      <c r="C25" t="inlineStr">
        <is>
          <t>Askåterföring</t>
        </is>
      </c>
      <c r="D25" s="1" t="n">
        <v>44978</v>
      </c>
      <c r="E25" s="1" t="n">
        <v>46316</v>
      </c>
      <c r="F25" t="inlineStr">
        <is>
          <t>KRONOBERGS LÄN</t>
        </is>
      </c>
      <c r="G25" t="inlineStr">
        <is>
          <t>LJUNGBY</t>
        </is>
      </c>
      <c r="I25" t="n">
        <v>257.8</v>
      </c>
      <c r="J25" t="n">
        <v>4</v>
      </c>
      <c r="K25" t="n">
        <v>4</v>
      </c>
      <c r="L25" t="n">
        <v>1</v>
      </c>
      <c r="M25" t="n">
        <v>2</v>
      </c>
      <c r="N25" t="n">
        <v>0</v>
      </c>
      <c r="O25" t="n">
        <v>1</v>
      </c>
      <c r="P25" t="n">
        <v>0</v>
      </c>
      <c r="Q25" t="n">
        <v>4</v>
      </c>
      <c r="R25" t="n">
        <v>3</v>
      </c>
      <c r="S25" t="n">
        <v>10</v>
      </c>
      <c r="T25" t="n">
        <v>14</v>
      </c>
      <c r="U25" t="n">
        <v>3</v>
      </c>
      <c r="V25" s="2" t="inlineStr">
        <is>
          <t>Saffransticka
Kortskaftad parasitspik
Slåttergubbe
Talltita
Blanksvart trämyra
Gulpudrad spiklav
Havstulpanlav
Myskmadra
Tjäder
Vanlig padda</t>
        </is>
      </c>
      <c r="W25">
        <f>HYPERLINK("https://klasma.github.io/Logging_0781/artfynd/S 713-2023 artfynd.xlsx", "S 713-2023")</f>
        <v/>
      </c>
      <c r="X25">
        <f>HYPERLINK("https://klasma.github.io/Logging_0781/kartor/S 713-2023 karta.png", "S 713-2023")</f>
        <v/>
      </c>
      <c r="Y25">
        <f>HYPERLINK("https://klasma.github.io/Logging_0781/kartor_geotiff/S 713-2023 georefererad karta.tif", "S 713-2023")</f>
        <v/>
      </c>
      <c r="AA25">
        <f>HYPERLINK("https://klasma.github.io/Logging_0781/klagomål/S 713-2023 FSC-klagomål.docx", "S 713-2023")</f>
        <v/>
      </c>
      <c r="AB25">
        <f>HYPERLINK("https://klasma.github.io/Logging_0781/klagomålsmail/S 713-2023 FSC-klagomål mail.docx", "S 713-2023")</f>
        <v/>
      </c>
      <c r="AC25">
        <f>HYPERLINK("https://klasma.github.io/Logging_0781/tillsyn/S 713-2023 tillsynsbegäran.docx", "S 713-2023")</f>
        <v/>
      </c>
      <c r="AD25">
        <f>HYPERLINK("https://klasma.github.io/Logging_0781/tillsynsmail/S 713-2023 tillsynsbegäran mail.docx", "S 713-2023")</f>
        <v/>
      </c>
      <c r="AE25">
        <f>HYPERLINK("https://klasma.github.io/Logging_0781/fåglar/S 713-2023 prioriterade fågelarter.docx", "S 713-2023")</f>
        <v/>
      </c>
    </row>
    <row r="26" ht="15" customHeight="1">
      <c r="A26" t="inlineStr">
        <is>
          <t>S 1474-2025</t>
        </is>
      </c>
      <c r="B26" t="inlineStr">
        <is>
          <t>samrådsanmälan</t>
        </is>
      </c>
      <c r="C26" t="inlineStr">
        <is>
          <t>Annan skogsbruksåtgärd</t>
        </is>
      </c>
      <c r="D26" s="1" t="n">
        <v>45786</v>
      </c>
      <c r="E26" s="1" t="n">
        <v>46316</v>
      </c>
      <c r="F26" t="inlineStr">
        <is>
          <t>KRONOBERGS LÄN</t>
        </is>
      </c>
      <c r="G26" t="inlineStr">
        <is>
          <t>ÄLMHULT</t>
        </is>
      </c>
      <c r="I26" t="n">
        <v>4.2</v>
      </c>
      <c r="J26" t="n">
        <v>0</v>
      </c>
      <c r="K26" t="n">
        <v>6</v>
      </c>
      <c r="L26" t="n">
        <v>3</v>
      </c>
      <c r="M26" t="n">
        <v>0</v>
      </c>
      <c r="N26" t="n">
        <v>1</v>
      </c>
      <c r="O26" t="n">
        <v>0</v>
      </c>
      <c r="P26" t="n">
        <v>0</v>
      </c>
      <c r="Q26" t="n">
        <v>4</v>
      </c>
      <c r="R26" t="n">
        <v>1</v>
      </c>
      <c r="S26" t="n">
        <v>10</v>
      </c>
      <c r="T26" t="n">
        <v>93</v>
      </c>
      <c r="U26" t="n">
        <v>2</v>
      </c>
      <c r="V26" s="2" t="inlineStr">
        <is>
          <t>Skogsalm
Bokkantlav
Lunglav
Vårstarr
Barkkornlav
Bokfjädermossa
Guldlockmossa
Gulnål
Havstulpanlav
Platt fjädermossa</t>
        </is>
      </c>
      <c r="W26">
        <f>HYPERLINK("https://klasma.github.io/Logging_0765/artfynd/S 1474-2025 artfynd.xlsx", "S 1474-2025")</f>
        <v/>
      </c>
      <c r="X26">
        <f>HYPERLINK("https://klasma.github.io/Logging_0765/kartor/S 1474-2025 karta.png", "S 1474-2025")</f>
        <v/>
      </c>
      <c r="Y26">
        <f>HYPERLINK("https://klasma.github.io/Logging_0765/kartor_geotiff/S 1474-2025 georefererad karta.tif", "S 1474-2025")</f>
        <v/>
      </c>
      <c r="AA26">
        <f>HYPERLINK("https://klasma.github.io/Logging_0765/klagomål/S 1474-2025 FSC-klagomål.docx", "S 1474-2025")</f>
        <v/>
      </c>
      <c r="AB26">
        <f>HYPERLINK("https://klasma.github.io/Logging_0765/klagomålsmail/S 1474-2025 FSC-klagomål mail.docx", "S 1474-2025")</f>
        <v/>
      </c>
      <c r="AC26">
        <f>HYPERLINK("https://klasma.github.io/Logging_0765/tillsyn/S 1474-2025 tillsynsbegäran.docx", "S 1474-2025")</f>
        <v/>
      </c>
      <c r="AD26">
        <f>HYPERLINK("https://klasma.github.io/Logging_0765/tillsynsmail/S 1474-2025 tillsynsbegäran mail.docx", "S 1474-2025")</f>
        <v/>
      </c>
    </row>
    <row r="27" ht="15" customHeight="1">
      <c r="A27" t="inlineStr">
        <is>
          <t>S 998-2026</t>
        </is>
      </c>
      <c r="B27" t="inlineStr">
        <is>
          <t>samrådsanmälan</t>
        </is>
      </c>
      <c r="C27" t="inlineStr">
        <is>
          <t>Askåterföring</t>
        </is>
      </c>
      <c r="D27" s="1" t="n">
        <v>46119</v>
      </c>
      <c r="E27" s="1" t="n">
        <v>46316</v>
      </c>
      <c r="F27" t="inlineStr">
        <is>
          <t>KRONOBERGS LÄN</t>
        </is>
      </c>
      <c r="G27" t="inlineStr">
        <is>
          <t>UPPVIDINGE</t>
        </is>
      </c>
      <c r="H27" t="inlineStr">
        <is>
          <t>Sveaskog</t>
        </is>
      </c>
      <c r="I27" t="n">
        <v>800.7</v>
      </c>
      <c r="J27" t="n">
        <v>4</v>
      </c>
      <c r="K27" t="n">
        <v>3</v>
      </c>
      <c r="L27" t="n">
        <v>2</v>
      </c>
      <c r="M27" t="n">
        <v>1</v>
      </c>
      <c r="N27" t="n">
        <v>1</v>
      </c>
      <c r="O27" t="n">
        <v>0</v>
      </c>
      <c r="P27" t="n">
        <v>0</v>
      </c>
      <c r="Q27" t="n">
        <v>4</v>
      </c>
      <c r="R27" t="n">
        <v>2</v>
      </c>
      <c r="S27" t="n">
        <v>10</v>
      </c>
      <c r="T27" t="n">
        <v>34</v>
      </c>
      <c r="U27" t="n">
        <v>1</v>
      </c>
      <c r="V27" s="2" t="inlineStr">
        <is>
          <t>Ljungögontröst
Slåttergubbe
Borsttåg
Spindelört
Korallrot
Sotlav
Västlig hakmossa
Mattlummer
Tjäder
Revlummer</t>
        </is>
      </c>
      <c r="W27">
        <f>HYPERLINK("https://klasma.github.io/Logging_0760/artfynd/S 998-2026 artfynd.xlsx", "S 998-2026")</f>
        <v/>
      </c>
      <c r="X27">
        <f>HYPERLINK("https://klasma.github.io/Logging_0760/kartor/S 998-2026 karta.png", "S 998-2026")</f>
        <v/>
      </c>
      <c r="Y27">
        <f>HYPERLINK("https://klasma.github.io/Logging_0760/kartor_geotiff/S 998-2026 georefererad karta.tif", "S 998-2026")</f>
        <v/>
      </c>
      <c r="AA27">
        <f>HYPERLINK("https://klasma.github.io/Logging_0760/klagomål/S 998-2026 FSC-klagomål.docx", "S 998-2026")</f>
        <v/>
      </c>
      <c r="AB27">
        <f>HYPERLINK("https://klasma.github.io/Logging_0760/klagomålsmail/S 998-2026 FSC-klagomål mail.docx", "S 998-2026")</f>
        <v/>
      </c>
      <c r="AC27">
        <f>HYPERLINK("https://klasma.github.io/Logging_0760/tillsyn/S 998-2026 tillsynsbegäran.docx", "S 998-2026")</f>
        <v/>
      </c>
      <c r="AD27">
        <f>HYPERLINK("https://klasma.github.io/Logging_0760/tillsynsmail/S 998-2026 tillsynsbegäran mail.docx", "S 998-2026")</f>
        <v/>
      </c>
      <c r="AE27">
        <f>HYPERLINK("https://klasma.github.io/Logging_0760/fåglar/S 998-2026 prioriterade fågelarter.docx", "S 998-2026")</f>
        <v/>
      </c>
    </row>
    <row r="28" ht="15" customHeight="1">
      <c r="A28" t="inlineStr">
        <is>
          <t>S 1323-2026</t>
        </is>
      </c>
      <c r="B28" t="inlineStr">
        <is>
          <t>samrådsanmälan</t>
        </is>
      </c>
      <c r="C28" t="inlineStr">
        <is>
          <t>Annan skogsbruksåtgärd</t>
        </is>
      </c>
      <c r="D28" s="1" t="n">
        <v>46149</v>
      </c>
      <c r="E28" s="1" t="n">
        <v>46316</v>
      </c>
      <c r="F28" t="inlineStr">
        <is>
          <t>KRONOBERGS LÄN</t>
        </is>
      </c>
      <c r="G28" t="inlineStr">
        <is>
          <t>UPPVIDINGE</t>
        </is>
      </c>
      <c r="I28" t="n">
        <v>5.7</v>
      </c>
      <c r="J28" t="n">
        <v>1</v>
      </c>
      <c r="K28" t="n">
        <v>4</v>
      </c>
      <c r="L28" t="n">
        <v>3</v>
      </c>
      <c r="M28" t="n">
        <v>2</v>
      </c>
      <c r="N28" t="n">
        <v>1</v>
      </c>
      <c r="O28" t="n">
        <v>0</v>
      </c>
      <c r="P28" t="n">
        <v>0</v>
      </c>
      <c r="Q28" t="n">
        <v>6</v>
      </c>
      <c r="R28" t="n">
        <v>3</v>
      </c>
      <c r="S28" t="n">
        <v>10</v>
      </c>
      <c r="T28" t="n">
        <v>20</v>
      </c>
      <c r="U28" t="n">
        <v>0</v>
      </c>
      <c r="V28" s="2" t="inlineStr">
        <is>
          <t>Bitter taggsvamp
Knärot
Skrovlig taggsvamp
Dropptaggsvamp
Orange taggsvamp
Tjockfotad fingersvamp
Blomkålssvamp
Bronshjon
Grönpyrola
Thomsons trägnagare</t>
        </is>
      </c>
      <c r="W28">
        <f>HYPERLINK("https://klasma.github.io/Logging_0760/artfynd/S 1323-2026 artfynd.xlsx", "S 1323-2026")</f>
        <v/>
      </c>
      <c r="X28">
        <f>HYPERLINK("https://klasma.github.io/Logging_0760/kartor/S 1323-2026 karta.png", "S 1323-2026")</f>
        <v/>
      </c>
      <c r="Y28">
        <f>HYPERLINK("https://klasma.github.io/Logging_0760/kartor_geotiff/S 1323-2026 georefererad karta.tif", "S 1323-2026")</f>
        <v/>
      </c>
      <c r="Z28">
        <f>HYPERLINK("https://klasma.github.io/Logging_0760/knärot/S 1323-2026 karta knärot.png", "S 1323-2026")</f>
        <v/>
      </c>
      <c r="AA28">
        <f>HYPERLINK("https://klasma.github.io/Logging_0760/klagomål/S 1323-2026 FSC-klagomål.docx", "S 1323-2026")</f>
        <v/>
      </c>
      <c r="AB28">
        <f>HYPERLINK("https://klasma.github.io/Logging_0760/klagomålsmail/S 1323-2026 FSC-klagomål mail.docx", "S 1323-2026")</f>
        <v/>
      </c>
      <c r="AC28">
        <f>HYPERLINK("https://klasma.github.io/Logging_0760/tillsyn/S 1323-2026 tillsynsbegäran.docx", "S 1323-2026")</f>
        <v/>
      </c>
      <c r="AD28">
        <f>HYPERLINK("https://klasma.github.io/Logging_0760/tillsynsmail/S 1323-2026 tillsynsbegäran mail.docx", "S 1323-2026")</f>
        <v/>
      </c>
    </row>
    <row r="29" ht="15" customHeight="1">
      <c r="A29" t="inlineStr">
        <is>
          <t>A 4732-2024</t>
        </is>
      </c>
      <c r="B29" t="inlineStr">
        <is>
          <t>avverkningsanmälan</t>
        </is>
      </c>
      <c r="C29" t="inlineStr">
        <is>
          <t>Föryngringsavverkning</t>
        </is>
      </c>
      <c r="D29" s="1" t="n">
        <v>45328</v>
      </c>
      <c r="E29" s="1" t="n">
        <v>46316</v>
      </c>
      <c r="F29" t="inlineStr">
        <is>
          <t>KRONOBERGS LÄN</t>
        </is>
      </c>
      <c r="G29" t="inlineStr">
        <is>
          <t>ALVESTA</t>
        </is>
      </c>
      <c r="I29" t="n">
        <v>3</v>
      </c>
      <c r="J29" t="n">
        <v>2</v>
      </c>
      <c r="K29" t="n">
        <v>4</v>
      </c>
      <c r="L29" t="n">
        <v>2</v>
      </c>
      <c r="M29" t="n">
        <v>1</v>
      </c>
      <c r="N29" t="n">
        <v>0</v>
      </c>
      <c r="O29" t="n">
        <v>0</v>
      </c>
      <c r="P29" t="n">
        <v>0</v>
      </c>
      <c r="Q29" t="n">
        <v>3</v>
      </c>
      <c r="R29" t="n">
        <v>1</v>
      </c>
      <c r="S29" t="n">
        <v>9</v>
      </c>
      <c r="T29" t="n">
        <v>22</v>
      </c>
      <c r="U29" t="n">
        <v>1</v>
      </c>
      <c r="V29" s="2" t="inlineStr">
        <is>
          <t>Garnlav
Vedflikmossa
Vedtrappmossa
Stor revmossa
Trådticka
Västlig hakmossa
Vågbandad barkbock
Mattlummer
Spillkråka</t>
        </is>
      </c>
      <c r="W29">
        <f>HYPERLINK("https://klasma.github.io/Logging_0764/artfynd/A 4732-2024 artfynd.xlsx", "A 4732-2024")</f>
        <v/>
      </c>
      <c r="X29">
        <f>HYPERLINK("https://klasma.github.io/Logging_0764/kartor/A 4732-2024 karta.png", "A 4732-2024")</f>
        <v/>
      </c>
      <c r="Y29">
        <f>HYPERLINK("https://klasma.github.io/Logging_0764/kartor_geotiff/A 4732-2024 georefererad karta.tif", "A 4732-2024")</f>
        <v/>
      </c>
      <c r="AA29">
        <f>HYPERLINK("https://klasma.github.io/Logging_0764/klagomål/A 4732-2024 FSC-klagomål.docx", "A 4732-2024")</f>
        <v/>
      </c>
      <c r="AB29">
        <f>HYPERLINK("https://klasma.github.io/Logging_0764/klagomålsmail/A 4732-2024 FSC-klagomål mail.docx", "A 4732-2024")</f>
        <v/>
      </c>
      <c r="AC29">
        <f>HYPERLINK("https://klasma.github.io/Logging_0764/tillsyn/A 4732-2024 tillsynsbegäran.docx", "A 4732-2024")</f>
        <v/>
      </c>
      <c r="AD29">
        <f>HYPERLINK("https://klasma.github.io/Logging_0764/tillsynsmail/A 4732-2024 tillsynsbegäran mail.docx", "A 4732-2024")</f>
        <v/>
      </c>
      <c r="AE29">
        <f>HYPERLINK("https://klasma.github.io/Logging_0764/fåglar/A 4732-2024 prioriterade fågelarter.docx", "A 4732-2024")</f>
        <v/>
      </c>
    </row>
    <row r="30" ht="15" customHeight="1">
      <c r="A30" t="inlineStr">
        <is>
          <t>A 26127-2024</t>
        </is>
      </c>
      <c r="B30" t="inlineStr">
        <is>
          <t>avverkningsanmälan</t>
        </is>
      </c>
      <c r="C30" t="inlineStr">
        <is>
          <t>Föryngringsavverkning</t>
        </is>
      </c>
      <c r="D30" s="1" t="n">
        <v>45468</v>
      </c>
      <c r="E30" s="1" t="n">
        <v>46316</v>
      </c>
      <c r="F30" t="inlineStr">
        <is>
          <t>KRONOBERGS LÄN</t>
        </is>
      </c>
      <c r="G30" t="inlineStr">
        <is>
          <t>VÄXJÖ</t>
        </is>
      </c>
      <c r="I30" t="n">
        <v>8</v>
      </c>
      <c r="J30" t="n">
        <v>6</v>
      </c>
      <c r="K30" t="n">
        <v>0</v>
      </c>
      <c r="L30" t="n">
        <v>3</v>
      </c>
      <c r="M30" t="n">
        <v>0</v>
      </c>
      <c r="N30" t="n">
        <v>0</v>
      </c>
      <c r="O30" t="n">
        <v>0</v>
      </c>
      <c r="P30" t="n">
        <v>0</v>
      </c>
      <c r="Q30" t="n">
        <v>3</v>
      </c>
      <c r="R30" t="n">
        <v>0</v>
      </c>
      <c r="S30" t="n">
        <v>9</v>
      </c>
      <c r="T30" t="n">
        <v>10</v>
      </c>
      <c r="U30" t="n">
        <v>7</v>
      </c>
      <c r="V30" s="2" t="inlineStr">
        <is>
          <t>Dropptaggsvamp
Motaggsvamp
Talltita
Fönsterlav
Tjäder
Törnskata
Skogsödla
Vanlig groda
Fläcknycklar</t>
        </is>
      </c>
      <c r="W30">
        <f>HYPERLINK("https://klasma.github.io/Logging_0780/artfynd/A 26127-2024 artfynd.xlsx", "A 26127-2024")</f>
        <v/>
      </c>
      <c r="X30">
        <f>HYPERLINK("https://klasma.github.io/Logging_0780/kartor/A 26127-2024 karta.png", "A 26127-2024")</f>
        <v/>
      </c>
      <c r="Y30">
        <f>HYPERLINK("https://klasma.github.io/Logging_0780/kartor_geotiff/A 26127-2024 georefererad karta.tif", "A 26127-2024")</f>
        <v/>
      </c>
      <c r="AA30">
        <f>HYPERLINK("https://klasma.github.io/Logging_0780/klagomål/A 26127-2024 FSC-klagomål.docx", "A 26127-2024")</f>
        <v/>
      </c>
      <c r="AB30">
        <f>HYPERLINK("https://klasma.github.io/Logging_0780/klagomålsmail/A 26127-2024 FSC-klagomål mail.docx", "A 26127-2024")</f>
        <v/>
      </c>
      <c r="AC30">
        <f>HYPERLINK("https://klasma.github.io/Logging_0780/tillsyn/A 26127-2024 tillsynsbegäran.docx", "A 26127-2024")</f>
        <v/>
      </c>
      <c r="AD30">
        <f>HYPERLINK("https://klasma.github.io/Logging_0780/tillsynsmail/A 26127-2024 tillsynsbegäran mail.docx", "A 26127-2024")</f>
        <v/>
      </c>
      <c r="AE30">
        <f>HYPERLINK("https://klasma.github.io/Logging_0780/fåglar/A 26127-2024 prioriterade fågelarter.docx", "A 26127-2024")</f>
        <v/>
      </c>
    </row>
    <row r="31" ht="15" customHeight="1">
      <c r="A31" t="inlineStr">
        <is>
          <t>S 558-2024</t>
        </is>
      </c>
      <c r="B31" t="inlineStr">
        <is>
          <t>samrådsanmälan</t>
        </is>
      </c>
      <c r="C31" t="inlineStr">
        <is>
          <t>Annan skogsbruksåtgärd</t>
        </is>
      </c>
      <c r="D31" s="1" t="n">
        <v>45349</v>
      </c>
      <c r="E31" s="1" t="n">
        <v>46316</v>
      </c>
      <c r="F31" t="inlineStr">
        <is>
          <t>KRONOBERGS LÄN</t>
        </is>
      </c>
      <c r="G31" t="inlineStr">
        <is>
          <t>LESSEBO</t>
        </is>
      </c>
      <c r="I31" t="n">
        <v>7.8</v>
      </c>
      <c r="J31" t="n">
        <v>1</v>
      </c>
      <c r="K31" t="n">
        <v>5</v>
      </c>
      <c r="L31" t="n">
        <v>2</v>
      </c>
      <c r="M31" t="n">
        <v>1</v>
      </c>
      <c r="N31" t="n">
        <v>1</v>
      </c>
      <c r="O31" t="n">
        <v>0</v>
      </c>
      <c r="P31" t="n">
        <v>0</v>
      </c>
      <c r="Q31" t="n">
        <v>4</v>
      </c>
      <c r="R31" t="n">
        <v>2</v>
      </c>
      <c r="S31" t="n">
        <v>9</v>
      </c>
      <c r="T31" t="n">
        <v>35</v>
      </c>
      <c r="U31" t="n">
        <v>0</v>
      </c>
      <c r="V31" s="2" t="inlineStr">
        <is>
          <t>Ask
Läderbagge
Kardinalrödrock
Thamiaraea hospita
Avlång flatbagge
Dorcatoma chrysomelina
Guldlockmossa
Noshornsoxe
Sotlav</t>
        </is>
      </c>
      <c r="W31">
        <f>HYPERLINK("https://klasma.github.io/Logging_0761/artfynd/S 558-2024 artfynd.xlsx", "S 558-2024")</f>
        <v/>
      </c>
      <c r="X31">
        <f>HYPERLINK("https://klasma.github.io/Logging_0761/kartor/S 558-2024 karta.png", "S 558-2024")</f>
        <v/>
      </c>
      <c r="Y31">
        <f>HYPERLINK("https://klasma.github.io/Logging_0761/kartor_geotiff/S 558-2024 georefererad karta.tif", "S 558-2024")</f>
        <v/>
      </c>
      <c r="AA31">
        <f>HYPERLINK("https://klasma.github.io/Logging_0761/klagomål/S 558-2024 FSC-klagomål.docx", "S 558-2024")</f>
        <v/>
      </c>
      <c r="AB31">
        <f>HYPERLINK("https://klasma.github.io/Logging_0761/klagomålsmail/S 558-2024 FSC-klagomål mail.docx", "S 558-2024")</f>
        <v/>
      </c>
      <c r="AC31">
        <f>HYPERLINK("https://klasma.github.io/Logging_0761/tillsyn/S 558-2024 tillsynsbegäran.docx", "S 558-2024")</f>
        <v/>
      </c>
      <c r="AD31">
        <f>HYPERLINK("https://klasma.github.io/Logging_0761/tillsynsmail/S 558-2024 tillsynsbegäran mail.docx", "S 558-2024")</f>
        <v/>
      </c>
    </row>
    <row r="32" ht="15" customHeight="1">
      <c r="A32" t="inlineStr">
        <is>
          <t>S 1318-2025</t>
        </is>
      </c>
      <c r="B32" t="inlineStr">
        <is>
          <t>samrådsanmälan</t>
        </is>
      </c>
      <c r="C32" t="inlineStr">
        <is>
          <t>Askåterföring</t>
        </is>
      </c>
      <c r="D32" s="1" t="n">
        <v>45770</v>
      </c>
      <c r="E32" s="1" t="n">
        <v>46316</v>
      </c>
      <c r="F32" t="inlineStr">
        <is>
          <t>KRONOBERGS LÄN</t>
        </is>
      </c>
      <c r="G32" t="inlineStr">
        <is>
          <t>VÄXJÖ</t>
        </is>
      </c>
      <c r="I32" t="n">
        <v>13.6</v>
      </c>
      <c r="J32" t="n">
        <v>9</v>
      </c>
      <c r="K32" t="n">
        <v>0</v>
      </c>
      <c r="L32" t="n">
        <v>5</v>
      </c>
      <c r="M32" t="n">
        <v>1</v>
      </c>
      <c r="N32" t="n">
        <v>0</v>
      </c>
      <c r="O32" t="n">
        <v>0</v>
      </c>
      <c r="P32" t="n">
        <v>0</v>
      </c>
      <c r="Q32" t="n">
        <v>6</v>
      </c>
      <c r="R32" t="n">
        <v>1</v>
      </c>
      <c r="S32" t="n">
        <v>9</v>
      </c>
      <c r="T32" t="n">
        <v>9</v>
      </c>
      <c r="U32" t="n">
        <v>0</v>
      </c>
      <c r="V32" s="2" t="inlineStr">
        <is>
          <t>Hussvala
Björktrast
Entita
Ladusvala
Sparvuggla
Talltita
Spillkråka
Grönsiska
Kungsfågel</t>
        </is>
      </c>
      <c r="W32">
        <f>HYPERLINK("https://klasma.github.io/Logging_0780/artfynd/S 1318-2025 artfynd.xlsx", "S 1318-2025")</f>
        <v/>
      </c>
      <c r="X32">
        <f>HYPERLINK("https://klasma.github.io/Logging_0780/kartor/S 1318-2025 karta.png", "S 1318-2025")</f>
        <v/>
      </c>
      <c r="Y32">
        <f>HYPERLINK("https://klasma.github.io/Logging_0780/kartor_geotiff/S 1318-2025 georefererad karta.tif", "S 1318-2025")</f>
        <v/>
      </c>
      <c r="AA32">
        <f>HYPERLINK("https://klasma.github.io/Logging_0780/klagomål/S 1318-2025 FSC-klagomål.docx", "S 1318-2025")</f>
        <v/>
      </c>
      <c r="AB32">
        <f>HYPERLINK("https://klasma.github.io/Logging_0780/klagomålsmail/S 1318-2025 FSC-klagomål mail.docx", "S 1318-2025")</f>
        <v/>
      </c>
      <c r="AC32">
        <f>HYPERLINK("https://klasma.github.io/Logging_0780/tillsyn/S 1318-2025 tillsynsbegäran.docx", "S 1318-2025")</f>
        <v/>
      </c>
      <c r="AD32">
        <f>HYPERLINK("https://klasma.github.io/Logging_0780/tillsynsmail/S 1318-2025 tillsynsbegäran mail.docx", "S 1318-2025")</f>
        <v/>
      </c>
      <c r="AE32">
        <f>HYPERLINK("https://klasma.github.io/Logging_0780/fåglar/S 1318-2025 prioriterade fågelarter.docx", "S 1318-2025")</f>
        <v/>
      </c>
    </row>
    <row r="33" ht="15" customHeight="1">
      <c r="A33" t="inlineStr">
        <is>
          <t>S 996-2026</t>
        </is>
      </c>
      <c r="B33" t="inlineStr">
        <is>
          <t>samrådsanmälan</t>
        </is>
      </c>
      <c r="C33" t="inlineStr">
        <is>
          <t>Askåterföring</t>
        </is>
      </c>
      <c r="D33" s="1" t="n">
        <v>46119</v>
      </c>
      <c r="E33" s="1" t="n">
        <v>46316</v>
      </c>
      <c r="F33" t="inlineStr">
        <is>
          <t>KRONOBERGS LÄN</t>
        </is>
      </c>
      <c r="G33" t="inlineStr">
        <is>
          <t>UPPVIDINGE</t>
        </is>
      </c>
      <c r="H33" t="inlineStr">
        <is>
          <t>Sveaskog</t>
        </is>
      </c>
      <c r="I33" t="n">
        <v>351.9</v>
      </c>
      <c r="J33" t="n">
        <v>3</v>
      </c>
      <c r="K33" t="n">
        <v>3</v>
      </c>
      <c r="L33" t="n">
        <v>2</v>
      </c>
      <c r="M33" t="n">
        <v>0</v>
      </c>
      <c r="N33" t="n">
        <v>1</v>
      </c>
      <c r="O33" t="n">
        <v>0</v>
      </c>
      <c r="P33" t="n">
        <v>0</v>
      </c>
      <c r="Q33" t="n">
        <v>3</v>
      </c>
      <c r="R33" t="n">
        <v>1</v>
      </c>
      <c r="S33" t="n">
        <v>9</v>
      </c>
      <c r="T33" t="n">
        <v>10</v>
      </c>
      <c r="U33" t="n">
        <v>0</v>
      </c>
      <c r="V33" s="2" t="inlineStr">
        <is>
          <t>Ljungögontröst
Fjällig taggsvamp s.str.
Solvända
Bronshjon
Thomsons trägnagare
Vågbandad barkbock
Tjäder
Orre
Fläcknycklar</t>
        </is>
      </c>
      <c r="W33">
        <f>HYPERLINK("https://klasma.github.io/Logging_0760/artfynd/S 996-2026 artfynd.xlsx", "S 996-2026")</f>
        <v/>
      </c>
      <c r="X33">
        <f>HYPERLINK("https://klasma.github.io/Logging_0760/kartor/S 996-2026 karta.png", "S 996-2026")</f>
        <v/>
      </c>
      <c r="Y33">
        <f>HYPERLINK("https://klasma.github.io/Logging_0760/kartor_geotiff/S 996-2026 georefererad karta.tif", "S 996-2026")</f>
        <v/>
      </c>
      <c r="AA33">
        <f>HYPERLINK("https://klasma.github.io/Logging_0760/klagomål/S 996-2026 FSC-klagomål.docx", "S 996-2026")</f>
        <v/>
      </c>
      <c r="AB33">
        <f>HYPERLINK("https://klasma.github.io/Logging_0760/klagomålsmail/S 996-2026 FSC-klagomål mail.docx", "S 996-2026")</f>
        <v/>
      </c>
      <c r="AC33">
        <f>HYPERLINK("https://klasma.github.io/Logging_0760/tillsyn/S 996-2026 tillsynsbegäran.docx", "S 996-2026")</f>
        <v/>
      </c>
      <c r="AD33">
        <f>HYPERLINK("https://klasma.github.io/Logging_0760/tillsynsmail/S 996-2026 tillsynsbegäran mail.docx", "S 996-2026")</f>
        <v/>
      </c>
      <c r="AE33">
        <f>HYPERLINK("https://klasma.github.io/Logging_0760/fåglar/S 996-2026 prioriterade fågelarter.docx", "S 996-2026")</f>
        <v/>
      </c>
    </row>
    <row r="34" ht="15" customHeight="1">
      <c r="A34" t="inlineStr">
        <is>
          <t>A 60495-2025</t>
        </is>
      </c>
      <c r="B34" t="inlineStr">
        <is>
          <t>avverkningsanmälan</t>
        </is>
      </c>
      <c r="C34" t="inlineStr">
        <is>
          <t>Föryngringsavverkning</t>
        </is>
      </c>
      <c r="D34" s="1" t="n">
        <v>45995</v>
      </c>
      <c r="E34" s="1" t="n">
        <v>46316</v>
      </c>
      <c r="F34" t="inlineStr">
        <is>
          <t>KRONOBERGS LÄN</t>
        </is>
      </c>
      <c r="G34" t="inlineStr">
        <is>
          <t>UPPVIDINGE</t>
        </is>
      </c>
      <c r="I34" t="n">
        <v>2.9</v>
      </c>
      <c r="J34" t="n">
        <v>1</v>
      </c>
      <c r="K34" t="n">
        <v>5</v>
      </c>
      <c r="L34" t="n">
        <v>2</v>
      </c>
      <c r="M34" t="n">
        <v>0</v>
      </c>
      <c r="N34" t="n">
        <v>0</v>
      </c>
      <c r="O34" t="n">
        <v>0</v>
      </c>
      <c r="P34" t="n">
        <v>0</v>
      </c>
      <c r="Q34" t="n">
        <v>2</v>
      </c>
      <c r="R34" t="n">
        <v>0</v>
      </c>
      <c r="S34" t="n">
        <v>8</v>
      </c>
      <c r="T34" t="n">
        <v>9</v>
      </c>
      <c r="U34" t="n">
        <v>9</v>
      </c>
      <c r="V34" s="2" t="inlineStr">
        <is>
          <t>Dropptaggsvamp
Vedtrappmossa
Bollvitmossa
Granbarkgnagare
Grön sköldmossa
Grönpyrola
Vedticka
Bäckbräsma</t>
        </is>
      </c>
      <c r="W34">
        <f>HYPERLINK("https://klasma.github.io/Logging_0760/artfynd/A 60495-2025 artfynd.xlsx", "A 60495-2025")</f>
        <v/>
      </c>
      <c r="X34">
        <f>HYPERLINK("https://klasma.github.io/Logging_0760/kartor/A 60495-2025 karta.png", "A 60495-2025")</f>
        <v/>
      </c>
      <c r="Y34">
        <f>HYPERLINK("https://klasma.github.io/Logging_0760/kartor_geotiff/A 60495-2025 georefererad karta.tif", "A 60495-2025")</f>
        <v/>
      </c>
      <c r="AA34">
        <f>HYPERLINK("https://klasma.github.io/Logging_0760/klagomål/A 60495-2025 FSC-klagomål.docx", "A 60495-2025")</f>
        <v/>
      </c>
      <c r="AB34">
        <f>HYPERLINK("https://klasma.github.io/Logging_0760/klagomålsmail/A 60495-2025 FSC-klagomål mail.docx", "A 60495-2025")</f>
        <v/>
      </c>
      <c r="AC34">
        <f>HYPERLINK("https://klasma.github.io/Logging_0760/tillsyn/A 60495-2025 tillsynsbegäran.docx", "A 60495-2025")</f>
        <v/>
      </c>
      <c r="AD34">
        <f>HYPERLINK("https://klasma.github.io/Logging_0760/tillsynsmail/A 60495-2025 tillsynsbegäran mail.docx", "A 60495-2025")</f>
        <v/>
      </c>
    </row>
    <row r="35" ht="15" customHeight="1">
      <c r="A35" t="inlineStr">
        <is>
          <t>S 2533-2023</t>
        </is>
      </c>
      <c r="B35" t="inlineStr">
        <is>
          <t>samrådsanmälan</t>
        </is>
      </c>
      <c r="C35" t="inlineStr">
        <is>
          <t>Askåterföring</t>
        </is>
      </c>
      <c r="D35" s="1" t="n">
        <v>45128</v>
      </c>
      <c r="E35" s="1" t="n">
        <v>46316</v>
      </c>
      <c r="F35" t="inlineStr">
        <is>
          <t>KRONOBERGS LÄN</t>
        </is>
      </c>
      <c r="G35" t="inlineStr">
        <is>
          <t>TINGSRYD</t>
        </is>
      </c>
      <c r="I35" t="n">
        <v>79</v>
      </c>
      <c r="J35" t="n">
        <v>4</v>
      </c>
      <c r="K35" t="n">
        <v>1</v>
      </c>
      <c r="L35" t="n">
        <v>3</v>
      </c>
      <c r="M35" t="n">
        <v>0</v>
      </c>
      <c r="N35" t="n">
        <v>0</v>
      </c>
      <c r="O35" t="n">
        <v>0</v>
      </c>
      <c r="P35" t="n">
        <v>0</v>
      </c>
      <c r="Q35" t="n">
        <v>3</v>
      </c>
      <c r="R35" t="n">
        <v>0</v>
      </c>
      <c r="S35" t="n">
        <v>8</v>
      </c>
      <c r="T35" t="n">
        <v>9</v>
      </c>
      <c r="U35" t="n">
        <v>9</v>
      </c>
      <c r="V35" s="2" t="inlineStr">
        <is>
          <t>Kandelabersvamp
Tallkötticka
Talltita
Björksplintborre
Spillkråka
Timmerticka
Tjäder
Revlummer</t>
        </is>
      </c>
      <c r="W35">
        <f>HYPERLINK("https://klasma.github.io/Logging_0763/artfynd/S 2533-2023 artfynd.xlsx", "S 2533-2023")</f>
        <v/>
      </c>
      <c r="X35">
        <f>HYPERLINK("https://klasma.github.io/Logging_0763/kartor/S 2533-2023 karta.png", "S 2533-2023")</f>
        <v/>
      </c>
      <c r="Y35">
        <f>HYPERLINK("https://klasma.github.io/Logging_0763/kartor_geotiff/S 2533-2023 georefererad karta.tif", "S 2533-2023")</f>
        <v/>
      </c>
      <c r="AA35">
        <f>HYPERLINK("https://klasma.github.io/Logging_0763/klagomål/S 2533-2023 FSC-klagomål.docx", "S 2533-2023")</f>
        <v/>
      </c>
      <c r="AB35">
        <f>HYPERLINK("https://klasma.github.io/Logging_0763/klagomålsmail/S 2533-2023 FSC-klagomål mail.docx", "S 2533-2023")</f>
        <v/>
      </c>
      <c r="AC35">
        <f>HYPERLINK("https://klasma.github.io/Logging_0763/tillsyn/S 2533-2023 tillsynsbegäran.docx", "S 2533-2023")</f>
        <v/>
      </c>
      <c r="AD35">
        <f>HYPERLINK("https://klasma.github.io/Logging_0763/tillsynsmail/S 2533-2023 tillsynsbegäran mail.docx", "S 2533-2023")</f>
        <v/>
      </c>
      <c r="AE35">
        <f>HYPERLINK("https://klasma.github.io/Logging_0763/fåglar/S 2533-2023 prioriterade fågelarter.docx", "S 2533-2023")</f>
        <v/>
      </c>
    </row>
    <row r="36" ht="15" customHeight="1">
      <c r="A36" t="inlineStr">
        <is>
          <t>S 1162-2025</t>
        </is>
      </c>
      <c r="B36" t="inlineStr">
        <is>
          <t>samrådsanmälan</t>
        </is>
      </c>
      <c r="C36" t="inlineStr">
        <is>
          <t>Askåterföring</t>
        </is>
      </c>
      <c r="D36" s="1" t="n">
        <v>45756</v>
      </c>
      <c r="E36" s="1" t="n">
        <v>46316</v>
      </c>
      <c r="F36" t="inlineStr">
        <is>
          <t>KRONOBERGS LÄN</t>
        </is>
      </c>
      <c r="G36" t="inlineStr">
        <is>
          <t>ALVESTA</t>
        </is>
      </c>
      <c r="I36" t="n">
        <v>13.1</v>
      </c>
      <c r="J36" t="n">
        <v>3</v>
      </c>
      <c r="K36" t="n">
        <v>0</v>
      </c>
      <c r="L36" t="n">
        <v>4</v>
      </c>
      <c r="M36" t="n">
        <v>1</v>
      </c>
      <c r="N36" t="n">
        <v>0</v>
      </c>
      <c r="O36" t="n">
        <v>0</v>
      </c>
      <c r="P36" t="n">
        <v>0</v>
      </c>
      <c r="Q36" t="n">
        <v>5</v>
      </c>
      <c r="R36" t="n">
        <v>1</v>
      </c>
      <c r="S36" t="n">
        <v>8</v>
      </c>
      <c r="T36" t="n">
        <v>8</v>
      </c>
      <c r="U36" t="n">
        <v>8</v>
      </c>
      <c r="V36" s="2" t="inlineStr">
        <is>
          <t>Slåttergubbe
Jungfrulin
Slåtterfibbla
Solvända
Vårstarr
Blåsippa
Grönvit nattviol
Gullviva</t>
        </is>
      </c>
      <c r="W36">
        <f>HYPERLINK("https://klasma.github.io/Logging_0764/artfynd/S 1162-2025 artfynd.xlsx", "S 1162-2025")</f>
        <v/>
      </c>
      <c r="X36">
        <f>HYPERLINK("https://klasma.github.io/Logging_0764/kartor/S 1162-2025 karta.png", "S 1162-2025")</f>
        <v/>
      </c>
      <c r="Y36">
        <f>HYPERLINK("https://klasma.github.io/Logging_0764/kartor_geotiff/S 1162-2025 georefererad karta.tif", "S 1162-2025")</f>
        <v/>
      </c>
      <c r="AA36">
        <f>HYPERLINK("https://klasma.github.io/Logging_0764/klagomål/S 1162-2025 FSC-klagomål.docx", "S 1162-2025")</f>
        <v/>
      </c>
      <c r="AB36">
        <f>HYPERLINK("https://klasma.github.io/Logging_0764/klagomålsmail/S 1162-2025 FSC-klagomål mail.docx", "S 1162-2025")</f>
        <v/>
      </c>
      <c r="AC36">
        <f>HYPERLINK("https://klasma.github.io/Logging_0764/tillsyn/S 1162-2025 tillsynsbegäran.docx", "S 1162-2025")</f>
        <v/>
      </c>
      <c r="AD36">
        <f>HYPERLINK("https://klasma.github.io/Logging_0764/tillsynsmail/S 1162-2025 tillsynsbegäran mail.docx", "S 1162-2025")</f>
        <v/>
      </c>
    </row>
    <row r="37" ht="15" customHeight="1">
      <c r="A37" t="inlineStr">
        <is>
          <t>S 1552-2025</t>
        </is>
      </c>
      <c r="B37" t="inlineStr">
        <is>
          <t>samrådsanmälan</t>
        </is>
      </c>
      <c r="C37" t="inlineStr">
        <is>
          <t>Askåterföring</t>
        </is>
      </c>
      <c r="D37" s="1" t="n">
        <v>45792</v>
      </c>
      <c r="E37" s="1" t="n">
        <v>46316</v>
      </c>
      <c r="F37" t="inlineStr">
        <is>
          <t>KRONOBERGS LÄN</t>
        </is>
      </c>
      <c r="G37" t="inlineStr">
        <is>
          <t>MARKARYD</t>
        </is>
      </c>
      <c r="I37" t="n">
        <v>42.4</v>
      </c>
      <c r="J37" t="n">
        <v>3</v>
      </c>
      <c r="K37" t="n">
        <v>5</v>
      </c>
      <c r="L37" t="n">
        <v>1</v>
      </c>
      <c r="M37" t="n">
        <v>0</v>
      </c>
      <c r="N37" t="n">
        <v>0</v>
      </c>
      <c r="O37" t="n">
        <v>0</v>
      </c>
      <c r="P37" t="n">
        <v>0</v>
      </c>
      <c r="Q37" t="n">
        <v>1</v>
      </c>
      <c r="R37" t="n">
        <v>0</v>
      </c>
      <c r="S37" t="n">
        <v>8</v>
      </c>
      <c r="T37" t="n">
        <v>10</v>
      </c>
      <c r="U37" t="n">
        <v>8</v>
      </c>
      <c r="V37" s="2" t="inlineStr">
        <is>
          <t>Entita
Fällmossa
Havstulpanlav
Klippfrullania
Mönjevaxing
Platt fjädermossa
Spillkråka
Tjäder</t>
        </is>
      </c>
      <c r="W37">
        <f>HYPERLINK("https://klasma.github.io/Logging_0767/artfynd/S 1552-2025 artfynd.xlsx", "S 1552-2025")</f>
        <v/>
      </c>
      <c r="X37">
        <f>HYPERLINK("https://klasma.github.io/Logging_0767/kartor/S 1552-2025 karta.png", "S 1552-2025")</f>
        <v/>
      </c>
      <c r="Y37">
        <f>HYPERLINK("https://klasma.github.io/Logging_0767/kartor_geotiff/S 1552-2025 georefererad karta.tif", "S 1552-2025")</f>
        <v/>
      </c>
      <c r="AA37">
        <f>HYPERLINK("https://klasma.github.io/Logging_0767/klagomål/S 1552-2025 FSC-klagomål.docx", "S 1552-2025")</f>
        <v/>
      </c>
      <c r="AB37">
        <f>HYPERLINK("https://klasma.github.io/Logging_0767/klagomålsmail/S 1552-2025 FSC-klagomål mail.docx", "S 1552-2025")</f>
        <v/>
      </c>
      <c r="AC37">
        <f>HYPERLINK("https://klasma.github.io/Logging_0767/tillsyn/S 1552-2025 tillsynsbegäran.docx", "S 1552-2025")</f>
        <v/>
      </c>
      <c r="AD37">
        <f>HYPERLINK("https://klasma.github.io/Logging_0767/tillsynsmail/S 1552-2025 tillsynsbegäran mail.docx", "S 1552-2025")</f>
        <v/>
      </c>
      <c r="AE37">
        <f>HYPERLINK("https://klasma.github.io/Logging_0767/fåglar/S 1552-2025 prioriterade fågelarter.docx", "S 1552-2025")</f>
        <v/>
      </c>
    </row>
    <row r="38" ht="15" customHeight="1">
      <c r="A38" t="inlineStr">
        <is>
          <t>A 12644-2024</t>
        </is>
      </c>
      <c r="B38" t="inlineStr">
        <is>
          <t>avverkningsanmälan</t>
        </is>
      </c>
      <c r="C38" t="inlineStr">
        <is>
          <t>Föryngringsavverkning</t>
        </is>
      </c>
      <c r="D38" s="1" t="n">
        <v>45384</v>
      </c>
      <c r="E38" s="1" t="n">
        <v>46316</v>
      </c>
      <c r="F38" t="inlineStr">
        <is>
          <t>KRONOBERGS LÄN</t>
        </is>
      </c>
      <c r="G38" t="inlineStr">
        <is>
          <t>VÄXJÖ</t>
        </is>
      </c>
      <c r="I38" t="n">
        <v>0.9</v>
      </c>
      <c r="J38" t="n">
        <v>4</v>
      </c>
      <c r="K38" t="n">
        <v>3</v>
      </c>
      <c r="L38" t="n">
        <v>0</v>
      </c>
      <c r="M38" t="n">
        <v>0</v>
      </c>
      <c r="N38" t="n">
        <v>0</v>
      </c>
      <c r="O38" t="n">
        <v>0</v>
      </c>
      <c r="P38" t="n">
        <v>0</v>
      </c>
      <c r="Q38" t="n">
        <v>0</v>
      </c>
      <c r="R38" t="n">
        <v>0</v>
      </c>
      <c r="S38" t="n">
        <v>7</v>
      </c>
      <c r="T38" t="n">
        <v>10</v>
      </c>
      <c r="U38" t="n">
        <v>7</v>
      </c>
      <c r="V38" s="2" t="inlineStr">
        <is>
          <t>Stubbspretmossa
Västlig hakmossa
Vågbandad barkbock
Gröngöling
Kråka
Kungsfågel
Skogsduva</t>
        </is>
      </c>
      <c r="W38">
        <f>HYPERLINK("https://klasma.github.io/Logging_0780/artfynd/A 12644-2024 artfynd.xlsx", "A 12644-2024")</f>
        <v/>
      </c>
      <c r="X38">
        <f>HYPERLINK("https://klasma.github.io/Logging_0780/kartor/A 12644-2024 karta.png", "A 12644-2024")</f>
        <v/>
      </c>
      <c r="Y38">
        <f>HYPERLINK("https://klasma.github.io/Logging_0780/kartor_geotiff/A 12644-2024 georefererad karta.tif", "A 12644-2024")</f>
        <v/>
      </c>
      <c r="AA38">
        <f>HYPERLINK("https://klasma.github.io/Logging_0780/klagomål/A 12644-2024 FSC-klagomål.docx", "A 12644-2024")</f>
        <v/>
      </c>
      <c r="AB38">
        <f>HYPERLINK("https://klasma.github.io/Logging_0780/klagomålsmail/A 12644-2024 FSC-klagomål mail.docx", "A 12644-2024")</f>
        <v/>
      </c>
      <c r="AC38">
        <f>HYPERLINK("https://klasma.github.io/Logging_0780/tillsyn/A 12644-2024 tillsynsbegäran.docx", "A 12644-2024")</f>
        <v/>
      </c>
      <c r="AD38">
        <f>HYPERLINK("https://klasma.github.io/Logging_0780/tillsynsmail/A 12644-2024 tillsynsbegäran mail.docx", "A 12644-2024")</f>
        <v/>
      </c>
    </row>
    <row r="39" ht="15" customHeight="1">
      <c r="A39" t="inlineStr">
        <is>
          <t>A 39037-2025</t>
        </is>
      </c>
      <c r="B39" t="inlineStr">
        <is>
          <t>avverkningsanmälan</t>
        </is>
      </c>
      <c r="C39" t="inlineStr">
        <is>
          <t>Föryngringsavverkning</t>
        </is>
      </c>
      <c r="D39" s="1" t="n">
        <v>45888</v>
      </c>
      <c r="E39" s="1" t="n">
        <v>46316</v>
      </c>
      <c r="F39" t="inlineStr">
        <is>
          <t>KRONOBERGS LÄN</t>
        </is>
      </c>
      <c r="G39" t="inlineStr">
        <is>
          <t>VÄXJÖ</t>
        </is>
      </c>
      <c r="I39" t="n">
        <v>2.2</v>
      </c>
      <c r="J39" t="n">
        <v>1</v>
      </c>
      <c r="K39" t="n">
        <v>6</v>
      </c>
      <c r="L39" t="n">
        <v>0</v>
      </c>
      <c r="M39" t="n">
        <v>0</v>
      </c>
      <c r="N39" t="n">
        <v>0</v>
      </c>
      <c r="O39" t="n">
        <v>0</v>
      </c>
      <c r="P39" t="n">
        <v>0</v>
      </c>
      <c r="Q39" t="n">
        <v>0</v>
      </c>
      <c r="R39" t="n">
        <v>0</v>
      </c>
      <c r="S39" t="n">
        <v>7</v>
      </c>
      <c r="T39" t="n">
        <v>9</v>
      </c>
      <c r="U39" t="n">
        <v>0</v>
      </c>
      <c r="V39" s="2" t="inlineStr">
        <is>
          <t>Bårdlav
Fällmossa
Korallblylav
Rävticka
Skinnlav
Västlig hakmossa
Blåsippa</t>
        </is>
      </c>
      <c r="W39">
        <f>HYPERLINK("https://klasma.github.io/Logging_0780/artfynd/A 39037-2025 artfynd.xlsx", "A 39037-2025")</f>
        <v/>
      </c>
      <c r="X39">
        <f>HYPERLINK("https://klasma.github.io/Logging_0780/kartor/A 39037-2025 karta.png", "A 39037-2025")</f>
        <v/>
      </c>
      <c r="Y39">
        <f>HYPERLINK("https://klasma.github.io/Logging_0780/kartor_geotiff/A 39037-2025 georefererad karta.tif", "A 39037-2025")</f>
        <v/>
      </c>
      <c r="AA39">
        <f>HYPERLINK("https://klasma.github.io/Logging_0780/klagomål/A 39037-2025 FSC-klagomål.docx", "A 39037-2025")</f>
        <v/>
      </c>
      <c r="AB39">
        <f>HYPERLINK("https://klasma.github.io/Logging_0780/klagomålsmail/A 39037-2025 FSC-klagomål mail.docx", "A 39037-2025")</f>
        <v/>
      </c>
      <c r="AC39">
        <f>HYPERLINK("https://klasma.github.io/Logging_0780/tillsyn/A 39037-2025 tillsynsbegäran.docx", "A 39037-2025")</f>
        <v/>
      </c>
      <c r="AD39">
        <f>HYPERLINK("https://klasma.github.io/Logging_0780/tillsynsmail/A 39037-2025 tillsynsbegäran mail.docx", "A 39037-2025")</f>
        <v/>
      </c>
    </row>
    <row r="40" ht="15" customHeight="1">
      <c r="A40" t="inlineStr">
        <is>
          <t>A 27315-2025</t>
        </is>
      </c>
      <c r="B40" t="inlineStr">
        <is>
          <t>avverkningsanmälan</t>
        </is>
      </c>
      <c r="C40" t="inlineStr">
        <is>
          <t>Föryngringsavverkning</t>
        </is>
      </c>
      <c r="D40" s="1" t="n">
        <v>45812</v>
      </c>
      <c r="E40" s="1" t="n">
        <v>46316</v>
      </c>
      <c r="F40" t="inlineStr">
        <is>
          <t>KRONOBERGS LÄN</t>
        </is>
      </c>
      <c r="G40" t="inlineStr">
        <is>
          <t>VÄXJÖ</t>
        </is>
      </c>
      <c r="I40" t="n">
        <v>28.5</v>
      </c>
      <c r="J40" t="n">
        <v>5</v>
      </c>
      <c r="K40" t="n">
        <v>1</v>
      </c>
      <c r="L40" t="n">
        <v>3</v>
      </c>
      <c r="M40" t="n">
        <v>0</v>
      </c>
      <c r="N40" t="n">
        <v>0</v>
      </c>
      <c r="O40" t="n">
        <v>0</v>
      </c>
      <c r="P40" t="n">
        <v>0</v>
      </c>
      <c r="Q40" t="n">
        <v>3</v>
      </c>
      <c r="R40" t="n">
        <v>0</v>
      </c>
      <c r="S40" t="n">
        <v>7</v>
      </c>
      <c r="T40" t="n">
        <v>9</v>
      </c>
      <c r="U40" t="n">
        <v>5</v>
      </c>
      <c r="V40" s="2" t="inlineStr">
        <is>
          <t>Duvhök
Tallriska
Talltita
Blåmossa
Spillkråka
Tjäder
Kungsfågel</t>
        </is>
      </c>
      <c r="W40">
        <f>HYPERLINK("https://klasma.github.io/Logging_0780/artfynd/A 27315-2025 artfynd.xlsx", "A 27315-2025")</f>
        <v/>
      </c>
      <c r="X40">
        <f>HYPERLINK("https://klasma.github.io/Logging_0780/kartor/A 27315-2025 karta.png", "A 27315-2025")</f>
        <v/>
      </c>
      <c r="Y40">
        <f>HYPERLINK("https://klasma.github.io/Logging_0780/kartor_geotiff/A 27315-2025 georefererad karta.tif", "A 27315-2025")</f>
        <v/>
      </c>
      <c r="AA40">
        <f>HYPERLINK("https://klasma.github.io/Logging_0780/klagomål/A 27315-2025 FSC-klagomål.docx", "A 27315-2025")</f>
        <v/>
      </c>
      <c r="AB40">
        <f>HYPERLINK("https://klasma.github.io/Logging_0780/klagomålsmail/A 27315-2025 FSC-klagomål mail.docx", "A 27315-2025")</f>
        <v/>
      </c>
      <c r="AC40">
        <f>HYPERLINK("https://klasma.github.io/Logging_0780/tillsyn/A 27315-2025 tillsynsbegäran.docx", "A 27315-2025")</f>
        <v/>
      </c>
      <c r="AD40">
        <f>HYPERLINK("https://klasma.github.io/Logging_0780/tillsynsmail/A 27315-2025 tillsynsbegäran mail.docx", "A 27315-2025")</f>
        <v/>
      </c>
      <c r="AE40">
        <f>HYPERLINK("https://klasma.github.io/Logging_0780/fåglar/A 27315-2025 prioriterade fågelarter.docx", "A 27315-2025")</f>
        <v/>
      </c>
    </row>
    <row r="41" ht="15" customHeight="1">
      <c r="A41" t="inlineStr">
        <is>
          <t>A 12437-2025</t>
        </is>
      </c>
      <c r="B41" t="inlineStr">
        <is>
          <t>avverkningsanmälan</t>
        </is>
      </c>
      <c r="C41" t="inlineStr">
        <is>
          <t>Avverkning för annat ändamål</t>
        </is>
      </c>
      <c r="D41" s="1" t="n">
        <v>45730</v>
      </c>
      <c r="E41" s="1" t="n">
        <v>46316</v>
      </c>
      <c r="F41" t="inlineStr">
        <is>
          <t>KRONOBERGS LÄN</t>
        </is>
      </c>
      <c r="G41" t="inlineStr">
        <is>
          <t>ALVESTA</t>
        </is>
      </c>
      <c r="I41" t="n">
        <v>104.3</v>
      </c>
      <c r="J41" t="n">
        <v>7</v>
      </c>
      <c r="K41" t="n">
        <v>0</v>
      </c>
      <c r="L41" t="n">
        <v>0</v>
      </c>
      <c r="M41" t="n">
        <v>1</v>
      </c>
      <c r="N41" t="n">
        <v>0</v>
      </c>
      <c r="O41" t="n">
        <v>0</v>
      </c>
      <c r="P41" t="n">
        <v>0</v>
      </c>
      <c r="Q41" t="n">
        <v>1</v>
      </c>
      <c r="R41" t="n">
        <v>1</v>
      </c>
      <c r="S41" t="n">
        <v>7</v>
      </c>
      <c r="T41" t="n">
        <v>7</v>
      </c>
      <c r="U41" t="n">
        <v>7</v>
      </c>
      <c r="V41" s="2" t="inlineStr">
        <is>
          <t>Grönfink
Spillkråka
Gröngöling
Kråka
Skogsduva
Svartvit flugsnappare
Ärtsångare</t>
        </is>
      </c>
      <c r="W41">
        <f>HYPERLINK("https://klasma.github.io/Logging_0764/artfynd/A 12437-2025 artfynd.xlsx", "A 12437-2025")</f>
        <v/>
      </c>
      <c r="X41">
        <f>HYPERLINK("https://klasma.github.io/Logging_0764/kartor/A 12437-2025 karta.png", "A 12437-2025")</f>
        <v/>
      </c>
      <c r="Y41">
        <f>HYPERLINK("https://klasma.github.io/Logging_0764/kartor_geotiff/A 12437-2025 georefererad karta.tif", "A 12437-2025")</f>
        <v/>
      </c>
      <c r="AA41">
        <f>HYPERLINK("https://klasma.github.io/Logging_0764/klagomål/A 12437-2025 FSC-klagomål.docx", "A 12437-2025")</f>
        <v/>
      </c>
      <c r="AB41">
        <f>HYPERLINK("https://klasma.github.io/Logging_0764/klagomålsmail/A 12437-2025 FSC-klagomål mail.docx", "A 12437-2025")</f>
        <v/>
      </c>
      <c r="AC41">
        <f>HYPERLINK("https://klasma.github.io/Logging_0764/tillsyn/A 12437-2025 tillsynsbegäran.docx", "A 12437-2025")</f>
        <v/>
      </c>
      <c r="AD41">
        <f>HYPERLINK("https://klasma.github.io/Logging_0764/tillsynsmail/A 12437-2025 tillsynsbegäran mail.docx", "A 12437-2025")</f>
        <v/>
      </c>
      <c r="AE41">
        <f>HYPERLINK("https://klasma.github.io/Logging_0764/fåglar/A 12437-2025 prioriterade fågelarter.docx", "A 12437-2025")</f>
        <v/>
      </c>
    </row>
    <row r="42" ht="15" customHeight="1">
      <c r="A42" t="inlineStr">
        <is>
          <t>A 12437-2025</t>
        </is>
      </c>
      <c r="B42" t="inlineStr">
        <is>
          <t>avverkningsanmälan</t>
        </is>
      </c>
      <c r="C42" t="inlineStr">
        <is>
          <t>Avverkning för annat ändamål</t>
        </is>
      </c>
      <c r="D42" s="1" t="n">
        <v>45730</v>
      </c>
      <c r="E42" s="1" t="n">
        <v>46316</v>
      </c>
      <c r="F42" t="inlineStr">
        <is>
          <t>KRONOBERGS LÄN</t>
        </is>
      </c>
      <c r="G42" t="inlineStr">
        <is>
          <t>ALVESTA</t>
        </is>
      </c>
      <c r="I42" t="n">
        <v>104.3</v>
      </c>
      <c r="J42" t="n">
        <v>7</v>
      </c>
      <c r="K42" t="n">
        <v>0</v>
      </c>
      <c r="L42" t="n">
        <v>0</v>
      </c>
      <c r="M42" t="n">
        <v>1</v>
      </c>
      <c r="N42" t="n">
        <v>0</v>
      </c>
      <c r="O42" t="n">
        <v>0</v>
      </c>
      <c r="P42" t="n">
        <v>0</v>
      </c>
      <c r="Q42" t="n">
        <v>1</v>
      </c>
      <c r="R42" t="n">
        <v>1</v>
      </c>
      <c r="S42" t="n">
        <v>7</v>
      </c>
      <c r="T42" t="n">
        <v>7</v>
      </c>
      <c r="U42" t="n">
        <v>7</v>
      </c>
      <c r="V42" s="2" t="inlineStr">
        <is>
          <t>Grönfink
Spillkråka
Gröngöling
Kråka
Skogsduva
Svartvit flugsnappare
Ärtsångare</t>
        </is>
      </c>
      <c r="W42">
        <f>HYPERLINK("https://klasma.github.io/Logging_0764/artfynd/A 12437-2025 artfynd.xlsx", "A 12437-2025")</f>
        <v/>
      </c>
      <c r="X42">
        <f>HYPERLINK("https://klasma.github.io/Logging_0764/kartor/A 12437-2025 karta.png", "A 12437-2025")</f>
        <v/>
      </c>
      <c r="Y42">
        <f>HYPERLINK("https://klasma.github.io/Logging_0764/kartor_geotiff/A 12437-2025 georefererad karta.tif", "A 12437-2025")</f>
        <v/>
      </c>
      <c r="AA42">
        <f>HYPERLINK("https://klasma.github.io/Logging_0764/klagomål/A 12437-2025 FSC-klagomål.docx", "A 12437-2025")</f>
        <v/>
      </c>
      <c r="AB42">
        <f>HYPERLINK("https://klasma.github.io/Logging_0764/klagomålsmail/A 12437-2025 FSC-klagomål mail.docx", "A 12437-2025")</f>
        <v/>
      </c>
      <c r="AC42">
        <f>HYPERLINK("https://klasma.github.io/Logging_0764/tillsyn/A 12437-2025 tillsynsbegäran.docx", "A 12437-2025")</f>
        <v/>
      </c>
      <c r="AD42">
        <f>HYPERLINK("https://klasma.github.io/Logging_0764/tillsynsmail/A 12437-2025 tillsynsbegäran mail.docx", "A 12437-2025")</f>
        <v/>
      </c>
      <c r="AE42">
        <f>HYPERLINK("https://klasma.github.io/Logging_0764/fåglar/A 12437-2025 prioriterade fågelarter.docx", "A 12437-2025")</f>
        <v/>
      </c>
    </row>
    <row r="43" ht="15" customHeight="1">
      <c r="A43" t="inlineStr">
        <is>
          <t>A 25236-2026</t>
        </is>
      </c>
      <c r="B43" t="inlineStr">
        <is>
          <t>avverkningsanmälan</t>
        </is>
      </c>
      <c r="C43" t="inlineStr">
        <is>
          <t>Föryngringsavverkning</t>
        </is>
      </c>
      <c r="D43" s="1" t="n">
        <v>46175</v>
      </c>
      <c r="E43" s="1" t="n">
        <v>46316</v>
      </c>
      <c r="F43" t="inlineStr">
        <is>
          <t>KRONOBERGS LÄN</t>
        </is>
      </c>
      <c r="G43" t="inlineStr">
        <is>
          <t>VÄXJÖ</t>
        </is>
      </c>
      <c r="I43" t="n">
        <v>2.2</v>
      </c>
      <c r="J43" t="n">
        <v>1</v>
      </c>
      <c r="K43" t="n">
        <v>6</v>
      </c>
      <c r="L43" t="n">
        <v>0</v>
      </c>
      <c r="M43" t="n">
        <v>0</v>
      </c>
      <c r="N43" t="n">
        <v>0</v>
      </c>
      <c r="O43" t="n">
        <v>0</v>
      </c>
      <c r="P43" t="n">
        <v>0</v>
      </c>
      <c r="Q43" t="n">
        <v>0</v>
      </c>
      <c r="R43" t="n">
        <v>0</v>
      </c>
      <c r="S43" t="n">
        <v>7</v>
      </c>
      <c r="T43" t="n">
        <v>9</v>
      </c>
      <c r="U43" t="n">
        <v>0</v>
      </c>
      <c r="V43" s="2" t="inlineStr">
        <is>
          <t>Bårdlav
Fällmossa
Korallblylav
Rävticka
Skinnlav
Västlig hakmossa
Blåsippa</t>
        </is>
      </c>
      <c r="W43">
        <f>HYPERLINK("https://klasma.github.io/Logging_0780/artfynd/A 25236-2026 artfynd.xlsx", "A 25236-2026")</f>
        <v/>
      </c>
      <c r="X43">
        <f>HYPERLINK("https://klasma.github.io/Logging_0780/kartor/A 25236-2026 karta.png", "A 25236-2026")</f>
        <v/>
      </c>
      <c r="Y43">
        <f>HYPERLINK("https://klasma.github.io/Logging_0780/kartor_geotiff/A 25236-2026 georefererad karta.tif", "A 25236-2026")</f>
        <v/>
      </c>
      <c r="AA43">
        <f>HYPERLINK("https://klasma.github.io/Logging_0780/klagomål/A 25236-2026 FSC-klagomål.docx", "A 25236-2026")</f>
        <v/>
      </c>
      <c r="AB43">
        <f>HYPERLINK("https://klasma.github.io/Logging_0780/klagomålsmail/A 25236-2026 FSC-klagomål mail.docx", "A 25236-2026")</f>
        <v/>
      </c>
      <c r="AC43">
        <f>HYPERLINK("https://klasma.github.io/Logging_0780/tillsyn/A 25236-2026 tillsynsbegäran.docx", "A 25236-2026")</f>
        <v/>
      </c>
      <c r="AD43">
        <f>HYPERLINK("https://klasma.github.io/Logging_0780/tillsynsmail/A 25236-2026 tillsynsbegäran mail.docx", "A 25236-2026")</f>
        <v/>
      </c>
    </row>
    <row r="44" ht="15" customHeight="1">
      <c r="A44" t="inlineStr">
        <is>
          <t>A 33208-2023</t>
        </is>
      </c>
      <c r="B44" t="inlineStr">
        <is>
          <t>avverkningsanmälan</t>
        </is>
      </c>
      <c r="C44" t="inlineStr">
        <is>
          <t>Föryngringsavverkning</t>
        </is>
      </c>
      <c r="D44" s="1" t="n">
        <v>45127</v>
      </c>
      <c r="E44" s="1" t="n">
        <v>46316</v>
      </c>
      <c r="F44" t="inlineStr">
        <is>
          <t>KRONOBERGS LÄN</t>
        </is>
      </c>
      <c r="G44" t="inlineStr">
        <is>
          <t>VÄXJÖ</t>
        </is>
      </c>
      <c r="I44" t="n">
        <v>1.5</v>
      </c>
      <c r="J44" t="n">
        <v>7</v>
      </c>
      <c r="K44" t="n">
        <v>0</v>
      </c>
      <c r="L44" t="n">
        <v>3</v>
      </c>
      <c r="M44" t="n">
        <v>0</v>
      </c>
      <c r="N44" t="n">
        <v>0</v>
      </c>
      <c r="O44" t="n">
        <v>0</v>
      </c>
      <c r="P44" t="n">
        <v>0</v>
      </c>
      <c r="Q44" t="n">
        <v>3</v>
      </c>
      <c r="R44" t="n">
        <v>0</v>
      </c>
      <c r="S44" t="n">
        <v>7</v>
      </c>
      <c r="T44" t="n">
        <v>7</v>
      </c>
      <c r="U44" t="n">
        <v>0</v>
      </c>
      <c r="V44" s="2" t="inlineStr">
        <is>
          <t>Björktrast
Ladusvala
Skrattmås
Kråka
Röd glada
Svartvit flugsnappare
Trana</t>
        </is>
      </c>
      <c r="W44">
        <f>HYPERLINK("https://klasma.github.io/Logging_0780/artfynd/A 33208-2023 artfynd.xlsx", "A 33208-2023")</f>
        <v/>
      </c>
      <c r="X44">
        <f>HYPERLINK("https://klasma.github.io/Logging_0780/kartor/A 33208-2023 karta.png", "A 33208-2023")</f>
        <v/>
      </c>
      <c r="Y44">
        <f>HYPERLINK("https://klasma.github.io/Logging_0780/kartor_geotiff/A 33208-2023 georefererad karta.tif", "A 33208-2023")</f>
        <v/>
      </c>
      <c r="AA44">
        <f>HYPERLINK("https://klasma.github.io/Logging_0780/klagomål/A 33208-2023 FSC-klagomål.docx", "A 33208-2023")</f>
        <v/>
      </c>
      <c r="AB44">
        <f>HYPERLINK("https://klasma.github.io/Logging_0780/klagomålsmail/A 33208-2023 FSC-klagomål mail.docx", "A 33208-2023")</f>
        <v/>
      </c>
      <c r="AC44">
        <f>HYPERLINK("https://klasma.github.io/Logging_0780/tillsyn/A 33208-2023 tillsynsbegäran.docx", "A 33208-2023")</f>
        <v/>
      </c>
      <c r="AD44">
        <f>HYPERLINK("https://klasma.github.io/Logging_0780/tillsynsmail/A 33208-2023 tillsynsbegäran mail.docx", "A 33208-2023")</f>
        <v/>
      </c>
      <c r="AE44">
        <f>HYPERLINK("https://klasma.github.io/Logging_0780/fåglar/A 33208-2023 prioriterade fågelarter.docx", "A 33208-2023")</f>
        <v/>
      </c>
    </row>
    <row r="45" ht="15" customHeight="1">
      <c r="A45" t="inlineStr">
        <is>
          <t>S 4948-2024</t>
        </is>
      </c>
      <c r="B45" t="inlineStr">
        <is>
          <t>samrådsanmälan</t>
        </is>
      </c>
      <c r="C45" t="inlineStr">
        <is>
          <t>Annan skogsbruksåtgärd</t>
        </is>
      </c>
      <c r="D45" s="1" t="n">
        <v>45628</v>
      </c>
      <c r="E45" s="1" t="n">
        <v>46316</v>
      </c>
      <c r="F45" t="inlineStr">
        <is>
          <t>KRONOBERGS LÄN</t>
        </is>
      </c>
      <c r="G45" t="inlineStr">
        <is>
          <t>MARKARYD</t>
        </is>
      </c>
      <c r="I45" t="n">
        <v>1.3</v>
      </c>
      <c r="J45" t="n">
        <v>0</v>
      </c>
      <c r="K45" t="n">
        <v>5</v>
      </c>
      <c r="L45" t="n">
        <v>2</v>
      </c>
      <c r="M45" t="n">
        <v>0</v>
      </c>
      <c r="N45" t="n">
        <v>0</v>
      </c>
      <c r="O45" t="n">
        <v>0</v>
      </c>
      <c r="P45" t="n">
        <v>0</v>
      </c>
      <c r="Q45" t="n">
        <v>2</v>
      </c>
      <c r="R45" t="n">
        <v>0</v>
      </c>
      <c r="S45" t="n">
        <v>7</v>
      </c>
      <c r="T45" t="n">
        <v>37</v>
      </c>
      <c r="U45" t="n">
        <v>0</v>
      </c>
      <c r="V45" s="2" t="inlineStr">
        <is>
          <t>Bokvårtlav
Koralltaggsvamp
Bokfjädermossa
Guldlockmossa
Havstulpanlav
Korallblylav
Stor knopplav</t>
        </is>
      </c>
      <c r="W45">
        <f>HYPERLINK("https://klasma.github.io/Logging_0767/artfynd/S 4948-2024 artfynd.xlsx", "S 4948-2024")</f>
        <v/>
      </c>
      <c r="X45">
        <f>HYPERLINK("https://klasma.github.io/Logging_0767/kartor/S 4948-2024 karta.png", "S 4948-2024")</f>
        <v/>
      </c>
      <c r="Y45">
        <f>HYPERLINK("https://klasma.github.io/Logging_0767/kartor_geotiff/S 4948-2024 georefererad karta.tif", "S 4948-2024")</f>
        <v/>
      </c>
      <c r="AA45">
        <f>HYPERLINK("https://klasma.github.io/Logging_0767/klagomål/S 4948-2024 FSC-klagomål.docx", "S 4948-2024")</f>
        <v/>
      </c>
      <c r="AB45">
        <f>HYPERLINK("https://klasma.github.io/Logging_0767/klagomålsmail/S 4948-2024 FSC-klagomål mail.docx", "S 4948-2024")</f>
        <v/>
      </c>
      <c r="AC45">
        <f>HYPERLINK("https://klasma.github.io/Logging_0767/tillsyn/S 4948-2024 tillsynsbegäran.docx", "S 4948-2024")</f>
        <v/>
      </c>
      <c r="AD45">
        <f>HYPERLINK("https://klasma.github.io/Logging_0767/tillsynsmail/S 4948-2024 tillsynsbegäran mail.docx", "S 4948-2024")</f>
        <v/>
      </c>
    </row>
    <row r="46" ht="15" customHeight="1">
      <c r="A46" t="inlineStr">
        <is>
          <t>S 2298-2025</t>
        </is>
      </c>
      <c r="B46" t="inlineStr">
        <is>
          <t>samrådsanmälan</t>
        </is>
      </c>
      <c r="C46" t="inlineStr">
        <is>
          <t>Annan skogsbruksåtgärd</t>
        </is>
      </c>
      <c r="D46" s="1" t="n">
        <v>45881</v>
      </c>
      <c r="E46" s="1" t="n">
        <v>46316</v>
      </c>
      <c r="F46" t="inlineStr">
        <is>
          <t>KRONOBERGS LÄN</t>
        </is>
      </c>
      <c r="G46" t="inlineStr">
        <is>
          <t>LJUNGBY</t>
        </is>
      </c>
      <c r="H46" t="inlineStr">
        <is>
          <t>Sveaskog</t>
        </is>
      </c>
      <c r="I46" t="n">
        <v>2.5</v>
      </c>
      <c r="J46" t="n">
        <v>4</v>
      </c>
      <c r="K46" t="n">
        <v>2</v>
      </c>
      <c r="L46" t="n">
        <v>1</v>
      </c>
      <c r="M46" t="n">
        <v>2</v>
      </c>
      <c r="N46" t="n">
        <v>1</v>
      </c>
      <c r="O46" t="n">
        <v>0</v>
      </c>
      <c r="P46" t="n">
        <v>0</v>
      </c>
      <c r="Q46" t="n">
        <v>4</v>
      </c>
      <c r="R46" t="n">
        <v>3</v>
      </c>
      <c r="S46" t="n">
        <v>7</v>
      </c>
      <c r="T46" t="n">
        <v>10</v>
      </c>
      <c r="U46" t="n">
        <v>6</v>
      </c>
      <c r="V46" s="2" t="inlineStr">
        <is>
          <t>Havstrut
Myrspov
Sjötåtel
Skrattmås
Barkkornlav
Rostfläck
Trana</t>
        </is>
      </c>
      <c r="W46">
        <f>HYPERLINK("https://klasma.github.io/Logging_0781/artfynd/S 2298-2025 artfynd.xlsx", "S 2298-2025")</f>
        <v/>
      </c>
      <c r="X46">
        <f>HYPERLINK("https://klasma.github.io/Logging_0781/kartor/S 2298-2025 karta.png", "S 2298-2025")</f>
        <v/>
      </c>
      <c r="Y46">
        <f>HYPERLINK("https://klasma.github.io/Logging_0781/kartor_geotiff/S 2298-2025 georefererad karta.tif", "S 2298-2025")</f>
        <v/>
      </c>
      <c r="AA46">
        <f>HYPERLINK("https://klasma.github.io/Logging_0781/klagomål/S 2298-2025 FSC-klagomål.docx", "S 2298-2025")</f>
        <v/>
      </c>
      <c r="AB46">
        <f>HYPERLINK("https://klasma.github.io/Logging_0781/klagomålsmail/S 2298-2025 FSC-klagomål mail.docx", "S 2298-2025")</f>
        <v/>
      </c>
      <c r="AC46">
        <f>HYPERLINK("https://klasma.github.io/Logging_0781/tillsyn/S 2298-2025 tillsynsbegäran.docx", "S 2298-2025")</f>
        <v/>
      </c>
      <c r="AD46">
        <f>HYPERLINK("https://klasma.github.io/Logging_0781/tillsynsmail/S 2298-2025 tillsynsbegäran mail.docx", "S 2298-2025")</f>
        <v/>
      </c>
      <c r="AE46">
        <f>HYPERLINK("https://klasma.github.io/Logging_0781/fåglar/S 2298-2025 prioriterade fågelarter.docx", "S 2298-2025")</f>
        <v/>
      </c>
    </row>
    <row r="47" ht="15" customHeight="1">
      <c r="A47" t="inlineStr">
        <is>
          <t>S 837-2026</t>
        </is>
      </c>
      <c r="B47" t="inlineStr">
        <is>
          <t>samrådsanmälan</t>
        </is>
      </c>
      <c r="C47" t="inlineStr">
        <is>
          <t>Annan skogsbruksåtgärd</t>
        </is>
      </c>
      <c r="D47" s="1" t="n">
        <v>46105</v>
      </c>
      <c r="E47" s="1" t="n">
        <v>46316</v>
      </c>
      <c r="F47" t="inlineStr">
        <is>
          <t>KRONOBERGS LÄN</t>
        </is>
      </c>
      <c r="G47" t="inlineStr">
        <is>
          <t>ALVESTA</t>
        </is>
      </c>
      <c r="I47" t="n">
        <v>4.3</v>
      </c>
      <c r="J47" t="n">
        <v>2</v>
      </c>
      <c r="K47" t="n">
        <v>2</v>
      </c>
      <c r="L47" t="n">
        <v>3</v>
      </c>
      <c r="M47" t="n">
        <v>0</v>
      </c>
      <c r="N47" t="n">
        <v>1</v>
      </c>
      <c r="O47" t="n">
        <v>0</v>
      </c>
      <c r="P47" t="n">
        <v>0</v>
      </c>
      <c r="Q47" t="n">
        <v>4</v>
      </c>
      <c r="R47" t="n">
        <v>1</v>
      </c>
      <c r="S47" t="n">
        <v>7</v>
      </c>
      <c r="T47" t="n">
        <v>8</v>
      </c>
      <c r="U47" t="n">
        <v>0</v>
      </c>
      <c r="V47" s="2" t="inlineStr">
        <is>
          <t>Skogsalm
Gullpudra
Kandelabersvamp
Sommarfibbla
Småskölding
Tvåblad
Lopplummer (aggregat)</t>
        </is>
      </c>
      <c r="W47">
        <f>HYPERLINK("https://klasma.github.io/Logging_0764/artfynd/S 837-2026 artfynd.xlsx", "S 837-2026")</f>
        <v/>
      </c>
      <c r="X47">
        <f>HYPERLINK("https://klasma.github.io/Logging_0764/kartor/S 837-2026 karta.png", "S 837-2026")</f>
        <v/>
      </c>
      <c r="Y47">
        <f>HYPERLINK("https://klasma.github.io/Logging_0764/kartor_geotiff/S 837-2026 georefererad karta.tif", "S 837-2026")</f>
        <v/>
      </c>
      <c r="AA47">
        <f>HYPERLINK("https://klasma.github.io/Logging_0764/klagomål/S 837-2026 FSC-klagomål.docx", "S 837-2026")</f>
        <v/>
      </c>
      <c r="AB47">
        <f>HYPERLINK("https://klasma.github.io/Logging_0764/klagomålsmail/S 837-2026 FSC-klagomål mail.docx", "S 837-2026")</f>
        <v/>
      </c>
      <c r="AC47">
        <f>HYPERLINK("https://klasma.github.io/Logging_0764/tillsyn/S 837-2026 tillsynsbegäran.docx", "S 837-2026")</f>
        <v/>
      </c>
      <c r="AD47">
        <f>HYPERLINK("https://klasma.github.io/Logging_0764/tillsynsmail/S 837-2026 tillsynsbegäran mail.docx", "S 837-2026")</f>
        <v/>
      </c>
    </row>
    <row r="48" ht="15" customHeight="1">
      <c r="A48" t="inlineStr">
        <is>
          <t>A 49737-2022</t>
        </is>
      </c>
      <c r="B48" t="inlineStr">
        <is>
          <t>avverkningsanmälan</t>
        </is>
      </c>
      <c r="C48" t="inlineStr">
        <is>
          <t>Föryngringsavverkning</t>
        </is>
      </c>
      <c r="D48" s="1" t="n">
        <v>44859</v>
      </c>
      <c r="E48" s="1" t="n">
        <v>46316</v>
      </c>
      <c r="F48" t="inlineStr">
        <is>
          <t>KRONOBERGS LÄN</t>
        </is>
      </c>
      <c r="G48" t="inlineStr">
        <is>
          <t>UPPVIDINGE</t>
        </is>
      </c>
      <c r="I48" t="n">
        <v>2</v>
      </c>
      <c r="J48" t="n">
        <v>3</v>
      </c>
      <c r="K48" t="n">
        <v>0</v>
      </c>
      <c r="L48" t="n">
        <v>3</v>
      </c>
      <c r="M48" t="n">
        <v>1</v>
      </c>
      <c r="N48" t="n">
        <v>0</v>
      </c>
      <c r="O48" t="n">
        <v>0</v>
      </c>
      <c r="P48" t="n">
        <v>0</v>
      </c>
      <c r="Q48" t="n">
        <v>4</v>
      </c>
      <c r="R48" t="n">
        <v>1</v>
      </c>
      <c r="S48" t="n">
        <v>6</v>
      </c>
      <c r="T48" t="n">
        <v>11</v>
      </c>
      <c r="U48" t="n">
        <v>1</v>
      </c>
      <c r="V48" s="2" t="inlineStr">
        <is>
          <t>Slåttergubbe
Jungfrulin
Spindelört
Strandlummer
Mattlummer
Orre</t>
        </is>
      </c>
      <c r="W48">
        <f>HYPERLINK("https://klasma.github.io/Logging_0760/artfynd/A 49737-2022 artfynd.xlsx", "A 49737-2022")</f>
        <v/>
      </c>
      <c r="X48">
        <f>HYPERLINK("https://klasma.github.io/Logging_0760/kartor/A 49737-2022 karta.png", "A 49737-2022")</f>
        <v/>
      </c>
      <c r="Y48">
        <f>HYPERLINK("https://klasma.github.io/Logging_0760/kartor_geotiff/A 49737-2022 georefererad karta.tif", "A 49737-2022")</f>
        <v/>
      </c>
      <c r="AA48">
        <f>HYPERLINK("https://klasma.github.io/Logging_0760/klagomål/A 49737-2022 FSC-klagomål.docx", "A 49737-2022")</f>
        <v/>
      </c>
      <c r="AB48">
        <f>HYPERLINK("https://klasma.github.io/Logging_0760/klagomålsmail/A 49737-2022 FSC-klagomål mail.docx", "A 49737-2022")</f>
        <v/>
      </c>
      <c r="AC48">
        <f>HYPERLINK("https://klasma.github.io/Logging_0760/tillsyn/A 49737-2022 tillsynsbegäran.docx", "A 49737-2022")</f>
        <v/>
      </c>
      <c r="AD48">
        <f>HYPERLINK("https://klasma.github.io/Logging_0760/tillsynsmail/A 49737-2022 tillsynsbegäran mail.docx", "A 49737-2022")</f>
        <v/>
      </c>
      <c r="AE48">
        <f>HYPERLINK("https://klasma.github.io/Logging_0760/fåglar/A 49737-2022 prioriterade fågelarter.docx", "A 49737-2022")</f>
        <v/>
      </c>
    </row>
    <row r="49" ht="15" customHeight="1">
      <c r="A49" t="inlineStr">
        <is>
          <t>A 8828-2026</t>
        </is>
      </c>
      <c r="B49" t="inlineStr">
        <is>
          <t>avverkningsanmälan</t>
        </is>
      </c>
      <c r="C49" t="inlineStr">
        <is>
          <t>Avverkning för att bevara och utveckla /försöksver</t>
        </is>
      </c>
      <c r="D49" s="1" t="n">
        <v>46066</v>
      </c>
      <c r="E49" s="1" t="n">
        <v>46316</v>
      </c>
      <c r="F49" t="inlineStr">
        <is>
          <t>KRONOBERGS LÄN</t>
        </is>
      </c>
      <c r="G49" t="inlineStr">
        <is>
          <t>UPPVIDINGE</t>
        </is>
      </c>
      <c r="I49" t="n">
        <v>4</v>
      </c>
      <c r="J49" t="n">
        <v>2</v>
      </c>
      <c r="K49" t="n">
        <v>2</v>
      </c>
      <c r="L49" t="n">
        <v>2</v>
      </c>
      <c r="M49" t="n">
        <v>0</v>
      </c>
      <c r="N49" t="n">
        <v>0</v>
      </c>
      <c r="O49" t="n">
        <v>0</v>
      </c>
      <c r="P49" t="n">
        <v>0</v>
      </c>
      <c r="Q49" t="n">
        <v>2</v>
      </c>
      <c r="R49" t="n">
        <v>0</v>
      </c>
      <c r="S49" t="n">
        <v>6</v>
      </c>
      <c r="T49" t="n">
        <v>7</v>
      </c>
      <c r="U49" t="n">
        <v>0</v>
      </c>
      <c r="V49" s="2" t="inlineStr">
        <is>
          <t>Kattfotslav
Vedskivlav
Blåmossa
Bollvitmossa
Spillkråka
Revlummer</t>
        </is>
      </c>
      <c r="W49">
        <f>HYPERLINK("https://klasma.github.io/Logging_0760/artfynd/A 8828-2026 artfynd.xlsx", "A 8828-2026")</f>
        <v/>
      </c>
      <c r="X49">
        <f>HYPERLINK("https://klasma.github.io/Logging_0760/kartor/A 8828-2026 karta.png", "A 8828-2026")</f>
        <v/>
      </c>
      <c r="Y49">
        <f>HYPERLINK("https://klasma.github.io/Logging_0760/kartor_geotiff/A 8828-2026 georefererad karta.tif", "A 8828-2026")</f>
        <v/>
      </c>
      <c r="AA49">
        <f>HYPERLINK("https://klasma.github.io/Logging_0760/klagomål/A 8828-2026 FSC-klagomål.docx", "A 8828-2026")</f>
        <v/>
      </c>
      <c r="AB49">
        <f>HYPERLINK("https://klasma.github.io/Logging_0760/klagomålsmail/A 8828-2026 FSC-klagomål mail.docx", "A 8828-2026")</f>
        <v/>
      </c>
      <c r="AC49">
        <f>HYPERLINK("https://klasma.github.io/Logging_0760/tillsyn/A 8828-2026 tillsynsbegäran.docx", "A 8828-2026")</f>
        <v/>
      </c>
      <c r="AD49">
        <f>HYPERLINK("https://klasma.github.io/Logging_0760/tillsynsmail/A 8828-2026 tillsynsbegäran mail.docx", "A 8828-2026")</f>
        <v/>
      </c>
      <c r="AE49">
        <f>HYPERLINK("https://klasma.github.io/Logging_0760/fåglar/A 8828-2026 prioriterade fågelarter.docx", "A 8828-2026")</f>
        <v/>
      </c>
    </row>
    <row r="50" ht="15" customHeight="1">
      <c r="A50" t="inlineStr">
        <is>
          <t>A 54189-2025</t>
        </is>
      </c>
      <c r="B50" t="inlineStr">
        <is>
          <t>avverkningsanmälan</t>
        </is>
      </c>
      <c r="C50" t="inlineStr">
        <is>
          <t>Föryngringsavverkning</t>
        </is>
      </c>
      <c r="D50" s="1" t="n">
        <v>45964</v>
      </c>
      <c r="E50" s="1" t="n">
        <v>46316</v>
      </c>
      <c r="F50" t="inlineStr">
        <is>
          <t>KRONOBERGS LÄN</t>
        </is>
      </c>
      <c r="G50" t="inlineStr">
        <is>
          <t>VÄXJÖ</t>
        </is>
      </c>
      <c r="I50" t="n">
        <v>1.2</v>
      </c>
      <c r="J50" t="n">
        <v>6</v>
      </c>
      <c r="K50" t="n">
        <v>0</v>
      </c>
      <c r="L50" t="n">
        <v>3</v>
      </c>
      <c r="M50" t="n">
        <v>0</v>
      </c>
      <c r="N50" t="n">
        <v>0</v>
      </c>
      <c r="O50" t="n">
        <v>0</v>
      </c>
      <c r="P50" t="n">
        <v>0</v>
      </c>
      <c r="Q50" t="n">
        <v>3</v>
      </c>
      <c r="R50" t="n">
        <v>0</v>
      </c>
      <c r="S50" t="n">
        <v>6</v>
      </c>
      <c r="T50" t="n">
        <v>6</v>
      </c>
      <c r="U50" t="n">
        <v>1</v>
      </c>
      <c r="V50" s="2" t="inlineStr">
        <is>
          <t>Björktrast
Gulsparv
Talltita
Grönsiska
Kråka
Kungsfågel</t>
        </is>
      </c>
      <c r="W50">
        <f>HYPERLINK("https://klasma.github.io/Logging_0780/artfynd/A 54189-2025 artfynd.xlsx", "A 54189-2025")</f>
        <v/>
      </c>
      <c r="X50">
        <f>HYPERLINK("https://klasma.github.io/Logging_0780/kartor/A 54189-2025 karta.png", "A 54189-2025")</f>
        <v/>
      </c>
      <c r="Y50">
        <f>HYPERLINK("https://klasma.github.io/Logging_0780/kartor_geotiff/A 54189-2025 georefererad karta.tif", "A 54189-2025")</f>
        <v/>
      </c>
      <c r="AA50">
        <f>HYPERLINK("https://klasma.github.io/Logging_0780/klagomål/A 54189-2025 FSC-klagomål.docx", "A 54189-2025")</f>
        <v/>
      </c>
      <c r="AB50">
        <f>HYPERLINK("https://klasma.github.io/Logging_0780/klagomålsmail/A 54189-2025 FSC-klagomål mail.docx", "A 54189-2025")</f>
        <v/>
      </c>
      <c r="AC50">
        <f>HYPERLINK("https://klasma.github.io/Logging_0780/tillsyn/A 54189-2025 tillsynsbegäran.docx", "A 54189-2025")</f>
        <v/>
      </c>
      <c r="AD50">
        <f>HYPERLINK("https://klasma.github.io/Logging_0780/tillsynsmail/A 54189-2025 tillsynsbegäran mail.docx", "A 54189-2025")</f>
        <v/>
      </c>
      <c r="AE50">
        <f>HYPERLINK("https://klasma.github.io/Logging_0780/fåglar/A 54189-2025 prioriterade fågelarter.docx", "A 54189-2025")</f>
        <v/>
      </c>
    </row>
    <row r="51" ht="15" customHeight="1">
      <c r="A51" t="inlineStr">
        <is>
          <t>A 27226-2026</t>
        </is>
      </c>
      <c r="B51" t="inlineStr">
        <is>
          <t>avverkningsanmälan</t>
        </is>
      </c>
      <c r="C51" t="inlineStr">
        <is>
          <t>Föryngringsavverkning</t>
        </is>
      </c>
      <c r="D51" s="1" t="n">
        <v>46188</v>
      </c>
      <c r="E51" s="1" t="n">
        <v>46316</v>
      </c>
      <c r="F51" t="inlineStr">
        <is>
          <t>KRONOBERGS LÄN</t>
        </is>
      </c>
      <c r="G51" t="inlineStr">
        <is>
          <t>VÄXJÖ</t>
        </is>
      </c>
      <c r="I51" t="n">
        <v>4.2</v>
      </c>
      <c r="J51" t="n">
        <v>2</v>
      </c>
      <c r="K51" t="n">
        <v>1</v>
      </c>
      <c r="L51" t="n">
        <v>3</v>
      </c>
      <c r="M51" t="n">
        <v>1</v>
      </c>
      <c r="N51" t="n">
        <v>0</v>
      </c>
      <c r="O51" t="n">
        <v>0</v>
      </c>
      <c r="P51" t="n">
        <v>0</v>
      </c>
      <c r="Q51" t="n">
        <v>4</v>
      </c>
      <c r="R51" t="n">
        <v>1</v>
      </c>
      <c r="S51" t="n">
        <v>6</v>
      </c>
      <c r="T51" t="n">
        <v>7</v>
      </c>
      <c r="U51" t="n">
        <v>1</v>
      </c>
      <c r="V51" s="2" t="inlineStr">
        <is>
          <t>Garnlav
Tallticka
Talltita
Ullticka
Skogshakmossa
Kungsfågel</t>
        </is>
      </c>
      <c r="W51">
        <f>HYPERLINK("https://klasma.github.io/Logging_0780/artfynd/A 27226-2026 artfynd.xlsx", "A 27226-2026")</f>
        <v/>
      </c>
      <c r="X51">
        <f>HYPERLINK("https://klasma.github.io/Logging_0780/kartor/A 27226-2026 karta.png", "A 27226-2026")</f>
        <v/>
      </c>
      <c r="Y51">
        <f>HYPERLINK("https://klasma.github.io/Logging_0780/kartor_geotiff/A 27226-2026 georefererad karta.tif", "A 27226-2026")</f>
        <v/>
      </c>
      <c r="AA51">
        <f>HYPERLINK("https://klasma.github.io/Logging_0780/klagomål/A 27226-2026 FSC-klagomål.docx", "A 27226-2026")</f>
        <v/>
      </c>
      <c r="AB51">
        <f>HYPERLINK("https://klasma.github.io/Logging_0780/klagomålsmail/A 27226-2026 FSC-klagomål mail.docx", "A 27226-2026")</f>
        <v/>
      </c>
      <c r="AC51">
        <f>HYPERLINK("https://klasma.github.io/Logging_0780/tillsyn/A 27226-2026 tillsynsbegäran.docx", "A 27226-2026")</f>
        <v/>
      </c>
      <c r="AD51">
        <f>HYPERLINK("https://klasma.github.io/Logging_0780/tillsynsmail/A 27226-2026 tillsynsbegäran mail.docx", "A 27226-2026")</f>
        <v/>
      </c>
      <c r="AE51">
        <f>HYPERLINK("https://klasma.github.io/Logging_0780/fåglar/A 27226-2026 prioriterade fågelarter.docx", "A 27226-2026")</f>
        <v/>
      </c>
    </row>
    <row r="52" ht="15" customHeight="1">
      <c r="A52" t="inlineStr">
        <is>
          <t>A 27227-2026</t>
        </is>
      </c>
      <c r="B52" t="inlineStr">
        <is>
          <t>avverkningsanmälan</t>
        </is>
      </c>
      <c r="C52" t="inlineStr">
        <is>
          <t>Föryngringsavverkning</t>
        </is>
      </c>
      <c r="D52" s="1" t="n">
        <v>46188</v>
      </c>
      <c r="E52" s="1" t="n">
        <v>46316</v>
      </c>
      <c r="F52" t="inlineStr">
        <is>
          <t>KRONOBERGS LÄN</t>
        </is>
      </c>
      <c r="G52" t="inlineStr">
        <is>
          <t>VÄXJÖ</t>
        </is>
      </c>
      <c r="I52" t="n">
        <v>5.9</v>
      </c>
      <c r="J52" t="n">
        <v>3</v>
      </c>
      <c r="K52" t="n">
        <v>1</v>
      </c>
      <c r="L52" t="n">
        <v>3</v>
      </c>
      <c r="M52" t="n">
        <v>0</v>
      </c>
      <c r="N52" t="n">
        <v>0</v>
      </c>
      <c r="O52" t="n">
        <v>0</v>
      </c>
      <c r="P52" t="n">
        <v>0</v>
      </c>
      <c r="Q52" t="n">
        <v>3</v>
      </c>
      <c r="R52" t="n">
        <v>0</v>
      </c>
      <c r="S52" t="n">
        <v>6</v>
      </c>
      <c r="T52" t="n">
        <v>7</v>
      </c>
      <c r="U52" t="n">
        <v>0</v>
      </c>
      <c r="V52" s="2" t="inlineStr">
        <is>
          <t>Apelsinticka
Tallticka
Talltita
Västlig hakmossa
Tofsmes
Kungsfågel</t>
        </is>
      </c>
      <c r="W52">
        <f>HYPERLINK("https://klasma.github.io/Logging_0780/artfynd/A 27227-2026 artfynd.xlsx", "A 27227-2026")</f>
        <v/>
      </c>
      <c r="X52">
        <f>HYPERLINK("https://klasma.github.io/Logging_0780/kartor/A 27227-2026 karta.png", "A 27227-2026")</f>
        <v/>
      </c>
      <c r="Y52">
        <f>HYPERLINK("https://klasma.github.io/Logging_0780/kartor_geotiff/A 27227-2026 georefererad karta.tif", "A 27227-2026")</f>
        <v/>
      </c>
      <c r="AA52">
        <f>HYPERLINK("https://klasma.github.io/Logging_0780/klagomål/A 27227-2026 FSC-klagomål.docx", "A 27227-2026")</f>
        <v/>
      </c>
      <c r="AB52">
        <f>HYPERLINK("https://klasma.github.io/Logging_0780/klagomålsmail/A 27227-2026 FSC-klagomål mail.docx", "A 27227-2026")</f>
        <v/>
      </c>
      <c r="AC52">
        <f>HYPERLINK("https://klasma.github.io/Logging_0780/tillsyn/A 27227-2026 tillsynsbegäran.docx", "A 27227-2026")</f>
        <v/>
      </c>
      <c r="AD52">
        <f>HYPERLINK("https://klasma.github.io/Logging_0780/tillsynsmail/A 27227-2026 tillsynsbegäran mail.docx", "A 27227-2026")</f>
        <v/>
      </c>
      <c r="AE52">
        <f>HYPERLINK("https://klasma.github.io/Logging_0780/fåglar/A 27227-2026 prioriterade fågelarter.docx", "A 27227-2026")</f>
        <v/>
      </c>
    </row>
    <row r="53" ht="15" customHeight="1">
      <c r="A53" t="inlineStr">
        <is>
          <t>A 29073-2026</t>
        </is>
      </c>
      <c r="B53" t="inlineStr">
        <is>
          <t>avverkningsanmälan</t>
        </is>
      </c>
      <c r="C53" t="inlineStr">
        <is>
          <t>Föryngringsavverkning</t>
        </is>
      </c>
      <c r="D53" s="1" t="n">
        <v>46199</v>
      </c>
      <c r="E53" s="1" t="n">
        <v>46316</v>
      </c>
      <c r="F53" t="inlineStr">
        <is>
          <t>KRONOBERGS LÄN</t>
        </is>
      </c>
      <c r="G53" t="inlineStr">
        <is>
          <t>VÄXJÖ</t>
        </is>
      </c>
      <c r="I53" t="n">
        <v>5</v>
      </c>
      <c r="J53" t="n">
        <v>5</v>
      </c>
      <c r="K53" t="n">
        <v>1</v>
      </c>
      <c r="L53" t="n">
        <v>0</v>
      </c>
      <c r="M53" t="n">
        <v>0</v>
      </c>
      <c r="N53" t="n">
        <v>0</v>
      </c>
      <c r="O53" t="n">
        <v>0</v>
      </c>
      <c r="P53" t="n">
        <v>0</v>
      </c>
      <c r="Q53" t="n">
        <v>0</v>
      </c>
      <c r="R53" t="n">
        <v>0</v>
      </c>
      <c r="S53" t="n">
        <v>6</v>
      </c>
      <c r="T53" t="n">
        <v>6</v>
      </c>
      <c r="U53" t="n">
        <v>0</v>
      </c>
      <c r="V53" s="2" t="inlineStr">
        <is>
          <t>Blåmossa
Spillkråka
Gröngöling
Grönsiska
Kungsfågel
Sångsvan</t>
        </is>
      </c>
      <c r="W53">
        <f>HYPERLINK("https://klasma.github.io/Logging_0780/artfynd/A 29073-2026 artfynd.xlsx", "A 29073-2026")</f>
        <v/>
      </c>
      <c r="X53">
        <f>HYPERLINK("https://klasma.github.io/Logging_0780/kartor/A 29073-2026 karta.png", "A 29073-2026")</f>
        <v/>
      </c>
      <c r="Y53">
        <f>HYPERLINK("https://klasma.github.io/Logging_0780/kartor_geotiff/A 29073-2026 georefererad karta.tif", "A 29073-2026")</f>
        <v/>
      </c>
      <c r="AA53">
        <f>HYPERLINK("https://klasma.github.io/Logging_0780/klagomål/A 29073-2026 FSC-klagomål.docx", "A 29073-2026")</f>
        <v/>
      </c>
      <c r="AB53">
        <f>HYPERLINK("https://klasma.github.io/Logging_0780/klagomålsmail/A 29073-2026 FSC-klagomål mail.docx", "A 29073-2026")</f>
        <v/>
      </c>
      <c r="AC53">
        <f>HYPERLINK("https://klasma.github.io/Logging_0780/tillsyn/A 29073-2026 tillsynsbegäran.docx", "A 29073-2026")</f>
        <v/>
      </c>
      <c r="AD53">
        <f>HYPERLINK("https://klasma.github.io/Logging_0780/tillsynsmail/A 29073-2026 tillsynsbegäran mail.docx", "A 29073-2026")</f>
        <v/>
      </c>
      <c r="AE53">
        <f>HYPERLINK("https://klasma.github.io/Logging_0780/fåglar/A 29073-2026 prioriterade fågelarter.docx", "A 29073-2026")</f>
        <v/>
      </c>
    </row>
    <row r="54" ht="15" customHeight="1">
      <c r="A54" t="inlineStr">
        <is>
          <t>A 37515-2026</t>
        </is>
      </c>
      <c r="B54" t="inlineStr">
        <is>
          <t>avverkningsanmälan</t>
        </is>
      </c>
      <c r="C54" t="inlineStr">
        <is>
          <t>Föryngringsavverkning</t>
        </is>
      </c>
      <c r="D54" s="1" t="n">
        <v>46276</v>
      </c>
      <c r="E54" s="1" t="n">
        <v>46316</v>
      </c>
      <c r="F54" t="inlineStr">
        <is>
          <t>KRONOBERGS LÄN</t>
        </is>
      </c>
      <c r="G54" t="inlineStr">
        <is>
          <t>UPPVIDINGE</t>
        </is>
      </c>
      <c r="I54" t="n">
        <v>3.6</v>
      </c>
      <c r="J54" t="n">
        <v>2</v>
      </c>
      <c r="K54" t="n">
        <v>3</v>
      </c>
      <c r="L54" t="n">
        <v>1</v>
      </c>
      <c r="M54" t="n">
        <v>1</v>
      </c>
      <c r="N54" t="n">
        <v>0</v>
      </c>
      <c r="O54" t="n">
        <v>0</v>
      </c>
      <c r="P54" t="n">
        <v>0</v>
      </c>
      <c r="Q54" t="n">
        <v>2</v>
      </c>
      <c r="R54" t="n">
        <v>1</v>
      </c>
      <c r="S54" t="n">
        <v>6</v>
      </c>
      <c r="T54" t="n">
        <v>8</v>
      </c>
      <c r="U54" t="n">
        <v>0</v>
      </c>
      <c r="V54" s="2" t="inlineStr">
        <is>
          <t>Knärot
Fjällig taggsvamp s.str.
Blomkålssvamp
Grönpyrola
Vågbandad barkbock
Blåsippa</t>
        </is>
      </c>
      <c r="W54">
        <f>HYPERLINK("https://klasma.github.io/Logging_0760/artfynd/A 37515-2026 artfynd.xlsx", "A 37515-2026")</f>
        <v/>
      </c>
      <c r="X54">
        <f>HYPERLINK("https://klasma.github.io/Logging_0760/kartor/A 37515-2026 karta.png", "A 37515-2026")</f>
        <v/>
      </c>
      <c r="Y54">
        <f>HYPERLINK("https://klasma.github.io/Logging_0760/kartor_geotiff/A 37515-2026 georefererad karta.tif", "A 37515-2026")</f>
        <v/>
      </c>
      <c r="Z54">
        <f>HYPERLINK("https://klasma.github.io/Logging_0760/knärot/A 37515-2026 karta knärot.png", "A 37515-2026")</f>
        <v/>
      </c>
      <c r="AA54">
        <f>HYPERLINK("https://klasma.github.io/Logging_0760/klagomål/A 37515-2026 FSC-klagomål.docx", "A 37515-2026")</f>
        <v/>
      </c>
      <c r="AB54">
        <f>HYPERLINK("https://klasma.github.io/Logging_0760/klagomålsmail/A 37515-2026 FSC-klagomål mail.docx", "A 37515-2026")</f>
        <v/>
      </c>
      <c r="AC54">
        <f>HYPERLINK("https://klasma.github.io/Logging_0760/tillsyn/A 37515-2026 tillsynsbegäran.docx", "A 37515-2026")</f>
        <v/>
      </c>
      <c r="AD54">
        <f>HYPERLINK("https://klasma.github.io/Logging_0760/tillsynsmail/A 37515-2026 tillsynsbegäran mail.docx", "A 37515-2026")</f>
        <v/>
      </c>
    </row>
    <row r="55" ht="15" customHeight="1">
      <c r="A55" t="inlineStr">
        <is>
          <t>A 3128-2026</t>
        </is>
      </c>
      <c r="B55" t="inlineStr">
        <is>
          <t>avverkningsanmälan</t>
        </is>
      </c>
      <c r="C55" t="inlineStr">
        <is>
          <t>Föryngringsavverkning</t>
        </is>
      </c>
      <c r="D55" s="1" t="n">
        <v>46041</v>
      </c>
      <c r="E55" s="1" t="n">
        <v>46316</v>
      </c>
      <c r="F55" t="inlineStr">
        <is>
          <t>KRONOBERGS LÄN</t>
        </is>
      </c>
      <c r="G55" t="inlineStr">
        <is>
          <t>ÄLMHULT</t>
        </is>
      </c>
      <c r="I55" t="n">
        <v>2</v>
      </c>
      <c r="J55" t="n">
        <v>0</v>
      </c>
      <c r="K55" t="n">
        <v>4</v>
      </c>
      <c r="L55" t="n">
        <v>2</v>
      </c>
      <c r="M55" t="n">
        <v>0</v>
      </c>
      <c r="N55" t="n">
        <v>0</v>
      </c>
      <c r="O55" t="n">
        <v>0</v>
      </c>
      <c r="P55" t="n">
        <v>0</v>
      </c>
      <c r="Q55" t="n">
        <v>2</v>
      </c>
      <c r="R55" t="n">
        <v>0</v>
      </c>
      <c r="S55" t="n">
        <v>6</v>
      </c>
      <c r="T55" t="n">
        <v>9</v>
      </c>
      <c r="U55" t="n">
        <v>0</v>
      </c>
      <c r="V55" s="2" t="inlineStr">
        <is>
          <t>Motaggsvamp
Vedtrappmossa
Blåsfliksmossa
Rävticka
Skuggmossa
Västlig hakmossa</t>
        </is>
      </c>
      <c r="W55">
        <f>HYPERLINK("https://klasma.github.io/Logging_0765/artfynd/A 3128-2026 artfynd.xlsx", "A 3128-2026")</f>
        <v/>
      </c>
      <c r="X55">
        <f>HYPERLINK("https://klasma.github.io/Logging_0765/kartor/A 3128-2026 karta.png", "A 3128-2026")</f>
        <v/>
      </c>
      <c r="Y55">
        <f>HYPERLINK("https://klasma.github.io/Logging_0765/kartor_geotiff/A 3128-2026 georefererad karta.tif", "A 3128-2026")</f>
        <v/>
      </c>
      <c r="AA55">
        <f>HYPERLINK("https://klasma.github.io/Logging_0765/klagomål/A 3128-2026 FSC-klagomål.docx", "A 3128-2026")</f>
        <v/>
      </c>
      <c r="AB55">
        <f>HYPERLINK("https://klasma.github.io/Logging_0765/klagomålsmail/A 3128-2026 FSC-klagomål mail.docx", "A 3128-2026")</f>
        <v/>
      </c>
      <c r="AC55">
        <f>HYPERLINK("https://klasma.github.io/Logging_0765/tillsyn/A 3128-2026 tillsynsbegäran.docx", "A 3128-2026")</f>
        <v/>
      </c>
      <c r="AD55">
        <f>HYPERLINK("https://klasma.github.io/Logging_0765/tillsynsmail/A 3128-2026 tillsynsbegäran mail.docx", "A 3128-2026")</f>
        <v/>
      </c>
    </row>
    <row r="56" ht="15" customHeight="1">
      <c r="A56" t="inlineStr">
        <is>
          <t>A 26451-2026</t>
        </is>
      </c>
      <c r="B56" t="inlineStr">
        <is>
          <t>avverkningsanmälan</t>
        </is>
      </c>
      <c r="C56" t="inlineStr">
        <is>
          <t>Föryngringsavverkning</t>
        </is>
      </c>
      <c r="D56" s="1" t="n">
        <v>46183</v>
      </c>
      <c r="E56" s="1" t="n">
        <v>46316</v>
      </c>
      <c r="F56" t="inlineStr">
        <is>
          <t>KRONOBERGS LÄN</t>
        </is>
      </c>
      <c r="G56" t="inlineStr">
        <is>
          <t>UPPVIDINGE</t>
        </is>
      </c>
      <c r="I56" t="n">
        <v>1.1</v>
      </c>
      <c r="J56" t="n">
        <v>1</v>
      </c>
      <c r="K56" t="n">
        <v>1</v>
      </c>
      <c r="L56" t="n">
        <v>4</v>
      </c>
      <c r="M56" t="n">
        <v>1</v>
      </c>
      <c r="N56" t="n">
        <v>0</v>
      </c>
      <c r="O56" t="n">
        <v>0</v>
      </c>
      <c r="P56" t="n">
        <v>0</v>
      </c>
      <c r="Q56" t="n">
        <v>5</v>
      </c>
      <c r="R56" t="n">
        <v>1</v>
      </c>
      <c r="S56" t="n">
        <v>6</v>
      </c>
      <c r="T56" t="n">
        <v>13</v>
      </c>
      <c r="U56" t="n">
        <v>0</v>
      </c>
      <c r="V56" s="2" t="inlineStr">
        <is>
          <t>Knärot
Fjällig taggsvamp s.str.
Gropticka
Orange taggsvamp
Skarp dropptaggsvamp
Grönpyrola</t>
        </is>
      </c>
      <c r="W56">
        <f>HYPERLINK("https://klasma.github.io/Logging_0760/artfynd/A 26451-2026 artfynd.xlsx", "A 26451-2026")</f>
        <v/>
      </c>
      <c r="X56">
        <f>HYPERLINK("https://klasma.github.io/Logging_0760/kartor/A 26451-2026 karta.png", "A 26451-2026")</f>
        <v/>
      </c>
      <c r="Y56">
        <f>HYPERLINK("https://klasma.github.io/Logging_0760/kartor_geotiff/A 26451-2026 georefererad karta.tif", "A 26451-2026")</f>
        <v/>
      </c>
      <c r="Z56">
        <f>HYPERLINK("https://klasma.github.io/Logging_0760/knärot/A 26451-2026 karta knärot.png", "A 26451-2026")</f>
        <v/>
      </c>
      <c r="AA56">
        <f>HYPERLINK("https://klasma.github.io/Logging_0760/klagomål/A 26451-2026 FSC-klagomål.docx", "A 26451-2026")</f>
        <v/>
      </c>
      <c r="AB56">
        <f>HYPERLINK("https://klasma.github.io/Logging_0760/klagomålsmail/A 26451-2026 FSC-klagomål mail.docx", "A 26451-2026")</f>
        <v/>
      </c>
      <c r="AC56">
        <f>HYPERLINK("https://klasma.github.io/Logging_0760/tillsyn/A 26451-2026 tillsynsbegäran.docx", "A 26451-2026")</f>
        <v/>
      </c>
      <c r="AD56">
        <f>HYPERLINK("https://klasma.github.io/Logging_0760/tillsynsmail/A 26451-2026 tillsynsbegäran mail.docx", "A 26451-2026")</f>
        <v/>
      </c>
    </row>
    <row r="57" ht="15" customHeight="1">
      <c r="A57" t="inlineStr">
        <is>
          <t>S 1146-2023</t>
        </is>
      </c>
      <c r="B57" t="inlineStr">
        <is>
          <t>samrådsanmälan</t>
        </is>
      </c>
      <c r="C57" t="inlineStr">
        <is>
          <t>Askåterföring</t>
        </is>
      </c>
      <c r="D57" s="1" t="n">
        <v>45020</v>
      </c>
      <c r="E57" s="1" t="n">
        <v>46316</v>
      </c>
      <c r="F57" t="inlineStr">
        <is>
          <t>KRONOBERGS LÄN</t>
        </is>
      </c>
      <c r="G57" t="inlineStr">
        <is>
          <t>LJUNGBY</t>
        </is>
      </c>
      <c r="I57" t="n">
        <v>48.4</v>
      </c>
      <c r="J57" t="n">
        <v>4</v>
      </c>
      <c r="K57" t="n">
        <v>3</v>
      </c>
      <c r="L57" t="n">
        <v>1</v>
      </c>
      <c r="M57" t="n">
        <v>0</v>
      </c>
      <c r="N57" t="n">
        <v>0</v>
      </c>
      <c r="O57" t="n">
        <v>0</v>
      </c>
      <c r="P57" t="n">
        <v>0</v>
      </c>
      <c r="Q57" t="n">
        <v>1</v>
      </c>
      <c r="R57" t="n">
        <v>0</v>
      </c>
      <c r="S57" t="n">
        <v>6</v>
      </c>
      <c r="T57" t="n">
        <v>8</v>
      </c>
      <c r="U57" t="n">
        <v>5</v>
      </c>
      <c r="V57" s="2" t="inlineStr">
        <is>
          <t>Nordfladdermus
Fällmossa
Klippfrullania
Spindelblomster
Dvärgpipistrell
Vattenfladdermus</t>
        </is>
      </c>
      <c r="W57">
        <f>HYPERLINK("https://klasma.github.io/Logging_0781/artfynd/S 1146-2023 artfynd.xlsx", "S 1146-2023")</f>
        <v/>
      </c>
      <c r="X57">
        <f>HYPERLINK("https://klasma.github.io/Logging_0781/kartor/S 1146-2023 karta.png", "S 1146-2023")</f>
        <v/>
      </c>
      <c r="Y57">
        <f>HYPERLINK("https://klasma.github.io/Logging_0781/kartor_geotiff/S 1146-2023 georefererad karta.tif", "S 1146-2023")</f>
        <v/>
      </c>
      <c r="AA57">
        <f>HYPERLINK("https://klasma.github.io/Logging_0781/klagomål/S 1146-2023 FSC-klagomål.docx", "S 1146-2023")</f>
        <v/>
      </c>
      <c r="AB57">
        <f>HYPERLINK("https://klasma.github.io/Logging_0781/klagomålsmail/S 1146-2023 FSC-klagomål mail.docx", "S 1146-2023")</f>
        <v/>
      </c>
      <c r="AC57">
        <f>HYPERLINK("https://klasma.github.io/Logging_0781/tillsyn/S 1146-2023 tillsynsbegäran.docx", "S 1146-2023")</f>
        <v/>
      </c>
      <c r="AD57">
        <f>HYPERLINK("https://klasma.github.io/Logging_0781/tillsynsmail/S 1146-2023 tillsynsbegäran mail.docx", "S 1146-2023")</f>
        <v/>
      </c>
    </row>
    <row r="58" ht="15" customHeight="1">
      <c r="A58" t="inlineStr">
        <is>
          <t>S 1138-2025</t>
        </is>
      </c>
      <c r="B58" t="inlineStr">
        <is>
          <t>samrådsanmälan</t>
        </is>
      </c>
      <c r="C58" t="inlineStr">
        <is>
          <t>Annan skogsbruksåtgärd</t>
        </is>
      </c>
      <c r="D58" s="1" t="n">
        <v>45754</v>
      </c>
      <c r="E58" s="1" t="n">
        <v>46316</v>
      </c>
      <c r="F58" t="inlineStr">
        <is>
          <t>KRONOBERGS LÄN</t>
        </is>
      </c>
      <c r="G58" t="inlineStr">
        <is>
          <t>LJUNGBY</t>
        </is>
      </c>
      <c r="H58" t="inlineStr">
        <is>
          <t>Sveaskog</t>
        </is>
      </c>
      <c r="I58" t="n">
        <v>9.6</v>
      </c>
      <c r="J58" t="n">
        <v>1</v>
      </c>
      <c r="K58" t="n">
        <v>4</v>
      </c>
      <c r="L58" t="n">
        <v>1</v>
      </c>
      <c r="M58" t="n">
        <v>0</v>
      </c>
      <c r="N58" t="n">
        <v>0</v>
      </c>
      <c r="O58" t="n">
        <v>0</v>
      </c>
      <c r="P58" t="n">
        <v>0</v>
      </c>
      <c r="Q58" t="n">
        <v>1</v>
      </c>
      <c r="R58" t="n">
        <v>0</v>
      </c>
      <c r="S58" t="n">
        <v>6</v>
      </c>
      <c r="T58" t="n">
        <v>15</v>
      </c>
      <c r="U58" t="n">
        <v>12</v>
      </c>
      <c r="V58" s="2" t="inlineStr">
        <is>
          <t>Dvärgbägarlav
Bokfjädermossa
Bårdlav
Fällmossa
Klippfrullania
Gröngöling</t>
        </is>
      </c>
      <c r="W58">
        <f>HYPERLINK("https://klasma.github.io/Logging_0781/artfynd/S 1138-2025 artfynd.xlsx", "S 1138-2025")</f>
        <v/>
      </c>
      <c r="X58">
        <f>HYPERLINK("https://klasma.github.io/Logging_0781/kartor/S 1138-2025 karta.png", "S 1138-2025")</f>
        <v/>
      </c>
      <c r="Y58">
        <f>HYPERLINK("https://klasma.github.io/Logging_0781/kartor_geotiff/S 1138-2025 georefererad karta.tif", "S 1138-2025")</f>
        <v/>
      </c>
      <c r="AA58">
        <f>HYPERLINK("https://klasma.github.io/Logging_0781/klagomål/S 1138-2025 FSC-klagomål.docx", "S 1138-2025")</f>
        <v/>
      </c>
      <c r="AB58">
        <f>HYPERLINK("https://klasma.github.io/Logging_0781/klagomålsmail/S 1138-2025 FSC-klagomål mail.docx", "S 1138-2025")</f>
        <v/>
      </c>
      <c r="AC58">
        <f>HYPERLINK("https://klasma.github.io/Logging_0781/tillsyn/S 1138-2025 tillsynsbegäran.docx", "S 1138-2025")</f>
        <v/>
      </c>
      <c r="AD58">
        <f>HYPERLINK("https://klasma.github.io/Logging_0781/tillsynsmail/S 1138-2025 tillsynsbegäran mail.docx", "S 1138-2025")</f>
        <v/>
      </c>
    </row>
    <row r="59" ht="15" customHeight="1">
      <c r="A59" t="inlineStr">
        <is>
          <t>S 1913-2025</t>
        </is>
      </c>
      <c r="B59" t="inlineStr">
        <is>
          <t>samrådsanmälan</t>
        </is>
      </c>
      <c r="C59" t="inlineStr">
        <is>
          <t>Annan skogsbruksåtgärd</t>
        </is>
      </c>
      <c r="D59" s="1" t="n">
        <v>45826</v>
      </c>
      <c r="E59" s="1" t="n">
        <v>46316</v>
      </c>
      <c r="F59" t="inlineStr">
        <is>
          <t>KRONOBERGS LÄN</t>
        </is>
      </c>
      <c r="G59" t="inlineStr">
        <is>
          <t>LJUNGBY</t>
        </is>
      </c>
      <c r="I59" t="n">
        <v>9.800000000000001</v>
      </c>
      <c r="J59" t="n">
        <v>1</v>
      </c>
      <c r="K59" t="n">
        <v>4</v>
      </c>
      <c r="L59" t="n">
        <v>1</v>
      </c>
      <c r="M59" t="n">
        <v>0</v>
      </c>
      <c r="N59" t="n">
        <v>0</v>
      </c>
      <c r="O59" t="n">
        <v>0</v>
      </c>
      <c r="P59" t="n">
        <v>0</v>
      </c>
      <c r="Q59" t="n">
        <v>1</v>
      </c>
      <c r="R59" t="n">
        <v>0</v>
      </c>
      <c r="S59" t="n">
        <v>6</v>
      </c>
      <c r="T59" t="n">
        <v>11</v>
      </c>
      <c r="U59" t="n">
        <v>1</v>
      </c>
      <c r="V59" s="2" t="inlineStr">
        <is>
          <t>Kandelabersvamp
Fällmossa
Guldlockmossa
Klippfrullania
Lindskål
Blåsippa</t>
        </is>
      </c>
      <c r="W59">
        <f>HYPERLINK("https://klasma.github.io/Logging_0781/artfynd/S 1913-2025 artfynd.xlsx", "S 1913-2025")</f>
        <v/>
      </c>
      <c r="X59">
        <f>HYPERLINK("https://klasma.github.io/Logging_0781/kartor/S 1913-2025 karta.png", "S 1913-2025")</f>
        <v/>
      </c>
      <c r="Y59">
        <f>HYPERLINK("https://klasma.github.io/Logging_0781/kartor_geotiff/S 1913-2025 georefererad karta.tif", "S 1913-2025")</f>
        <v/>
      </c>
      <c r="AA59">
        <f>HYPERLINK("https://klasma.github.io/Logging_0781/klagomål/S 1913-2025 FSC-klagomål.docx", "S 1913-2025")</f>
        <v/>
      </c>
      <c r="AB59">
        <f>HYPERLINK("https://klasma.github.io/Logging_0781/klagomålsmail/S 1913-2025 FSC-klagomål mail.docx", "S 1913-2025")</f>
        <v/>
      </c>
      <c r="AC59">
        <f>HYPERLINK("https://klasma.github.io/Logging_0781/tillsyn/S 1913-2025 tillsynsbegäran.docx", "S 1913-2025")</f>
        <v/>
      </c>
      <c r="AD59">
        <f>HYPERLINK("https://klasma.github.io/Logging_0781/tillsynsmail/S 1913-2025 tillsynsbegäran mail.docx", "S 1913-2025")</f>
        <v/>
      </c>
    </row>
    <row r="60" ht="15" customHeight="1">
      <c r="A60" t="inlineStr">
        <is>
          <t>S 2230-2025</t>
        </is>
      </c>
      <c r="B60" t="inlineStr">
        <is>
          <t>samrådsanmälan</t>
        </is>
      </c>
      <c r="C60" t="inlineStr">
        <is>
          <t>Askåterföring</t>
        </is>
      </c>
      <c r="D60" s="1" t="n">
        <v>45867</v>
      </c>
      <c r="E60" s="1" t="n">
        <v>46316</v>
      </c>
      <c r="F60" t="inlineStr">
        <is>
          <t>KRONOBERGS LÄN</t>
        </is>
      </c>
      <c r="G60" t="inlineStr">
        <is>
          <t>LJUNGBY</t>
        </is>
      </c>
      <c r="I60" t="n">
        <v>13.2</v>
      </c>
      <c r="J60" t="n">
        <v>6</v>
      </c>
      <c r="K60" t="n">
        <v>0</v>
      </c>
      <c r="L60" t="n">
        <v>4</v>
      </c>
      <c r="M60" t="n">
        <v>0</v>
      </c>
      <c r="N60" t="n">
        <v>0</v>
      </c>
      <c r="O60" t="n">
        <v>0</v>
      </c>
      <c r="P60" t="n">
        <v>0</v>
      </c>
      <c r="Q60" t="n">
        <v>4</v>
      </c>
      <c r="R60" t="n">
        <v>0</v>
      </c>
      <c r="S60" t="n">
        <v>6</v>
      </c>
      <c r="T60" t="n">
        <v>6</v>
      </c>
      <c r="U60" t="n">
        <v>0</v>
      </c>
      <c r="V60" s="2" t="inlineStr">
        <is>
          <t>Barbastell
Brunlångöra
Fransfladdermus
Nordfladdermus
Dvärgpipistrell
Vattenfladdermus</t>
        </is>
      </c>
      <c r="W60">
        <f>HYPERLINK("https://klasma.github.io/Logging_0781/artfynd/S 2230-2025 artfynd.xlsx", "S 2230-2025")</f>
        <v/>
      </c>
      <c r="X60">
        <f>HYPERLINK("https://klasma.github.io/Logging_0781/kartor/S 2230-2025 karta.png", "S 2230-2025")</f>
        <v/>
      </c>
      <c r="Y60">
        <f>HYPERLINK("https://klasma.github.io/Logging_0781/kartor_geotiff/S 2230-2025 georefererad karta.tif", "S 2230-2025")</f>
        <v/>
      </c>
      <c r="AA60">
        <f>HYPERLINK("https://klasma.github.io/Logging_0781/klagomål/S 2230-2025 FSC-klagomål.docx", "S 2230-2025")</f>
        <v/>
      </c>
      <c r="AB60">
        <f>HYPERLINK("https://klasma.github.io/Logging_0781/klagomålsmail/S 2230-2025 FSC-klagomål mail.docx", "S 2230-2025")</f>
        <v/>
      </c>
      <c r="AC60">
        <f>HYPERLINK("https://klasma.github.io/Logging_0781/tillsyn/S 2230-2025 tillsynsbegäran.docx", "S 2230-2025")</f>
        <v/>
      </c>
      <c r="AD60">
        <f>HYPERLINK("https://klasma.github.io/Logging_0781/tillsynsmail/S 2230-2025 tillsynsbegäran mail.docx", "S 2230-2025")</f>
        <v/>
      </c>
    </row>
    <row r="61" ht="15" customHeight="1">
      <c r="A61" t="inlineStr">
        <is>
          <t>S 1188-2026</t>
        </is>
      </c>
      <c r="B61" t="inlineStr">
        <is>
          <t>samrådsanmälan</t>
        </is>
      </c>
      <c r="C61" t="inlineStr">
        <is>
          <t>Annan skogsbruksåtgärd</t>
        </is>
      </c>
      <c r="D61" s="1" t="n">
        <v>46139</v>
      </c>
      <c r="E61" s="1" t="n">
        <v>46316</v>
      </c>
      <c r="F61" t="inlineStr">
        <is>
          <t>KRONOBERGS LÄN</t>
        </is>
      </c>
      <c r="G61" t="inlineStr">
        <is>
          <t>LJUNGBY</t>
        </is>
      </c>
      <c r="I61" t="n">
        <v>1.9</v>
      </c>
      <c r="J61" t="n">
        <v>0</v>
      </c>
      <c r="K61" t="n">
        <v>4</v>
      </c>
      <c r="L61" t="n">
        <v>2</v>
      </c>
      <c r="M61" t="n">
        <v>0</v>
      </c>
      <c r="N61" t="n">
        <v>0</v>
      </c>
      <c r="O61" t="n">
        <v>0</v>
      </c>
      <c r="P61" t="n">
        <v>0</v>
      </c>
      <c r="Q61" t="n">
        <v>2</v>
      </c>
      <c r="R61" t="n">
        <v>0</v>
      </c>
      <c r="S61" t="n">
        <v>6</v>
      </c>
      <c r="T61" t="n">
        <v>9</v>
      </c>
      <c r="U61" t="n">
        <v>0</v>
      </c>
      <c r="V61" s="2" t="inlineStr">
        <is>
          <t>Bokkantlav
Bokvårtlav
Havstulpanlav
Klippfrullania
Platt fjädermossa
Trädporella</t>
        </is>
      </c>
      <c r="W61">
        <f>HYPERLINK("https://klasma.github.io/Logging_0781/artfynd/S 1188-2026 artfynd.xlsx", "S 1188-2026")</f>
        <v/>
      </c>
      <c r="X61">
        <f>HYPERLINK("https://klasma.github.io/Logging_0781/kartor/S 1188-2026 karta.png", "S 1188-2026")</f>
        <v/>
      </c>
      <c r="Y61">
        <f>HYPERLINK("https://klasma.github.io/Logging_0781/kartor_geotiff/S 1188-2026 georefererad karta.tif", "S 1188-2026")</f>
        <v/>
      </c>
      <c r="AA61">
        <f>HYPERLINK("https://klasma.github.io/Logging_0781/klagomål/S 1188-2026 FSC-klagomål.docx", "S 1188-2026")</f>
        <v/>
      </c>
      <c r="AB61">
        <f>HYPERLINK("https://klasma.github.io/Logging_0781/klagomålsmail/S 1188-2026 FSC-klagomål mail.docx", "S 1188-2026")</f>
        <v/>
      </c>
      <c r="AC61">
        <f>HYPERLINK("https://klasma.github.io/Logging_0781/tillsyn/S 1188-2026 tillsynsbegäran.docx", "S 1188-2026")</f>
        <v/>
      </c>
      <c r="AD61">
        <f>HYPERLINK("https://klasma.github.io/Logging_0781/tillsynsmail/S 1188-2026 tillsynsbegäran mail.docx", "S 1188-2026")</f>
        <v/>
      </c>
    </row>
    <row r="62" ht="15" customHeight="1">
      <c r="A62" t="inlineStr">
        <is>
          <t>S 1460-2026</t>
        </is>
      </c>
      <c r="B62" t="inlineStr">
        <is>
          <t>samrådsanmälan</t>
        </is>
      </c>
      <c r="C62" t="inlineStr">
        <is>
          <t>Askåterföring</t>
        </is>
      </c>
      <c r="D62" s="1" t="n">
        <v>46161</v>
      </c>
      <c r="E62" s="1" t="n">
        <v>46316</v>
      </c>
      <c r="F62" t="inlineStr">
        <is>
          <t>KRONOBERGS LÄN</t>
        </is>
      </c>
      <c r="G62" t="inlineStr">
        <is>
          <t>LJUNGBY</t>
        </is>
      </c>
      <c r="I62" t="n">
        <v>12</v>
      </c>
      <c r="J62" t="n">
        <v>6</v>
      </c>
      <c r="K62" t="n">
        <v>0</v>
      </c>
      <c r="L62" t="n">
        <v>4</v>
      </c>
      <c r="M62" t="n">
        <v>0</v>
      </c>
      <c r="N62" t="n">
        <v>0</v>
      </c>
      <c r="O62" t="n">
        <v>0</v>
      </c>
      <c r="P62" t="n">
        <v>0</v>
      </c>
      <c r="Q62" t="n">
        <v>4</v>
      </c>
      <c r="R62" t="n">
        <v>0</v>
      </c>
      <c r="S62" t="n">
        <v>6</v>
      </c>
      <c r="T62" t="n">
        <v>6</v>
      </c>
      <c r="U62" t="n">
        <v>0</v>
      </c>
      <c r="V62" s="2" t="inlineStr">
        <is>
          <t>Barbastell
Brunlångöra
Fransfladdermus
Nordfladdermus
Dvärgpipistrell
Vattenfladdermus</t>
        </is>
      </c>
      <c r="W62">
        <f>HYPERLINK("https://klasma.github.io/Logging_0781/artfynd/S 1460-2026 artfynd.xlsx", "S 1460-2026")</f>
        <v/>
      </c>
      <c r="X62">
        <f>HYPERLINK("https://klasma.github.io/Logging_0781/kartor/S 1460-2026 karta.png", "S 1460-2026")</f>
        <v/>
      </c>
      <c r="Y62">
        <f>HYPERLINK("https://klasma.github.io/Logging_0781/kartor_geotiff/S 1460-2026 georefererad karta.tif", "S 1460-2026")</f>
        <v/>
      </c>
      <c r="AA62">
        <f>HYPERLINK("https://klasma.github.io/Logging_0781/klagomål/S 1460-2026 FSC-klagomål.docx", "S 1460-2026")</f>
        <v/>
      </c>
      <c r="AB62">
        <f>HYPERLINK("https://klasma.github.io/Logging_0781/klagomålsmail/S 1460-2026 FSC-klagomål mail.docx", "S 1460-2026")</f>
        <v/>
      </c>
      <c r="AC62">
        <f>HYPERLINK("https://klasma.github.io/Logging_0781/tillsyn/S 1460-2026 tillsynsbegäran.docx", "S 1460-2026")</f>
        <v/>
      </c>
      <c r="AD62">
        <f>HYPERLINK("https://klasma.github.io/Logging_0781/tillsynsmail/S 1460-2026 tillsynsbegäran mail.docx", "S 1460-2026")</f>
        <v/>
      </c>
    </row>
    <row r="63" ht="15" customHeight="1">
      <c r="A63" t="inlineStr">
        <is>
          <t>A 5027-2023</t>
        </is>
      </c>
      <c r="B63" t="inlineStr">
        <is>
          <t>avverkningsanmälan</t>
        </is>
      </c>
      <c r="C63" t="inlineStr">
        <is>
          <t>Föryngringsavverkning</t>
        </is>
      </c>
      <c r="D63" s="1" t="n">
        <v>44958</v>
      </c>
      <c r="E63" s="1" t="n">
        <v>46316</v>
      </c>
      <c r="F63" t="inlineStr">
        <is>
          <t>KRONOBERGS LÄN</t>
        </is>
      </c>
      <c r="G63" t="inlineStr">
        <is>
          <t>VÄXJÖ</t>
        </is>
      </c>
      <c r="I63" t="n">
        <v>3.1</v>
      </c>
      <c r="J63" t="n">
        <v>5</v>
      </c>
      <c r="K63" t="n">
        <v>0</v>
      </c>
      <c r="L63" t="n">
        <v>2</v>
      </c>
      <c r="M63" t="n">
        <v>0</v>
      </c>
      <c r="N63" t="n">
        <v>0</v>
      </c>
      <c r="O63" t="n">
        <v>0</v>
      </c>
      <c r="P63" t="n">
        <v>0</v>
      </c>
      <c r="Q63" t="n">
        <v>2</v>
      </c>
      <c r="R63" t="n">
        <v>0</v>
      </c>
      <c r="S63" t="n">
        <v>5</v>
      </c>
      <c r="T63" t="n">
        <v>10</v>
      </c>
      <c r="U63" t="n">
        <v>10</v>
      </c>
      <c r="V63" s="2" t="inlineStr">
        <is>
          <t>Gulsparv
Göktyta
Kråka
Kungsfågel
Törnskata</t>
        </is>
      </c>
      <c r="W63">
        <f>HYPERLINK("https://klasma.github.io/Logging_0780/artfynd/A 5027-2023 artfynd.xlsx", "A 5027-2023")</f>
        <v/>
      </c>
      <c r="X63">
        <f>HYPERLINK("https://klasma.github.io/Logging_0780/kartor/A 5027-2023 karta.png", "A 5027-2023")</f>
        <v/>
      </c>
      <c r="Y63">
        <f>HYPERLINK("https://klasma.github.io/Logging_0780/kartor_geotiff/A 5027-2023 georefererad karta.tif", "A 5027-2023")</f>
        <v/>
      </c>
      <c r="AA63">
        <f>HYPERLINK("https://klasma.github.io/Logging_0780/klagomål/A 5027-2023 FSC-klagomål.docx", "A 5027-2023")</f>
        <v/>
      </c>
      <c r="AB63">
        <f>HYPERLINK("https://klasma.github.io/Logging_0780/klagomålsmail/A 5027-2023 FSC-klagomål mail.docx", "A 5027-2023")</f>
        <v/>
      </c>
      <c r="AC63">
        <f>HYPERLINK("https://klasma.github.io/Logging_0780/tillsyn/A 5027-2023 tillsynsbegäran.docx", "A 5027-2023")</f>
        <v/>
      </c>
      <c r="AD63">
        <f>HYPERLINK("https://klasma.github.io/Logging_0780/tillsynsmail/A 5027-2023 tillsynsbegäran mail.docx", "A 5027-2023")</f>
        <v/>
      </c>
      <c r="AE63">
        <f>HYPERLINK("https://klasma.github.io/Logging_0780/fåglar/A 5027-2023 prioriterade fågelarter.docx", "A 5027-2023")</f>
        <v/>
      </c>
    </row>
    <row r="64" ht="15" customHeight="1">
      <c r="A64" t="inlineStr">
        <is>
          <t>A 59538-2024</t>
        </is>
      </c>
      <c r="B64" t="inlineStr">
        <is>
          <t>avverkningsanmälan</t>
        </is>
      </c>
      <c r="C64" t="inlineStr">
        <is>
          <t>Föryngringsavverkning</t>
        </is>
      </c>
      <c r="D64" s="1" t="n">
        <v>45637</v>
      </c>
      <c r="E64" s="1" t="n">
        <v>46316</v>
      </c>
      <c r="F64" t="inlineStr">
        <is>
          <t>KRONOBERGS LÄN</t>
        </is>
      </c>
      <c r="G64" t="inlineStr">
        <is>
          <t>ALVESTA</t>
        </is>
      </c>
      <c r="I64" t="n">
        <v>2.2</v>
      </c>
      <c r="J64" t="n">
        <v>5</v>
      </c>
      <c r="K64" t="n">
        <v>0</v>
      </c>
      <c r="L64" t="n">
        <v>1</v>
      </c>
      <c r="M64" t="n">
        <v>0</v>
      </c>
      <c r="N64" t="n">
        <v>0</v>
      </c>
      <c r="O64" t="n">
        <v>0</v>
      </c>
      <c r="P64" t="n">
        <v>0</v>
      </c>
      <c r="Q64" t="n">
        <v>1</v>
      </c>
      <c r="R64" t="n">
        <v>0</v>
      </c>
      <c r="S64" t="n">
        <v>5</v>
      </c>
      <c r="T64" t="n">
        <v>5</v>
      </c>
      <c r="U64" t="n">
        <v>5</v>
      </c>
      <c r="V64" s="2" t="inlineStr">
        <is>
          <t>Nordfladdermus
Dvärgpipistrell
Större brunfladdermus
Trollpipistrell
Vattenfladdermus</t>
        </is>
      </c>
      <c r="W64">
        <f>HYPERLINK("https://klasma.github.io/Logging_0764/artfynd/A 59538-2024 artfynd.xlsx", "A 59538-2024")</f>
        <v/>
      </c>
      <c r="X64">
        <f>HYPERLINK("https://klasma.github.io/Logging_0764/kartor/A 59538-2024 karta.png", "A 59538-2024")</f>
        <v/>
      </c>
      <c r="Y64">
        <f>HYPERLINK("https://klasma.github.io/Logging_0764/kartor_geotiff/A 59538-2024 georefererad karta.tif", "A 59538-2024")</f>
        <v/>
      </c>
      <c r="AA64">
        <f>HYPERLINK("https://klasma.github.io/Logging_0764/klagomål/A 59538-2024 FSC-klagomål.docx", "A 59538-2024")</f>
        <v/>
      </c>
      <c r="AB64">
        <f>HYPERLINK("https://klasma.github.io/Logging_0764/klagomålsmail/A 59538-2024 FSC-klagomål mail.docx", "A 59538-2024")</f>
        <v/>
      </c>
      <c r="AC64">
        <f>HYPERLINK("https://klasma.github.io/Logging_0764/tillsyn/A 59538-2024 tillsynsbegäran.docx", "A 59538-2024")</f>
        <v/>
      </c>
      <c r="AD64">
        <f>HYPERLINK("https://klasma.github.io/Logging_0764/tillsynsmail/A 59538-2024 tillsynsbegäran mail.docx", "A 59538-2024")</f>
        <v/>
      </c>
    </row>
    <row r="65" ht="15" customHeight="1">
      <c r="A65" t="inlineStr">
        <is>
          <t>A 10489-2024</t>
        </is>
      </c>
      <c r="B65" t="inlineStr">
        <is>
          <t>avverkningsanmälan</t>
        </is>
      </c>
      <c r="C65" t="inlineStr">
        <is>
          <t>Föryngringsavverkning</t>
        </is>
      </c>
      <c r="D65" s="1" t="n">
        <v>45366</v>
      </c>
      <c r="E65" s="1" t="n">
        <v>46316</v>
      </c>
      <c r="F65" t="inlineStr">
        <is>
          <t>KRONOBERGS LÄN</t>
        </is>
      </c>
      <c r="G65" t="inlineStr">
        <is>
          <t>UPPVIDINGE</t>
        </is>
      </c>
      <c r="I65" t="n">
        <v>3.8</v>
      </c>
      <c r="J65" t="n">
        <v>1</v>
      </c>
      <c r="K65" t="n">
        <v>2</v>
      </c>
      <c r="L65" t="n">
        <v>1</v>
      </c>
      <c r="M65" t="n">
        <v>1</v>
      </c>
      <c r="N65" t="n">
        <v>0</v>
      </c>
      <c r="O65" t="n">
        <v>0</v>
      </c>
      <c r="P65" t="n">
        <v>0</v>
      </c>
      <c r="Q65" t="n">
        <v>2</v>
      </c>
      <c r="R65" t="n">
        <v>1</v>
      </c>
      <c r="S65" t="n">
        <v>5</v>
      </c>
      <c r="T65" t="n">
        <v>8</v>
      </c>
      <c r="U65" t="n">
        <v>1</v>
      </c>
      <c r="V65" s="2" t="inlineStr">
        <is>
          <t>Aspgelélav
Lunglav
Bårdlav
Fällmossa
Blåsippa</t>
        </is>
      </c>
      <c r="W65">
        <f>HYPERLINK("https://klasma.github.io/Logging_0760/artfynd/A 10489-2024 artfynd.xlsx", "A 10489-2024")</f>
        <v/>
      </c>
      <c r="X65">
        <f>HYPERLINK("https://klasma.github.io/Logging_0760/kartor/A 10489-2024 karta.png", "A 10489-2024")</f>
        <v/>
      </c>
      <c r="Y65">
        <f>HYPERLINK("https://klasma.github.io/Logging_0760/kartor_geotiff/A 10489-2024 georefererad karta.tif", "A 10489-2024")</f>
        <v/>
      </c>
      <c r="AA65">
        <f>HYPERLINK("https://klasma.github.io/Logging_0760/klagomål/A 10489-2024 FSC-klagomål.docx", "A 10489-2024")</f>
        <v/>
      </c>
      <c r="AB65">
        <f>HYPERLINK("https://klasma.github.io/Logging_0760/klagomålsmail/A 10489-2024 FSC-klagomål mail.docx", "A 10489-2024")</f>
        <v/>
      </c>
      <c r="AC65">
        <f>HYPERLINK("https://klasma.github.io/Logging_0760/tillsyn/A 10489-2024 tillsynsbegäran.docx", "A 10489-2024")</f>
        <v/>
      </c>
      <c r="AD65">
        <f>HYPERLINK("https://klasma.github.io/Logging_0760/tillsynsmail/A 10489-2024 tillsynsbegäran mail.docx", "A 10489-2024")</f>
        <v/>
      </c>
    </row>
    <row r="66" ht="15" customHeight="1">
      <c r="A66" t="inlineStr">
        <is>
          <t>A 28253-2026</t>
        </is>
      </c>
      <c r="B66" t="inlineStr">
        <is>
          <t>avverkningsanmälan</t>
        </is>
      </c>
      <c r="C66" t="inlineStr">
        <is>
          <t>Avverkning för annat ändamål</t>
        </is>
      </c>
      <c r="D66" s="1" t="n">
        <v>46196</v>
      </c>
      <c r="E66" s="1" t="n">
        <v>46316</v>
      </c>
      <c r="F66" t="inlineStr">
        <is>
          <t>KRONOBERGS LÄN</t>
        </is>
      </c>
      <c r="G66" t="inlineStr">
        <is>
          <t>TINGSRYD</t>
        </is>
      </c>
      <c r="I66" t="n">
        <v>0.6</v>
      </c>
      <c r="J66" t="n">
        <v>5</v>
      </c>
      <c r="K66" t="n">
        <v>0</v>
      </c>
      <c r="L66" t="n">
        <v>2</v>
      </c>
      <c r="M66" t="n">
        <v>0</v>
      </c>
      <c r="N66" t="n">
        <v>0</v>
      </c>
      <c r="O66" t="n">
        <v>0</v>
      </c>
      <c r="P66" t="n">
        <v>0</v>
      </c>
      <c r="Q66" t="n">
        <v>2</v>
      </c>
      <c r="R66" t="n">
        <v>0</v>
      </c>
      <c r="S66" t="n">
        <v>5</v>
      </c>
      <c r="T66" t="n">
        <v>5</v>
      </c>
      <c r="U66" t="n">
        <v>0</v>
      </c>
      <c r="V66" s="2" t="inlineStr">
        <is>
          <t>Nordfladdermus
Sydfladdermus
Dvärgpipistrell
Större brunfladdermus
Trollpipistrell</t>
        </is>
      </c>
      <c r="W66">
        <f>HYPERLINK("https://klasma.github.io/Logging_0763/artfynd/A 28253-2026 artfynd.xlsx", "A 28253-2026")</f>
        <v/>
      </c>
      <c r="X66">
        <f>HYPERLINK("https://klasma.github.io/Logging_0763/kartor/A 28253-2026 karta.png", "A 28253-2026")</f>
        <v/>
      </c>
      <c r="Y66">
        <f>HYPERLINK("https://klasma.github.io/Logging_0763/kartor_geotiff/A 28253-2026 georefererad karta.tif", "A 28253-2026")</f>
        <v/>
      </c>
      <c r="AA66">
        <f>HYPERLINK("https://klasma.github.io/Logging_0763/klagomål/A 28253-2026 FSC-klagomål.docx", "A 28253-2026")</f>
        <v/>
      </c>
      <c r="AB66">
        <f>HYPERLINK("https://klasma.github.io/Logging_0763/klagomålsmail/A 28253-2026 FSC-klagomål mail.docx", "A 28253-2026")</f>
        <v/>
      </c>
      <c r="AC66">
        <f>HYPERLINK("https://klasma.github.io/Logging_0763/tillsyn/A 28253-2026 tillsynsbegäran.docx", "A 28253-2026")</f>
        <v/>
      </c>
      <c r="AD66">
        <f>HYPERLINK("https://klasma.github.io/Logging_0763/tillsynsmail/A 28253-2026 tillsynsbegäran mail.docx", "A 28253-2026")</f>
        <v/>
      </c>
    </row>
    <row r="67" ht="15" customHeight="1">
      <c r="A67" t="inlineStr">
        <is>
          <t>A 27619-2022</t>
        </is>
      </c>
      <c r="B67" t="inlineStr">
        <is>
          <t>avverkningsanmälan</t>
        </is>
      </c>
      <c r="C67" t="inlineStr">
        <is>
          <t>Avverkning för annat ändamål</t>
        </is>
      </c>
      <c r="D67" s="1" t="n">
        <v>44743</v>
      </c>
      <c r="E67" s="1" t="n">
        <v>46316</v>
      </c>
      <c r="F67" t="inlineStr">
        <is>
          <t>KRONOBERGS LÄN</t>
        </is>
      </c>
      <c r="G67" t="inlineStr">
        <is>
          <t>MARKARYD</t>
        </is>
      </c>
      <c r="I67" t="n">
        <v>25.7</v>
      </c>
      <c r="J67" t="n">
        <v>3</v>
      </c>
      <c r="K67" t="n">
        <v>2</v>
      </c>
      <c r="L67" t="n">
        <v>0</v>
      </c>
      <c r="M67" t="n">
        <v>0</v>
      </c>
      <c r="N67" t="n">
        <v>0</v>
      </c>
      <c r="O67" t="n">
        <v>0</v>
      </c>
      <c r="P67" t="n">
        <v>0</v>
      </c>
      <c r="Q67" t="n">
        <v>0</v>
      </c>
      <c r="R67" t="n">
        <v>0</v>
      </c>
      <c r="S67" t="n">
        <v>5</v>
      </c>
      <c r="T67" t="n">
        <v>5</v>
      </c>
      <c r="U67" t="n">
        <v>1</v>
      </c>
      <c r="V67" s="2" t="inlineStr">
        <is>
          <t>Blanksvart trämyra
Västlig hakmossa
Kungsfågel
Sångsvan
Huggorm</t>
        </is>
      </c>
      <c r="W67">
        <f>HYPERLINK("https://klasma.github.io/Logging_0767/artfynd/A 27619-2022 artfynd.xlsx", "A 27619-2022")</f>
        <v/>
      </c>
      <c r="X67">
        <f>HYPERLINK("https://klasma.github.io/Logging_0767/kartor/A 27619-2022 karta.png", "A 27619-2022")</f>
        <v/>
      </c>
      <c r="Y67">
        <f>HYPERLINK("https://klasma.github.io/Logging_0767/kartor_geotiff/A 27619-2022 georefererad karta.tif", "A 27619-2022")</f>
        <v/>
      </c>
      <c r="AA67">
        <f>HYPERLINK("https://klasma.github.io/Logging_0767/klagomål/A 27619-2022 FSC-klagomål.docx", "A 27619-2022")</f>
        <v/>
      </c>
      <c r="AB67">
        <f>HYPERLINK("https://klasma.github.io/Logging_0767/klagomålsmail/A 27619-2022 FSC-klagomål mail.docx", "A 27619-2022")</f>
        <v/>
      </c>
      <c r="AC67">
        <f>HYPERLINK("https://klasma.github.io/Logging_0767/tillsyn/A 27619-2022 tillsynsbegäran.docx", "A 27619-2022")</f>
        <v/>
      </c>
      <c r="AD67">
        <f>HYPERLINK("https://klasma.github.io/Logging_0767/tillsynsmail/A 27619-2022 tillsynsbegäran mail.docx", "A 27619-2022")</f>
        <v/>
      </c>
      <c r="AE67">
        <f>HYPERLINK("https://klasma.github.io/Logging_0767/fåglar/A 27619-2022 prioriterade fågelarter.docx", "A 27619-2022")</f>
        <v/>
      </c>
    </row>
    <row r="68" ht="15" customHeight="1">
      <c r="A68" t="inlineStr">
        <is>
          <t>A 24339-2023</t>
        </is>
      </c>
      <c r="B68" t="inlineStr">
        <is>
          <t>avverkningsanmälan</t>
        </is>
      </c>
      <c r="C68" t="inlineStr">
        <is>
          <t>Avverkning för annat ändamål</t>
        </is>
      </c>
      <c r="D68" s="1" t="n">
        <v>45081</v>
      </c>
      <c r="E68" s="1" t="n">
        <v>46316</v>
      </c>
      <c r="F68" t="inlineStr">
        <is>
          <t>KRONOBERGS LÄN</t>
        </is>
      </c>
      <c r="G68" t="inlineStr">
        <is>
          <t>VÄXJÖ</t>
        </is>
      </c>
      <c r="I68" t="n">
        <v>3</v>
      </c>
      <c r="J68" t="n">
        <v>5</v>
      </c>
      <c r="K68" t="n">
        <v>0</v>
      </c>
      <c r="L68" t="n">
        <v>0</v>
      </c>
      <c r="M68" t="n">
        <v>1</v>
      </c>
      <c r="N68" t="n">
        <v>0</v>
      </c>
      <c r="O68" t="n">
        <v>0</v>
      </c>
      <c r="P68" t="n">
        <v>0</v>
      </c>
      <c r="Q68" t="n">
        <v>1</v>
      </c>
      <c r="R68" t="n">
        <v>1</v>
      </c>
      <c r="S68" t="n">
        <v>5</v>
      </c>
      <c r="T68" t="n">
        <v>5</v>
      </c>
      <c r="U68" t="n">
        <v>0</v>
      </c>
      <c r="V68" s="2" t="inlineStr">
        <is>
          <t>Tofsvipa
Spillkråka
Gröngöling
Trana
Huggorm</t>
        </is>
      </c>
      <c r="W68">
        <f>HYPERLINK("https://klasma.github.io/Logging_0780/artfynd/A 24339-2023 artfynd.xlsx", "A 24339-2023")</f>
        <v/>
      </c>
      <c r="X68">
        <f>HYPERLINK("https://klasma.github.io/Logging_0780/kartor/A 24339-2023 karta.png", "A 24339-2023")</f>
        <v/>
      </c>
      <c r="Y68">
        <f>HYPERLINK("https://klasma.github.io/Logging_0780/kartor_geotiff/A 24339-2023 georefererad karta.tif", "A 24339-2023")</f>
        <v/>
      </c>
      <c r="AA68">
        <f>HYPERLINK("https://klasma.github.io/Logging_0780/klagomål/A 24339-2023 FSC-klagomål.docx", "A 24339-2023")</f>
        <v/>
      </c>
      <c r="AB68">
        <f>HYPERLINK("https://klasma.github.io/Logging_0780/klagomålsmail/A 24339-2023 FSC-klagomål mail.docx", "A 24339-2023")</f>
        <v/>
      </c>
      <c r="AC68">
        <f>HYPERLINK("https://klasma.github.io/Logging_0780/tillsyn/A 24339-2023 tillsynsbegäran.docx", "A 24339-2023")</f>
        <v/>
      </c>
      <c r="AD68">
        <f>HYPERLINK("https://klasma.github.io/Logging_0780/tillsynsmail/A 24339-2023 tillsynsbegäran mail.docx", "A 24339-2023")</f>
        <v/>
      </c>
      <c r="AE68">
        <f>HYPERLINK("https://klasma.github.io/Logging_0780/fåglar/A 24339-2023 prioriterade fågelarter.docx", "A 24339-2023")</f>
        <v/>
      </c>
    </row>
    <row r="69" ht="15" customHeight="1">
      <c r="A69" t="inlineStr">
        <is>
          <t>A 2576-2024</t>
        </is>
      </c>
      <c r="B69" t="inlineStr">
        <is>
          <t>avverkningsanmälan</t>
        </is>
      </c>
      <c r="C69" t="inlineStr">
        <is>
          <t>Föryngringsavverkning</t>
        </is>
      </c>
      <c r="D69" s="1" t="n">
        <v>45313</v>
      </c>
      <c r="E69" s="1" t="n">
        <v>46316</v>
      </c>
      <c r="F69" t="inlineStr">
        <is>
          <t>KRONOBERGS LÄN</t>
        </is>
      </c>
      <c r="G69" t="inlineStr">
        <is>
          <t>UPPVIDINGE</t>
        </is>
      </c>
      <c r="I69" t="n">
        <v>2.8</v>
      </c>
      <c r="J69" t="n">
        <v>4</v>
      </c>
      <c r="K69" t="n">
        <v>2</v>
      </c>
      <c r="L69" t="n">
        <v>0</v>
      </c>
      <c r="M69" t="n">
        <v>1</v>
      </c>
      <c r="N69" t="n">
        <v>0</v>
      </c>
      <c r="O69" t="n">
        <v>0</v>
      </c>
      <c r="P69" t="n">
        <v>0</v>
      </c>
      <c r="Q69" t="n">
        <v>1</v>
      </c>
      <c r="R69" t="n">
        <v>1</v>
      </c>
      <c r="S69" t="n">
        <v>5</v>
      </c>
      <c r="T69" t="n">
        <v>35</v>
      </c>
      <c r="U69" t="n">
        <v>0</v>
      </c>
      <c r="V69" s="2" t="inlineStr">
        <is>
          <t>Knärot
Korallrot
Stor revmossa
Spillkråka
Orre</t>
        </is>
      </c>
      <c r="W69">
        <f>HYPERLINK("https://klasma.github.io/Logging_0760/artfynd/A 2576-2024 artfynd.xlsx", "A 2576-2024")</f>
        <v/>
      </c>
      <c r="X69">
        <f>HYPERLINK("https://klasma.github.io/Logging_0760/kartor/A 2576-2024 karta.png", "A 2576-2024")</f>
        <v/>
      </c>
      <c r="Y69">
        <f>HYPERLINK("https://klasma.github.io/Logging_0760/kartor_geotiff/A 2576-2024 georefererad karta.tif", "A 2576-2024")</f>
        <v/>
      </c>
      <c r="Z69">
        <f>HYPERLINK("https://klasma.github.io/Logging_0760/knärot/A 2576-2024 karta knärot.png", "A 2576-2024")</f>
        <v/>
      </c>
      <c r="AA69">
        <f>HYPERLINK("https://klasma.github.io/Logging_0760/klagomål/A 2576-2024 FSC-klagomål.docx", "A 2576-2024")</f>
        <v/>
      </c>
      <c r="AB69">
        <f>HYPERLINK("https://klasma.github.io/Logging_0760/klagomålsmail/A 2576-2024 FSC-klagomål mail.docx", "A 2576-2024")</f>
        <v/>
      </c>
      <c r="AC69">
        <f>HYPERLINK("https://klasma.github.io/Logging_0760/tillsyn/A 2576-2024 tillsynsbegäran.docx", "A 2576-2024")</f>
        <v/>
      </c>
      <c r="AD69">
        <f>HYPERLINK("https://klasma.github.io/Logging_0760/tillsynsmail/A 2576-2024 tillsynsbegäran mail.docx", "A 2576-2024")</f>
        <v/>
      </c>
      <c r="AE69">
        <f>HYPERLINK("https://klasma.github.io/Logging_0760/fåglar/A 2576-2024 prioriterade fågelarter.docx", "A 2576-2024")</f>
        <v/>
      </c>
    </row>
    <row r="70" ht="15" customHeight="1">
      <c r="A70" t="inlineStr">
        <is>
          <t>A 50468-2025</t>
        </is>
      </c>
      <c r="B70" t="inlineStr">
        <is>
          <t>avverkningsanmälan</t>
        </is>
      </c>
      <c r="C70" t="inlineStr">
        <is>
          <t>Föryngringsavverkning</t>
        </is>
      </c>
      <c r="D70" s="1" t="n">
        <v>45945</v>
      </c>
      <c r="E70" s="1" t="n">
        <v>46316</v>
      </c>
      <c r="F70" t="inlineStr">
        <is>
          <t>KRONOBERGS LÄN</t>
        </is>
      </c>
      <c r="G70" t="inlineStr">
        <is>
          <t>ÄLMHULT</t>
        </is>
      </c>
      <c r="I70" t="n">
        <v>3.8</v>
      </c>
      <c r="J70" t="n">
        <v>1</v>
      </c>
      <c r="K70" t="n">
        <v>0</v>
      </c>
      <c r="L70" t="n">
        <v>1</v>
      </c>
      <c r="M70" t="n">
        <v>3</v>
      </c>
      <c r="N70" t="n">
        <v>0</v>
      </c>
      <c r="O70" t="n">
        <v>0</v>
      </c>
      <c r="P70" t="n">
        <v>0</v>
      </c>
      <c r="Q70" t="n">
        <v>4</v>
      </c>
      <c r="R70" t="n">
        <v>3</v>
      </c>
      <c r="S70" t="n">
        <v>5</v>
      </c>
      <c r="T70" t="n">
        <v>7</v>
      </c>
      <c r="U70" t="n">
        <v>0</v>
      </c>
      <c r="V70" s="2" t="inlineStr">
        <is>
          <t>Brunfläckig pärlemorfjäril
Mindre bastardsvärmare
Slåttergubbe
Svinrot
Hasselmus</t>
        </is>
      </c>
      <c r="W70">
        <f>HYPERLINK("https://klasma.github.io/Logging_0765/artfynd/A 50468-2025 artfynd.xlsx", "A 50468-2025")</f>
        <v/>
      </c>
      <c r="X70">
        <f>HYPERLINK("https://klasma.github.io/Logging_0765/kartor/A 50468-2025 karta.png", "A 50468-2025")</f>
        <v/>
      </c>
      <c r="Y70">
        <f>HYPERLINK("https://klasma.github.io/Logging_0765/kartor_geotiff/A 50468-2025 georefererad karta.tif", "A 50468-2025")</f>
        <v/>
      </c>
      <c r="AA70">
        <f>HYPERLINK("https://klasma.github.io/Logging_0765/klagomål/A 50468-2025 FSC-klagomål.docx", "A 50468-2025")</f>
        <v/>
      </c>
      <c r="AB70">
        <f>HYPERLINK("https://klasma.github.io/Logging_0765/klagomålsmail/A 50468-2025 FSC-klagomål mail.docx", "A 50468-2025")</f>
        <v/>
      </c>
      <c r="AC70">
        <f>HYPERLINK("https://klasma.github.io/Logging_0765/tillsyn/A 50468-2025 tillsynsbegäran.docx", "A 50468-2025")</f>
        <v/>
      </c>
      <c r="AD70">
        <f>HYPERLINK("https://klasma.github.io/Logging_0765/tillsynsmail/A 50468-2025 tillsynsbegäran mail.docx", "A 50468-2025")</f>
        <v/>
      </c>
    </row>
    <row r="71" ht="15" customHeight="1">
      <c r="A71" t="inlineStr">
        <is>
          <t>S 609-2023</t>
        </is>
      </c>
      <c r="B71" t="inlineStr">
        <is>
          <t>samrådsanmälan</t>
        </is>
      </c>
      <c r="C71" t="inlineStr">
        <is>
          <t>Askåterföring</t>
        </is>
      </c>
      <c r="D71" s="1" t="n">
        <v>44972</v>
      </c>
      <c r="E71" s="1" t="n">
        <v>46316</v>
      </c>
      <c r="F71" t="inlineStr">
        <is>
          <t>KRONOBERGS LÄN</t>
        </is>
      </c>
      <c r="G71" t="inlineStr">
        <is>
          <t>UPPVIDINGE</t>
        </is>
      </c>
      <c r="H71" t="inlineStr">
        <is>
          <t>Sveaskog</t>
        </is>
      </c>
      <c r="I71" t="n">
        <v>494</v>
      </c>
      <c r="J71" t="n">
        <v>2</v>
      </c>
      <c r="K71" t="n">
        <v>1</v>
      </c>
      <c r="L71" t="n">
        <v>2</v>
      </c>
      <c r="M71" t="n">
        <v>0</v>
      </c>
      <c r="N71" t="n">
        <v>0</v>
      </c>
      <c r="O71" t="n">
        <v>0</v>
      </c>
      <c r="P71" t="n">
        <v>0</v>
      </c>
      <c r="Q71" t="n">
        <v>2</v>
      </c>
      <c r="R71" t="n">
        <v>0</v>
      </c>
      <c r="S71" t="n">
        <v>5</v>
      </c>
      <c r="T71" t="n">
        <v>6</v>
      </c>
      <c r="U71" t="n">
        <v>0</v>
      </c>
      <c r="V71" s="2" t="inlineStr">
        <is>
          <t>Motaggsvamp
Vedtrappmossa
Kornknutmossa
Tjäder
Revlummer</t>
        </is>
      </c>
      <c r="W71">
        <f>HYPERLINK("https://klasma.github.io/Logging_0760/artfynd/S 609-2023 artfynd.xlsx", "S 609-2023")</f>
        <v/>
      </c>
      <c r="X71">
        <f>HYPERLINK("https://klasma.github.io/Logging_0760/kartor/S 609-2023 karta.png", "S 609-2023")</f>
        <v/>
      </c>
      <c r="Y71">
        <f>HYPERLINK("https://klasma.github.io/Logging_0760/kartor_geotiff/S 609-2023 georefererad karta.tif", "S 609-2023")</f>
        <v/>
      </c>
      <c r="AA71">
        <f>HYPERLINK("https://klasma.github.io/Logging_0760/klagomål/S 609-2023 FSC-klagomål.docx", "S 609-2023")</f>
        <v/>
      </c>
      <c r="AB71">
        <f>HYPERLINK("https://klasma.github.io/Logging_0760/klagomålsmail/S 609-2023 FSC-klagomål mail.docx", "S 609-2023")</f>
        <v/>
      </c>
      <c r="AC71">
        <f>HYPERLINK("https://klasma.github.io/Logging_0760/tillsyn/S 609-2023 tillsynsbegäran.docx", "S 609-2023")</f>
        <v/>
      </c>
      <c r="AD71">
        <f>HYPERLINK("https://klasma.github.io/Logging_0760/tillsynsmail/S 609-2023 tillsynsbegäran mail.docx", "S 609-2023")</f>
        <v/>
      </c>
      <c r="AE71">
        <f>HYPERLINK("https://klasma.github.io/Logging_0760/fåglar/S 609-2023 prioriterade fågelarter.docx", "S 609-2023")</f>
        <v/>
      </c>
    </row>
    <row r="72" ht="15" customHeight="1">
      <c r="A72" t="inlineStr">
        <is>
          <t>S 488-2025</t>
        </is>
      </c>
      <c r="B72" t="inlineStr">
        <is>
          <t>samrådsanmälan</t>
        </is>
      </c>
      <c r="C72" t="inlineStr">
        <is>
          <t>Askåterföring</t>
        </is>
      </c>
      <c r="D72" s="1" t="n">
        <v>45705</v>
      </c>
      <c r="E72" s="1" t="n">
        <v>46316</v>
      </c>
      <c r="F72" t="inlineStr">
        <is>
          <t>KRONOBERGS LÄN</t>
        </is>
      </c>
      <c r="G72" t="inlineStr">
        <is>
          <t>ALVESTA</t>
        </is>
      </c>
      <c r="I72" t="n">
        <v>70.09999999999999</v>
      </c>
      <c r="J72" t="n">
        <v>4</v>
      </c>
      <c r="K72" t="n">
        <v>1</v>
      </c>
      <c r="L72" t="n">
        <v>1</v>
      </c>
      <c r="M72" t="n">
        <v>0</v>
      </c>
      <c r="N72" t="n">
        <v>0</v>
      </c>
      <c r="O72" t="n">
        <v>0</v>
      </c>
      <c r="P72" t="n">
        <v>0</v>
      </c>
      <c r="Q72" t="n">
        <v>1</v>
      </c>
      <c r="R72" t="n">
        <v>0</v>
      </c>
      <c r="S72" t="n">
        <v>5</v>
      </c>
      <c r="T72" t="n">
        <v>7</v>
      </c>
      <c r="U72" t="n">
        <v>0</v>
      </c>
      <c r="V72" s="2" t="inlineStr">
        <is>
          <t>Talltita
Trubbfjädermossa
Blåsippa
Grönsiska
Kungsfågel</t>
        </is>
      </c>
      <c r="W72">
        <f>HYPERLINK("https://klasma.github.io/Logging_0764/artfynd/S 488-2025 artfynd.xlsx", "S 488-2025")</f>
        <v/>
      </c>
      <c r="X72">
        <f>HYPERLINK("https://klasma.github.io/Logging_0764/kartor/S 488-2025 karta.png", "S 488-2025")</f>
        <v/>
      </c>
      <c r="Y72">
        <f>HYPERLINK("https://klasma.github.io/Logging_0764/kartor_geotiff/S 488-2025 georefererad karta.tif", "S 488-2025")</f>
        <v/>
      </c>
      <c r="AA72">
        <f>HYPERLINK("https://klasma.github.io/Logging_0764/klagomål/S 488-2025 FSC-klagomål.docx", "S 488-2025")</f>
        <v/>
      </c>
      <c r="AB72">
        <f>HYPERLINK("https://klasma.github.io/Logging_0764/klagomålsmail/S 488-2025 FSC-klagomål mail.docx", "S 488-2025")</f>
        <v/>
      </c>
      <c r="AC72">
        <f>HYPERLINK("https://klasma.github.io/Logging_0764/tillsyn/S 488-2025 tillsynsbegäran.docx", "S 488-2025")</f>
        <v/>
      </c>
      <c r="AD72">
        <f>HYPERLINK("https://klasma.github.io/Logging_0764/tillsynsmail/S 488-2025 tillsynsbegäran mail.docx", "S 488-2025")</f>
        <v/>
      </c>
      <c r="AE72">
        <f>HYPERLINK("https://klasma.github.io/Logging_0764/fåglar/S 488-2025 prioriterade fågelarter.docx", "S 488-2025")</f>
        <v/>
      </c>
    </row>
    <row r="73" ht="15" customHeight="1">
      <c r="A73" t="inlineStr">
        <is>
          <t>S 3279-2025</t>
        </is>
      </c>
      <c r="B73" t="inlineStr">
        <is>
          <t>samrådsanmälan</t>
        </is>
      </c>
      <c r="C73" t="inlineStr">
        <is>
          <t>Annan skogsbruksåtgärd</t>
        </is>
      </c>
      <c r="D73" s="1" t="n">
        <v>45985</v>
      </c>
      <c r="E73" s="1" t="n">
        <v>46316</v>
      </c>
      <c r="F73" t="inlineStr">
        <is>
          <t>KRONOBERGS LÄN</t>
        </is>
      </c>
      <c r="G73" t="inlineStr">
        <is>
          <t>LJUNGBY</t>
        </is>
      </c>
      <c r="I73" t="n">
        <v>3.4</v>
      </c>
      <c r="J73" t="n">
        <v>0</v>
      </c>
      <c r="K73" t="n">
        <v>4</v>
      </c>
      <c r="L73" t="n">
        <v>1</v>
      </c>
      <c r="M73" t="n">
        <v>0</v>
      </c>
      <c r="N73" t="n">
        <v>0</v>
      </c>
      <c r="O73" t="n">
        <v>0</v>
      </c>
      <c r="P73" t="n">
        <v>0</v>
      </c>
      <c r="Q73" t="n">
        <v>1</v>
      </c>
      <c r="R73" t="n">
        <v>0</v>
      </c>
      <c r="S73" t="n">
        <v>5</v>
      </c>
      <c r="T73" t="n">
        <v>8</v>
      </c>
      <c r="U73" t="n">
        <v>0</v>
      </c>
      <c r="V73" s="2" t="inlineStr">
        <is>
          <t>Lunglav
Bokfjädermossa
Fällmossa
Guldlockmossa
Klippfrullania</t>
        </is>
      </c>
      <c r="W73">
        <f>HYPERLINK("https://klasma.github.io/Logging_0781/artfynd/S 3279-2025 artfynd.xlsx", "S 3279-2025")</f>
        <v/>
      </c>
      <c r="X73">
        <f>HYPERLINK("https://klasma.github.io/Logging_0781/kartor/S 3279-2025 karta.png", "S 3279-2025")</f>
        <v/>
      </c>
      <c r="Y73">
        <f>HYPERLINK("https://klasma.github.io/Logging_0781/kartor_geotiff/S 3279-2025 georefererad karta.tif", "S 3279-2025")</f>
        <v/>
      </c>
      <c r="AA73">
        <f>HYPERLINK("https://klasma.github.io/Logging_0781/klagomål/S 3279-2025 FSC-klagomål.docx", "S 3279-2025")</f>
        <v/>
      </c>
      <c r="AB73">
        <f>HYPERLINK("https://klasma.github.io/Logging_0781/klagomålsmail/S 3279-2025 FSC-klagomål mail.docx", "S 3279-2025")</f>
        <v/>
      </c>
      <c r="AC73">
        <f>HYPERLINK("https://klasma.github.io/Logging_0781/tillsyn/S 3279-2025 tillsynsbegäran.docx", "S 3279-2025")</f>
        <v/>
      </c>
      <c r="AD73">
        <f>HYPERLINK("https://klasma.github.io/Logging_0781/tillsynsmail/S 3279-2025 tillsynsbegäran mail.docx", "S 3279-2025")</f>
        <v/>
      </c>
    </row>
    <row r="74" ht="15" customHeight="1">
      <c r="A74" t="inlineStr">
        <is>
          <t>S 95-2026</t>
        </is>
      </c>
      <c r="B74" t="inlineStr">
        <is>
          <t>samrådsanmälan</t>
        </is>
      </c>
      <c r="C74" t="inlineStr">
        <is>
          <t>Annan skogsbruksåtgärd</t>
        </is>
      </c>
      <c r="D74" s="1" t="n">
        <v>46035</v>
      </c>
      <c r="E74" s="1" t="n">
        <v>46316</v>
      </c>
      <c r="F74" t="inlineStr">
        <is>
          <t>KRONOBERGS LÄN</t>
        </is>
      </c>
      <c r="G74" t="inlineStr">
        <is>
          <t>LESSEBO</t>
        </is>
      </c>
      <c r="H74" t="inlineStr">
        <is>
          <t>Kommuner</t>
        </is>
      </c>
      <c r="I74" t="n">
        <v>11.9</v>
      </c>
      <c r="J74" t="n">
        <v>1</v>
      </c>
      <c r="K74" t="n">
        <v>2</v>
      </c>
      <c r="L74" t="n">
        <v>2</v>
      </c>
      <c r="M74" t="n">
        <v>0</v>
      </c>
      <c r="N74" t="n">
        <v>0</v>
      </c>
      <c r="O74" t="n">
        <v>0</v>
      </c>
      <c r="P74" t="n">
        <v>0</v>
      </c>
      <c r="Q74" t="n">
        <v>2</v>
      </c>
      <c r="R74" t="n">
        <v>0</v>
      </c>
      <c r="S74" t="n">
        <v>5</v>
      </c>
      <c r="T74" t="n">
        <v>5</v>
      </c>
      <c r="U74" t="n">
        <v>0</v>
      </c>
      <c r="V74" s="2" t="inlineStr">
        <is>
          <t>Korallticka
Svinrot
Blomskägglav
Rostfläck
Blåsippa</t>
        </is>
      </c>
      <c r="W74">
        <f>HYPERLINK("https://klasma.github.io/Logging_0761/artfynd/S 95-2026 artfynd.xlsx", "S 95-2026")</f>
        <v/>
      </c>
      <c r="X74">
        <f>HYPERLINK("https://klasma.github.io/Logging_0761/kartor/S 95-2026 karta.png", "S 95-2026")</f>
        <v/>
      </c>
      <c r="Y74">
        <f>HYPERLINK("https://klasma.github.io/Logging_0761/kartor_geotiff/S 95-2026 georefererad karta.tif", "S 95-2026")</f>
        <v/>
      </c>
      <c r="AA74">
        <f>HYPERLINK("https://klasma.github.io/Logging_0761/klagomål/S 95-2026 FSC-klagomål.docx", "S 95-2026")</f>
        <v/>
      </c>
      <c r="AB74">
        <f>HYPERLINK("https://klasma.github.io/Logging_0761/klagomålsmail/S 95-2026 FSC-klagomål mail.docx", "S 95-2026")</f>
        <v/>
      </c>
      <c r="AC74">
        <f>HYPERLINK("https://klasma.github.io/Logging_0761/tillsyn/S 95-2026 tillsynsbegäran.docx", "S 95-2026")</f>
        <v/>
      </c>
      <c r="AD74">
        <f>HYPERLINK("https://klasma.github.io/Logging_0761/tillsynsmail/S 95-2026 tillsynsbegäran mail.docx", "S 95-2026")</f>
        <v/>
      </c>
    </row>
    <row r="75" ht="15" customHeight="1">
      <c r="A75" t="inlineStr">
        <is>
          <t>S 1932-2026</t>
        </is>
      </c>
      <c r="B75" t="inlineStr">
        <is>
          <t>samrådsanmälan</t>
        </is>
      </c>
      <c r="C75" t="inlineStr">
        <is>
          <t>Annan skogsbruksåtgärd</t>
        </is>
      </c>
      <c r="D75" s="1" t="n">
        <v>46203</v>
      </c>
      <c r="E75" s="1" t="n">
        <v>46316</v>
      </c>
      <c r="F75" t="inlineStr">
        <is>
          <t>KRONOBERGS LÄN</t>
        </is>
      </c>
      <c r="G75" t="inlineStr">
        <is>
          <t>LJUNGBY</t>
        </is>
      </c>
      <c r="I75" t="n">
        <v>5.8</v>
      </c>
      <c r="J75" t="n">
        <v>2</v>
      </c>
      <c r="K75" t="n">
        <v>3</v>
      </c>
      <c r="L75" t="n">
        <v>1</v>
      </c>
      <c r="M75" t="n">
        <v>0</v>
      </c>
      <c r="N75" t="n">
        <v>0</v>
      </c>
      <c r="O75" t="n">
        <v>0</v>
      </c>
      <c r="P75" t="n">
        <v>0</v>
      </c>
      <c r="Q75" t="n">
        <v>1</v>
      </c>
      <c r="R75" t="n">
        <v>0</v>
      </c>
      <c r="S75" t="n">
        <v>5</v>
      </c>
      <c r="T75" t="n">
        <v>5</v>
      </c>
      <c r="U75" t="n">
        <v>0</v>
      </c>
      <c r="V75" s="2" t="inlineStr">
        <is>
          <t>Grönsångare
Skuggmossa
Västlig hakmossa
Västlig husmossa
Fläcknycklar</t>
        </is>
      </c>
      <c r="W75">
        <f>HYPERLINK("https://klasma.github.io/Logging_0781/artfynd/S 1932-2026 artfynd.xlsx", "S 1932-2026")</f>
        <v/>
      </c>
      <c r="X75">
        <f>HYPERLINK("https://klasma.github.io/Logging_0781/kartor/S 1932-2026 karta.png", "S 1932-2026")</f>
        <v/>
      </c>
      <c r="Y75">
        <f>HYPERLINK("https://klasma.github.io/Logging_0781/kartor_geotiff/S 1932-2026 georefererad karta.tif", "S 1932-2026")</f>
        <v/>
      </c>
      <c r="AA75">
        <f>HYPERLINK("https://klasma.github.io/Logging_0781/klagomål/S 1932-2026 FSC-klagomål.docx", "S 1932-2026")</f>
        <v/>
      </c>
      <c r="AB75">
        <f>HYPERLINK("https://klasma.github.io/Logging_0781/klagomålsmail/S 1932-2026 FSC-klagomål mail.docx", "S 1932-2026")</f>
        <v/>
      </c>
      <c r="AC75">
        <f>HYPERLINK("https://klasma.github.io/Logging_0781/tillsyn/S 1932-2026 tillsynsbegäran.docx", "S 1932-2026")</f>
        <v/>
      </c>
      <c r="AD75">
        <f>HYPERLINK("https://klasma.github.io/Logging_0781/tillsynsmail/S 1932-2026 tillsynsbegäran mail.docx", "S 1932-2026")</f>
        <v/>
      </c>
      <c r="AE75">
        <f>HYPERLINK("https://klasma.github.io/Logging_0781/fåglar/S 1932-2026 prioriterade fågelarter.docx", "S 1932-2026")</f>
        <v/>
      </c>
    </row>
    <row r="76" ht="15" customHeight="1">
      <c r="A76" t="inlineStr">
        <is>
          <t>A 8829-2026</t>
        </is>
      </c>
      <c r="B76" t="inlineStr">
        <is>
          <t>avverkningsanmälan</t>
        </is>
      </c>
      <c r="C76" t="inlineStr">
        <is>
          <t>Avverkning för att bevara och utveckla /försöksver</t>
        </is>
      </c>
      <c r="D76" s="1" t="n">
        <v>46066</v>
      </c>
      <c r="E76" s="1" t="n">
        <v>46316</v>
      </c>
      <c r="F76" t="inlineStr">
        <is>
          <t>KRONOBERGS LÄN</t>
        </is>
      </c>
      <c r="G76" t="inlineStr">
        <is>
          <t>UPPVIDINGE</t>
        </is>
      </c>
      <c r="I76" t="n">
        <v>1.6</v>
      </c>
      <c r="J76" t="n">
        <v>1</v>
      </c>
      <c r="K76" t="n">
        <v>2</v>
      </c>
      <c r="L76" t="n">
        <v>0</v>
      </c>
      <c r="M76" t="n">
        <v>1</v>
      </c>
      <c r="N76" t="n">
        <v>0</v>
      </c>
      <c r="O76" t="n">
        <v>0</v>
      </c>
      <c r="P76" t="n">
        <v>0</v>
      </c>
      <c r="Q76" t="n">
        <v>1</v>
      </c>
      <c r="R76" t="n">
        <v>1</v>
      </c>
      <c r="S76" t="n">
        <v>4</v>
      </c>
      <c r="T76" t="n">
        <v>4</v>
      </c>
      <c r="U76" t="n">
        <v>0</v>
      </c>
      <c r="V76" s="2" t="inlineStr">
        <is>
          <t>Liten blekspik
Kornig nållav
Rostfläck
Revlummer</t>
        </is>
      </c>
      <c r="W76">
        <f>HYPERLINK("https://klasma.github.io/Logging_0760/artfynd/A 8829-2026 artfynd.xlsx", "A 8829-2026")</f>
        <v/>
      </c>
      <c r="X76">
        <f>HYPERLINK("https://klasma.github.io/Logging_0760/kartor/A 8829-2026 karta.png", "A 8829-2026")</f>
        <v/>
      </c>
      <c r="Y76">
        <f>HYPERLINK("https://klasma.github.io/Logging_0760/kartor_geotiff/A 8829-2026 georefererad karta.tif", "A 8829-2026")</f>
        <v/>
      </c>
      <c r="AA76">
        <f>HYPERLINK("https://klasma.github.io/Logging_0760/klagomål/A 8829-2026 FSC-klagomål.docx", "A 8829-2026")</f>
        <v/>
      </c>
      <c r="AB76">
        <f>HYPERLINK("https://klasma.github.io/Logging_0760/klagomålsmail/A 8829-2026 FSC-klagomål mail.docx", "A 8829-2026")</f>
        <v/>
      </c>
      <c r="AC76">
        <f>HYPERLINK("https://klasma.github.io/Logging_0760/tillsyn/A 8829-2026 tillsynsbegäran.docx", "A 8829-2026")</f>
        <v/>
      </c>
      <c r="AD76">
        <f>HYPERLINK("https://klasma.github.io/Logging_0760/tillsynsmail/A 8829-2026 tillsynsbegäran mail.docx", "A 8829-2026")</f>
        <v/>
      </c>
    </row>
    <row r="77" ht="15" customHeight="1">
      <c r="A77" t="inlineStr">
        <is>
          <t>A 37528-2023</t>
        </is>
      </c>
      <c r="B77" t="inlineStr">
        <is>
          <t>avverkningsanmälan</t>
        </is>
      </c>
      <c r="C77" t="inlineStr">
        <is>
          <t>Föryngringsavverkning</t>
        </is>
      </c>
      <c r="D77" s="1" t="n">
        <v>45158</v>
      </c>
      <c r="E77" s="1" t="n">
        <v>46316</v>
      </c>
      <c r="F77" t="inlineStr">
        <is>
          <t>KRONOBERGS LÄN</t>
        </is>
      </c>
      <c r="G77" t="inlineStr">
        <is>
          <t>UPPVIDINGE</t>
        </is>
      </c>
      <c r="I77" t="n">
        <v>3.5</v>
      </c>
      <c r="J77" t="n">
        <v>0</v>
      </c>
      <c r="K77" t="n">
        <v>2</v>
      </c>
      <c r="L77" t="n">
        <v>2</v>
      </c>
      <c r="M77" t="n">
        <v>0</v>
      </c>
      <c r="N77" t="n">
        <v>0</v>
      </c>
      <c r="O77" t="n">
        <v>0</v>
      </c>
      <c r="P77" t="n">
        <v>0</v>
      </c>
      <c r="Q77" t="n">
        <v>2</v>
      </c>
      <c r="R77" t="n">
        <v>0</v>
      </c>
      <c r="S77" t="n">
        <v>4</v>
      </c>
      <c r="T77" t="n">
        <v>4</v>
      </c>
      <c r="U77" t="n">
        <v>0</v>
      </c>
      <c r="V77" s="2" t="inlineStr">
        <is>
          <t>Fjällig taggsvamp s.str.
Slåtterfibbla
Blomkålssvamp
Grönpyrola</t>
        </is>
      </c>
      <c r="W77">
        <f>HYPERLINK("https://klasma.github.io/Logging_0760/artfynd/A 37528-2023 artfynd.xlsx", "A 37528-2023")</f>
        <v/>
      </c>
      <c r="X77">
        <f>HYPERLINK("https://klasma.github.io/Logging_0760/kartor/A 37528-2023 karta.png", "A 37528-2023")</f>
        <v/>
      </c>
      <c r="Y77">
        <f>HYPERLINK("https://klasma.github.io/Logging_0760/kartor_geotiff/A 37528-2023 georefererad karta.tif", "A 37528-2023")</f>
        <v/>
      </c>
      <c r="AA77">
        <f>HYPERLINK("https://klasma.github.io/Logging_0760/klagomål/A 37528-2023 FSC-klagomål.docx", "A 37528-2023")</f>
        <v/>
      </c>
      <c r="AB77">
        <f>HYPERLINK("https://klasma.github.io/Logging_0760/klagomålsmail/A 37528-2023 FSC-klagomål mail.docx", "A 37528-2023")</f>
        <v/>
      </c>
      <c r="AC77">
        <f>HYPERLINK("https://klasma.github.io/Logging_0760/tillsyn/A 37528-2023 tillsynsbegäran.docx", "A 37528-2023")</f>
        <v/>
      </c>
      <c r="AD77">
        <f>HYPERLINK("https://klasma.github.io/Logging_0760/tillsynsmail/A 37528-2023 tillsynsbegäran mail.docx", "A 37528-2023")</f>
        <v/>
      </c>
    </row>
    <row r="78" ht="15" customHeight="1">
      <c r="A78" t="inlineStr">
        <is>
          <t>A 41349-2024</t>
        </is>
      </c>
      <c r="B78" t="inlineStr">
        <is>
          <t>avverkningsanmälan</t>
        </is>
      </c>
      <c r="C78" t="inlineStr">
        <is>
          <t>Föryngringsavverkning</t>
        </is>
      </c>
      <c r="D78" s="1" t="n">
        <v>45559</v>
      </c>
      <c r="E78" s="1" t="n">
        <v>46316</v>
      </c>
      <c r="F78" t="inlineStr">
        <is>
          <t>KRONOBERGS LÄN</t>
        </is>
      </c>
      <c r="G78" t="inlineStr">
        <is>
          <t>ALVESTA</t>
        </is>
      </c>
      <c r="I78" t="n">
        <v>6.1</v>
      </c>
      <c r="J78" t="n">
        <v>4</v>
      </c>
      <c r="K78" t="n">
        <v>0</v>
      </c>
      <c r="L78" t="n">
        <v>2</v>
      </c>
      <c r="M78" t="n">
        <v>0</v>
      </c>
      <c r="N78" t="n">
        <v>0</v>
      </c>
      <c r="O78" t="n">
        <v>0</v>
      </c>
      <c r="P78" t="n">
        <v>0</v>
      </c>
      <c r="Q78" t="n">
        <v>2</v>
      </c>
      <c r="R78" t="n">
        <v>0</v>
      </c>
      <c r="S78" t="n">
        <v>4</v>
      </c>
      <c r="T78" t="n">
        <v>7</v>
      </c>
      <c r="U78" t="n">
        <v>7</v>
      </c>
      <c r="V78" s="2" t="inlineStr">
        <is>
          <t>Järnsparv
Talltita
Kungsfågel
Ärtsångare</t>
        </is>
      </c>
      <c r="W78">
        <f>HYPERLINK("https://klasma.github.io/Logging_0764/artfynd/A 41349-2024 artfynd.xlsx", "A 41349-2024")</f>
        <v/>
      </c>
      <c r="X78">
        <f>HYPERLINK("https://klasma.github.io/Logging_0764/kartor/A 41349-2024 karta.png", "A 41349-2024")</f>
        <v/>
      </c>
      <c r="Y78">
        <f>HYPERLINK("https://klasma.github.io/Logging_0764/kartor_geotiff/A 41349-2024 georefererad karta.tif", "A 41349-2024")</f>
        <v/>
      </c>
      <c r="AA78">
        <f>HYPERLINK("https://klasma.github.io/Logging_0764/klagomål/A 41349-2024 FSC-klagomål.docx", "A 41349-2024")</f>
        <v/>
      </c>
      <c r="AB78">
        <f>HYPERLINK("https://klasma.github.io/Logging_0764/klagomålsmail/A 41349-2024 FSC-klagomål mail.docx", "A 41349-2024")</f>
        <v/>
      </c>
      <c r="AC78">
        <f>HYPERLINK("https://klasma.github.io/Logging_0764/tillsyn/A 41349-2024 tillsynsbegäran.docx", "A 41349-2024")</f>
        <v/>
      </c>
      <c r="AD78">
        <f>HYPERLINK("https://klasma.github.io/Logging_0764/tillsynsmail/A 41349-2024 tillsynsbegäran mail.docx", "A 41349-2024")</f>
        <v/>
      </c>
      <c r="AE78">
        <f>HYPERLINK("https://klasma.github.io/Logging_0764/fåglar/A 41349-2024 prioriterade fågelarter.docx", "A 41349-2024")</f>
        <v/>
      </c>
    </row>
    <row r="79" ht="15" customHeight="1">
      <c r="A79" t="inlineStr">
        <is>
          <t>A 52544-2025</t>
        </is>
      </c>
      <c r="B79" t="inlineStr">
        <is>
          <t>avverkningsanmälan</t>
        </is>
      </c>
      <c r="C79" t="inlineStr">
        <is>
          <t>Föryngringsavverkning</t>
        </is>
      </c>
      <c r="D79" s="1" t="n">
        <v>45954</v>
      </c>
      <c r="E79" s="1" t="n">
        <v>46316</v>
      </c>
      <c r="F79" t="inlineStr">
        <is>
          <t>KRONOBERGS LÄN</t>
        </is>
      </c>
      <c r="G79" t="inlineStr">
        <is>
          <t>LESSEBO</t>
        </is>
      </c>
      <c r="H79" t="inlineStr">
        <is>
          <t>Sveaskog</t>
        </is>
      </c>
      <c r="I79" t="n">
        <v>4.6</v>
      </c>
      <c r="J79" t="n">
        <v>4</v>
      </c>
      <c r="K79" t="n">
        <v>0</v>
      </c>
      <c r="L79" t="n">
        <v>1</v>
      </c>
      <c r="M79" t="n">
        <v>0</v>
      </c>
      <c r="N79" t="n">
        <v>0</v>
      </c>
      <c r="O79" t="n">
        <v>0</v>
      </c>
      <c r="P79" t="n">
        <v>0</v>
      </c>
      <c r="Q79" t="n">
        <v>1</v>
      </c>
      <c r="R79" t="n">
        <v>0</v>
      </c>
      <c r="S79" t="n">
        <v>4</v>
      </c>
      <c r="T79" t="n">
        <v>13</v>
      </c>
      <c r="U79" t="n">
        <v>12</v>
      </c>
      <c r="V79" s="2" t="inlineStr">
        <is>
          <t>Gulsparv
Grönsiska
Kungsfågel
Trädlärka</t>
        </is>
      </c>
      <c r="W79">
        <f>HYPERLINK("https://klasma.github.io/Logging_0761/artfynd/A 52544-2025 artfynd.xlsx", "A 52544-2025")</f>
        <v/>
      </c>
      <c r="X79">
        <f>HYPERLINK("https://klasma.github.io/Logging_0761/kartor/A 52544-2025 karta.png", "A 52544-2025")</f>
        <v/>
      </c>
      <c r="Y79">
        <f>HYPERLINK("https://klasma.github.io/Logging_0761/kartor_geotiff/A 52544-2025 georefererad karta.tif", "A 52544-2025")</f>
        <v/>
      </c>
      <c r="AA79">
        <f>HYPERLINK("https://klasma.github.io/Logging_0761/klagomål/A 52544-2025 FSC-klagomål.docx", "A 52544-2025")</f>
        <v/>
      </c>
      <c r="AB79">
        <f>HYPERLINK("https://klasma.github.io/Logging_0761/klagomålsmail/A 52544-2025 FSC-klagomål mail.docx", "A 52544-2025")</f>
        <v/>
      </c>
      <c r="AC79">
        <f>HYPERLINK("https://klasma.github.io/Logging_0761/tillsyn/A 52544-2025 tillsynsbegäran.docx", "A 52544-2025")</f>
        <v/>
      </c>
      <c r="AD79">
        <f>HYPERLINK("https://klasma.github.io/Logging_0761/tillsynsmail/A 52544-2025 tillsynsbegäran mail.docx", "A 52544-2025")</f>
        <v/>
      </c>
      <c r="AE79">
        <f>HYPERLINK("https://klasma.github.io/Logging_0761/fåglar/A 52544-2025 prioriterade fågelarter.docx", "A 52544-2025")</f>
        <v/>
      </c>
    </row>
    <row r="80" ht="15" customHeight="1">
      <c r="A80" t="inlineStr">
        <is>
          <t>A 54629-2022</t>
        </is>
      </c>
      <c r="B80" t="inlineStr">
        <is>
          <t>avverkningsanmälan</t>
        </is>
      </c>
      <c r="C80" t="inlineStr">
        <is>
          <t>Föryngringsavverkning</t>
        </is>
      </c>
      <c r="D80" s="1" t="n">
        <v>44883</v>
      </c>
      <c r="E80" s="1" t="n">
        <v>46316</v>
      </c>
      <c r="F80" t="inlineStr">
        <is>
          <t>KRONOBERGS LÄN</t>
        </is>
      </c>
      <c r="G80" t="inlineStr">
        <is>
          <t>ÄLMHULT</t>
        </is>
      </c>
      <c r="I80" t="n">
        <v>1</v>
      </c>
      <c r="J80" t="n">
        <v>0</v>
      </c>
      <c r="K80" t="n">
        <v>0</v>
      </c>
      <c r="L80" t="n">
        <v>2</v>
      </c>
      <c r="M80" t="n">
        <v>2</v>
      </c>
      <c r="N80" t="n">
        <v>0</v>
      </c>
      <c r="O80" t="n">
        <v>0</v>
      </c>
      <c r="P80" t="n">
        <v>0</v>
      </c>
      <c r="Q80" t="n">
        <v>4</v>
      </c>
      <c r="R80" t="n">
        <v>2</v>
      </c>
      <c r="S80" t="n">
        <v>4</v>
      </c>
      <c r="T80" t="n">
        <v>4</v>
      </c>
      <c r="U80" t="n">
        <v>4</v>
      </c>
      <c r="V80" s="2" t="inlineStr">
        <is>
          <t>Mindre bastardsvärmare
Sexfläckig bastardsvärmare
Silversmygare
Videvårmal</t>
        </is>
      </c>
      <c r="W80">
        <f>HYPERLINK("https://klasma.github.io/Logging_0765/artfynd/A 54629-2022 artfynd.xlsx", "A 54629-2022")</f>
        <v/>
      </c>
      <c r="X80">
        <f>HYPERLINK("https://klasma.github.io/Logging_0765/kartor/A 54629-2022 karta.png", "A 54629-2022")</f>
        <v/>
      </c>
      <c r="Y80">
        <f>HYPERLINK("https://klasma.github.io/Logging_0765/kartor_geotiff/A 54629-2022 georefererad karta.tif", "A 54629-2022")</f>
        <v/>
      </c>
      <c r="AA80">
        <f>HYPERLINK("https://klasma.github.io/Logging_0765/klagomål/A 54629-2022 FSC-klagomål.docx", "A 54629-2022")</f>
        <v/>
      </c>
      <c r="AB80">
        <f>HYPERLINK("https://klasma.github.io/Logging_0765/klagomålsmail/A 54629-2022 FSC-klagomål mail.docx", "A 54629-2022")</f>
        <v/>
      </c>
      <c r="AC80">
        <f>HYPERLINK("https://klasma.github.io/Logging_0765/tillsyn/A 54629-2022 tillsynsbegäran.docx", "A 54629-2022")</f>
        <v/>
      </c>
      <c r="AD80">
        <f>HYPERLINK("https://klasma.github.io/Logging_0765/tillsynsmail/A 54629-2022 tillsynsbegäran mail.docx", "A 54629-2022")</f>
        <v/>
      </c>
    </row>
    <row r="81" ht="15" customHeight="1">
      <c r="A81" t="inlineStr">
        <is>
          <t>A 22668-2026</t>
        </is>
      </c>
      <c r="B81" t="inlineStr">
        <is>
          <t>avverkningsanmälan</t>
        </is>
      </c>
      <c r="C81" t="inlineStr">
        <is>
          <t>Föryngringsavverkning</t>
        </is>
      </c>
      <c r="D81" s="1" t="n">
        <v>46155</v>
      </c>
      <c r="E81" s="1" t="n">
        <v>46316</v>
      </c>
      <c r="F81" t="inlineStr">
        <is>
          <t>KRONOBERGS LÄN</t>
        </is>
      </c>
      <c r="G81" t="inlineStr">
        <is>
          <t>LJUNGBY</t>
        </is>
      </c>
      <c r="I81" t="n">
        <v>1.4</v>
      </c>
      <c r="J81" t="n">
        <v>4</v>
      </c>
      <c r="K81" t="n">
        <v>0</v>
      </c>
      <c r="L81" t="n">
        <v>2</v>
      </c>
      <c r="M81" t="n">
        <v>0</v>
      </c>
      <c r="N81" t="n">
        <v>0</v>
      </c>
      <c r="O81" t="n">
        <v>0</v>
      </c>
      <c r="P81" t="n">
        <v>0</v>
      </c>
      <c r="Q81" t="n">
        <v>2</v>
      </c>
      <c r="R81" t="n">
        <v>0</v>
      </c>
      <c r="S81" t="n">
        <v>4</v>
      </c>
      <c r="T81" t="n">
        <v>4</v>
      </c>
      <c r="U81" t="n">
        <v>0</v>
      </c>
      <c r="V81" s="2" t="inlineStr">
        <is>
          <t>Dammfladdermus
Nordfladdermus
Dvärgpipistrell
Vattenfladdermus</t>
        </is>
      </c>
      <c r="W81">
        <f>HYPERLINK("https://klasma.github.io/Logging_0781/artfynd/A 22668-2026 artfynd.xlsx", "A 22668-2026")</f>
        <v/>
      </c>
      <c r="X81">
        <f>HYPERLINK("https://klasma.github.io/Logging_0781/kartor/A 22668-2026 karta.png", "A 22668-2026")</f>
        <v/>
      </c>
      <c r="Y81">
        <f>HYPERLINK("https://klasma.github.io/Logging_0781/kartor_geotiff/A 22668-2026 georefererad karta.tif", "A 22668-2026")</f>
        <v/>
      </c>
      <c r="AA81">
        <f>HYPERLINK("https://klasma.github.io/Logging_0781/klagomål/A 22668-2026 FSC-klagomål.docx", "A 22668-2026")</f>
        <v/>
      </c>
      <c r="AB81">
        <f>HYPERLINK("https://klasma.github.io/Logging_0781/klagomålsmail/A 22668-2026 FSC-klagomål mail.docx", "A 22668-2026")</f>
        <v/>
      </c>
      <c r="AC81">
        <f>HYPERLINK("https://klasma.github.io/Logging_0781/tillsyn/A 22668-2026 tillsynsbegäran.docx", "A 22668-2026")</f>
        <v/>
      </c>
      <c r="AD81">
        <f>HYPERLINK("https://klasma.github.io/Logging_0781/tillsynsmail/A 22668-2026 tillsynsbegäran mail.docx", "A 22668-2026")</f>
        <v/>
      </c>
    </row>
    <row r="82" ht="15" customHeight="1">
      <c r="A82" t="inlineStr">
        <is>
          <t>A 20926-2023</t>
        </is>
      </c>
      <c r="B82" t="inlineStr">
        <is>
          <t>avverkningsanmälan</t>
        </is>
      </c>
      <c r="C82" t="inlineStr">
        <is>
          <t>Föryngringsavverkning</t>
        </is>
      </c>
      <c r="D82" s="1" t="n">
        <v>45061</v>
      </c>
      <c r="E82" s="1" t="n">
        <v>46316</v>
      </c>
      <c r="F82" t="inlineStr">
        <is>
          <t>KRONOBERGS LÄN</t>
        </is>
      </c>
      <c r="G82" t="inlineStr">
        <is>
          <t>TINGSRYD</t>
        </is>
      </c>
      <c r="H82" t="inlineStr">
        <is>
          <t>Övriga Aktiebolag</t>
        </is>
      </c>
      <c r="I82" t="n">
        <v>3.2</v>
      </c>
      <c r="J82" t="n">
        <v>1</v>
      </c>
      <c r="K82" t="n">
        <v>1</v>
      </c>
      <c r="L82" t="n">
        <v>0</v>
      </c>
      <c r="M82" t="n">
        <v>0</v>
      </c>
      <c r="N82" t="n">
        <v>0</v>
      </c>
      <c r="O82" t="n">
        <v>0</v>
      </c>
      <c r="P82" t="n">
        <v>0</v>
      </c>
      <c r="Q82" t="n">
        <v>0</v>
      </c>
      <c r="R82" t="n">
        <v>0</v>
      </c>
      <c r="S82" t="n">
        <v>4</v>
      </c>
      <c r="T82" t="n">
        <v>4</v>
      </c>
      <c r="U82" t="n">
        <v>4</v>
      </c>
      <c r="V82" s="2" t="inlineStr">
        <is>
          <t>Västlig hakmossa
Ekbräken
Missne
Revlummer</t>
        </is>
      </c>
      <c r="W82">
        <f>HYPERLINK("https://klasma.github.io/Logging_0763/artfynd/A 20926-2023 artfynd.xlsx", "A 20926-2023")</f>
        <v/>
      </c>
      <c r="X82">
        <f>HYPERLINK("https://klasma.github.io/Logging_0763/kartor/A 20926-2023 karta.png", "A 20926-2023")</f>
        <v/>
      </c>
      <c r="Y82">
        <f>HYPERLINK("https://klasma.github.io/Logging_0763/kartor_geotiff/A 20926-2023 georefererad karta.tif", "A 20926-2023")</f>
        <v/>
      </c>
      <c r="AA82">
        <f>HYPERLINK("https://klasma.github.io/Logging_0763/klagomål/A 20926-2023 FSC-klagomål.docx", "A 20926-2023")</f>
        <v/>
      </c>
      <c r="AB82">
        <f>HYPERLINK("https://klasma.github.io/Logging_0763/klagomålsmail/A 20926-2023 FSC-klagomål mail.docx", "A 20926-2023")</f>
        <v/>
      </c>
      <c r="AC82">
        <f>HYPERLINK("https://klasma.github.io/Logging_0763/tillsyn/A 20926-2023 tillsynsbegäran.docx", "A 20926-2023")</f>
        <v/>
      </c>
      <c r="AD82">
        <f>HYPERLINK("https://klasma.github.io/Logging_0763/tillsynsmail/A 20926-2023 tillsynsbegäran mail.docx", "A 20926-2023")</f>
        <v/>
      </c>
    </row>
    <row r="83" ht="15" customHeight="1">
      <c r="A83" t="inlineStr">
        <is>
          <t>A 60471-2025</t>
        </is>
      </c>
      <c r="B83" t="inlineStr">
        <is>
          <t>avverkningsanmälan</t>
        </is>
      </c>
      <c r="C83" t="inlineStr">
        <is>
          <t>Avverkning för annat ändamål</t>
        </is>
      </c>
      <c r="D83" s="1" t="n">
        <v>45995</v>
      </c>
      <c r="E83" s="1" t="n">
        <v>46316</v>
      </c>
      <c r="F83" t="inlineStr">
        <is>
          <t>KRONOBERGS LÄN</t>
        </is>
      </c>
      <c r="G83" t="inlineStr">
        <is>
          <t>VÄXJÖ</t>
        </is>
      </c>
      <c r="I83" t="n">
        <v>5</v>
      </c>
      <c r="J83" t="n">
        <v>3</v>
      </c>
      <c r="K83" t="n">
        <v>1</v>
      </c>
      <c r="L83" t="n">
        <v>1</v>
      </c>
      <c r="M83" t="n">
        <v>0</v>
      </c>
      <c r="N83" t="n">
        <v>0</v>
      </c>
      <c r="O83" t="n">
        <v>0</v>
      </c>
      <c r="P83" t="n">
        <v>0</v>
      </c>
      <c r="Q83" t="n">
        <v>1</v>
      </c>
      <c r="R83" t="n">
        <v>0</v>
      </c>
      <c r="S83" t="n">
        <v>4</v>
      </c>
      <c r="T83" t="n">
        <v>5</v>
      </c>
      <c r="U83" t="n">
        <v>1</v>
      </c>
      <c r="V83" s="2" t="inlineStr">
        <is>
          <t>Mindre hackspett
Scharlakansskål
Grönsiska
Ärtsångare</t>
        </is>
      </c>
      <c r="W83">
        <f>HYPERLINK("https://klasma.github.io/Logging_0780/artfynd/A 60471-2025 artfynd.xlsx", "A 60471-2025")</f>
        <v/>
      </c>
      <c r="X83">
        <f>HYPERLINK("https://klasma.github.io/Logging_0780/kartor/A 60471-2025 karta.png", "A 60471-2025")</f>
        <v/>
      </c>
      <c r="Y83">
        <f>HYPERLINK("https://klasma.github.io/Logging_0780/kartor_geotiff/A 60471-2025 georefererad karta.tif", "A 60471-2025")</f>
        <v/>
      </c>
      <c r="AA83">
        <f>HYPERLINK("https://klasma.github.io/Logging_0780/klagomål/A 60471-2025 FSC-klagomål.docx", "A 60471-2025")</f>
        <v/>
      </c>
      <c r="AB83">
        <f>HYPERLINK("https://klasma.github.io/Logging_0780/klagomålsmail/A 60471-2025 FSC-klagomål mail.docx", "A 60471-2025")</f>
        <v/>
      </c>
      <c r="AC83">
        <f>HYPERLINK("https://klasma.github.io/Logging_0780/tillsyn/A 60471-2025 tillsynsbegäran.docx", "A 60471-2025")</f>
        <v/>
      </c>
      <c r="AD83">
        <f>HYPERLINK("https://klasma.github.io/Logging_0780/tillsynsmail/A 60471-2025 tillsynsbegäran mail.docx", "A 60471-2025")</f>
        <v/>
      </c>
      <c r="AE83">
        <f>HYPERLINK("https://klasma.github.io/Logging_0780/fåglar/A 60471-2025 prioriterade fågelarter.docx", "A 60471-2025")</f>
        <v/>
      </c>
    </row>
    <row r="84" ht="15" customHeight="1">
      <c r="A84" t="inlineStr">
        <is>
          <t>A 297-2024</t>
        </is>
      </c>
      <c r="B84" t="inlineStr">
        <is>
          <t>avverkningsanmälan</t>
        </is>
      </c>
      <c r="C84" t="inlineStr">
        <is>
          <t>Avverkning för annat ändamål</t>
        </is>
      </c>
      <c r="D84" s="1" t="n">
        <v>45294</v>
      </c>
      <c r="E84" s="1" t="n">
        <v>46316</v>
      </c>
      <c r="F84" t="inlineStr">
        <is>
          <t>KRONOBERGS LÄN</t>
        </is>
      </c>
      <c r="G84" t="inlineStr">
        <is>
          <t>VÄXJÖ</t>
        </is>
      </c>
      <c r="H84" t="inlineStr">
        <is>
          <t>Kyrkan</t>
        </is>
      </c>
      <c r="I84" t="n">
        <v>8.199999999999999</v>
      </c>
      <c r="J84" t="n">
        <v>3</v>
      </c>
      <c r="K84" t="n">
        <v>1</v>
      </c>
      <c r="L84" t="n">
        <v>1</v>
      </c>
      <c r="M84" t="n">
        <v>0</v>
      </c>
      <c r="N84" t="n">
        <v>0</v>
      </c>
      <c r="O84" t="n">
        <v>0</v>
      </c>
      <c r="P84" t="n">
        <v>0</v>
      </c>
      <c r="Q84" t="n">
        <v>1</v>
      </c>
      <c r="R84" t="n">
        <v>0</v>
      </c>
      <c r="S84" t="n">
        <v>4</v>
      </c>
      <c r="T84" t="n">
        <v>4</v>
      </c>
      <c r="U84" t="n">
        <v>4</v>
      </c>
      <c r="V84" s="2" t="inlineStr">
        <is>
          <t>Talltita
Blomkålssvamp
Tjäder
Kungsfågel</t>
        </is>
      </c>
      <c r="W84">
        <f>HYPERLINK("https://klasma.github.io/Logging_0780/artfynd/A 297-2024 artfynd.xlsx", "A 297-2024")</f>
        <v/>
      </c>
      <c r="X84">
        <f>HYPERLINK("https://klasma.github.io/Logging_0780/kartor/A 297-2024 karta.png", "A 297-2024")</f>
        <v/>
      </c>
      <c r="Y84">
        <f>HYPERLINK("https://klasma.github.io/Logging_0780/kartor_geotiff/A 297-2024 georefererad karta.tif", "A 297-2024")</f>
        <v/>
      </c>
      <c r="AA84">
        <f>HYPERLINK("https://klasma.github.io/Logging_0780/klagomål/A 297-2024 FSC-klagomål.docx", "A 297-2024")</f>
        <v/>
      </c>
      <c r="AB84">
        <f>HYPERLINK("https://klasma.github.io/Logging_0780/klagomålsmail/A 297-2024 FSC-klagomål mail.docx", "A 297-2024")</f>
        <v/>
      </c>
      <c r="AC84">
        <f>HYPERLINK("https://klasma.github.io/Logging_0780/tillsyn/A 297-2024 tillsynsbegäran.docx", "A 297-2024")</f>
        <v/>
      </c>
      <c r="AD84">
        <f>HYPERLINK("https://klasma.github.io/Logging_0780/tillsynsmail/A 297-2024 tillsynsbegäran mail.docx", "A 297-2024")</f>
        <v/>
      </c>
      <c r="AE84">
        <f>HYPERLINK("https://klasma.github.io/Logging_0780/fåglar/A 297-2024 prioriterade fågelarter.docx", "A 297-2024")</f>
        <v/>
      </c>
    </row>
    <row r="85" ht="15" customHeight="1">
      <c r="A85" t="inlineStr">
        <is>
          <t>A 8389-2023</t>
        </is>
      </c>
      <c r="B85" t="inlineStr">
        <is>
          <t>avverkningsanmälan</t>
        </is>
      </c>
      <c r="C85" t="inlineStr">
        <is>
          <t>Föryngringsavverkning</t>
        </is>
      </c>
      <c r="D85" s="1" t="n">
        <v>44977</v>
      </c>
      <c r="E85" s="1" t="n">
        <v>46316</v>
      </c>
      <c r="F85" t="inlineStr">
        <is>
          <t>KRONOBERGS LÄN</t>
        </is>
      </c>
      <c r="G85" t="inlineStr">
        <is>
          <t>TINGSRYD</t>
        </is>
      </c>
      <c r="I85" t="n">
        <v>2.1</v>
      </c>
      <c r="J85" t="n">
        <v>4</v>
      </c>
      <c r="K85" t="n">
        <v>0</v>
      </c>
      <c r="L85" t="n">
        <v>1</v>
      </c>
      <c r="M85" t="n">
        <v>0</v>
      </c>
      <c r="N85" t="n">
        <v>0</v>
      </c>
      <c r="O85" t="n">
        <v>0</v>
      </c>
      <c r="P85" t="n">
        <v>0</v>
      </c>
      <c r="Q85" t="n">
        <v>1</v>
      </c>
      <c r="R85" t="n">
        <v>0</v>
      </c>
      <c r="S85" t="n">
        <v>4</v>
      </c>
      <c r="T85" t="n">
        <v>4</v>
      </c>
      <c r="U85" t="n">
        <v>4</v>
      </c>
      <c r="V85" s="2" t="inlineStr">
        <is>
          <t>Nordfladdermus
Dvärgpipistrell
Större brunfladdermus
Vattenfladdermus</t>
        </is>
      </c>
      <c r="W85">
        <f>HYPERLINK("https://klasma.github.io/Logging_0763/artfynd/A 8389-2023 artfynd.xlsx", "A 8389-2023")</f>
        <v/>
      </c>
      <c r="X85">
        <f>HYPERLINK("https://klasma.github.io/Logging_0763/kartor/A 8389-2023 karta.png", "A 8389-2023")</f>
        <v/>
      </c>
      <c r="Y85">
        <f>HYPERLINK("https://klasma.github.io/Logging_0763/kartor_geotiff/A 8389-2023 georefererad karta.tif", "A 8389-2023")</f>
        <v/>
      </c>
      <c r="AA85">
        <f>HYPERLINK("https://klasma.github.io/Logging_0763/klagomål/A 8389-2023 FSC-klagomål.docx", "A 8389-2023")</f>
        <v/>
      </c>
      <c r="AB85">
        <f>HYPERLINK("https://klasma.github.io/Logging_0763/klagomålsmail/A 8389-2023 FSC-klagomål mail.docx", "A 8389-2023")</f>
        <v/>
      </c>
      <c r="AC85">
        <f>HYPERLINK("https://klasma.github.io/Logging_0763/tillsyn/A 8389-2023 tillsynsbegäran.docx", "A 8389-2023")</f>
        <v/>
      </c>
      <c r="AD85">
        <f>HYPERLINK("https://klasma.github.io/Logging_0763/tillsynsmail/A 8389-2023 tillsynsbegäran mail.docx", "A 8389-2023")</f>
        <v/>
      </c>
    </row>
    <row r="86" ht="15" customHeight="1">
      <c r="A86" t="inlineStr">
        <is>
          <t>A 60865-2025</t>
        </is>
      </c>
      <c r="B86" t="inlineStr">
        <is>
          <t>avverkningsanmälan</t>
        </is>
      </c>
      <c r="C86" t="inlineStr">
        <is>
          <t>Avverkning för annat ändamål</t>
        </is>
      </c>
      <c r="D86" s="1" t="n">
        <v>45999</v>
      </c>
      <c r="E86" s="1" t="n">
        <v>46316</v>
      </c>
      <c r="F86" t="inlineStr">
        <is>
          <t>KRONOBERGS LÄN</t>
        </is>
      </c>
      <c r="G86" t="inlineStr">
        <is>
          <t>LJUNGBY</t>
        </is>
      </c>
      <c r="H86" t="inlineStr">
        <is>
          <t>Kommuner</t>
        </is>
      </c>
      <c r="I86" t="n">
        <v>6.6</v>
      </c>
      <c r="J86" t="n">
        <v>3</v>
      </c>
      <c r="K86" t="n">
        <v>1</v>
      </c>
      <c r="L86" t="n">
        <v>1</v>
      </c>
      <c r="M86" t="n">
        <v>0</v>
      </c>
      <c r="N86" t="n">
        <v>1</v>
      </c>
      <c r="O86" t="n">
        <v>0</v>
      </c>
      <c r="P86" t="n">
        <v>0</v>
      </c>
      <c r="Q86" t="n">
        <v>2</v>
      </c>
      <c r="R86" t="n">
        <v>1</v>
      </c>
      <c r="S86" t="n">
        <v>4</v>
      </c>
      <c r="T86" t="n">
        <v>4</v>
      </c>
      <c r="U86" t="n">
        <v>0</v>
      </c>
      <c r="V86" s="2" t="inlineStr">
        <is>
          <t>Brun glada
Gulsparv
Stubbspretmossa
Röd glada</t>
        </is>
      </c>
      <c r="W86">
        <f>HYPERLINK("https://klasma.github.io/Logging_0781/artfynd/A 60865-2025 artfynd.xlsx", "A 60865-2025")</f>
        <v/>
      </c>
      <c r="X86">
        <f>HYPERLINK("https://klasma.github.io/Logging_0781/kartor/A 60865-2025 karta.png", "A 60865-2025")</f>
        <v/>
      </c>
      <c r="Y86">
        <f>HYPERLINK("https://klasma.github.io/Logging_0781/kartor_geotiff/A 60865-2025 georefererad karta.tif", "A 60865-2025")</f>
        <v/>
      </c>
      <c r="AA86">
        <f>HYPERLINK("https://klasma.github.io/Logging_0781/klagomål/A 60865-2025 FSC-klagomål.docx", "A 60865-2025")</f>
        <v/>
      </c>
      <c r="AB86">
        <f>HYPERLINK("https://klasma.github.io/Logging_0781/klagomålsmail/A 60865-2025 FSC-klagomål mail.docx", "A 60865-2025")</f>
        <v/>
      </c>
      <c r="AC86">
        <f>HYPERLINK("https://klasma.github.io/Logging_0781/tillsyn/A 60865-2025 tillsynsbegäran.docx", "A 60865-2025")</f>
        <v/>
      </c>
      <c r="AD86">
        <f>HYPERLINK("https://klasma.github.io/Logging_0781/tillsynsmail/A 60865-2025 tillsynsbegäran mail.docx", "A 60865-2025")</f>
        <v/>
      </c>
      <c r="AE86">
        <f>HYPERLINK("https://klasma.github.io/Logging_0781/fåglar/A 60865-2025 prioriterade fågelarter.docx", "A 60865-2025")</f>
        <v/>
      </c>
    </row>
    <row r="87" ht="15" customHeight="1">
      <c r="A87" t="inlineStr">
        <is>
          <t>A 33422-2026</t>
        </is>
      </c>
      <c r="B87" t="inlineStr">
        <is>
          <t>avverkningsanmälan</t>
        </is>
      </c>
      <c r="C87" t="inlineStr">
        <is>
          <t>Föryngringsavverkning</t>
        </is>
      </c>
      <c r="D87" s="1" t="n">
        <v>46247</v>
      </c>
      <c r="E87" s="1" t="n">
        <v>46316</v>
      </c>
      <c r="F87" t="inlineStr">
        <is>
          <t>KRONOBERGS LÄN</t>
        </is>
      </c>
      <c r="G87" t="inlineStr">
        <is>
          <t>VÄXJÖ</t>
        </is>
      </c>
      <c r="I87" t="n">
        <v>3.2</v>
      </c>
      <c r="J87" t="n">
        <v>1</v>
      </c>
      <c r="K87" t="n">
        <v>0</v>
      </c>
      <c r="L87" t="n">
        <v>2</v>
      </c>
      <c r="M87" t="n">
        <v>0</v>
      </c>
      <c r="N87" t="n">
        <v>1</v>
      </c>
      <c r="O87" t="n">
        <v>0</v>
      </c>
      <c r="P87" t="n">
        <v>0</v>
      </c>
      <c r="Q87" t="n">
        <v>3</v>
      </c>
      <c r="R87" t="n">
        <v>1</v>
      </c>
      <c r="S87" t="n">
        <v>4</v>
      </c>
      <c r="T87" t="n">
        <v>4</v>
      </c>
      <c r="U87" t="n">
        <v>0</v>
      </c>
      <c r="V87" s="2" t="inlineStr">
        <is>
          <t>Ask
Borsttåg
Vårstarr
Gullviva</t>
        </is>
      </c>
      <c r="W87">
        <f>HYPERLINK("https://klasma.github.io/Logging_0780/artfynd/A 33422-2026 artfynd.xlsx", "A 33422-2026")</f>
        <v/>
      </c>
      <c r="X87">
        <f>HYPERLINK("https://klasma.github.io/Logging_0780/kartor/A 33422-2026 karta.png", "A 33422-2026")</f>
        <v/>
      </c>
      <c r="Y87">
        <f>HYPERLINK("https://klasma.github.io/Logging_0780/kartor_geotiff/A 33422-2026 georefererad karta.tif", "A 33422-2026")</f>
        <v/>
      </c>
      <c r="AA87">
        <f>HYPERLINK("https://klasma.github.io/Logging_0780/klagomål/A 33422-2026 FSC-klagomål.docx", "A 33422-2026")</f>
        <v/>
      </c>
      <c r="AB87">
        <f>HYPERLINK("https://klasma.github.io/Logging_0780/klagomålsmail/A 33422-2026 FSC-klagomål mail.docx", "A 33422-2026")</f>
        <v/>
      </c>
      <c r="AC87">
        <f>HYPERLINK("https://klasma.github.io/Logging_0780/tillsyn/A 33422-2026 tillsynsbegäran.docx", "A 33422-2026")</f>
        <v/>
      </c>
      <c r="AD87">
        <f>HYPERLINK("https://klasma.github.io/Logging_0780/tillsynsmail/A 33422-2026 tillsynsbegäran mail.docx", "A 33422-2026")</f>
        <v/>
      </c>
    </row>
    <row r="88" ht="15" customHeight="1">
      <c r="A88" t="inlineStr">
        <is>
          <t>A 26794-2022</t>
        </is>
      </c>
      <c r="B88" t="inlineStr">
        <is>
          <t>avverkningsanmälan</t>
        </is>
      </c>
      <c r="C88" t="inlineStr">
        <is>
          <t>Föryngringsavverkning</t>
        </is>
      </c>
      <c r="D88" s="1" t="n">
        <v>44740</v>
      </c>
      <c r="E88" s="1" t="n">
        <v>46316</v>
      </c>
      <c r="F88" t="inlineStr">
        <is>
          <t>KRONOBERGS LÄN</t>
        </is>
      </c>
      <c r="G88" t="inlineStr">
        <is>
          <t>TINGSRYD</t>
        </is>
      </c>
      <c r="I88" t="n">
        <v>0.9</v>
      </c>
      <c r="J88" t="n">
        <v>3</v>
      </c>
      <c r="K88" t="n">
        <v>0</v>
      </c>
      <c r="L88" t="n">
        <v>3</v>
      </c>
      <c r="M88" t="n">
        <v>0</v>
      </c>
      <c r="N88" t="n">
        <v>0</v>
      </c>
      <c r="O88" t="n">
        <v>0</v>
      </c>
      <c r="P88" t="n">
        <v>0</v>
      </c>
      <c r="Q88" t="n">
        <v>3</v>
      </c>
      <c r="R88" t="n">
        <v>0</v>
      </c>
      <c r="S88" t="n">
        <v>4</v>
      </c>
      <c r="T88" t="n">
        <v>4</v>
      </c>
      <c r="U88" t="n">
        <v>1</v>
      </c>
      <c r="V88" s="2" t="inlineStr">
        <is>
          <t>Bivråk
Nötkråka
Vitfläckig guldvinge
Röd glada</t>
        </is>
      </c>
      <c r="W88">
        <f>HYPERLINK("https://klasma.github.io/Logging_0763/artfynd/A 26794-2022 artfynd.xlsx", "A 26794-2022")</f>
        <v/>
      </c>
      <c r="X88">
        <f>HYPERLINK("https://klasma.github.io/Logging_0763/kartor/A 26794-2022 karta.png", "A 26794-2022")</f>
        <v/>
      </c>
      <c r="Y88">
        <f>HYPERLINK("https://klasma.github.io/Logging_0763/kartor_geotiff/A 26794-2022 georefererad karta.tif", "A 26794-2022")</f>
        <v/>
      </c>
      <c r="AA88">
        <f>HYPERLINK("https://klasma.github.io/Logging_0763/klagomål/A 26794-2022 FSC-klagomål.docx", "A 26794-2022")</f>
        <v/>
      </c>
      <c r="AB88">
        <f>HYPERLINK("https://klasma.github.io/Logging_0763/klagomålsmail/A 26794-2022 FSC-klagomål mail.docx", "A 26794-2022")</f>
        <v/>
      </c>
      <c r="AC88">
        <f>HYPERLINK("https://klasma.github.io/Logging_0763/tillsyn/A 26794-2022 tillsynsbegäran.docx", "A 26794-2022")</f>
        <v/>
      </c>
      <c r="AD88">
        <f>HYPERLINK("https://klasma.github.io/Logging_0763/tillsynsmail/A 26794-2022 tillsynsbegäran mail.docx", "A 26794-2022")</f>
        <v/>
      </c>
      <c r="AE88">
        <f>HYPERLINK("https://klasma.github.io/Logging_0763/fåglar/A 26794-2022 prioriterade fågelarter.docx", "A 26794-2022")</f>
        <v/>
      </c>
    </row>
    <row r="89" ht="15" customHeight="1">
      <c r="A89" t="inlineStr">
        <is>
          <t>A 30317-2024</t>
        </is>
      </c>
      <c r="B89" t="inlineStr">
        <is>
          <t>avverkningsanmälan</t>
        </is>
      </c>
      <c r="C89" t="inlineStr">
        <is>
          <t>Avverkning för att bevara och utveckla /försöksver</t>
        </is>
      </c>
      <c r="D89" s="1" t="n">
        <v>45490</v>
      </c>
      <c r="E89" s="1" t="n">
        <v>46316</v>
      </c>
      <c r="F89" t="inlineStr">
        <is>
          <t>KRONOBERGS LÄN</t>
        </is>
      </c>
      <c r="G89" t="inlineStr">
        <is>
          <t>VÄXJÖ</t>
        </is>
      </c>
      <c r="H89" t="inlineStr">
        <is>
          <t>Sveaskog</t>
        </is>
      </c>
      <c r="I89" t="n">
        <v>2.7</v>
      </c>
      <c r="J89" t="n">
        <v>3</v>
      </c>
      <c r="K89" t="n">
        <v>1</v>
      </c>
      <c r="L89" t="n">
        <v>1</v>
      </c>
      <c r="M89" t="n">
        <v>0</v>
      </c>
      <c r="N89" t="n">
        <v>0</v>
      </c>
      <c r="O89" t="n">
        <v>0</v>
      </c>
      <c r="P89" t="n">
        <v>0</v>
      </c>
      <c r="Q89" t="n">
        <v>1</v>
      </c>
      <c r="R89" t="n">
        <v>0</v>
      </c>
      <c r="S89" t="n">
        <v>4</v>
      </c>
      <c r="T89" t="n">
        <v>4</v>
      </c>
      <c r="U89" t="n">
        <v>2</v>
      </c>
      <c r="V89" s="2" t="inlineStr">
        <is>
          <t>Järnsparv
Scharlakansskål
Lopplummer (aggregat)
Revlummer</t>
        </is>
      </c>
      <c r="W89">
        <f>HYPERLINK("https://klasma.github.io/Logging_0780/artfynd/A 30317-2024 artfynd.xlsx", "A 30317-2024")</f>
        <v/>
      </c>
      <c r="X89">
        <f>HYPERLINK("https://klasma.github.io/Logging_0780/kartor/A 30317-2024 karta.png", "A 30317-2024")</f>
        <v/>
      </c>
      <c r="Y89">
        <f>HYPERLINK("https://klasma.github.io/Logging_0780/kartor_geotiff/A 30317-2024 georefererad karta.tif", "A 30317-2024")</f>
        <v/>
      </c>
      <c r="AA89">
        <f>HYPERLINK("https://klasma.github.io/Logging_0780/klagomål/A 30317-2024 FSC-klagomål.docx", "A 30317-2024")</f>
        <v/>
      </c>
      <c r="AB89">
        <f>HYPERLINK("https://klasma.github.io/Logging_0780/klagomålsmail/A 30317-2024 FSC-klagomål mail.docx", "A 30317-2024")</f>
        <v/>
      </c>
      <c r="AC89">
        <f>HYPERLINK("https://klasma.github.io/Logging_0780/tillsyn/A 30317-2024 tillsynsbegäran.docx", "A 30317-2024")</f>
        <v/>
      </c>
      <c r="AD89">
        <f>HYPERLINK("https://klasma.github.io/Logging_0780/tillsynsmail/A 30317-2024 tillsynsbegäran mail.docx", "A 30317-2024")</f>
        <v/>
      </c>
      <c r="AE89">
        <f>HYPERLINK("https://klasma.github.io/Logging_0780/fåglar/A 30317-2024 prioriterade fågelarter.docx", "A 30317-2024")</f>
        <v/>
      </c>
    </row>
    <row r="90" ht="15" customHeight="1">
      <c r="A90" t="inlineStr">
        <is>
          <t>A 2053-2023</t>
        </is>
      </c>
      <c r="B90" t="inlineStr">
        <is>
          <t>avverkningsanmälan</t>
        </is>
      </c>
      <c r="C90" t="inlineStr">
        <is>
          <t>Föryngringsavverkning</t>
        </is>
      </c>
      <c r="D90" s="1" t="n">
        <v>44939</v>
      </c>
      <c r="E90" s="1" t="n">
        <v>46316</v>
      </c>
      <c r="F90" t="inlineStr">
        <is>
          <t>KRONOBERGS LÄN</t>
        </is>
      </c>
      <c r="G90" t="inlineStr">
        <is>
          <t>UPPVIDINGE</t>
        </is>
      </c>
      <c r="I90" t="n">
        <v>0.7</v>
      </c>
      <c r="J90" t="n">
        <v>4</v>
      </c>
      <c r="K90" t="n">
        <v>0</v>
      </c>
      <c r="L90" t="n">
        <v>1</v>
      </c>
      <c r="M90" t="n">
        <v>0</v>
      </c>
      <c r="N90" t="n">
        <v>0</v>
      </c>
      <c r="O90" t="n">
        <v>0</v>
      </c>
      <c r="P90" t="n">
        <v>0</v>
      </c>
      <c r="Q90" t="n">
        <v>1</v>
      </c>
      <c r="R90" t="n">
        <v>0</v>
      </c>
      <c r="S90" t="n">
        <v>4</v>
      </c>
      <c r="T90" t="n">
        <v>5</v>
      </c>
      <c r="U90" t="n">
        <v>5</v>
      </c>
      <c r="V90" s="2" t="inlineStr">
        <is>
          <t>Järnsparv
Kungsfågel
Svartvit flugsnappare
Trana</t>
        </is>
      </c>
      <c r="W90">
        <f>HYPERLINK("https://klasma.github.io/Logging_0760/artfynd/A 2053-2023 artfynd.xlsx", "A 2053-2023")</f>
        <v/>
      </c>
      <c r="X90">
        <f>HYPERLINK("https://klasma.github.io/Logging_0760/kartor/A 2053-2023 karta.png", "A 2053-2023")</f>
        <v/>
      </c>
      <c r="Y90">
        <f>HYPERLINK("https://klasma.github.io/Logging_0760/kartor_geotiff/A 2053-2023 georefererad karta.tif", "A 2053-2023")</f>
        <v/>
      </c>
      <c r="AA90">
        <f>HYPERLINK("https://klasma.github.io/Logging_0760/klagomål/A 2053-2023 FSC-klagomål.docx", "A 2053-2023")</f>
        <v/>
      </c>
      <c r="AB90">
        <f>HYPERLINK("https://klasma.github.io/Logging_0760/klagomålsmail/A 2053-2023 FSC-klagomål mail.docx", "A 2053-2023")</f>
        <v/>
      </c>
      <c r="AC90">
        <f>HYPERLINK("https://klasma.github.io/Logging_0760/tillsyn/A 2053-2023 tillsynsbegäran.docx", "A 2053-2023")</f>
        <v/>
      </c>
      <c r="AD90">
        <f>HYPERLINK("https://klasma.github.io/Logging_0760/tillsynsmail/A 2053-2023 tillsynsbegäran mail.docx", "A 2053-2023")</f>
        <v/>
      </c>
      <c r="AE90">
        <f>HYPERLINK("https://klasma.github.io/Logging_0760/fåglar/A 2053-2023 prioriterade fågelarter.docx", "A 2053-2023")</f>
        <v/>
      </c>
    </row>
    <row r="91" ht="15" customHeight="1">
      <c r="A91" t="inlineStr">
        <is>
          <t>A 52675-2024</t>
        </is>
      </c>
      <c r="B91" t="inlineStr">
        <is>
          <t>avverkningsanmälan</t>
        </is>
      </c>
      <c r="C91" t="inlineStr">
        <is>
          <t>Föryngringsavverkning</t>
        </is>
      </c>
      <c r="D91" s="1" t="n">
        <v>45610</v>
      </c>
      <c r="E91" s="1" t="n">
        <v>46316</v>
      </c>
      <c r="F91" t="inlineStr">
        <is>
          <t>KRONOBERGS LÄN</t>
        </is>
      </c>
      <c r="G91" t="inlineStr">
        <is>
          <t>ALVESTA</t>
        </is>
      </c>
      <c r="H91" t="inlineStr">
        <is>
          <t>Kyrkan</t>
        </is>
      </c>
      <c r="I91" t="n">
        <v>1.2</v>
      </c>
      <c r="J91" t="n">
        <v>1</v>
      </c>
      <c r="K91" t="n">
        <v>2</v>
      </c>
      <c r="L91" t="n">
        <v>1</v>
      </c>
      <c r="M91" t="n">
        <v>0</v>
      </c>
      <c r="N91" t="n">
        <v>0</v>
      </c>
      <c r="O91" t="n">
        <v>0</v>
      </c>
      <c r="P91" t="n">
        <v>0</v>
      </c>
      <c r="Q91" t="n">
        <v>1</v>
      </c>
      <c r="R91" t="n">
        <v>0</v>
      </c>
      <c r="S91" t="n">
        <v>4</v>
      </c>
      <c r="T91" t="n">
        <v>6</v>
      </c>
      <c r="U91" t="n">
        <v>6</v>
      </c>
      <c r="V91" s="2" t="inlineStr">
        <is>
          <t>Gransotdyna
Grovticka
Västlig hakmossa
Revlummer</t>
        </is>
      </c>
      <c r="W91">
        <f>HYPERLINK("https://klasma.github.io/Logging_0764/artfynd/A 52675-2024 artfynd.xlsx", "A 52675-2024")</f>
        <v/>
      </c>
      <c r="X91">
        <f>HYPERLINK("https://klasma.github.io/Logging_0764/kartor/A 52675-2024 karta.png", "A 52675-2024")</f>
        <v/>
      </c>
      <c r="Y91">
        <f>HYPERLINK("https://klasma.github.io/Logging_0764/kartor_geotiff/A 52675-2024 georefererad karta.tif", "A 52675-2024")</f>
        <v/>
      </c>
      <c r="AA91">
        <f>HYPERLINK("https://klasma.github.io/Logging_0764/klagomål/A 52675-2024 FSC-klagomål.docx", "A 52675-2024")</f>
        <v/>
      </c>
      <c r="AB91">
        <f>HYPERLINK("https://klasma.github.io/Logging_0764/klagomålsmail/A 52675-2024 FSC-klagomål mail.docx", "A 52675-2024")</f>
        <v/>
      </c>
      <c r="AC91">
        <f>HYPERLINK("https://klasma.github.io/Logging_0764/tillsyn/A 52675-2024 tillsynsbegäran.docx", "A 52675-2024")</f>
        <v/>
      </c>
      <c r="AD91">
        <f>HYPERLINK("https://klasma.github.io/Logging_0764/tillsynsmail/A 52675-2024 tillsynsbegäran mail.docx", "A 52675-2024")</f>
        <v/>
      </c>
    </row>
    <row r="92" ht="15" customHeight="1">
      <c r="A92" t="inlineStr">
        <is>
          <t>S 2580-2023</t>
        </is>
      </c>
      <c r="B92" t="inlineStr">
        <is>
          <t>samrådsanmälan</t>
        </is>
      </c>
      <c r="C92" t="inlineStr">
        <is>
          <t>Annan skogsbruksåtgärd</t>
        </is>
      </c>
      <c r="D92" s="1" t="n">
        <v>45142</v>
      </c>
      <c r="E92" s="1" t="n">
        <v>46316</v>
      </c>
      <c r="F92" t="inlineStr">
        <is>
          <t>KRONOBERGS LÄN</t>
        </is>
      </c>
      <c r="G92" t="inlineStr">
        <is>
          <t>LJUNGBY</t>
        </is>
      </c>
      <c r="I92" t="n">
        <v>2.1</v>
      </c>
      <c r="J92" t="n">
        <v>1</v>
      </c>
      <c r="K92" t="n">
        <v>2</v>
      </c>
      <c r="L92" t="n">
        <v>0</v>
      </c>
      <c r="M92" t="n">
        <v>0</v>
      </c>
      <c r="N92" t="n">
        <v>1</v>
      </c>
      <c r="O92" t="n">
        <v>0</v>
      </c>
      <c r="P92" t="n">
        <v>0</v>
      </c>
      <c r="Q92" t="n">
        <v>1</v>
      </c>
      <c r="R92" t="n">
        <v>1</v>
      </c>
      <c r="S92" t="n">
        <v>4</v>
      </c>
      <c r="T92" t="n">
        <v>6</v>
      </c>
      <c r="U92" t="n">
        <v>2</v>
      </c>
      <c r="V92" s="2" t="inlineStr">
        <is>
          <t>Skogsalm
Havstulpanlav
Lindskål
Spillkråka</t>
        </is>
      </c>
      <c r="W92">
        <f>HYPERLINK("https://klasma.github.io/Logging_0781/artfynd/S 2580-2023 artfynd.xlsx", "S 2580-2023")</f>
        <v/>
      </c>
      <c r="X92">
        <f>HYPERLINK("https://klasma.github.io/Logging_0781/kartor/S 2580-2023 karta.png", "S 2580-2023")</f>
        <v/>
      </c>
      <c r="Y92">
        <f>HYPERLINK("https://klasma.github.io/Logging_0781/kartor_geotiff/S 2580-2023 georefererad karta.tif", "S 2580-2023")</f>
        <v/>
      </c>
      <c r="AA92">
        <f>HYPERLINK("https://klasma.github.io/Logging_0781/klagomål/S 2580-2023 FSC-klagomål.docx", "S 2580-2023")</f>
        <v/>
      </c>
      <c r="AB92">
        <f>HYPERLINK("https://klasma.github.io/Logging_0781/klagomålsmail/S 2580-2023 FSC-klagomål mail.docx", "S 2580-2023")</f>
        <v/>
      </c>
      <c r="AC92">
        <f>HYPERLINK("https://klasma.github.io/Logging_0781/tillsyn/S 2580-2023 tillsynsbegäran.docx", "S 2580-2023")</f>
        <v/>
      </c>
      <c r="AD92">
        <f>HYPERLINK("https://klasma.github.io/Logging_0781/tillsynsmail/S 2580-2023 tillsynsbegäran mail.docx", "S 2580-2023")</f>
        <v/>
      </c>
      <c r="AE92">
        <f>HYPERLINK("https://klasma.github.io/Logging_0781/fåglar/S 2580-2023 prioriterade fågelarter.docx", "S 2580-2023")</f>
        <v/>
      </c>
    </row>
    <row r="93" ht="15" customHeight="1">
      <c r="A93" t="inlineStr">
        <is>
          <t>S 7070-2022</t>
        </is>
      </c>
      <c r="B93" t="inlineStr">
        <is>
          <t>samrådsanmälan</t>
        </is>
      </c>
      <c r="C93" t="inlineStr">
        <is>
          <t>Askåterföring</t>
        </is>
      </c>
      <c r="D93" s="1" t="n">
        <v>44907</v>
      </c>
      <c r="E93" s="1" t="n">
        <v>46316</v>
      </c>
      <c r="F93" t="inlineStr">
        <is>
          <t>KRONOBERGS LÄN</t>
        </is>
      </c>
      <c r="G93" t="inlineStr">
        <is>
          <t>ALVESTA</t>
        </is>
      </c>
      <c r="I93" t="n">
        <v>65.2</v>
      </c>
      <c r="J93" t="n">
        <v>4</v>
      </c>
      <c r="K93" t="n">
        <v>0</v>
      </c>
      <c r="L93" t="n">
        <v>1</v>
      </c>
      <c r="M93" t="n">
        <v>0</v>
      </c>
      <c r="N93" t="n">
        <v>0</v>
      </c>
      <c r="O93" t="n">
        <v>0</v>
      </c>
      <c r="P93" t="n">
        <v>0</v>
      </c>
      <c r="Q93" t="n">
        <v>1</v>
      </c>
      <c r="R93" t="n">
        <v>0</v>
      </c>
      <c r="S93" t="n">
        <v>4</v>
      </c>
      <c r="T93" t="n">
        <v>4</v>
      </c>
      <c r="U93" t="n">
        <v>4</v>
      </c>
      <c r="V93" s="2" t="inlineStr">
        <is>
          <t>Nordfladdermus
Dvärgpipistrell
Orre
Större brunfladdermus</t>
        </is>
      </c>
      <c r="W93">
        <f>HYPERLINK("https://klasma.github.io/Logging_0764/artfynd/S 7070-2022 artfynd.xlsx", "S 7070-2022")</f>
        <v/>
      </c>
      <c r="X93">
        <f>HYPERLINK("https://klasma.github.io/Logging_0764/kartor/S 7070-2022 karta.png", "S 7070-2022")</f>
        <v/>
      </c>
      <c r="Y93">
        <f>HYPERLINK("https://klasma.github.io/Logging_0764/kartor_geotiff/S 7070-2022 georefererad karta.tif", "S 7070-2022")</f>
        <v/>
      </c>
      <c r="AA93">
        <f>HYPERLINK("https://klasma.github.io/Logging_0764/klagomål/S 7070-2022 FSC-klagomål.docx", "S 7070-2022")</f>
        <v/>
      </c>
      <c r="AB93">
        <f>HYPERLINK("https://klasma.github.io/Logging_0764/klagomålsmail/S 7070-2022 FSC-klagomål mail.docx", "S 7070-2022")</f>
        <v/>
      </c>
      <c r="AC93">
        <f>HYPERLINK("https://klasma.github.io/Logging_0764/tillsyn/S 7070-2022 tillsynsbegäran.docx", "S 7070-2022")</f>
        <v/>
      </c>
      <c r="AD93">
        <f>HYPERLINK("https://klasma.github.io/Logging_0764/tillsynsmail/S 7070-2022 tillsynsbegäran mail.docx", "S 7070-2022")</f>
        <v/>
      </c>
      <c r="AE93">
        <f>HYPERLINK("https://klasma.github.io/Logging_0764/fåglar/S 7070-2022 prioriterade fågelarter.docx", "S 7070-2022")</f>
        <v/>
      </c>
    </row>
    <row r="94" ht="15" customHeight="1">
      <c r="A94" t="inlineStr">
        <is>
          <t>S 3853-2023</t>
        </is>
      </c>
      <c r="B94" t="inlineStr">
        <is>
          <t>samrådsanmälan</t>
        </is>
      </c>
      <c r="C94" t="inlineStr">
        <is>
          <t>Annan skogsbruksåtgärd</t>
        </is>
      </c>
      <c r="D94" s="1" t="n">
        <v>45229</v>
      </c>
      <c r="E94" s="1" t="n">
        <v>46316</v>
      </c>
      <c r="F94" t="inlineStr">
        <is>
          <t>KRONOBERGS LÄN</t>
        </is>
      </c>
      <c r="G94" t="inlineStr">
        <is>
          <t>LJUNGBY</t>
        </is>
      </c>
      <c r="I94" t="n">
        <v>0.5</v>
      </c>
      <c r="J94" t="n">
        <v>0</v>
      </c>
      <c r="K94" t="n">
        <v>3</v>
      </c>
      <c r="L94" t="n">
        <v>0</v>
      </c>
      <c r="M94" t="n">
        <v>0</v>
      </c>
      <c r="N94" t="n">
        <v>1</v>
      </c>
      <c r="O94" t="n">
        <v>0</v>
      </c>
      <c r="P94" t="n">
        <v>0</v>
      </c>
      <c r="Q94" t="n">
        <v>1</v>
      </c>
      <c r="R94" t="n">
        <v>1</v>
      </c>
      <c r="S94" t="n">
        <v>4</v>
      </c>
      <c r="T94" t="n">
        <v>9</v>
      </c>
      <c r="U94" t="n">
        <v>0</v>
      </c>
      <c r="V94" s="2" t="inlineStr">
        <is>
          <t>Skogsalm
Guldlockmossa
Platt fjädermossa
Rostfläck</t>
        </is>
      </c>
      <c r="W94">
        <f>HYPERLINK("https://klasma.github.io/Logging_0781/artfynd/S 3853-2023 artfynd.xlsx", "S 3853-2023")</f>
        <v/>
      </c>
      <c r="X94">
        <f>HYPERLINK("https://klasma.github.io/Logging_0781/kartor/S 3853-2023 karta.png", "S 3853-2023")</f>
        <v/>
      </c>
      <c r="Y94">
        <f>HYPERLINK("https://klasma.github.io/Logging_0781/kartor_geotiff/S 3853-2023 georefererad karta.tif", "S 3853-2023")</f>
        <v/>
      </c>
      <c r="AA94">
        <f>HYPERLINK("https://klasma.github.io/Logging_0781/klagomål/S 3853-2023 FSC-klagomål.docx", "S 3853-2023")</f>
        <v/>
      </c>
      <c r="AB94">
        <f>HYPERLINK("https://klasma.github.io/Logging_0781/klagomålsmail/S 3853-2023 FSC-klagomål mail.docx", "S 3853-2023")</f>
        <v/>
      </c>
      <c r="AC94">
        <f>HYPERLINK("https://klasma.github.io/Logging_0781/tillsyn/S 3853-2023 tillsynsbegäran.docx", "S 3853-2023")</f>
        <v/>
      </c>
      <c r="AD94">
        <f>HYPERLINK("https://klasma.github.io/Logging_0781/tillsynsmail/S 3853-2023 tillsynsbegäran mail.docx", "S 3853-2023")</f>
        <v/>
      </c>
    </row>
    <row r="95" ht="15" customHeight="1">
      <c r="A95" t="inlineStr">
        <is>
          <t>S 1210-2025</t>
        </is>
      </c>
      <c r="B95" t="inlineStr">
        <is>
          <t>samrådsanmälan</t>
        </is>
      </c>
      <c r="C95" t="inlineStr">
        <is>
          <t>Annan skogsbruksåtgärd</t>
        </is>
      </c>
      <c r="D95" s="1" t="n">
        <v>45758</v>
      </c>
      <c r="E95" s="1" t="n">
        <v>46316</v>
      </c>
      <c r="F95" t="inlineStr">
        <is>
          <t>KRONOBERGS LÄN</t>
        </is>
      </c>
      <c r="G95" t="inlineStr">
        <is>
          <t>LJUNGBY</t>
        </is>
      </c>
      <c r="I95" t="n">
        <v>3.7</v>
      </c>
      <c r="J95" t="n">
        <v>0</v>
      </c>
      <c r="K95" t="n">
        <v>3</v>
      </c>
      <c r="L95" t="n">
        <v>0</v>
      </c>
      <c r="M95" t="n">
        <v>0</v>
      </c>
      <c r="N95" t="n">
        <v>1</v>
      </c>
      <c r="O95" t="n">
        <v>0</v>
      </c>
      <c r="P95" t="n">
        <v>0</v>
      </c>
      <c r="Q95" t="n">
        <v>1</v>
      </c>
      <c r="R95" t="n">
        <v>1</v>
      </c>
      <c r="S95" t="n">
        <v>4</v>
      </c>
      <c r="T95" t="n">
        <v>7</v>
      </c>
      <c r="U95" t="n">
        <v>0</v>
      </c>
      <c r="V95" s="2" t="inlineStr">
        <is>
          <t>Ask
Fällmossa
Klippfrullania
Rostfläck</t>
        </is>
      </c>
      <c r="W95">
        <f>HYPERLINK("https://klasma.github.io/Logging_0781/artfynd/S 1210-2025 artfynd.xlsx", "S 1210-2025")</f>
        <v/>
      </c>
      <c r="X95">
        <f>HYPERLINK("https://klasma.github.io/Logging_0781/kartor/S 1210-2025 karta.png", "S 1210-2025")</f>
        <v/>
      </c>
      <c r="Y95">
        <f>HYPERLINK("https://klasma.github.io/Logging_0781/kartor_geotiff/S 1210-2025 georefererad karta.tif", "S 1210-2025")</f>
        <v/>
      </c>
      <c r="AA95">
        <f>HYPERLINK("https://klasma.github.io/Logging_0781/klagomål/S 1210-2025 FSC-klagomål.docx", "S 1210-2025")</f>
        <v/>
      </c>
      <c r="AB95">
        <f>HYPERLINK("https://klasma.github.io/Logging_0781/klagomålsmail/S 1210-2025 FSC-klagomål mail.docx", "S 1210-2025")</f>
        <v/>
      </c>
      <c r="AC95">
        <f>HYPERLINK("https://klasma.github.io/Logging_0781/tillsyn/S 1210-2025 tillsynsbegäran.docx", "S 1210-2025")</f>
        <v/>
      </c>
      <c r="AD95">
        <f>HYPERLINK("https://klasma.github.io/Logging_0781/tillsynsmail/S 1210-2025 tillsynsbegäran mail.docx", "S 1210-2025")</f>
        <v/>
      </c>
    </row>
    <row r="96" ht="15" customHeight="1">
      <c r="A96" t="inlineStr">
        <is>
          <t>S 491-2025</t>
        </is>
      </c>
      <c r="B96" t="inlineStr">
        <is>
          <t>samrådsanmälan</t>
        </is>
      </c>
      <c r="C96" t="inlineStr">
        <is>
          <t>Askåterföring</t>
        </is>
      </c>
      <c r="D96" s="1" t="n">
        <v>45705</v>
      </c>
      <c r="E96" s="1" t="n">
        <v>46316</v>
      </c>
      <c r="F96" t="inlineStr">
        <is>
          <t>KRONOBERGS LÄN</t>
        </is>
      </c>
      <c r="G96" t="inlineStr">
        <is>
          <t>TINGSRYD</t>
        </is>
      </c>
      <c r="I96" t="n">
        <v>54.3</v>
      </c>
      <c r="J96" t="n">
        <v>4</v>
      </c>
      <c r="K96" t="n">
        <v>0</v>
      </c>
      <c r="L96" t="n">
        <v>1</v>
      </c>
      <c r="M96" t="n">
        <v>0</v>
      </c>
      <c r="N96" t="n">
        <v>0</v>
      </c>
      <c r="O96" t="n">
        <v>0</v>
      </c>
      <c r="P96" t="n">
        <v>0</v>
      </c>
      <c r="Q96" t="n">
        <v>1</v>
      </c>
      <c r="R96" t="n">
        <v>0</v>
      </c>
      <c r="S96" t="n">
        <v>4</v>
      </c>
      <c r="T96" t="n">
        <v>65</v>
      </c>
      <c r="U96" t="n">
        <v>0</v>
      </c>
      <c r="V96" s="2" t="inlineStr">
        <is>
          <t>Nordfladdermus
Dvärgpipistrell
Större brunfladdermus
Vattenfladdermus</t>
        </is>
      </c>
      <c r="W96">
        <f>HYPERLINK("https://klasma.github.io/Logging_0763/artfynd/S 491-2025 artfynd.xlsx", "S 491-2025")</f>
        <v/>
      </c>
      <c r="X96">
        <f>HYPERLINK("https://klasma.github.io/Logging_0763/kartor/S 491-2025 karta.png", "S 491-2025")</f>
        <v/>
      </c>
      <c r="Y96">
        <f>HYPERLINK("https://klasma.github.io/Logging_0763/kartor_geotiff/S 491-2025 georefererad karta.tif", "S 491-2025")</f>
        <v/>
      </c>
      <c r="AA96">
        <f>HYPERLINK("https://klasma.github.io/Logging_0763/klagomål/S 491-2025 FSC-klagomål.docx", "S 491-2025")</f>
        <v/>
      </c>
      <c r="AB96">
        <f>HYPERLINK("https://klasma.github.io/Logging_0763/klagomålsmail/S 491-2025 FSC-klagomål mail.docx", "S 491-2025")</f>
        <v/>
      </c>
      <c r="AC96">
        <f>HYPERLINK("https://klasma.github.io/Logging_0763/tillsyn/S 491-2025 tillsynsbegäran.docx", "S 491-2025")</f>
        <v/>
      </c>
      <c r="AD96">
        <f>HYPERLINK("https://klasma.github.io/Logging_0763/tillsynsmail/S 491-2025 tillsynsbegäran mail.docx", "S 491-2025")</f>
        <v/>
      </c>
    </row>
    <row r="97" ht="15" customHeight="1">
      <c r="A97" t="inlineStr">
        <is>
          <t>S 1423-2026</t>
        </is>
      </c>
      <c r="B97" t="inlineStr">
        <is>
          <t>samrådsanmälan</t>
        </is>
      </c>
      <c r="C97" t="inlineStr">
        <is>
          <t>Annan skogsbruksåtgärd</t>
        </is>
      </c>
      <c r="D97" s="1" t="n">
        <v>46155</v>
      </c>
      <c r="E97" s="1" t="n">
        <v>46316</v>
      </c>
      <c r="F97" t="inlineStr">
        <is>
          <t>KRONOBERGS LÄN</t>
        </is>
      </c>
      <c r="G97" t="inlineStr">
        <is>
          <t>TINGSRYD</t>
        </is>
      </c>
      <c r="I97" t="n">
        <v>0</v>
      </c>
      <c r="J97" t="n">
        <v>0</v>
      </c>
      <c r="K97" t="n">
        <v>2</v>
      </c>
      <c r="L97" t="n">
        <v>0</v>
      </c>
      <c r="M97" t="n">
        <v>2</v>
      </c>
      <c r="N97" t="n">
        <v>0</v>
      </c>
      <c r="O97" t="n">
        <v>0</v>
      </c>
      <c r="P97" t="n">
        <v>0</v>
      </c>
      <c r="Q97" t="n">
        <v>2</v>
      </c>
      <c r="R97" t="n">
        <v>2</v>
      </c>
      <c r="S97" t="n">
        <v>4</v>
      </c>
      <c r="T97" t="n">
        <v>7</v>
      </c>
      <c r="U97" t="n">
        <v>0</v>
      </c>
      <c r="V97" s="2" t="inlineStr">
        <is>
          <t>Gulvit blekspik
Kraterorangelav
Guldlockmossa
Lönnlav</t>
        </is>
      </c>
      <c r="W97">
        <f>HYPERLINK("https://klasma.github.io/Logging_0763/artfynd/S 1423-2026 artfynd.xlsx", "S 1423-2026")</f>
        <v/>
      </c>
      <c r="X97">
        <f>HYPERLINK("https://klasma.github.io/Logging_0763/kartor/S 1423-2026 karta.png", "S 1423-2026")</f>
        <v/>
      </c>
      <c r="Y97">
        <f>HYPERLINK("https://klasma.github.io/Logging_0763/kartor_geotiff/S 1423-2026 georefererad karta.tif", "S 1423-2026")</f>
        <v/>
      </c>
      <c r="AA97">
        <f>HYPERLINK("https://klasma.github.io/Logging_0763/klagomål/S 1423-2026 FSC-klagomål.docx", "S 1423-2026")</f>
        <v/>
      </c>
      <c r="AB97">
        <f>HYPERLINK("https://klasma.github.io/Logging_0763/klagomålsmail/S 1423-2026 FSC-klagomål mail.docx", "S 1423-2026")</f>
        <v/>
      </c>
      <c r="AC97">
        <f>HYPERLINK("https://klasma.github.io/Logging_0763/tillsyn/S 1423-2026 tillsynsbegäran.docx", "S 1423-2026")</f>
        <v/>
      </c>
      <c r="AD97">
        <f>HYPERLINK("https://klasma.github.io/Logging_0763/tillsynsmail/S 1423-2026 tillsynsbegäran mail.docx", "S 1423-2026")</f>
        <v/>
      </c>
    </row>
    <row r="98" ht="15" customHeight="1">
      <c r="A98" t="inlineStr">
        <is>
          <t>A 34130-2022</t>
        </is>
      </c>
      <c r="B98" t="inlineStr">
        <is>
          <t>avverkningsanmälan</t>
        </is>
      </c>
      <c r="C98" t="inlineStr">
        <is>
          <t>Föryngringsavverkning</t>
        </is>
      </c>
      <c r="D98" s="1" t="n">
        <v>44791</v>
      </c>
      <c r="E98" s="1" t="n">
        <v>46316</v>
      </c>
      <c r="F98" t="inlineStr">
        <is>
          <t>KRONOBERGS LÄN</t>
        </is>
      </c>
      <c r="G98" t="inlineStr">
        <is>
          <t>TINGSRYD</t>
        </is>
      </c>
      <c r="I98" t="n">
        <v>3.5</v>
      </c>
      <c r="J98" t="n">
        <v>0</v>
      </c>
      <c r="K98" t="n">
        <v>0</v>
      </c>
      <c r="L98" t="n">
        <v>3</v>
      </c>
      <c r="M98" t="n">
        <v>0</v>
      </c>
      <c r="N98" t="n">
        <v>0</v>
      </c>
      <c r="O98" t="n">
        <v>0</v>
      </c>
      <c r="P98" t="n">
        <v>0</v>
      </c>
      <c r="Q98" t="n">
        <v>3</v>
      </c>
      <c r="R98" t="n">
        <v>0</v>
      </c>
      <c r="S98" t="n">
        <v>3</v>
      </c>
      <c r="T98" t="n">
        <v>3</v>
      </c>
      <c r="U98" t="n">
        <v>3</v>
      </c>
      <c r="V98" s="2" t="inlineStr">
        <is>
          <t>Granspira
Loppstarr
Ängsstarr</t>
        </is>
      </c>
      <c r="W98">
        <f>HYPERLINK("https://klasma.github.io/Logging_0763/artfynd/A 34130-2022 artfynd.xlsx", "A 34130-2022")</f>
        <v/>
      </c>
      <c r="X98">
        <f>HYPERLINK("https://klasma.github.io/Logging_0763/kartor/A 34130-2022 karta.png", "A 34130-2022")</f>
        <v/>
      </c>
      <c r="Y98">
        <f>HYPERLINK("https://klasma.github.io/Logging_0763/kartor_geotiff/A 34130-2022 georefererad karta.tif", "A 34130-2022")</f>
        <v/>
      </c>
      <c r="AA98">
        <f>HYPERLINK("https://klasma.github.io/Logging_0763/klagomål/A 34130-2022 FSC-klagomål.docx", "A 34130-2022")</f>
        <v/>
      </c>
      <c r="AB98">
        <f>HYPERLINK("https://klasma.github.io/Logging_0763/klagomålsmail/A 34130-2022 FSC-klagomål mail.docx", "A 34130-2022")</f>
        <v/>
      </c>
      <c r="AC98">
        <f>HYPERLINK("https://klasma.github.io/Logging_0763/tillsyn/A 34130-2022 tillsynsbegäran.docx", "A 34130-2022")</f>
        <v/>
      </c>
      <c r="AD98">
        <f>HYPERLINK("https://klasma.github.io/Logging_0763/tillsynsmail/A 34130-2022 tillsynsbegäran mail.docx", "A 34130-2022")</f>
        <v/>
      </c>
    </row>
    <row r="99" ht="15" customHeight="1">
      <c r="A99" t="inlineStr">
        <is>
          <t>A 26375-2022</t>
        </is>
      </c>
      <c r="B99" t="inlineStr">
        <is>
          <t>avverkningsanmälan</t>
        </is>
      </c>
      <c r="C99" t="inlineStr">
        <is>
          <t>Föryngringsavverkning</t>
        </is>
      </c>
      <c r="D99" s="1" t="n">
        <v>44735</v>
      </c>
      <c r="E99" s="1" t="n">
        <v>46316</v>
      </c>
      <c r="F99" t="inlineStr">
        <is>
          <t>KRONOBERGS LÄN</t>
        </is>
      </c>
      <c r="G99" t="inlineStr">
        <is>
          <t>LJUNGBY</t>
        </is>
      </c>
      <c r="I99" t="n">
        <v>9.1</v>
      </c>
      <c r="J99" t="n">
        <v>0</v>
      </c>
      <c r="K99" t="n">
        <v>2</v>
      </c>
      <c r="L99" t="n">
        <v>1</v>
      </c>
      <c r="M99" t="n">
        <v>0</v>
      </c>
      <c r="N99" t="n">
        <v>0</v>
      </c>
      <c r="O99" t="n">
        <v>0</v>
      </c>
      <c r="P99" t="n">
        <v>0</v>
      </c>
      <c r="Q99" t="n">
        <v>1</v>
      </c>
      <c r="R99" t="n">
        <v>0</v>
      </c>
      <c r="S99" t="n">
        <v>3</v>
      </c>
      <c r="T99" t="n">
        <v>6</v>
      </c>
      <c r="U99" t="n">
        <v>6</v>
      </c>
      <c r="V99" s="2" t="inlineStr">
        <is>
          <t>Gropticka
Stor revmossa
Vågbandad barkbock</t>
        </is>
      </c>
      <c r="W99">
        <f>HYPERLINK("https://klasma.github.io/Logging_0781/artfynd/A 26375-2022 artfynd.xlsx", "A 26375-2022")</f>
        <v/>
      </c>
      <c r="X99">
        <f>HYPERLINK("https://klasma.github.io/Logging_0781/kartor/A 26375-2022 karta.png", "A 26375-2022")</f>
        <v/>
      </c>
      <c r="Y99">
        <f>HYPERLINK("https://klasma.github.io/Logging_0781/kartor_geotiff/A 26375-2022 georefererad karta.tif", "A 26375-2022")</f>
        <v/>
      </c>
      <c r="AA99">
        <f>HYPERLINK("https://klasma.github.io/Logging_0781/klagomål/A 26375-2022 FSC-klagomål.docx", "A 26375-2022")</f>
        <v/>
      </c>
      <c r="AB99">
        <f>HYPERLINK("https://klasma.github.io/Logging_0781/klagomålsmail/A 26375-2022 FSC-klagomål mail.docx", "A 26375-2022")</f>
        <v/>
      </c>
      <c r="AC99">
        <f>HYPERLINK("https://klasma.github.io/Logging_0781/tillsyn/A 26375-2022 tillsynsbegäran.docx", "A 26375-2022")</f>
        <v/>
      </c>
      <c r="AD99">
        <f>HYPERLINK("https://klasma.github.io/Logging_0781/tillsynsmail/A 26375-2022 tillsynsbegäran mail.docx", "A 26375-2022")</f>
        <v/>
      </c>
    </row>
    <row r="100" ht="15" customHeight="1">
      <c r="A100" t="inlineStr">
        <is>
          <t>A 36046-2024</t>
        </is>
      </c>
      <c r="B100" t="inlineStr">
        <is>
          <t>avverkningsanmälan</t>
        </is>
      </c>
      <c r="C100" t="inlineStr">
        <is>
          <t>Föryngringsavverkning</t>
        </is>
      </c>
      <c r="D100" s="1" t="n">
        <v>45533</v>
      </c>
      <c r="E100" s="1" t="n">
        <v>46316</v>
      </c>
      <c r="F100" t="inlineStr">
        <is>
          <t>KRONOBERGS LÄN</t>
        </is>
      </c>
      <c r="G100" t="inlineStr">
        <is>
          <t>LJUNGBY</t>
        </is>
      </c>
      <c r="I100" t="n">
        <v>4</v>
      </c>
      <c r="J100" t="n">
        <v>1</v>
      </c>
      <c r="K100" t="n">
        <v>1</v>
      </c>
      <c r="L100" t="n">
        <v>1</v>
      </c>
      <c r="M100" t="n">
        <v>0</v>
      </c>
      <c r="N100" t="n">
        <v>0</v>
      </c>
      <c r="O100" t="n">
        <v>0</v>
      </c>
      <c r="P100" t="n">
        <v>0</v>
      </c>
      <c r="Q100" t="n">
        <v>1</v>
      </c>
      <c r="R100" t="n">
        <v>0</v>
      </c>
      <c r="S100" t="n">
        <v>3</v>
      </c>
      <c r="T100" t="n">
        <v>5</v>
      </c>
      <c r="U100" t="n">
        <v>0</v>
      </c>
      <c r="V100" s="2" t="inlineStr">
        <is>
          <t>Brunpudrad nållav
Brandticka
Spillkråka</t>
        </is>
      </c>
      <c r="W100">
        <f>HYPERLINK("https://klasma.github.io/Logging_0781/artfynd/A 36046-2024 artfynd.xlsx", "A 36046-2024")</f>
        <v/>
      </c>
      <c r="X100">
        <f>HYPERLINK("https://klasma.github.io/Logging_0781/kartor/A 36046-2024 karta.png", "A 36046-2024")</f>
        <v/>
      </c>
      <c r="Y100">
        <f>HYPERLINK("https://klasma.github.io/Logging_0781/kartor_geotiff/A 36046-2024 georefererad karta.tif", "A 36046-2024")</f>
        <v/>
      </c>
      <c r="AA100">
        <f>HYPERLINK("https://klasma.github.io/Logging_0781/klagomål/A 36046-2024 FSC-klagomål.docx", "A 36046-2024")</f>
        <v/>
      </c>
      <c r="AB100">
        <f>HYPERLINK("https://klasma.github.io/Logging_0781/klagomålsmail/A 36046-2024 FSC-klagomål mail.docx", "A 36046-2024")</f>
        <v/>
      </c>
      <c r="AC100">
        <f>HYPERLINK("https://klasma.github.io/Logging_0781/tillsyn/A 36046-2024 tillsynsbegäran.docx", "A 36046-2024")</f>
        <v/>
      </c>
      <c r="AD100">
        <f>HYPERLINK("https://klasma.github.io/Logging_0781/tillsynsmail/A 36046-2024 tillsynsbegäran mail.docx", "A 36046-2024")</f>
        <v/>
      </c>
      <c r="AE100">
        <f>HYPERLINK("https://klasma.github.io/Logging_0781/fåglar/A 36046-2024 prioriterade fågelarter.docx", "A 36046-2024")</f>
        <v/>
      </c>
    </row>
    <row r="101" ht="15" customHeight="1">
      <c r="A101" t="inlineStr">
        <is>
          <t>A 39507-2022</t>
        </is>
      </c>
      <c r="B101" t="inlineStr">
        <is>
          <t>avverkningsanmälan</t>
        </is>
      </c>
      <c r="C101" t="inlineStr">
        <is>
          <t>Avverkning för annat ändamål</t>
        </is>
      </c>
      <c r="D101" s="1" t="n">
        <v>44818</v>
      </c>
      <c r="E101" s="1" t="n">
        <v>46316</v>
      </c>
      <c r="F101" t="inlineStr">
        <is>
          <t>KRONOBERGS LÄN</t>
        </is>
      </c>
      <c r="G101" t="inlineStr">
        <is>
          <t>MARKARYD</t>
        </is>
      </c>
      <c r="H101" t="inlineStr">
        <is>
          <t>Kommuner</t>
        </is>
      </c>
      <c r="I101" t="n">
        <v>12.5</v>
      </c>
      <c r="J101" t="n">
        <v>0</v>
      </c>
      <c r="K101" t="n">
        <v>3</v>
      </c>
      <c r="L101" t="n">
        <v>0</v>
      </c>
      <c r="M101" t="n">
        <v>0</v>
      </c>
      <c r="N101" t="n">
        <v>0</v>
      </c>
      <c r="O101" t="n">
        <v>0</v>
      </c>
      <c r="P101" t="n">
        <v>0</v>
      </c>
      <c r="Q101" t="n">
        <v>0</v>
      </c>
      <c r="R101" t="n">
        <v>0</v>
      </c>
      <c r="S101" t="n">
        <v>3</v>
      </c>
      <c r="T101" t="n">
        <v>22</v>
      </c>
      <c r="U101" t="n">
        <v>0</v>
      </c>
      <c r="V101" s="2" t="inlineStr">
        <is>
          <t>Fällmossa
Havstulpanlav
Klippfrullania</t>
        </is>
      </c>
      <c r="W101">
        <f>HYPERLINK("https://klasma.github.io/Logging_0767/artfynd/A 39507-2022 artfynd.xlsx", "A 39507-2022")</f>
        <v/>
      </c>
      <c r="X101">
        <f>HYPERLINK("https://klasma.github.io/Logging_0767/kartor/A 39507-2022 karta.png", "A 39507-2022")</f>
        <v/>
      </c>
      <c r="Y101">
        <f>HYPERLINK("https://klasma.github.io/Logging_0767/kartor_geotiff/A 39507-2022 georefererad karta.tif", "A 39507-2022")</f>
        <v/>
      </c>
      <c r="AA101">
        <f>HYPERLINK("https://klasma.github.io/Logging_0767/klagomål/A 39507-2022 FSC-klagomål.docx", "A 39507-2022")</f>
        <v/>
      </c>
      <c r="AB101">
        <f>HYPERLINK("https://klasma.github.io/Logging_0767/klagomålsmail/A 39507-2022 FSC-klagomål mail.docx", "A 39507-2022")</f>
        <v/>
      </c>
      <c r="AC101">
        <f>HYPERLINK("https://klasma.github.io/Logging_0767/tillsyn/A 39507-2022 tillsynsbegäran.docx", "A 39507-2022")</f>
        <v/>
      </c>
      <c r="AD101">
        <f>HYPERLINK("https://klasma.github.io/Logging_0767/tillsynsmail/A 39507-2022 tillsynsbegäran mail.docx", "A 39507-2022")</f>
        <v/>
      </c>
    </row>
    <row r="102" ht="15" customHeight="1">
      <c r="A102" t="inlineStr">
        <is>
          <t>A 62678-2025</t>
        </is>
      </c>
      <c r="B102" t="inlineStr">
        <is>
          <t>avverkningsanmälan</t>
        </is>
      </c>
      <c r="C102" t="inlineStr">
        <is>
          <t>Föryngringsavverkning</t>
        </is>
      </c>
      <c r="D102" s="1" t="n">
        <v>46008</v>
      </c>
      <c r="E102" s="1" t="n">
        <v>46316</v>
      </c>
      <c r="F102" t="inlineStr">
        <is>
          <t>KRONOBERGS LÄN</t>
        </is>
      </c>
      <c r="G102" t="inlineStr">
        <is>
          <t>LJUNGBY</t>
        </is>
      </c>
      <c r="I102" t="n">
        <v>0.4</v>
      </c>
      <c r="J102" t="n">
        <v>3</v>
      </c>
      <c r="K102" t="n">
        <v>0</v>
      </c>
      <c r="L102" t="n">
        <v>1</v>
      </c>
      <c r="M102" t="n">
        <v>0</v>
      </c>
      <c r="N102" t="n">
        <v>0</v>
      </c>
      <c r="O102" t="n">
        <v>0</v>
      </c>
      <c r="P102" t="n">
        <v>0</v>
      </c>
      <c r="Q102" t="n">
        <v>1</v>
      </c>
      <c r="R102" t="n">
        <v>0</v>
      </c>
      <c r="S102" t="n">
        <v>3</v>
      </c>
      <c r="T102" t="n">
        <v>3</v>
      </c>
      <c r="U102" t="n">
        <v>1</v>
      </c>
      <c r="V102" s="2" t="inlineStr">
        <is>
          <t>Talltita
Spillkråka
Gröngöling</t>
        </is>
      </c>
      <c r="W102">
        <f>HYPERLINK("https://klasma.github.io/Logging_0781/artfynd/A 62678-2025 artfynd.xlsx", "A 62678-2025")</f>
        <v/>
      </c>
      <c r="X102">
        <f>HYPERLINK("https://klasma.github.io/Logging_0781/kartor/A 62678-2025 karta.png", "A 62678-2025")</f>
        <v/>
      </c>
      <c r="Y102">
        <f>HYPERLINK("https://klasma.github.io/Logging_0781/kartor_geotiff/A 62678-2025 georefererad karta.tif", "A 62678-2025")</f>
        <v/>
      </c>
      <c r="AA102">
        <f>HYPERLINK("https://klasma.github.io/Logging_0781/klagomål/A 62678-2025 FSC-klagomål.docx", "A 62678-2025")</f>
        <v/>
      </c>
      <c r="AB102">
        <f>HYPERLINK("https://klasma.github.io/Logging_0781/klagomålsmail/A 62678-2025 FSC-klagomål mail.docx", "A 62678-2025")</f>
        <v/>
      </c>
      <c r="AC102">
        <f>HYPERLINK("https://klasma.github.io/Logging_0781/tillsyn/A 62678-2025 tillsynsbegäran.docx", "A 62678-2025")</f>
        <v/>
      </c>
      <c r="AD102">
        <f>HYPERLINK("https://klasma.github.io/Logging_0781/tillsynsmail/A 62678-2025 tillsynsbegäran mail.docx", "A 62678-2025")</f>
        <v/>
      </c>
      <c r="AE102">
        <f>HYPERLINK("https://klasma.github.io/Logging_0781/fåglar/A 62678-2025 prioriterade fågelarter.docx", "A 62678-2025")</f>
        <v/>
      </c>
    </row>
    <row r="103" ht="15" customHeight="1">
      <c r="A103" t="inlineStr">
        <is>
          <t>A 43369-2024</t>
        </is>
      </c>
      <c r="B103" t="inlineStr">
        <is>
          <t>avverkningsanmälan</t>
        </is>
      </c>
      <c r="C103" t="inlineStr">
        <is>
          <t>Avverkning för annat ändamål</t>
        </is>
      </c>
      <c r="D103" s="1" t="n">
        <v>45568</v>
      </c>
      <c r="E103" s="1" t="n">
        <v>46316</v>
      </c>
      <c r="F103" t="inlineStr">
        <is>
          <t>KRONOBERGS LÄN</t>
        </is>
      </c>
      <c r="G103" t="inlineStr">
        <is>
          <t>LJUNGBY</t>
        </is>
      </c>
      <c r="I103" t="n">
        <v>1.6</v>
      </c>
      <c r="J103" t="n">
        <v>2</v>
      </c>
      <c r="K103" t="n">
        <v>0</v>
      </c>
      <c r="L103" t="n">
        <v>0</v>
      </c>
      <c r="M103" t="n">
        <v>1</v>
      </c>
      <c r="N103" t="n">
        <v>0</v>
      </c>
      <c r="O103" t="n">
        <v>0</v>
      </c>
      <c r="P103" t="n">
        <v>0</v>
      </c>
      <c r="Q103" t="n">
        <v>1</v>
      </c>
      <c r="R103" t="n">
        <v>1</v>
      </c>
      <c r="S103" t="n">
        <v>3</v>
      </c>
      <c r="T103" t="n">
        <v>3</v>
      </c>
      <c r="U103" t="n">
        <v>3</v>
      </c>
      <c r="V103" s="2" t="inlineStr">
        <is>
          <t>Slåttergubbe
Fläcknycklar
Grönvit nattviol</t>
        </is>
      </c>
      <c r="W103">
        <f>HYPERLINK("https://klasma.github.io/Logging_0781/artfynd/A 43369-2024 artfynd.xlsx", "A 43369-2024")</f>
        <v/>
      </c>
      <c r="X103">
        <f>HYPERLINK("https://klasma.github.io/Logging_0781/kartor/A 43369-2024 karta.png", "A 43369-2024")</f>
        <v/>
      </c>
      <c r="Y103">
        <f>HYPERLINK("https://klasma.github.io/Logging_0781/kartor_geotiff/A 43369-2024 georefererad karta.tif", "A 43369-2024")</f>
        <v/>
      </c>
      <c r="AA103">
        <f>HYPERLINK("https://klasma.github.io/Logging_0781/klagomål/A 43369-2024 FSC-klagomål.docx", "A 43369-2024")</f>
        <v/>
      </c>
      <c r="AB103">
        <f>HYPERLINK("https://klasma.github.io/Logging_0781/klagomålsmail/A 43369-2024 FSC-klagomål mail.docx", "A 43369-2024")</f>
        <v/>
      </c>
      <c r="AC103">
        <f>HYPERLINK("https://klasma.github.io/Logging_0781/tillsyn/A 43369-2024 tillsynsbegäran.docx", "A 43369-2024")</f>
        <v/>
      </c>
      <c r="AD103">
        <f>HYPERLINK("https://klasma.github.io/Logging_0781/tillsynsmail/A 43369-2024 tillsynsbegäran mail.docx", "A 43369-2024")</f>
        <v/>
      </c>
    </row>
    <row r="104" ht="15" customHeight="1">
      <c r="A104" t="inlineStr">
        <is>
          <t>A 18207-2023</t>
        </is>
      </c>
      <c r="B104" t="inlineStr">
        <is>
          <t>avverkningsanmälan</t>
        </is>
      </c>
      <c r="C104" t="inlineStr">
        <is>
          <t>Föryngringsavverkning</t>
        </is>
      </c>
      <c r="D104" s="1" t="n">
        <v>45041</v>
      </c>
      <c r="E104" s="1" t="n">
        <v>46316</v>
      </c>
      <c r="F104" t="inlineStr">
        <is>
          <t>KRONOBERGS LÄN</t>
        </is>
      </c>
      <c r="G104" t="inlineStr">
        <is>
          <t>ALVESTA</t>
        </is>
      </c>
      <c r="I104" t="n">
        <v>2.1</v>
      </c>
      <c r="J104" t="n">
        <v>0</v>
      </c>
      <c r="K104" t="n">
        <v>0</v>
      </c>
      <c r="L104" t="n">
        <v>0</v>
      </c>
      <c r="M104" t="n">
        <v>2</v>
      </c>
      <c r="N104" t="n">
        <v>1</v>
      </c>
      <c r="O104" t="n">
        <v>0</v>
      </c>
      <c r="P104" t="n">
        <v>0</v>
      </c>
      <c r="Q104" t="n">
        <v>3</v>
      </c>
      <c r="R104" t="n">
        <v>3</v>
      </c>
      <c r="S104" t="n">
        <v>3</v>
      </c>
      <c r="T104" t="n">
        <v>5</v>
      </c>
      <c r="U104" t="n">
        <v>4</v>
      </c>
      <c r="V104" s="2" t="inlineStr">
        <is>
          <t>Ask
Gulvit blekspik
Liten blekspik</t>
        </is>
      </c>
      <c r="W104">
        <f>HYPERLINK("https://klasma.github.io/Logging_0764/artfynd/A 18207-2023 artfynd.xlsx", "A 18207-2023")</f>
        <v/>
      </c>
      <c r="X104">
        <f>HYPERLINK("https://klasma.github.io/Logging_0764/kartor/A 18207-2023 karta.png", "A 18207-2023")</f>
        <v/>
      </c>
      <c r="Y104">
        <f>HYPERLINK("https://klasma.github.io/Logging_0764/kartor_geotiff/A 18207-2023 georefererad karta.tif", "A 18207-2023")</f>
        <v/>
      </c>
      <c r="AA104">
        <f>HYPERLINK("https://klasma.github.io/Logging_0764/klagomål/A 18207-2023 FSC-klagomål.docx", "A 18207-2023")</f>
        <v/>
      </c>
      <c r="AB104">
        <f>HYPERLINK("https://klasma.github.io/Logging_0764/klagomålsmail/A 18207-2023 FSC-klagomål mail.docx", "A 18207-2023")</f>
        <v/>
      </c>
      <c r="AC104">
        <f>HYPERLINK("https://klasma.github.io/Logging_0764/tillsyn/A 18207-2023 tillsynsbegäran.docx", "A 18207-2023")</f>
        <v/>
      </c>
      <c r="AD104">
        <f>HYPERLINK("https://klasma.github.io/Logging_0764/tillsynsmail/A 18207-2023 tillsynsbegäran mail.docx", "A 18207-2023")</f>
        <v/>
      </c>
    </row>
    <row r="105" ht="15" customHeight="1">
      <c r="A105" t="inlineStr">
        <is>
          <t>A 53849-2023</t>
        </is>
      </c>
      <c r="B105" t="inlineStr">
        <is>
          <t>avverkningsanmälan</t>
        </is>
      </c>
      <c r="C105" t="inlineStr">
        <is>
          <t>Avverkning för annat ändamål</t>
        </is>
      </c>
      <c r="D105" s="1" t="n">
        <v>45224</v>
      </c>
      <c r="E105" s="1" t="n">
        <v>46316</v>
      </c>
      <c r="F105" t="inlineStr">
        <is>
          <t>KRONOBERGS LÄN</t>
        </is>
      </c>
      <c r="G105" t="inlineStr">
        <is>
          <t>LJUNGBY</t>
        </is>
      </c>
      <c r="H105" t="inlineStr">
        <is>
          <t>Kyrkan</t>
        </is>
      </c>
      <c r="I105" t="n">
        <v>1</v>
      </c>
      <c r="J105" t="n">
        <v>1</v>
      </c>
      <c r="K105" t="n">
        <v>1</v>
      </c>
      <c r="L105" t="n">
        <v>0</v>
      </c>
      <c r="M105" t="n">
        <v>1</v>
      </c>
      <c r="N105" t="n">
        <v>1</v>
      </c>
      <c r="O105" t="n">
        <v>0</v>
      </c>
      <c r="P105" t="n">
        <v>0</v>
      </c>
      <c r="Q105" t="n">
        <v>2</v>
      </c>
      <c r="R105" t="n">
        <v>2</v>
      </c>
      <c r="S105" t="n">
        <v>3</v>
      </c>
      <c r="T105" t="n">
        <v>3</v>
      </c>
      <c r="U105" t="n">
        <v>1</v>
      </c>
      <c r="V105" s="2" t="inlineStr">
        <is>
          <t>Vit stork
Igelkott
Tibast</t>
        </is>
      </c>
      <c r="W105">
        <f>HYPERLINK("https://klasma.github.io/Logging_0781/artfynd/A 53849-2023 artfynd.xlsx", "A 53849-2023")</f>
        <v/>
      </c>
      <c r="X105">
        <f>HYPERLINK("https://klasma.github.io/Logging_0781/kartor/A 53849-2023 karta.png", "A 53849-2023")</f>
        <v/>
      </c>
      <c r="Y105">
        <f>HYPERLINK("https://klasma.github.io/Logging_0781/kartor_geotiff/A 53849-2023 georefererad karta.tif", "A 53849-2023")</f>
        <v/>
      </c>
      <c r="AA105">
        <f>HYPERLINK("https://klasma.github.io/Logging_0781/klagomål/A 53849-2023 FSC-klagomål.docx", "A 53849-2023")</f>
        <v/>
      </c>
      <c r="AB105">
        <f>HYPERLINK("https://klasma.github.io/Logging_0781/klagomålsmail/A 53849-2023 FSC-klagomål mail.docx", "A 53849-2023")</f>
        <v/>
      </c>
      <c r="AC105">
        <f>HYPERLINK("https://klasma.github.io/Logging_0781/tillsyn/A 53849-2023 tillsynsbegäran.docx", "A 53849-2023")</f>
        <v/>
      </c>
      <c r="AD105">
        <f>HYPERLINK("https://klasma.github.io/Logging_0781/tillsynsmail/A 53849-2023 tillsynsbegäran mail.docx", "A 53849-2023")</f>
        <v/>
      </c>
    </row>
    <row r="106" ht="15" customHeight="1">
      <c r="A106" t="inlineStr">
        <is>
          <t>A 52542-2025</t>
        </is>
      </c>
      <c r="B106" t="inlineStr">
        <is>
          <t>avverkningsanmälan</t>
        </is>
      </c>
      <c r="C106" t="inlineStr">
        <is>
          <t>Föryngringsavverkning</t>
        </is>
      </c>
      <c r="D106" s="1" t="n">
        <v>45954</v>
      </c>
      <c r="E106" s="1" t="n">
        <v>46316</v>
      </c>
      <c r="F106" t="inlineStr">
        <is>
          <t>KRONOBERGS LÄN</t>
        </is>
      </c>
      <c r="G106" t="inlineStr">
        <is>
          <t>LESSEBO</t>
        </is>
      </c>
      <c r="H106" t="inlineStr">
        <is>
          <t>Sveaskog</t>
        </is>
      </c>
      <c r="I106" t="n">
        <v>2.9</v>
      </c>
      <c r="J106" t="n">
        <v>1</v>
      </c>
      <c r="K106" t="n">
        <v>2</v>
      </c>
      <c r="L106" t="n">
        <v>0</v>
      </c>
      <c r="M106" t="n">
        <v>0</v>
      </c>
      <c r="N106" t="n">
        <v>0</v>
      </c>
      <c r="O106" t="n">
        <v>0</v>
      </c>
      <c r="P106" t="n">
        <v>0</v>
      </c>
      <c r="Q106" t="n">
        <v>0</v>
      </c>
      <c r="R106" t="n">
        <v>0</v>
      </c>
      <c r="S106" t="n">
        <v>3</v>
      </c>
      <c r="T106" t="n">
        <v>7</v>
      </c>
      <c r="U106" t="n">
        <v>7</v>
      </c>
      <c r="V106" s="2" t="inlineStr">
        <is>
          <t>Brandticka
Vedticka
Kungsfågel</t>
        </is>
      </c>
      <c r="W106">
        <f>HYPERLINK("https://klasma.github.io/Logging_0761/artfynd/A 52542-2025 artfynd.xlsx", "A 52542-2025")</f>
        <v/>
      </c>
      <c r="X106">
        <f>HYPERLINK("https://klasma.github.io/Logging_0761/kartor/A 52542-2025 karta.png", "A 52542-2025")</f>
        <v/>
      </c>
      <c r="Y106">
        <f>HYPERLINK("https://klasma.github.io/Logging_0761/kartor_geotiff/A 52542-2025 georefererad karta.tif", "A 52542-2025")</f>
        <v/>
      </c>
      <c r="AA106">
        <f>HYPERLINK("https://klasma.github.io/Logging_0761/klagomål/A 52542-2025 FSC-klagomål.docx", "A 52542-2025")</f>
        <v/>
      </c>
      <c r="AB106">
        <f>HYPERLINK("https://klasma.github.io/Logging_0761/klagomålsmail/A 52542-2025 FSC-klagomål mail.docx", "A 52542-2025")</f>
        <v/>
      </c>
      <c r="AC106">
        <f>HYPERLINK("https://klasma.github.io/Logging_0761/tillsyn/A 52542-2025 tillsynsbegäran.docx", "A 52542-2025")</f>
        <v/>
      </c>
      <c r="AD106">
        <f>HYPERLINK("https://klasma.github.io/Logging_0761/tillsynsmail/A 52542-2025 tillsynsbegäran mail.docx", "A 52542-2025")</f>
        <v/>
      </c>
    </row>
    <row r="107" ht="15" customHeight="1">
      <c r="A107" t="inlineStr">
        <is>
          <t>A 52541-2025</t>
        </is>
      </c>
      <c r="B107" t="inlineStr">
        <is>
          <t>avverkningsanmälan</t>
        </is>
      </c>
      <c r="C107" t="inlineStr">
        <is>
          <t>Föryngringsavverkning</t>
        </is>
      </c>
      <c r="D107" s="1" t="n">
        <v>45954</v>
      </c>
      <c r="E107" s="1" t="n">
        <v>46316</v>
      </c>
      <c r="F107" t="inlineStr">
        <is>
          <t>KRONOBERGS LÄN</t>
        </is>
      </c>
      <c r="G107" t="inlineStr">
        <is>
          <t>LESSEBO</t>
        </is>
      </c>
      <c r="H107" t="inlineStr">
        <is>
          <t>Sveaskog</t>
        </is>
      </c>
      <c r="I107" t="n">
        <v>3.2</v>
      </c>
      <c r="J107" t="n">
        <v>3</v>
      </c>
      <c r="K107" t="n">
        <v>0</v>
      </c>
      <c r="L107" t="n">
        <v>0</v>
      </c>
      <c r="M107" t="n">
        <v>0</v>
      </c>
      <c r="N107" t="n">
        <v>0</v>
      </c>
      <c r="O107" t="n">
        <v>0</v>
      </c>
      <c r="P107" t="n">
        <v>0</v>
      </c>
      <c r="Q107" t="n">
        <v>0</v>
      </c>
      <c r="R107" t="n">
        <v>0</v>
      </c>
      <c r="S107" t="n">
        <v>3</v>
      </c>
      <c r="T107" t="n">
        <v>16</v>
      </c>
      <c r="U107" t="n">
        <v>16</v>
      </c>
      <c r="V107" s="2" t="inlineStr">
        <is>
          <t>Spillkråka
Grönsiska
Kungsfågel</t>
        </is>
      </c>
      <c r="W107">
        <f>HYPERLINK("https://klasma.github.io/Logging_0761/artfynd/A 52541-2025 artfynd.xlsx", "A 52541-2025")</f>
        <v/>
      </c>
      <c r="X107">
        <f>HYPERLINK("https://klasma.github.io/Logging_0761/kartor/A 52541-2025 karta.png", "A 52541-2025")</f>
        <v/>
      </c>
      <c r="Y107">
        <f>HYPERLINK("https://klasma.github.io/Logging_0761/kartor_geotiff/A 52541-2025 georefererad karta.tif", "A 52541-2025")</f>
        <v/>
      </c>
      <c r="AA107">
        <f>HYPERLINK("https://klasma.github.io/Logging_0761/klagomål/A 52541-2025 FSC-klagomål.docx", "A 52541-2025")</f>
        <v/>
      </c>
      <c r="AB107">
        <f>HYPERLINK("https://klasma.github.io/Logging_0761/klagomålsmail/A 52541-2025 FSC-klagomål mail.docx", "A 52541-2025")</f>
        <v/>
      </c>
      <c r="AC107">
        <f>HYPERLINK("https://klasma.github.io/Logging_0761/tillsyn/A 52541-2025 tillsynsbegäran.docx", "A 52541-2025")</f>
        <v/>
      </c>
      <c r="AD107">
        <f>HYPERLINK("https://klasma.github.io/Logging_0761/tillsynsmail/A 52541-2025 tillsynsbegäran mail.docx", "A 52541-2025")</f>
        <v/>
      </c>
      <c r="AE107">
        <f>HYPERLINK("https://klasma.github.io/Logging_0761/fåglar/A 52541-2025 prioriterade fågelarter.docx", "A 52541-2025")</f>
        <v/>
      </c>
    </row>
    <row r="108" ht="15" customHeight="1">
      <c r="A108" t="inlineStr">
        <is>
          <t>A 48175-2023</t>
        </is>
      </c>
      <c r="B108" t="inlineStr">
        <is>
          <t>avverkningsanmälan</t>
        </is>
      </c>
      <c r="C108" t="inlineStr">
        <is>
          <t>Föryngringsavverkning</t>
        </is>
      </c>
      <c r="D108" s="1" t="n">
        <v>45205</v>
      </c>
      <c r="E108" s="1" t="n">
        <v>46316</v>
      </c>
      <c r="F108" t="inlineStr">
        <is>
          <t>KRONOBERGS LÄN</t>
        </is>
      </c>
      <c r="G108" t="inlineStr">
        <is>
          <t>LJUNGBY</t>
        </is>
      </c>
      <c r="I108" t="n">
        <v>1.5</v>
      </c>
      <c r="J108" t="n">
        <v>3</v>
      </c>
      <c r="K108" t="n">
        <v>0</v>
      </c>
      <c r="L108" t="n">
        <v>0</v>
      </c>
      <c r="M108" t="n">
        <v>1</v>
      </c>
      <c r="N108" t="n">
        <v>0</v>
      </c>
      <c r="O108" t="n">
        <v>0</v>
      </c>
      <c r="P108" t="n">
        <v>0</v>
      </c>
      <c r="Q108" t="n">
        <v>1</v>
      </c>
      <c r="R108" t="n">
        <v>1</v>
      </c>
      <c r="S108" t="n">
        <v>3</v>
      </c>
      <c r="T108" t="n">
        <v>3</v>
      </c>
      <c r="U108" t="n">
        <v>0</v>
      </c>
      <c r="V108" s="2" t="inlineStr">
        <is>
          <t>Knärot
Orre
Skogsduva</t>
        </is>
      </c>
      <c r="W108">
        <f>HYPERLINK("https://klasma.github.io/Logging_0781/artfynd/A 48175-2023 artfynd.xlsx", "A 48175-2023")</f>
        <v/>
      </c>
      <c r="X108">
        <f>HYPERLINK("https://klasma.github.io/Logging_0781/kartor/A 48175-2023 karta.png", "A 48175-2023")</f>
        <v/>
      </c>
      <c r="Y108">
        <f>HYPERLINK("https://klasma.github.io/Logging_0781/kartor_geotiff/A 48175-2023 georefererad karta.tif", "A 48175-2023")</f>
        <v/>
      </c>
      <c r="Z108">
        <f>HYPERLINK("https://klasma.github.io/Logging_0781/knärot/A 48175-2023 karta knärot.png", "A 48175-2023")</f>
        <v/>
      </c>
      <c r="AA108">
        <f>HYPERLINK("https://klasma.github.io/Logging_0781/klagomål/A 48175-2023 FSC-klagomål.docx", "A 48175-2023")</f>
        <v/>
      </c>
      <c r="AB108">
        <f>HYPERLINK("https://klasma.github.io/Logging_0781/klagomålsmail/A 48175-2023 FSC-klagomål mail.docx", "A 48175-2023")</f>
        <v/>
      </c>
      <c r="AC108">
        <f>HYPERLINK("https://klasma.github.io/Logging_0781/tillsyn/A 48175-2023 tillsynsbegäran.docx", "A 48175-2023")</f>
        <v/>
      </c>
      <c r="AD108">
        <f>HYPERLINK("https://klasma.github.io/Logging_0781/tillsynsmail/A 48175-2023 tillsynsbegäran mail.docx", "A 48175-2023")</f>
        <v/>
      </c>
      <c r="AE108">
        <f>HYPERLINK("https://klasma.github.io/Logging_0781/fåglar/A 48175-2023 prioriterade fågelarter.docx", "A 48175-2023")</f>
        <v/>
      </c>
    </row>
    <row r="109" ht="15" customHeight="1">
      <c r="A109" t="inlineStr">
        <is>
          <t>A 33088-2025</t>
        </is>
      </c>
      <c r="B109" t="inlineStr">
        <is>
          <t>avverkningsanmälan</t>
        </is>
      </c>
      <c r="C109" t="inlineStr">
        <is>
          <t>Föryngringsavverkning</t>
        </is>
      </c>
      <c r="D109" s="1" t="n">
        <v>45840</v>
      </c>
      <c r="E109" s="1" t="n">
        <v>46316</v>
      </c>
      <c r="F109" t="inlineStr">
        <is>
          <t>KRONOBERGS LÄN</t>
        </is>
      </c>
      <c r="G109" t="inlineStr">
        <is>
          <t>UPPVIDINGE</t>
        </is>
      </c>
      <c r="I109" t="n">
        <v>2.6</v>
      </c>
      <c r="J109" t="n">
        <v>1</v>
      </c>
      <c r="K109" t="n">
        <v>0</v>
      </c>
      <c r="L109" t="n">
        <v>2</v>
      </c>
      <c r="M109" t="n">
        <v>0</v>
      </c>
      <c r="N109" t="n">
        <v>0</v>
      </c>
      <c r="O109" t="n">
        <v>0</v>
      </c>
      <c r="P109" t="n">
        <v>0</v>
      </c>
      <c r="Q109" t="n">
        <v>2</v>
      </c>
      <c r="R109" t="n">
        <v>0</v>
      </c>
      <c r="S109" t="n">
        <v>3</v>
      </c>
      <c r="T109" t="n">
        <v>9</v>
      </c>
      <c r="U109" t="n">
        <v>0</v>
      </c>
      <c r="V109" s="2" t="inlineStr">
        <is>
          <t>Fjällig taggsvamp s.str.
Skarp dropptaggsvamp
Blåsippa</t>
        </is>
      </c>
      <c r="W109">
        <f>HYPERLINK("https://klasma.github.io/Logging_0760/artfynd/A 33088-2025 artfynd.xlsx", "A 33088-2025")</f>
        <v/>
      </c>
      <c r="X109">
        <f>HYPERLINK("https://klasma.github.io/Logging_0760/kartor/A 33088-2025 karta.png", "A 33088-2025")</f>
        <v/>
      </c>
      <c r="Y109">
        <f>HYPERLINK("https://klasma.github.io/Logging_0760/kartor_geotiff/A 33088-2025 georefererad karta.tif", "A 33088-2025")</f>
        <v/>
      </c>
      <c r="AA109">
        <f>HYPERLINK("https://klasma.github.io/Logging_0760/klagomål/A 33088-2025 FSC-klagomål.docx", "A 33088-2025")</f>
        <v/>
      </c>
      <c r="AB109">
        <f>HYPERLINK("https://klasma.github.io/Logging_0760/klagomålsmail/A 33088-2025 FSC-klagomål mail.docx", "A 33088-2025")</f>
        <v/>
      </c>
      <c r="AC109">
        <f>HYPERLINK("https://klasma.github.io/Logging_0760/tillsyn/A 33088-2025 tillsynsbegäran.docx", "A 33088-2025")</f>
        <v/>
      </c>
      <c r="AD109">
        <f>HYPERLINK("https://klasma.github.io/Logging_0760/tillsynsmail/A 33088-2025 tillsynsbegäran mail.docx", "A 33088-2025")</f>
        <v/>
      </c>
    </row>
    <row r="110" ht="15" customHeight="1">
      <c r="A110" t="inlineStr">
        <is>
          <t>A 8819-2024</t>
        </is>
      </c>
      <c r="B110" t="inlineStr">
        <is>
          <t>avverkningsanmälan</t>
        </is>
      </c>
      <c r="C110" t="inlineStr">
        <is>
          <t>Avverkning för annat ändamål</t>
        </is>
      </c>
      <c r="D110" s="1" t="n">
        <v>45356</v>
      </c>
      <c r="E110" s="1" t="n">
        <v>46316</v>
      </c>
      <c r="F110" t="inlineStr">
        <is>
          <t>KRONOBERGS LÄN</t>
        </is>
      </c>
      <c r="G110" t="inlineStr">
        <is>
          <t>VÄXJÖ</t>
        </is>
      </c>
      <c r="I110" t="n">
        <v>4</v>
      </c>
      <c r="J110" t="n">
        <v>3</v>
      </c>
      <c r="K110" t="n">
        <v>0</v>
      </c>
      <c r="L110" t="n">
        <v>0</v>
      </c>
      <c r="M110" t="n">
        <v>0</v>
      </c>
      <c r="N110" t="n">
        <v>0</v>
      </c>
      <c r="O110" t="n">
        <v>0</v>
      </c>
      <c r="P110" t="n">
        <v>0</v>
      </c>
      <c r="Q110" t="n">
        <v>0</v>
      </c>
      <c r="R110" t="n">
        <v>0</v>
      </c>
      <c r="S110" t="n">
        <v>3</v>
      </c>
      <c r="T110" t="n">
        <v>4</v>
      </c>
      <c r="U110" t="n">
        <v>1</v>
      </c>
      <c r="V110" s="2" t="inlineStr">
        <is>
          <t>Spillkråka
Kungsfågel
Revlummer</t>
        </is>
      </c>
      <c r="W110">
        <f>HYPERLINK("https://klasma.github.io/Logging_0780/artfynd/A 8819-2024 artfynd.xlsx", "A 8819-2024")</f>
        <v/>
      </c>
      <c r="X110">
        <f>HYPERLINK("https://klasma.github.io/Logging_0780/kartor/A 8819-2024 karta.png", "A 8819-2024")</f>
        <v/>
      </c>
      <c r="Y110">
        <f>HYPERLINK("https://klasma.github.io/Logging_0780/kartor_geotiff/A 8819-2024 georefererad karta.tif", "A 8819-2024")</f>
        <v/>
      </c>
      <c r="AA110">
        <f>HYPERLINK("https://klasma.github.io/Logging_0780/klagomål/A 8819-2024 FSC-klagomål.docx", "A 8819-2024")</f>
        <v/>
      </c>
      <c r="AB110">
        <f>HYPERLINK("https://klasma.github.io/Logging_0780/klagomålsmail/A 8819-2024 FSC-klagomål mail.docx", "A 8819-2024")</f>
        <v/>
      </c>
      <c r="AC110">
        <f>HYPERLINK("https://klasma.github.io/Logging_0780/tillsyn/A 8819-2024 tillsynsbegäran.docx", "A 8819-2024")</f>
        <v/>
      </c>
      <c r="AD110">
        <f>HYPERLINK("https://klasma.github.io/Logging_0780/tillsynsmail/A 8819-2024 tillsynsbegäran mail.docx", "A 8819-2024")</f>
        <v/>
      </c>
      <c r="AE110">
        <f>HYPERLINK("https://klasma.github.io/Logging_0780/fåglar/A 8819-2024 prioriterade fågelarter.docx", "A 8819-2024")</f>
        <v/>
      </c>
    </row>
    <row r="111" ht="15" customHeight="1">
      <c r="A111" t="inlineStr">
        <is>
          <t>A 35313-2024</t>
        </is>
      </c>
      <c r="B111" t="inlineStr">
        <is>
          <t>avverkningsanmälan</t>
        </is>
      </c>
      <c r="C111" t="inlineStr">
        <is>
          <t>Föryngringsavverkning</t>
        </is>
      </c>
      <c r="D111" s="1" t="n">
        <v>45530</v>
      </c>
      <c r="E111" s="1" t="n">
        <v>46316</v>
      </c>
      <c r="F111" t="inlineStr">
        <is>
          <t>KRONOBERGS LÄN</t>
        </is>
      </c>
      <c r="G111" t="inlineStr">
        <is>
          <t>LJUNGBY</t>
        </is>
      </c>
      <c r="I111" t="n">
        <v>0.6</v>
      </c>
      <c r="J111" t="n">
        <v>0</v>
      </c>
      <c r="K111" t="n">
        <v>0</v>
      </c>
      <c r="L111" t="n">
        <v>1</v>
      </c>
      <c r="M111" t="n">
        <v>0</v>
      </c>
      <c r="N111" t="n">
        <v>0</v>
      </c>
      <c r="O111" t="n">
        <v>0</v>
      </c>
      <c r="P111" t="n">
        <v>0</v>
      </c>
      <c r="Q111" t="n">
        <v>1</v>
      </c>
      <c r="R111" t="n">
        <v>0</v>
      </c>
      <c r="S111" t="n">
        <v>3</v>
      </c>
      <c r="T111" t="n">
        <v>3</v>
      </c>
      <c r="U111" t="n">
        <v>3</v>
      </c>
      <c r="V111" s="2" t="inlineStr">
        <is>
          <t>Svinrot
Ekorrbär
Liljekonvalj</t>
        </is>
      </c>
      <c r="W111">
        <f>HYPERLINK("https://klasma.github.io/Logging_0781/artfynd/A 35313-2024 artfynd.xlsx", "A 35313-2024")</f>
        <v/>
      </c>
      <c r="X111">
        <f>HYPERLINK("https://klasma.github.io/Logging_0781/kartor/A 35313-2024 karta.png", "A 35313-2024")</f>
        <v/>
      </c>
      <c r="Y111">
        <f>HYPERLINK("https://klasma.github.io/Logging_0781/kartor_geotiff/A 35313-2024 georefererad karta.tif", "A 35313-2024")</f>
        <v/>
      </c>
      <c r="AA111">
        <f>HYPERLINK("https://klasma.github.io/Logging_0781/klagomål/A 35313-2024 FSC-klagomål.docx", "A 35313-2024")</f>
        <v/>
      </c>
      <c r="AB111">
        <f>HYPERLINK("https://klasma.github.io/Logging_0781/klagomålsmail/A 35313-2024 FSC-klagomål mail.docx", "A 35313-2024")</f>
        <v/>
      </c>
      <c r="AC111">
        <f>HYPERLINK("https://klasma.github.io/Logging_0781/tillsyn/A 35313-2024 tillsynsbegäran.docx", "A 35313-2024")</f>
        <v/>
      </c>
      <c r="AD111">
        <f>HYPERLINK("https://klasma.github.io/Logging_0781/tillsynsmail/A 35313-2024 tillsynsbegäran mail.docx", "A 35313-2024")</f>
        <v/>
      </c>
    </row>
    <row r="112" ht="15" customHeight="1">
      <c r="A112" t="inlineStr">
        <is>
          <t>A 47462-2024</t>
        </is>
      </c>
      <c r="B112" t="inlineStr">
        <is>
          <t>avverkningsanmälan</t>
        </is>
      </c>
      <c r="C112" t="inlineStr">
        <is>
          <t>Föryngringsavverkning</t>
        </is>
      </c>
      <c r="D112" s="1" t="n">
        <v>45587</v>
      </c>
      <c r="E112" s="1" t="n">
        <v>46316</v>
      </c>
      <c r="F112" t="inlineStr">
        <is>
          <t>KRONOBERGS LÄN</t>
        </is>
      </c>
      <c r="G112" t="inlineStr">
        <is>
          <t>ALVESTA</t>
        </is>
      </c>
      <c r="I112" t="n">
        <v>1.6</v>
      </c>
      <c r="J112" t="n">
        <v>0</v>
      </c>
      <c r="K112" t="n">
        <v>1</v>
      </c>
      <c r="L112" t="n">
        <v>0</v>
      </c>
      <c r="M112" t="n">
        <v>0</v>
      </c>
      <c r="N112" t="n">
        <v>0</v>
      </c>
      <c r="O112" t="n">
        <v>0</v>
      </c>
      <c r="P112" t="n">
        <v>0</v>
      </c>
      <c r="Q112" t="n">
        <v>0</v>
      </c>
      <c r="R112" t="n">
        <v>0</v>
      </c>
      <c r="S112" t="n">
        <v>3</v>
      </c>
      <c r="T112" t="n">
        <v>3</v>
      </c>
      <c r="U112" t="n">
        <v>3</v>
      </c>
      <c r="V112" s="2" t="inlineStr">
        <is>
          <t>Gulnål
Kärrviol
Missne</t>
        </is>
      </c>
      <c r="W112">
        <f>HYPERLINK("https://klasma.github.io/Logging_0764/artfynd/A 47462-2024 artfynd.xlsx", "A 47462-2024")</f>
        <v/>
      </c>
      <c r="X112">
        <f>HYPERLINK("https://klasma.github.io/Logging_0764/kartor/A 47462-2024 karta.png", "A 47462-2024")</f>
        <v/>
      </c>
      <c r="Y112">
        <f>HYPERLINK("https://klasma.github.io/Logging_0764/kartor_geotiff/A 47462-2024 georefererad karta.tif", "A 47462-2024")</f>
        <v/>
      </c>
      <c r="AA112">
        <f>HYPERLINK("https://klasma.github.io/Logging_0764/klagomål/A 47462-2024 FSC-klagomål.docx", "A 47462-2024")</f>
        <v/>
      </c>
      <c r="AB112">
        <f>HYPERLINK("https://klasma.github.io/Logging_0764/klagomålsmail/A 47462-2024 FSC-klagomål mail.docx", "A 47462-2024")</f>
        <v/>
      </c>
      <c r="AC112">
        <f>HYPERLINK("https://klasma.github.io/Logging_0764/tillsyn/A 47462-2024 tillsynsbegäran.docx", "A 47462-2024")</f>
        <v/>
      </c>
      <c r="AD112">
        <f>HYPERLINK("https://klasma.github.io/Logging_0764/tillsynsmail/A 47462-2024 tillsynsbegäran mail.docx", "A 47462-2024")</f>
        <v/>
      </c>
    </row>
    <row r="113" ht="15" customHeight="1">
      <c r="A113" t="inlineStr">
        <is>
          <t>A 11575-2023</t>
        </is>
      </c>
      <c r="B113" t="inlineStr">
        <is>
          <t>avverkningsanmälan</t>
        </is>
      </c>
      <c r="C113" t="inlineStr">
        <is>
          <t>Föryngringsavverkning</t>
        </is>
      </c>
      <c r="D113" s="1" t="n">
        <v>44992</v>
      </c>
      <c r="E113" s="1" t="n">
        <v>46316</v>
      </c>
      <c r="F113" t="inlineStr">
        <is>
          <t>KRONOBERGS LÄN</t>
        </is>
      </c>
      <c r="G113" t="inlineStr">
        <is>
          <t>TINGSRYD</t>
        </is>
      </c>
      <c r="I113" t="n">
        <v>9.199999999999999</v>
      </c>
      <c r="J113" t="n">
        <v>1</v>
      </c>
      <c r="K113" t="n">
        <v>2</v>
      </c>
      <c r="L113" t="n">
        <v>0</v>
      </c>
      <c r="M113" t="n">
        <v>1</v>
      </c>
      <c r="N113" t="n">
        <v>0</v>
      </c>
      <c r="O113" t="n">
        <v>0</v>
      </c>
      <c r="P113" t="n">
        <v>0</v>
      </c>
      <c r="Q113" t="n">
        <v>1</v>
      </c>
      <c r="R113" t="n">
        <v>1</v>
      </c>
      <c r="S113" t="n">
        <v>3</v>
      </c>
      <c r="T113" t="n">
        <v>16</v>
      </c>
      <c r="U113" t="n">
        <v>0</v>
      </c>
      <c r="V113" s="2" t="inlineStr">
        <is>
          <t>Knärot
Blomkålssvamp
Grönpyrola</t>
        </is>
      </c>
      <c r="W113">
        <f>HYPERLINK("https://klasma.github.io/Logging_0763/artfynd/A 11575-2023 artfynd.xlsx", "A 11575-2023")</f>
        <v/>
      </c>
      <c r="X113">
        <f>HYPERLINK("https://klasma.github.io/Logging_0763/kartor/A 11575-2023 karta.png", "A 11575-2023")</f>
        <v/>
      </c>
      <c r="Y113">
        <f>HYPERLINK("https://klasma.github.io/Logging_0763/kartor_geotiff/A 11575-2023 georefererad karta.tif", "A 11575-2023")</f>
        <v/>
      </c>
      <c r="Z113">
        <f>HYPERLINK("https://klasma.github.io/Logging_0763/knärot/A 11575-2023 karta knärot.png", "A 11575-2023")</f>
        <v/>
      </c>
      <c r="AA113">
        <f>HYPERLINK("https://klasma.github.io/Logging_0763/klagomål/A 11575-2023 FSC-klagomål.docx", "A 11575-2023")</f>
        <v/>
      </c>
      <c r="AB113">
        <f>HYPERLINK("https://klasma.github.io/Logging_0763/klagomålsmail/A 11575-2023 FSC-klagomål mail.docx", "A 11575-2023")</f>
        <v/>
      </c>
      <c r="AC113">
        <f>HYPERLINK("https://klasma.github.io/Logging_0763/tillsyn/A 11575-2023 tillsynsbegäran.docx", "A 11575-2023")</f>
        <v/>
      </c>
      <c r="AD113">
        <f>HYPERLINK("https://klasma.github.io/Logging_0763/tillsynsmail/A 11575-2023 tillsynsbegäran mail.docx", "A 11575-2023")</f>
        <v/>
      </c>
    </row>
    <row r="114" ht="15" customHeight="1">
      <c r="A114" t="inlineStr">
        <is>
          <t>A 49550-2023</t>
        </is>
      </c>
      <c r="B114" t="inlineStr">
        <is>
          <t>avverkningsanmälan</t>
        </is>
      </c>
      <c r="C114" t="inlineStr">
        <is>
          <t>Föryngringsavverkning</t>
        </is>
      </c>
      <c r="D114" s="1" t="n">
        <v>45211</v>
      </c>
      <c r="E114" s="1" t="n">
        <v>46316</v>
      </c>
      <c r="F114" t="inlineStr">
        <is>
          <t>KRONOBERGS LÄN</t>
        </is>
      </c>
      <c r="G114" t="inlineStr">
        <is>
          <t>LJUNGBY</t>
        </is>
      </c>
      <c r="I114" t="n">
        <v>2.1</v>
      </c>
      <c r="J114" t="n">
        <v>3</v>
      </c>
      <c r="K114" t="n">
        <v>0</v>
      </c>
      <c r="L114" t="n">
        <v>1</v>
      </c>
      <c r="M114" t="n">
        <v>0</v>
      </c>
      <c r="N114" t="n">
        <v>0</v>
      </c>
      <c r="O114" t="n">
        <v>0</v>
      </c>
      <c r="P114" t="n">
        <v>0</v>
      </c>
      <c r="Q114" t="n">
        <v>1</v>
      </c>
      <c r="R114" t="n">
        <v>0</v>
      </c>
      <c r="S114" t="n">
        <v>3</v>
      </c>
      <c r="T114" t="n">
        <v>4</v>
      </c>
      <c r="U114" t="n">
        <v>4</v>
      </c>
      <c r="V114" s="2" t="inlineStr">
        <is>
          <t>Talltita
Orre
Revlummer</t>
        </is>
      </c>
      <c r="W114">
        <f>HYPERLINK("https://klasma.github.io/Logging_0781/artfynd/A 49550-2023 artfynd.xlsx", "A 49550-2023")</f>
        <v/>
      </c>
      <c r="X114">
        <f>HYPERLINK("https://klasma.github.io/Logging_0781/kartor/A 49550-2023 karta.png", "A 49550-2023")</f>
        <v/>
      </c>
      <c r="Y114">
        <f>HYPERLINK("https://klasma.github.io/Logging_0781/kartor_geotiff/A 49550-2023 georefererad karta.tif", "A 49550-2023")</f>
        <v/>
      </c>
      <c r="AA114">
        <f>HYPERLINK("https://klasma.github.io/Logging_0781/klagomål/A 49550-2023 FSC-klagomål.docx", "A 49550-2023")</f>
        <v/>
      </c>
      <c r="AB114">
        <f>HYPERLINK("https://klasma.github.io/Logging_0781/klagomålsmail/A 49550-2023 FSC-klagomål mail.docx", "A 49550-2023")</f>
        <v/>
      </c>
      <c r="AC114">
        <f>HYPERLINK("https://klasma.github.io/Logging_0781/tillsyn/A 49550-2023 tillsynsbegäran.docx", "A 49550-2023")</f>
        <v/>
      </c>
      <c r="AD114">
        <f>HYPERLINK("https://klasma.github.io/Logging_0781/tillsynsmail/A 49550-2023 tillsynsbegäran mail.docx", "A 49550-2023")</f>
        <v/>
      </c>
      <c r="AE114">
        <f>HYPERLINK("https://klasma.github.io/Logging_0781/fåglar/A 49550-2023 prioriterade fågelarter.docx", "A 49550-2023")</f>
        <v/>
      </c>
    </row>
    <row r="115" ht="15" customHeight="1">
      <c r="A115" t="inlineStr">
        <is>
          <t>A 51425-2024</t>
        </is>
      </c>
      <c r="B115" t="inlineStr">
        <is>
          <t>avverkningsanmälan</t>
        </is>
      </c>
      <c r="C115" t="inlineStr">
        <is>
          <t>Föryngringsavverkning</t>
        </is>
      </c>
      <c r="D115" s="1" t="n">
        <v>45604</v>
      </c>
      <c r="E115" s="1" t="n">
        <v>46316</v>
      </c>
      <c r="F115" t="inlineStr">
        <is>
          <t>KRONOBERGS LÄN</t>
        </is>
      </c>
      <c r="G115" t="inlineStr">
        <is>
          <t>UPPVIDINGE</t>
        </is>
      </c>
      <c r="I115" t="n">
        <v>1.2</v>
      </c>
      <c r="J115" t="n">
        <v>2</v>
      </c>
      <c r="K115" t="n">
        <v>1</v>
      </c>
      <c r="L115" t="n">
        <v>0</v>
      </c>
      <c r="M115" t="n">
        <v>0</v>
      </c>
      <c r="N115" t="n">
        <v>0</v>
      </c>
      <c r="O115" t="n">
        <v>0</v>
      </c>
      <c r="P115" t="n">
        <v>0</v>
      </c>
      <c r="Q115" t="n">
        <v>0</v>
      </c>
      <c r="R115" t="n">
        <v>0</v>
      </c>
      <c r="S115" t="n">
        <v>3</v>
      </c>
      <c r="T115" t="n">
        <v>3</v>
      </c>
      <c r="U115" t="n">
        <v>3</v>
      </c>
      <c r="V115" s="2" t="inlineStr">
        <is>
          <t>Rostfläck
Spillkråka
Tjäder</t>
        </is>
      </c>
      <c r="W115">
        <f>HYPERLINK("https://klasma.github.io/Logging_0760/artfynd/A 51425-2024 artfynd.xlsx", "A 51425-2024")</f>
        <v/>
      </c>
      <c r="X115">
        <f>HYPERLINK("https://klasma.github.io/Logging_0760/kartor/A 51425-2024 karta.png", "A 51425-2024")</f>
        <v/>
      </c>
      <c r="Y115">
        <f>HYPERLINK("https://klasma.github.io/Logging_0760/kartor_geotiff/A 51425-2024 georefererad karta.tif", "A 51425-2024")</f>
        <v/>
      </c>
      <c r="AA115">
        <f>HYPERLINK("https://klasma.github.io/Logging_0760/klagomål/A 51425-2024 FSC-klagomål.docx", "A 51425-2024")</f>
        <v/>
      </c>
      <c r="AB115">
        <f>HYPERLINK("https://klasma.github.io/Logging_0760/klagomålsmail/A 51425-2024 FSC-klagomål mail.docx", "A 51425-2024")</f>
        <v/>
      </c>
      <c r="AC115">
        <f>HYPERLINK("https://klasma.github.io/Logging_0760/tillsyn/A 51425-2024 tillsynsbegäran.docx", "A 51425-2024")</f>
        <v/>
      </c>
      <c r="AD115">
        <f>HYPERLINK("https://klasma.github.io/Logging_0760/tillsynsmail/A 51425-2024 tillsynsbegäran mail.docx", "A 51425-2024")</f>
        <v/>
      </c>
      <c r="AE115">
        <f>HYPERLINK("https://klasma.github.io/Logging_0760/fåglar/A 51425-2024 prioriterade fågelarter.docx", "A 51425-2024")</f>
        <v/>
      </c>
    </row>
    <row r="116" ht="15" customHeight="1">
      <c r="A116" t="inlineStr">
        <is>
          <t>A 45777-2023</t>
        </is>
      </c>
      <c r="B116" t="inlineStr">
        <is>
          <t>avverkningsanmälan</t>
        </is>
      </c>
      <c r="C116" t="inlineStr">
        <is>
          <t>Föryngringsavverkning</t>
        </is>
      </c>
      <c r="D116" s="1" t="n">
        <v>45195</v>
      </c>
      <c r="E116" s="1" t="n">
        <v>46316</v>
      </c>
      <c r="F116" t="inlineStr">
        <is>
          <t>KRONOBERGS LÄN</t>
        </is>
      </c>
      <c r="G116" t="inlineStr">
        <is>
          <t>UPPVIDINGE</t>
        </is>
      </c>
      <c r="I116" t="n">
        <v>2.2</v>
      </c>
      <c r="J116" t="n">
        <v>2</v>
      </c>
      <c r="K116" t="n">
        <v>0</v>
      </c>
      <c r="L116" t="n">
        <v>1</v>
      </c>
      <c r="M116" t="n">
        <v>1</v>
      </c>
      <c r="N116" t="n">
        <v>0</v>
      </c>
      <c r="O116" t="n">
        <v>0</v>
      </c>
      <c r="P116" t="n">
        <v>0</v>
      </c>
      <c r="Q116" t="n">
        <v>2</v>
      </c>
      <c r="R116" t="n">
        <v>1</v>
      </c>
      <c r="S116" t="n">
        <v>3</v>
      </c>
      <c r="T116" t="n">
        <v>3</v>
      </c>
      <c r="U116" t="n">
        <v>0</v>
      </c>
      <c r="V116" s="2" t="inlineStr">
        <is>
          <t>Knärot
Tallticka
Spillkråka</t>
        </is>
      </c>
      <c r="W116">
        <f>HYPERLINK("https://klasma.github.io/Logging_0760/artfynd/A 45777-2023 artfynd.xlsx", "A 45777-2023")</f>
        <v/>
      </c>
      <c r="X116">
        <f>HYPERLINK("https://klasma.github.io/Logging_0760/kartor/A 45777-2023 karta.png", "A 45777-2023")</f>
        <v/>
      </c>
      <c r="Y116">
        <f>HYPERLINK("https://klasma.github.io/Logging_0760/kartor_geotiff/A 45777-2023 georefererad karta.tif", "A 45777-2023")</f>
        <v/>
      </c>
      <c r="Z116">
        <f>HYPERLINK("https://klasma.github.io/Logging_0760/knärot/A 45777-2023 karta knärot.png", "A 45777-2023")</f>
        <v/>
      </c>
      <c r="AA116">
        <f>HYPERLINK("https://klasma.github.io/Logging_0760/klagomål/A 45777-2023 FSC-klagomål.docx", "A 45777-2023")</f>
        <v/>
      </c>
      <c r="AB116">
        <f>HYPERLINK("https://klasma.github.io/Logging_0760/klagomålsmail/A 45777-2023 FSC-klagomål mail.docx", "A 45777-2023")</f>
        <v/>
      </c>
      <c r="AC116">
        <f>HYPERLINK("https://klasma.github.io/Logging_0760/tillsyn/A 45777-2023 tillsynsbegäran.docx", "A 45777-2023")</f>
        <v/>
      </c>
      <c r="AD116">
        <f>HYPERLINK("https://klasma.github.io/Logging_0760/tillsynsmail/A 45777-2023 tillsynsbegäran mail.docx", "A 45777-2023")</f>
        <v/>
      </c>
      <c r="AE116">
        <f>HYPERLINK("https://klasma.github.io/Logging_0760/fåglar/A 45777-2023 prioriterade fågelarter.docx", "A 45777-2023")</f>
        <v/>
      </c>
    </row>
    <row r="117" ht="15" customHeight="1">
      <c r="A117" t="inlineStr">
        <is>
          <t>A 39277-2023</t>
        </is>
      </c>
      <c r="B117" t="inlineStr">
        <is>
          <t>avverkningsanmälan</t>
        </is>
      </c>
      <c r="C117" t="inlineStr">
        <is>
          <t>Föryngringsavverkning</t>
        </is>
      </c>
      <c r="D117" s="1" t="n">
        <v>45166</v>
      </c>
      <c r="E117" s="1" t="n">
        <v>46316</v>
      </c>
      <c r="F117" t="inlineStr">
        <is>
          <t>KRONOBERGS LÄN</t>
        </is>
      </c>
      <c r="G117" t="inlineStr">
        <is>
          <t>ALVESTA</t>
        </is>
      </c>
      <c r="I117" t="n">
        <v>0.9</v>
      </c>
      <c r="J117" t="n">
        <v>0</v>
      </c>
      <c r="K117" t="n">
        <v>3</v>
      </c>
      <c r="L117" t="n">
        <v>0</v>
      </c>
      <c r="M117" t="n">
        <v>0</v>
      </c>
      <c r="N117" t="n">
        <v>0</v>
      </c>
      <c r="O117" t="n">
        <v>0</v>
      </c>
      <c r="P117" t="n">
        <v>0</v>
      </c>
      <c r="Q117" t="n">
        <v>0</v>
      </c>
      <c r="R117" t="n">
        <v>0</v>
      </c>
      <c r="S117" t="n">
        <v>3</v>
      </c>
      <c r="T117" t="n">
        <v>8</v>
      </c>
      <c r="U117" t="n">
        <v>0</v>
      </c>
      <c r="V117" s="2" t="inlineStr">
        <is>
          <t>Klippfrullania
Rostfläck
Västlig hakmossa</t>
        </is>
      </c>
      <c r="W117">
        <f>HYPERLINK("https://klasma.github.io/Logging_0764/artfynd/A 39277-2023 artfynd.xlsx", "A 39277-2023")</f>
        <v/>
      </c>
      <c r="X117">
        <f>HYPERLINK("https://klasma.github.io/Logging_0764/kartor/A 39277-2023 karta.png", "A 39277-2023")</f>
        <v/>
      </c>
      <c r="Y117">
        <f>HYPERLINK("https://klasma.github.io/Logging_0764/kartor_geotiff/A 39277-2023 georefererad karta.tif", "A 39277-2023")</f>
        <v/>
      </c>
      <c r="AA117">
        <f>HYPERLINK("https://klasma.github.io/Logging_0764/klagomål/A 39277-2023 FSC-klagomål.docx", "A 39277-2023")</f>
        <v/>
      </c>
      <c r="AB117">
        <f>HYPERLINK("https://klasma.github.io/Logging_0764/klagomålsmail/A 39277-2023 FSC-klagomål mail.docx", "A 39277-2023")</f>
        <v/>
      </c>
      <c r="AC117">
        <f>HYPERLINK("https://klasma.github.io/Logging_0764/tillsyn/A 39277-2023 tillsynsbegäran.docx", "A 39277-2023")</f>
        <v/>
      </c>
      <c r="AD117">
        <f>HYPERLINK("https://klasma.github.io/Logging_0764/tillsynsmail/A 39277-2023 tillsynsbegäran mail.docx", "A 39277-2023")</f>
        <v/>
      </c>
    </row>
    <row r="118" ht="15" customHeight="1">
      <c r="A118" t="inlineStr">
        <is>
          <t>A 23200-2026</t>
        </is>
      </c>
      <c r="B118" t="inlineStr">
        <is>
          <t>avverkningsanmälan</t>
        </is>
      </c>
      <c r="C118" t="inlineStr">
        <is>
          <t>Föryngringsavverkning</t>
        </is>
      </c>
      <c r="D118" s="1" t="n">
        <v>46161</v>
      </c>
      <c r="E118" s="1" t="n">
        <v>46316</v>
      </c>
      <c r="F118" t="inlineStr">
        <is>
          <t>KRONOBERGS LÄN</t>
        </is>
      </c>
      <c r="G118" t="inlineStr">
        <is>
          <t>LJUNGBY</t>
        </is>
      </c>
      <c r="I118" t="n">
        <v>3.1</v>
      </c>
      <c r="J118" t="n">
        <v>2</v>
      </c>
      <c r="K118" t="n">
        <v>1</v>
      </c>
      <c r="L118" t="n">
        <v>0</v>
      </c>
      <c r="M118" t="n">
        <v>0</v>
      </c>
      <c r="N118" t="n">
        <v>0</v>
      </c>
      <c r="O118" t="n">
        <v>0</v>
      </c>
      <c r="P118" t="n">
        <v>0</v>
      </c>
      <c r="Q118" t="n">
        <v>0</v>
      </c>
      <c r="R118" t="n">
        <v>0</v>
      </c>
      <c r="S118" t="n">
        <v>3</v>
      </c>
      <c r="T118" t="n">
        <v>3</v>
      </c>
      <c r="U118" t="n">
        <v>0</v>
      </c>
      <c r="V118" s="2" t="inlineStr">
        <is>
          <t>Brandticka
Dvärgpipistrell
Vattenfladdermus</t>
        </is>
      </c>
      <c r="W118">
        <f>HYPERLINK("https://klasma.github.io/Logging_0781/artfynd/A 23200-2026 artfynd.xlsx", "A 23200-2026")</f>
        <v/>
      </c>
      <c r="X118">
        <f>HYPERLINK("https://klasma.github.io/Logging_0781/kartor/A 23200-2026 karta.png", "A 23200-2026")</f>
        <v/>
      </c>
      <c r="Y118">
        <f>HYPERLINK("https://klasma.github.io/Logging_0781/kartor_geotiff/A 23200-2026 georefererad karta.tif", "A 23200-2026")</f>
        <v/>
      </c>
      <c r="AA118">
        <f>HYPERLINK("https://klasma.github.io/Logging_0781/klagomål/A 23200-2026 FSC-klagomål.docx", "A 23200-2026")</f>
        <v/>
      </c>
      <c r="AB118">
        <f>HYPERLINK("https://klasma.github.io/Logging_0781/klagomålsmail/A 23200-2026 FSC-klagomål mail.docx", "A 23200-2026")</f>
        <v/>
      </c>
      <c r="AC118">
        <f>HYPERLINK("https://klasma.github.io/Logging_0781/tillsyn/A 23200-2026 tillsynsbegäran.docx", "A 23200-2026")</f>
        <v/>
      </c>
      <c r="AD118">
        <f>HYPERLINK("https://klasma.github.io/Logging_0781/tillsynsmail/A 23200-2026 tillsynsbegäran mail.docx", "A 23200-2026")</f>
        <v/>
      </c>
    </row>
    <row r="119" ht="15" customHeight="1">
      <c r="A119" t="inlineStr">
        <is>
          <t>A 7102-2025</t>
        </is>
      </c>
      <c r="B119" t="inlineStr">
        <is>
          <t>avverkningsanmälan</t>
        </is>
      </c>
      <c r="C119" t="inlineStr">
        <is>
          <t>Föryngringsavverkning</t>
        </is>
      </c>
      <c r="D119" s="1" t="n">
        <v>45701</v>
      </c>
      <c r="E119" s="1" t="n">
        <v>46316</v>
      </c>
      <c r="F119" t="inlineStr">
        <is>
          <t>KRONOBERGS LÄN</t>
        </is>
      </c>
      <c r="G119" t="inlineStr">
        <is>
          <t>LJUNGBY</t>
        </is>
      </c>
      <c r="I119" t="n">
        <v>6.8</v>
      </c>
      <c r="J119" t="n">
        <v>1</v>
      </c>
      <c r="K119" t="n">
        <v>1</v>
      </c>
      <c r="L119" t="n">
        <v>1</v>
      </c>
      <c r="M119" t="n">
        <v>0</v>
      </c>
      <c r="N119" t="n">
        <v>0</v>
      </c>
      <c r="O119" t="n">
        <v>0</v>
      </c>
      <c r="P119" t="n">
        <v>0</v>
      </c>
      <c r="Q119" t="n">
        <v>1</v>
      </c>
      <c r="R119" t="n">
        <v>0</v>
      </c>
      <c r="S119" t="n">
        <v>3</v>
      </c>
      <c r="T119" t="n">
        <v>5</v>
      </c>
      <c r="U119" t="n">
        <v>0</v>
      </c>
      <c r="V119" s="2" t="inlineStr">
        <is>
          <t>Svart skogssnigel
Grönpyrola
Mattlummer</t>
        </is>
      </c>
      <c r="W119">
        <f>HYPERLINK("https://klasma.github.io/Logging_0781/artfynd/A 7102-2025 artfynd.xlsx", "A 7102-2025")</f>
        <v/>
      </c>
      <c r="X119">
        <f>HYPERLINK("https://klasma.github.io/Logging_0781/kartor/A 7102-2025 karta.png", "A 7102-2025")</f>
        <v/>
      </c>
      <c r="Y119">
        <f>HYPERLINK("https://klasma.github.io/Logging_0781/kartor_geotiff/A 7102-2025 georefererad karta.tif", "A 7102-2025")</f>
        <v/>
      </c>
      <c r="AA119">
        <f>HYPERLINK("https://klasma.github.io/Logging_0781/klagomål/A 7102-2025 FSC-klagomål.docx", "A 7102-2025")</f>
        <v/>
      </c>
      <c r="AB119">
        <f>HYPERLINK("https://klasma.github.io/Logging_0781/klagomålsmail/A 7102-2025 FSC-klagomål mail.docx", "A 7102-2025")</f>
        <v/>
      </c>
      <c r="AC119">
        <f>HYPERLINK("https://klasma.github.io/Logging_0781/tillsyn/A 7102-2025 tillsynsbegäran.docx", "A 7102-2025")</f>
        <v/>
      </c>
      <c r="AD119">
        <f>HYPERLINK("https://klasma.github.io/Logging_0781/tillsynsmail/A 7102-2025 tillsynsbegäran mail.docx", "A 7102-2025")</f>
        <v/>
      </c>
    </row>
    <row r="120" ht="15" customHeight="1">
      <c r="A120" t="inlineStr">
        <is>
          <t>A 30495-2026</t>
        </is>
      </c>
      <c r="B120" t="inlineStr">
        <is>
          <t>avverkningsanmälan</t>
        </is>
      </c>
      <c r="C120" t="inlineStr">
        <is>
          <t>Avverkning för att bevara och utveckla /försöksver</t>
        </is>
      </c>
      <c r="D120" s="1" t="n">
        <v>46204</v>
      </c>
      <c r="E120" s="1" t="n">
        <v>46316</v>
      </c>
      <c r="F120" t="inlineStr">
        <is>
          <t>KRONOBERGS LÄN</t>
        </is>
      </c>
      <c r="G120" t="inlineStr">
        <is>
          <t>VÄXJÖ</t>
        </is>
      </c>
      <c r="H120" t="inlineStr">
        <is>
          <t>Kyrkan</t>
        </is>
      </c>
      <c r="I120" t="n">
        <v>2</v>
      </c>
      <c r="J120" t="n">
        <v>2</v>
      </c>
      <c r="K120" t="n">
        <v>0</v>
      </c>
      <c r="L120" t="n">
        <v>1</v>
      </c>
      <c r="M120" t="n">
        <v>1</v>
      </c>
      <c r="N120" t="n">
        <v>0</v>
      </c>
      <c r="O120" t="n">
        <v>0</v>
      </c>
      <c r="P120" t="n">
        <v>0</v>
      </c>
      <c r="Q120" t="n">
        <v>2</v>
      </c>
      <c r="R120" t="n">
        <v>1</v>
      </c>
      <c r="S120" t="n">
        <v>3</v>
      </c>
      <c r="T120" t="n">
        <v>3</v>
      </c>
      <c r="U120" t="n">
        <v>0</v>
      </c>
      <c r="V120" s="2" t="inlineStr">
        <is>
          <t>Karminticka
Järnsparv
Revlummer</t>
        </is>
      </c>
      <c r="W120">
        <f>HYPERLINK("https://klasma.github.io/Logging_0780/artfynd/A 30495-2026 artfynd.xlsx", "A 30495-2026")</f>
        <v/>
      </c>
      <c r="X120">
        <f>HYPERLINK("https://klasma.github.io/Logging_0780/kartor/A 30495-2026 karta.png", "A 30495-2026")</f>
        <v/>
      </c>
      <c r="Y120">
        <f>HYPERLINK("https://klasma.github.io/Logging_0780/kartor_geotiff/A 30495-2026 georefererad karta.tif", "A 30495-2026")</f>
        <v/>
      </c>
      <c r="AA120">
        <f>HYPERLINK("https://klasma.github.io/Logging_0780/klagomål/A 30495-2026 FSC-klagomål.docx", "A 30495-2026")</f>
        <v/>
      </c>
      <c r="AB120">
        <f>HYPERLINK("https://klasma.github.io/Logging_0780/klagomålsmail/A 30495-2026 FSC-klagomål mail.docx", "A 30495-2026")</f>
        <v/>
      </c>
      <c r="AC120">
        <f>HYPERLINK("https://klasma.github.io/Logging_0780/tillsyn/A 30495-2026 tillsynsbegäran.docx", "A 30495-2026")</f>
        <v/>
      </c>
      <c r="AD120">
        <f>HYPERLINK("https://klasma.github.io/Logging_0780/tillsynsmail/A 30495-2026 tillsynsbegäran mail.docx", "A 30495-2026")</f>
        <v/>
      </c>
      <c r="AE120">
        <f>HYPERLINK("https://klasma.github.io/Logging_0780/fåglar/A 30495-2026 prioriterade fågelarter.docx", "A 30495-2026")</f>
        <v/>
      </c>
    </row>
    <row r="121" ht="15" customHeight="1">
      <c r="A121" t="inlineStr">
        <is>
          <t>A 42487-2024</t>
        </is>
      </c>
      <c r="B121" t="inlineStr">
        <is>
          <t>avverkningsanmälan</t>
        </is>
      </c>
      <c r="C121" t="inlineStr">
        <is>
          <t>Föryngringsavverkning</t>
        </is>
      </c>
      <c r="D121" s="1" t="n">
        <v>45565</v>
      </c>
      <c r="E121" s="1" t="n">
        <v>46316</v>
      </c>
      <c r="F121" t="inlineStr">
        <is>
          <t>KRONOBERGS LÄN</t>
        </is>
      </c>
      <c r="G121" t="inlineStr">
        <is>
          <t>TINGSRYD</t>
        </is>
      </c>
      <c r="I121" t="n">
        <v>2.9</v>
      </c>
      <c r="J121" t="n">
        <v>1</v>
      </c>
      <c r="K121" t="n">
        <v>1</v>
      </c>
      <c r="L121" t="n">
        <v>0</v>
      </c>
      <c r="M121" t="n">
        <v>0</v>
      </c>
      <c r="N121" t="n">
        <v>1</v>
      </c>
      <c r="O121" t="n">
        <v>0</v>
      </c>
      <c r="P121" t="n">
        <v>0</v>
      </c>
      <c r="Q121" t="n">
        <v>1</v>
      </c>
      <c r="R121" t="n">
        <v>1</v>
      </c>
      <c r="S121" t="n">
        <v>3</v>
      </c>
      <c r="T121" t="n">
        <v>3</v>
      </c>
      <c r="U121" t="n">
        <v>0</v>
      </c>
      <c r="V121" s="2" t="inlineStr">
        <is>
          <t>Skogsalm
Lönnlav
Spillkråka</t>
        </is>
      </c>
      <c r="W121">
        <f>HYPERLINK("https://klasma.github.io/Logging_0763/artfynd/A 42487-2024 artfynd.xlsx", "A 42487-2024")</f>
        <v/>
      </c>
      <c r="X121">
        <f>HYPERLINK("https://klasma.github.io/Logging_0763/kartor/A 42487-2024 karta.png", "A 42487-2024")</f>
        <v/>
      </c>
      <c r="Y121">
        <f>HYPERLINK("https://klasma.github.io/Logging_0763/kartor_geotiff/A 42487-2024 georefererad karta.tif", "A 42487-2024")</f>
        <v/>
      </c>
      <c r="AA121">
        <f>HYPERLINK("https://klasma.github.io/Logging_0763/klagomål/A 42487-2024 FSC-klagomål.docx", "A 42487-2024")</f>
        <v/>
      </c>
      <c r="AB121">
        <f>HYPERLINK("https://klasma.github.io/Logging_0763/klagomålsmail/A 42487-2024 FSC-klagomål mail.docx", "A 42487-2024")</f>
        <v/>
      </c>
      <c r="AC121">
        <f>HYPERLINK("https://klasma.github.io/Logging_0763/tillsyn/A 42487-2024 tillsynsbegäran.docx", "A 42487-2024")</f>
        <v/>
      </c>
      <c r="AD121">
        <f>HYPERLINK("https://klasma.github.io/Logging_0763/tillsynsmail/A 42487-2024 tillsynsbegäran mail.docx", "A 42487-2024")</f>
        <v/>
      </c>
      <c r="AE121">
        <f>HYPERLINK("https://klasma.github.io/Logging_0763/fåglar/A 42487-2024 prioriterade fågelarter.docx", "A 42487-2024")</f>
        <v/>
      </c>
    </row>
    <row r="122" ht="15" customHeight="1">
      <c r="A122" t="inlineStr">
        <is>
          <t>A 32940-2026</t>
        </is>
      </c>
      <c r="B122" t="inlineStr">
        <is>
          <t>avverkningsanmälan</t>
        </is>
      </c>
      <c r="C122" t="inlineStr">
        <is>
          <t>Föryngringsavverkning</t>
        </is>
      </c>
      <c r="D122" s="1" t="n">
        <v>46244</v>
      </c>
      <c r="E122" s="1" t="n">
        <v>46316</v>
      </c>
      <c r="F122" t="inlineStr">
        <is>
          <t>KRONOBERGS LÄN</t>
        </is>
      </c>
      <c r="G122" t="inlineStr">
        <is>
          <t>VÄXJÖ</t>
        </is>
      </c>
      <c r="I122" t="n">
        <v>7</v>
      </c>
      <c r="J122" t="n">
        <v>2</v>
      </c>
      <c r="K122" t="n">
        <v>1</v>
      </c>
      <c r="L122" t="n">
        <v>0</v>
      </c>
      <c r="M122" t="n">
        <v>0</v>
      </c>
      <c r="N122" t="n">
        <v>0</v>
      </c>
      <c r="O122" t="n">
        <v>0</v>
      </c>
      <c r="P122" t="n">
        <v>0</v>
      </c>
      <c r="Q122" t="n">
        <v>0</v>
      </c>
      <c r="R122" t="n">
        <v>0</v>
      </c>
      <c r="S122" t="n">
        <v>3</v>
      </c>
      <c r="T122" t="n">
        <v>3</v>
      </c>
      <c r="U122" t="n">
        <v>3</v>
      </c>
      <c r="V122" s="2" t="inlineStr">
        <is>
          <t>Blomkålssvamp
Mattlummer
Tjäder</t>
        </is>
      </c>
      <c r="W122">
        <f>HYPERLINK("https://klasma.github.io/Logging_0780/artfynd/A 32940-2026 artfynd.xlsx", "A 32940-2026")</f>
        <v/>
      </c>
      <c r="X122">
        <f>HYPERLINK("https://klasma.github.io/Logging_0780/kartor/A 32940-2026 karta.png", "A 32940-2026")</f>
        <v/>
      </c>
      <c r="Y122">
        <f>HYPERLINK("https://klasma.github.io/Logging_0780/kartor_geotiff/A 32940-2026 georefererad karta.tif", "A 32940-2026")</f>
        <v/>
      </c>
      <c r="AA122">
        <f>HYPERLINK("https://klasma.github.io/Logging_0780/klagomål/A 32940-2026 FSC-klagomål.docx", "A 32940-2026")</f>
        <v/>
      </c>
      <c r="AB122">
        <f>HYPERLINK("https://klasma.github.io/Logging_0780/klagomålsmail/A 32940-2026 FSC-klagomål mail.docx", "A 32940-2026")</f>
        <v/>
      </c>
      <c r="AC122">
        <f>HYPERLINK("https://klasma.github.io/Logging_0780/tillsyn/A 32940-2026 tillsynsbegäran.docx", "A 32940-2026")</f>
        <v/>
      </c>
      <c r="AD122">
        <f>HYPERLINK("https://klasma.github.io/Logging_0780/tillsynsmail/A 32940-2026 tillsynsbegäran mail.docx", "A 32940-2026")</f>
        <v/>
      </c>
      <c r="AE122">
        <f>HYPERLINK("https://klasma.github.io/Logging_0780/fåglar/A 32940-2026 prioriterade fågelarter.docx", "A 32940-2026")</f>
        <v/>
      </c>
    </row>
    <row r="123" ht="15" customHeight="1">
      <c r="A123" t="inlineStr">
        <is>
          <t>A 33661-2026</t>
        </is>
      </c>
      <c r="B123" t="inlineStr">
        <is>
          <t>avverkningsanmälan</t>
        </is>
      </c>
      <c r="C123" t="inlineStr">
        <is>
          <t>Föryngringsavverkning</t>
        </is>
      </c>
      <c r="D123" s="1" t="n">
        <v>46247</v>
      </c>
      <c r="E123" s="1" t="n">
        <v>46316</v>
      </c>
      <c r="F123" t="inlineStr">
        <is>
          <t>KRONOBERGS LÄN</t>
        </is>
      </c>
      <c r="G123" t="inlineStr">
        <is>
          <t>UPPVIDINGE</t>
        </is>
      </c>
      <c r="H123" t="inlineStr">
        <is>
          <t>Kyrkan</t>
        </is>
      </c>
      <c r="I123" t="n">
        <v>2.6</v>
      </c>
      <c r="J123" t="n">
        <v>1</v>
      </c>
      <c r="K123" t="n">
        <v>1</v>
      </c>
      <c r="L123" t="n">
        <v>1</v>
      </c>
      <c r="M123" t="n">
        <v>0</v>
      </c>
      <c r="N123" t="n">
        <v>0</v>
      </c>
      <c r="O123" t="n">
        <v>0</v>
      </c>
      <c r="P123" t="n">
        <v>0</v>
      </c>
      <c r="Q123" t="n">
        <v>1</v>
      </c>
      <c r="R123" t="n">
        <v>0</v>
      </c>
      <c r="S123" t="n">
        <v>3</v>
      </c>
      <c r="T123" t="n">
        <v>6</v>
      </c>
      <c r="U123" t="n">
        <v>0</v>
      </c>
      <c r="V123" s="2" t="inlineStr">
        <is>
          <t>Svinrot
Grönpyrola
Mattlummer</t>
        </is>
      </c>
      <c r="W123">
        <f>HYPERLINK("https://klasma.github.io/Logging_0760/artfynd/A 33661-2026 artfynd.xlsx", "A 33661-2026")</f>
        <v/>
      </c>
      <c r="X123">
        <f>HYPERLINK("https://klasma.github.io/Logging_0760/kartor/A 33661-2026 karta.png", "A 33661-2026")</f>
        <v/>
      </c>
      <c r="Y123">
        <f>HYPERLINK("https://klasma.github.io/Logging_0760/kartor_geotiff/A 33661-2026 georefererad karta.tif", "A 33661-2026")</f>
        <v/>
      </c>
      <c r="AA123">
        <f>HYPERLINK("https://klasma.github.io/Logging_0760/klagomål/A 33661-2026 FSC-klagomål.docx", "A 33661-2026")</f>
        <v/>
      </c>
      <c r="AB123">
        <f>HYPERLINK("https://klasma.github.io/Logging_0760/klagomålsmail/A 33661-2026 FSC-klagomål mail.docx", "A 33661-2026")</f>
        <v/>
      </c>
      <c r="AC123">
        <f>HYPERLINK("https://klasma.github.io/Logging_0760/tillsyn/A 33661-2026 tillsynsbegäran.docx", "A 33661-2026")</f>
        <v/>
      </c>
      <c r="AD123">
        <f>HYPERLINK("https://klasma.github.io/Logging_0760/tillsynsmail/A 33661-2026 tillsynsbegäran mail.docx", "A 33661-2026")</f>
        <v/>
      </c>
    </row>
    <row r="124" ht="15" customHeight="1">
      <c r="A124" t="inlineStr">
        <is>
          <t>A 40877-2026</t>
        </is>
      </c>
      <c r="B124" t="inlineStr">
        <is>
          <t>avverkningsanmälan</t>
        </is>
      </c>
      <c r="C124" t="inlineStr">
        <is>
          <t>Föryngringsavverkning</t>
        </is>
      </c>
      <c r="D124" s="1" t="n">
        <v>46297</v>
      </c>
      <c r="E124" s="1" t="n">
        <v>46316</v>
      </c>
      <c r="F124" t="inlineStr">
        <is>
          <t>KRONOBERGS LÄN</t>
        </is>
      </c>
      <c r="G124" t="inlineStr">
        <is>
          <t>ALVESTA</t>
        </is>
      </c>
      <c r="I124" t="n">
        <v>5.7</v>
      </c>
      <c r="J124" t="n">
        <v>0</v>
      </c>
      <c r="K124" t="n">
        <v>0</v>
      </c>
      <c r="L124" t="n">
        <v>1</v>
      </c>
      <c r="M124" t="n">
        <v>2</v>
      </c>
      <c r="N124" t="n">
        <v>0</v>
      </c>
      <c r="O124" t="n">
        <v>0</v>
      </c>
      <c r="P124" t="n">
        <v>0</v>
      </c>
      <c r="Q124" t="n">
        <v>3</v>
      </c>
      <c r="R124" t="n">
        <v>2</v>
      </c>
      <c r="S124" t="n">
        <v>3</v>
      </c>
      <c r="T124" t="n">
        <v>6</v>
      </c>
      <c r="U124" t="n">
        <v>0</v>
      </c>
      <c r="V124" s="2" t="inlineStr">
        <is>
          <t>Brunfläckig pärlemorfjäril
Slåttergubbe
Jungfrulin</t>
        </is>
      </c>
      <c r="W124">
        <f>HYPERLINK("https://klasma.github.io/Logging_0764/artfynd/A 40877-2026 artfynd.xlsx", "A 40877-2026")</f>
        <v/>
      </c>
      <c r="X124">
        <f>HYPERLINK("https://klasma.github.io/Logging_0764/kartor/A 40877-2026 karta.png", "A 40877-2026")</f>
        <v/>
      </c>
      <c r="Y124">
        <f>HYPERLINK("https://klasma.github.io/Logging_0764/kartor_geotiff/A 40877-2026 georefererad karta.tif", "A 40877-2026")</f>
        <v/>
      </c>
      <c r="AA124">
        <f>HYPERLINK("https://klasma.github.io/Logging_0764/klagomål/A 40877-2026 FSC-klagomål.docx", "A 40877-2026")</f>
        <v/>
      </c>
      <c r="AB124">
        <f>HYPERLINK("https://klasma.github.io/Logging_0764/klagomålsmail/A 40877-2026 FSC-klagomål mail.docx", "A 40877-2026")</f>
        <v/>
      </c>
      <c r="AC124">
        <f>HYPERLINK("https://klasma.github.io/Logging_0764/tillsyn/A 40877-2026 tillsynsbegäran.docx", "A 40877-2026")</f>
        <v/>
      </c>
      <c r="AD124">
        <f>HYPERLINK("https://klasma.github.io/Logging_0764/tillsynsmail/A 40877-2026 tillsynsbegäran mail.docx", "A 40877-2026")</f>
        <v/>
      </c>
    </row>
    <row r="125" ht="15" customHeight="1">
      <c r="A125" t="inlineStr">
        <is>
          <t>A 51450-2023</t>
        </is>
      </c>
      <c r="B125" t="inlineStr">
        <is>
          <t>avverkningsanmälan</t>
        </is>
      </c>
      <c r="C125" t="inlineStr">
        <is>
          <t>Avverkning för annat ändamål</t>
        </is>
      </c>
      <c r="D125" s="1" t="n">
        <v>45215</v>
      </c>
      <c r="E125" s="1" t="n">
        <v>46316</v>
      </c>
      <c r="F125" t="inlineStr">
        <is>
          <t>KRONOBERGS LÄN</t>
        </is>
      </c>
      <c r="G125" t="inlineStr">
        <is>
          <t>ÄLMHULT</t>
        </is>
      </c>
      <c r="I125" t="n">
        <v>60.9</v>
      </c>
      <c r="J125" t="n">
        <v>0</v>
      </c>
      <c r="K125" t="n">
        <v>2</v>
      </c>
      <c r="L125" t="n">
        <v>1</v>
      </c>
      <c r="M125" t="n">
        <v>0</v>
      </c>
      <c r="N125" t="n">
        <v>0</v>
      </c>
      <c r="O125" t="n">
        <v>0</v>
      </c>
      <c r="P125" t="n">
        <v>0</v>
      </c>
      <c r="Q125" t="n">
        <v>1</v>
      </c>
      <c r="R125" t="n">
        <v>0</v>
      </c>
      <c r="S125" t="n">
        <v>3</v>
      </c>
      <c r="T125" t="n">
        <v>3</v>
      </c>
      <c r="U125" t="n">
        <v>0</v>
      </c>
      <c r="V125" s="2" t="inlineStr">
        <is>
          <t>Tallticka
Blåmossa
Stor revmossa</t>
        </is>
      </c>
      <c r="W125">
        <f>HYPERLINK("https://klasma.github.io/Logging_0765/artfynd/A 51450-2023 artfynd.xlsx", "A 51450-2023")</f>
        <v/>
      </c>
      <c r="X125">
        <f>HYPERLINK("https://klasma.github.io/Logging_0765/kartor/A 51450-2023 karta.png", "A 51450-2023")</f>
        <v/>
      </c>
      <c r="Y125">
        <f>HYPERLINK("https://klasma.github.io/Logging_0765/kartor_geotiff/A 51450-2023 georefererad karta.tif", "A 51450-2023")</f>
        <v/>
      </c>
      <c r="AA125">
        <f>HYPERLINK("https://klasma.github.io/Logging_0765/klagomål/A 51450-2023 FSC-klagomål.docx", "A 51450-2023")</f>
        <v/>
      </c>
      <c r="AB125">
        <f>HYPERLINK("https://klasma.github.io/Logging_0765/klagomålsmail/A 51450-2023 FSC-klagomål mail.docx", "A 51450-2023")</f>
        <v/>
      </c>
      <c r="AC125">
        <f>HYPERLINK("https://klasma.github.io/Logging_0765/tillsyn/A 51450-2023 tillsynsbegäran.docx", "A 51450-2023")</f>
        <v/>
      </c>
      <c r="AD125">
        <f>HYPERLINK("https://klasma.github.io/Logging_0765/tillsynsmail/A 51450-2023 tillsynsbegäran mail.docx", "A 51450-2023")</f>
        <v/>
      </c>
    </row>
    <row r="126" ht="15" customHeight="1">
      <c r="A126" t="inlineStr">
        <is>
          <t>A 37143-2026</t>
        </is>
      </c>
      <c r="B126" t="inlineStr">
        <is>
          <t>avverkningsanmälan</t>
        </is>
      </c>
      <c r="C126" t="inlineStr">
        <is>
          <t>Föryngringsavverkning</t>
        </is>
      </c>
      <c r="D126" s="1" t="n">
        <v>46274</v>
      </c>
      <c r="E126" s="1" t="n">
        <v>46316</v>
      </c>
      <c r="F126" t="inlineStr">
        <is>
          <t>KRONOBERGS LÄN</t>
        </is>
      </c>
      <c r="G126" t="inlineStr">
        <is>
          <t>ALVESTA</t>
        </is>
      </c>
      <c r="I126" t="n">
        <v>5.8</v>
      </c>
      <c r="J126" t="n">
        <v>0</v>
      </c>
      <c r="K126" t="n">
        <v>2</v>
      </c>
      <c r="L126" t="n">
        <v>1</v>
      </c>
      <c r="M126" t="n">
        <v>0</v>
      </c>
      <c r="N126" t="n">
        <v>0</v>
      </c>
      <c r="O126" t="n">
        <v>0</v>
      </c>
      <c r="P126" t="n">
        <v>0</v>
      </c>
      <c r="Q126" t="n">
        <v>1</v>
      </c>
      <c r="R126" t="n">
        <v>0</v>
      </c>
      <c r="S126" t="n">
        <v>3</v>
      </c>
      <c r="T126" t="n">
        <v>4</v>
      </c>
      <c r="U126" t="n">
        <v>2</v>
      </c>
      <c r="V126" s="2" t="inlineStr">
        <is>
          <t>Vedtrappmossa
Stor revmossa
Västlig hakmossa</t>
        </is>
      </c>
      <c r="W126">
        <f>HYPERLINK("https://klasma.github.io/Logging_0764/artfynd/A 37143-2026 artfynd.xlsx", "A 37143-2026")</f>
        <v/>
      </c>
      <c r="X126">
        <f>HYPERLINK("https://klasma.github.io/Logging_0764/kartor/A 37143-2026 karta.png", "A 37143-2026")</f>
        <v/>
      </c>
      <c r="Y126">
        <f>HYPERLINK("https://klasma.github.io/Logging_0764/kartor_geotiff/A 37143-2026 georefererad karta.tif", "A 37143-2026")</f>
        <v/>
      </c>
      <c r="AA126">
        <f>HYPERLINK("https://klasma.github.io/Logging_0764/klagomål/A 37143-2026 FSC-klagomål.docx", "A 37143-2026")</f>
        <v/>
      </c>
      <c r="AB126">
        <f>HYPERLINK("https://klasma.github.io/Logging_0764/klagomålsmail/A 37143-2026 FSC-klagomål mail.docx", "A 37143-2026")</f>
        <v/>
      </c>
      <c r="AC126">
        <f>HYPERLINK("https://klasma.github.io/Logging_0764/tillsyn/A 37143-2026 tillsynsbegäran.docx", "A 37143-2026")</f>
        <v/>
      </c>
      <c r="AD126">
        <f>HYPERLINK("https://klasma.github.io/Logging_0764/tillsynsmail/A 37143-2026 tillsynsbegäran mail.docx", "A 37143-2026")</f>
        <v/>
      </c>
    </row>
    <row r="127" ht="15" customHeight="1">
      <c r="A127" t="inlineStr">
        <is>
          <t>A 23115-2024</t>
        </is>
      </c>
      <c r="B127" t="inlineStr">
        <is>
          <t>avverkningsanmälan</t>
        </is>
      </c>
      <c r="C127" t="inlineStr">
        <is>
          <t>Föryngringsavverkning</t>
        </is>
      </c>
      <c r="D127" s="1" t="n">
        <v>45450</v>
      </c>
      <c r="E127" s="1" t="n">
        <v>46316</v>
      </c>
      <c r="F127" t="inlineStr">
        <is>
          <t>KRONOBERGS LÄN</t>
        </is>
      </c>
      <c r="G127" t="inlineStr">
        <is>
          <t>UPPVIDINGE</t>
        </is>
      </c>
      <c r="I127" t="n">
        <v>4.8</v>
      </c>
      <c r="J127" t="n">
        <v>1</v>
      </c>
      <c r="K127" t="n">
        <v>0</v>
      </c>
      <c r="L127" t="n">
        <v>2</v>
      </c>
      <c r="M127" t="n">
        <v>1</v>
      </c>
      <c r="N127" t="n">
        <v>0</v>
      </c>
      <c r="O127" t="n">
        <v>0</v>
      </c>
      <c r="P127" t="n">
        <v>0</v>
      </c>
      <c r="Q127" t="n">
        <v>3</v>
      </c>
      <c r="R127" t="n">
        <v>1</v>
      </c>
      <c r="S127" t="n">
        <v>3</v>
      </c>
      <c r="T127" t="n">
        <v>4</v>
      </c>
      <c r="U127" t="n">
        <v>3</v>
      </c>
      <c r="V127" s="2" t="inlineStr">
        <is>
          <t>Knärot
Tjockfotad fingersvamp
Ullticka</t>
        </is>
      </c>
      <c r="W127">
        <f>HYPERLINK("https://klasma.github.io/Logging_0760/artfynd/A 23115-2024 artfynd.xlsx", "A 23115-2024")</f>
        <v/>
      </c>
      <c r="X127">
        <f>HYPERLINK("https://klasma.github.io/Logging_0760/kartor/A 23115-2024 karta.png", "A 23115-2024")</f>
        <v/>
      </c>
      <c r="Y127">
        <f>HYPERLINK("https://klasma.github.io/Logging_0760/kartor_geotiff/A 23115-2024 georefererad karta.tif", "A 23115-2024")</f>
        <v/>
      </c>
      <c r="Z127">
        <f>HYPERLINK("https://klasma.github.io/Logging_0760/knärot/A 23115-2024 karta knärot.png", "A 23115-2024")</f>
        <v/>
      </c>
      <c r="AA127">
        <f>HYPERLINK("https://klasma.github.io/Logging_0760/klagomål/A 23115-2024 FSC-klagomål.docx", "A 23115-2024")</f>
        <v/>
      </c>
      <c r="AB127">
        <f>HYPERLINK("https://klasma.github.io/Logging_0760/klagomålsmail/A 23115-2024 FSC-klagomål mail.docx", "A 23115-2024")</f>
        <v/>
      </c>
      <c r="AC127">
        <f>HYPERLINK("https://klasma.github.io/Logging_0760/tillsyn/A 23115-2024 tillsynsbegäran.docx", "A 23115-2024")</f>
        <v/>
      </c>
      <c r="AD127">
        <f>HYPERLINK("https://klasma.github.io/Logging_0760/tillsynsmail/A 23115-2024 tillsynsbegäran mail.docx", "A 23115-2024")</f>
        <v/>
      </c>
    </row>
    <row r="128" ht="15" customHeight="1">
      <c r="A128" t="inlineStr">
        <is>
          <t>S 1526-2023</t>
        </is>
      </c>
      <c r="B128" t="inlineStr">
        <is>
          <t>samrådsanmälan</t>
        </is>
      </c>
      <c r="C128" t="inlineStr">
        <is>
          <t>Askåterföring</t>
        </is>
      </c>
      <c r="D128" s="1" t="n">
        <v>45013</v>
      </c>
      <c r="E128" s="1" t="n">
        <v>46316</v>
      </c>
      <c r="F128" t="inlineStr">
        <is>
          <t>KRONOBERGS LÄN</t>
        </is>
      </c>
      <c r="G128" t="inlineStr">
        <is>
          <t>LJUNGBY</t>
        </is>
      </c>
      <c r="I128" t="n">
        <v>155.9</v>
      </c>
      <c r="J128" t="n">
        <v>1</v>
      </c>
      <c r="K128" t="n">
        <v>0</v>
      </c>
      <c r="L128" t="n">
        <v>1</v>
      </c>
      <c r="M128" t="n">
        <v>1</v>
      </c>
      <c r="N128" t="n">
        <v>1</v>
      </c>
      <c r="O128" t="n">
        <v>0</v>
      </c>
      <c r="P128" t="n">
        <v>0</v>
      </c>
      <c r="Q128" t="n">
        <v>3</v>
      </c>
      <c r="R128" t="n">
        <v>2</v>
      </c>
      <c r="S128" t="n">
        <v>3</v>
      </c>
      <c r="T128" t="n">
        <v>5</v>
      </c>
      <c r="U128" t="n">
        <v>1</v>
      </c>
      <c r="V128" s="2" t="inlineStr">
        <is>
          <t>Klockgentiana
Sjötåtel
Svinrot</t>
        </is>
      </c>
      <c r="W128">
        <f>HYPERLINK("https://klasma.github.io/Logging_0781/artfynd/S 1526-2023 artfynd.xlsx", "S 1526-2023")</f>
        <v/>
      </c>
      <c r="X128">
        <f>HYPERLINK("https://klasma.github.io/Logging_0781/kartor/S 1526-2023 karta.png", "S 1526-2023")</f>
        <v/>
      </c>
      <c r="Y128">
        <f>HYPERLINK("https://klasma.github.io/Logging_0781/kartor_geotiff/S 1526-2023 georefererad karta.tif", "S 1526-2023")</f>
        <v/>
      </c>
      <c r="AA128">
        <f>HYPERLINK("https://klasma.github.io/Logging_0781/klagomål/S 1526-2023 FSC-klagomål.docx", "S 1526-2023")</f>
        <v/>
      </c>
      <c r="AB128">
        <f>HYPERLINK("https://klasma.github.io/Logging_0781/klagomålsmail/S 1526-2023 FSC-klagomål mail.docx", "S 1526-2023")</f>
        <v/>
      </c>
      <c r="AC128">
        <f>HYPERLINK("https://klasma.github.io/Logging_0781/tillsyn/S 1526-2023 tillsynsbegäran.docx", "S 1526-2023")</f>
        <v/>
      </c>
      <c r="AD128">
        <f>HYPERLINK("https://klasma.github.io/Logging_0781/tillsynsmail/S 1526-2023 tillsynsbegäran mail.docx", "S 1526-2023")</f>
        <v/>
      </c>
    </row>
    <row r="129" ht="15" customHeight="1">
      <c r="A129" t="inlineStr">
        <is>
          <t>S 4210-2023</t>
        </is>
      </c>
      <c r="B129" t="inlineStr">
        <is>
          <t>samrådsanmälan</t>
        </is>
      </c>
      <c r="C129" t="inlineStr">
        <is>
          <t>Annan skogsbruksåtgärd</t>
        </is>
      </c>
      <c r="D129" s="1" t="n">
        <v>45253</v>
      </c>
      <c r="E129" s="1" t="n">
        <v>46316</v>
      </c>
      <c r="F129" t="inlineStr">
        <is>
          <t>KRONOBERGS LÄN</t>
        </is>
      </c>
      <c r="G129" t="inlineStr">
        <is>
          <t>LJUNGBY</t>
        </is>
      </c>
      <c r="I129" t="n">
        <v>4.9</v>
      </c>
      <c r="J129" t="n">
        <v>2</v>
      </c>
      <c r="K129" t="n">
        <v>0</v>
      </c>
      <c r="L129" t="n">
        <v>1</v>
      </c>
      <c r="M129" t="n">
        <v>0</v>
      </c>
      <c r="N129" t="n">
        <v>0</v>
      </c>
      <c r="O129" t="n">
        <v>0</v>
      </c>
      <c r="P129" t="n">
        <v>0</v>
      </c>
      <c r="Q129" t="n">
        <v>1</v>
      </c>
      <c r="R129" t="n">
        <v>0</v>
      </c>
      <c r="S129" t="n">
        <v>3</v>
      </c>
      <c r="T129" t="n">
        <v>5</v>
      </c>
      <c r="U129" t="n">
        <v>0</v>
      </c>
      <c r="V129" s="2" t="inlineStr">
        <is>
          <t>Gullpudra
Ärtsångare
Vanlig groda</t>
        </is>
      </c>
      <c r="W129">
        <f>HYPERLINK("https://klasma.github.io/Logging_0781/artfynd/S 4210-2023 artfynd.xlsx", "S 4210-2023")</f>
        <v/>
      </c>
      <c r="X129">
        <f>HYPERLINK("https://klasma.github.io/Logging_0781/kartor/S 4210-2023 karta.png", "S 4210-2023")</f>
        <v/>
      </c>
      <c r="Y129">
        <f>HYPERLINK("https://klasma.github.io/Logging_0781/kartor_geotiff/S 4210-2023 georefererad karta.tif", "S 4210-2023")</f>
        <v/>
      </c>
      <c r="AA129">
        <f>HYPERLINK("https://klasma.github.io/Logging_0781/klagomål/S 4210-2023 FSC-klagomål.docx", "S 4210-2023")</f>
        <v/>
      </c>
      <c r="AB129">
        <f>HYPERLINK("https://klasma.github.io/Logging_0781/klagomålsmail/S 4210-2023 FSC-klagomål mail.docx", "S 4210-2023")</f>
        <v/>
      </c>
      <c r="AC129">
        <f>HYPERLINK("https://klasma.github.io/Logging_0781/tillsyn/S 4210-2023 tillsynsbegäran.docx", "S 4210-2023")</f>
        <v/>
      </c>
      <c r="AD129">
        <f>HYPERLINK("https://klasma.github.io/Logging_0781/tillsynsmail/S 4210-2023 tillsynsbegäran mail.docx", "S 4210-2023")</f>
        <v/>
      </c>
    </row>
    <row r="130" ht="15" customHeight="1">
      <c r="A130" t="inlineStr">
        <is>
          <t>S 1206-2024</t>
        </is>
      </c>
      <c r="B130" t="inlineStr">
        <is>
          <t>samrådsanmälan</t>
        </is>
      </c>
      <c r="C130" t="inlineStr">
        <is>
          <t>Åtgärd i nyckelbiotop</t>
        </is>
      </c>
      <c r="D130" s="1" t="n">
        <v>45344</v>
      </c>
      <c r="E130" s="1" t="n">
        <v>46316</v>
      </c>
      <c r="F130" t="inlineStr">
        <is>
          <t>KRONOBERGS LÄN</t>
        </is>
      </c>
      <c r="G130" t="inlineStr">
        <is>
          <t>VÄXJÖ</t>
        </is>
      </c>
      <c r="I130" t="n">
        <v>5.4</v>
      </c>
      <c r="J130" t="n">
        <v>1</v>
      </c>
      <c r="K130" t="n">
        <v>2</v>
      </c>
      <c r="L130" t="n">
        <v>0</v>
      </c>
      <c r="M130" t="n">
        <v>1</v>
      </c>
      <c r="N130" t="n">
        <v>0</v>
      </c>
      <c r="O130" t="n">
        <v>0</v>
      </c>
      <c r="P130" t="n">
        <v>0</v>
      </c>
      <c r="Q130" t="n">
        <v>1</v>
      </c>
      <c r="R130" t="n">
        <v>1</v>
      </c>
      <c r="S130" t="n">
        <v>3</v>
      </c>
      <c r="T130" t="n">
        <v>3</v>
      </c>
      <c r="U130" t="n">
        <v>0</v>
      </c>
      <c r="V130" s="2" t="inlineStr">
        <is>
          <t>Knärot
Stor revmossa
Vedticka</t>
        </is>
      </c>
      <c r="W130">
        <f>HYPERLINK("https://klasma.github.io/Logging_0780/artfynd/S 1206-2024 artfynd.xlsx", "S 1206-2024")</f>
        <v/>
      </c>
      <c r="X130">
        <f>HYPERLINK("https://klasma.github.io/Logging_0780/kartor/S 1206-2024 karta.png", "S 1206-2024")</f>
        <v/>
      </c>
      <c r="Y130">
        <f>HYPERLINK("https://klasma.github.io/Logging_0780/kartor_geotiff/S 1206-2024 georefererad karta.tif", "S 1206-2024")</f>
        <v/>
      </c>
      <c r="Z130">
        <f>HYPERLINK("https://klasma.github.io/Logging_0780/knärot/S 1206-2024 karta knärot.png", "S 1206-2024")</f>
        <v/>
      </c>
      <c r="AA130">
        <f>HYPERLINK("https://klasma.github.io/Logging_0780/klagomål/S 1206-2024 FSC-klagomål.docx", "S 1206-2024")</f>
        <v/>
      </c>
      <c r="AB130">
        <f>HYPERLINK("https://klasma.github.io/Logging_0780/klagomålsmail/S 1206-2024 FSC-klagomål mail.docx", "S 1206-2024")</f>
        <v/>
      </c>
      <c r="AC130">
        <f>HYPERLINK("https://klasma.github.io/Logging_0780/tillsyn/S 1206-2024 tillsynsbegäran.docx", "S 1206-2024")</f>
        <v/>
      </c>
      <c r="AD130">
        <f>HYPERLINK("https://klasma.github.io/Logging_0780/tillsynsmail/S 1206-2024 tillsynsbegäran mail.docx", "S 1206-2024")</f>
        <v/>
      </c>
    </row>
    <row r="131" ht="15" customHeight="1">
      <c r="A131" t="inlineStr">
        <is>
          <t>S 705-2023</t>
        </is>
      </c>
      <c r="B131" t="inlineStr">
        <is>
          <t>samrådsanmälan</t>
        </is>
      </c>
      <c r="C131" t="inlineStr">
        <is>
          <t>Askåterföring</t>
        </is>
      </c>
      <c r="D131" s="1" t="n">
        <v>44978</v>
      </c>
      <c r="E131" s="1" t="n">
        <v>46316</v>
      </c>
      <c r="F131" t="inlineStr">
        <is>
          <t>KRONOBERGS LÄN</t>
        </is>
      </c>
      <c r="G131" t="inlineStr">
        <is>
          <t>LJUNGBY</t>
        </is>
      </c>
      <c r="I131" t="n">
        <v>210.6</v>
      </c>
      <c r="J131" t="n">
        <v>2</v>
      </c>
      <c r="K131" t="n">
        <v>0</v>
      </c>
      <c r="L131" t="n">
        <v>0</v>
      </c>
      <c r="M131" t="n">
        <v>1</v>
      </c>
      <c r="N131" t="n">
        <v>1</v>
      </c>
      <c r="O131" t="n">
        <v>0</v>
      </c>
      <c r="P131" t="n">
        <v>0</v>
      </c>
      <c r="Q131" t="n">
        <v>2</v>
      </c>
      <c r="R131" t="n">
        <v>2</v>
      </c>
      <c r="S131" t="n">
        <v>3</v>
      </c>
      <c r="T131" t="n">
        <v>12</v>
      </c>
      <c r="U131" t="n">
        <v>9</v>
      </c>
      <c r="V131" s="2" t="inlineStr">
        <is>
          <t>Klockgentiana
Sjötåtel
Orre</t>
        </is>
      </c>
      <c r="W131">
        <f>HYPERLINK("https://klasma.github.io/Logging_0781/artfynd/S 705-2023 artfynd.xlsx", "S 705-2023")</f>
        <v/>
      </c>
      <c r="X131">
        <f>HYPERLINK("https://klasma.github.io/Logging_0781/kartor/S 705-2023 karta.png", "S 705-2023")</f>
        <v/>
      </c>
      <c r="Y131">
        <f>HYPERLINK("https://klasma.github.io/Logging_0781/kartor_geotiff/S 705-2023 georefererad karta.tif", "S 705-2023")</f>
        <v/>
      </c>
      <c r="AA131">
        <f>HYPERLINK("https://klasma.github.io/Logging_0781/klagomål/S 705-2023 FSC-klagomål.docx", "S 705-2023")</f>
        <v/>
      </c>
      <c r="AB131">
        <f>HYPERLINK("https://klasma.github.io/Logging_0781/klagomålsmail/S 705-2023 FSC-klagomål mail.docx", "S 705-2023")</f>
        <v/>
      </c>
      <c r="AC131">
        <f>HYPERLINK("https://klasma.github.io/Logging_0781/tillsyn/S 705-2023 tillsynsbegäran.docx", "S 705-2023")</f>
        <v/>
      </c>
      <c r="AD131">
        <f>HYPERLINK("https://klasma.github.io/Logging_0781/tillsynsmail/S 705-2023 tillsynsbegäran mail.docx", "S 705-2023")</f>
        <v/>
      </c>
      <c r="AE131">
        <f>HYPERLINK("https://klasma.github.io/Logging_0781/fåglar/S 705-2023 prioriterade fågelarter.docx", "S 705-2023")</f>
        <v/>
      </c>
    </row>
    <row r="132" ht="15" customHeight="1">
      <c r="A132" t="inlineStr">
        <is>
          <t>S 6947-2022</t>
        </is>
      </c>
      <c r="B132" t="inlineStr">
        <is>
          <t>samrådsanmälan</t>
        </is>
      </c>
      <c r="C132" t="inlineStr">
        <is>
          <t>Askåterföring</t>
        </is>
      </c>
      <c r="D132" s="1" t="n">
        <v>44900</v>
      </c>
      <c r="E132" s="1" t="n">
        <v>46316</v>
      </c>
      <c r="F132" t="inlineStr">
        <is>
          <t>KRONOBERGS LÄN</t>
        </is>
      </c>
      <c r="G132" t="inlineStr">
        <is>
          <t>TINGSRYD</t>
        </is>
      </c>
      <c r="I132" t="n">
        <v>61.7</v>
      </c>
      <c r="J132" t="n">
        <v>1</v>
      </c>
      <c r="K132" t="n">
        <v>2</v>
      </c>
      <c r="L132" t="n">
        <v>0</v>
      </c>
      <c r="M132" t="n">
        <v>0</v>
      </c>
      <c r="N132" t="n">
        <v>0</v>
      </c>
      <c r="O132" t="n">
        <v>0</v>
      </c>
      <c r="P132" t="n">
        <v>0</v>
      </c>
      <c r="Q132" t="n">
        <v>0</v>
      </c>
      <c r="R132" t="n">
        <v>0</v>
      </c>
      <c r="S132" t="n">
        <v>3</v>
      </c>
      <c r="T132" t="n">
        <v>3</v>
      </c>
      <c r="U132" t="n">
        <v>0</v>
      </c>
      <c r="V132" s="2" t="inlineStr">
        <is>
          <t>Blåmossa
Västlig hakmossa
Havsörn</t>
        </is>
      </c>
      <c r="W132">
        <f>HYPERLINK("https://klasma.github.io/Logging_0763/artfynd/S 6947-2022 artfynd.xlsx", "S 6947-2022")</f>
        <v/>
      </c>
      <c r="X132">
        <f>HYPERLINK("https://klasma.github.io/Logging_0763/kartor/S 6947-2022 karta.png", "S 6947-2022")</f>
        <v/>
      </c>
      <c r="Y132">
        <f>HYPERLINK("https://klasma.github.io/Logging_0763/kartor_geotiff/S 6947-2022 georefererad karta.tif", "S 6947-2022")</f>
        <v/>
      </c>
      <c r="AA132">
        <f>HYPERLINK("https://klasma.github.io/Logging_0763/klagomål/S 6947-2022 FSC-klagomål.docx", "S 6947-2022")</f>
        <v/>
      </c>
      <c r="AB132">
        <f>HYPERLINK("https://klasma.github.io/Logging_0763/klagomålsmail/S 6947-2022 FSC-klagomål mail.docx", "S 6947-2022")</f>
        <v/>
      </c>
      <c r="AC132">
        <f>HYPERLINK("https://klasma.github.io/Logging_0763/tillsyn/S 6947-2022 tillsynsbegäran.docx", "S 6947-2022")</f>
        <v/>
      </c>
      <c r="AD132">
        <f>HYPERLINK("https://klasma.github.io/Logging_0763/tillsynsmail/S 6947-2022 tillsynsbegäran mail.docx", "S 6947-2022")</f>
        <v/>
      </c>
      <c r="AE132">
        <f>HYPERLINK("https://klasma.github.io/Logging_0763/fåglar/S 6947-2022 prioriterade fågelarter.docx", "S 6947-2022")</f>
        <v/>
      </c>
    </row>
    <row r="133" ht="15" customHeight="1">
      <c r="A133" t="inlineStr">
        <is>
          <t>S 1565-2024</t>
        </is>
      </c>
      <c r="B133" t="inlineStr">
        <is>
          <t>samrådsanmälan</t>
        </is>
      </c>
      <c r="C133" t="inlineStr">
        <is>
          <t>Annan skogsbruksåtgärd</t>
        </is>
      </c>
      <c r="D133" s="1" t="n">
        <v>45425</v>
      </c>
      <c r="E133" s="1" t="n">
        <v>46316</v>
      </c>
      <c r="F133" t="inlineStr">
        <is>
          <t>KRONOBERGS LÄN</t>
        </is>
      </c>
      <c r="G133" t="inlineStr">
        <is>
          <t>ALVESTA</t>
        </is>
      </c>
      <c r="I133" t="n">
        <v>0.7</v>
      </c>
      <c r="J133" t="n">
        <v>1</v>
      </c>
      <c r="K133" t="n">
        <v>2</v>
      </c>
      <c r="L133" t="n">
        <v>0</v>
      </c>
      <c r="M133" t="n">
        <v>0</v>
      </c>
      <c r="N133" t="n">
        <v>0</v>
      </c>
      <c r="O133" t="n">
        <v>0</v>
      </c>
      <c r="P133" t="n">
        <v>0</v>
      </c>
      <c r="Q133" t="n">
        <v>0</v>
      </c>
      <c r="R133" t="n">
        <v>0</v>
      </c>
      <c r="S133" t="n">
        <v>3</v>
      </c>
      <c r="T133" t="n">
        <v>3</v>
      </c>
      <c r="U133" t="n">
        <v>0</v>
      </c>
      <c r="V133" s="2" t="inlineStr">
        <is>
          <t>Fällmossa
Lönnlav
Spillkråka</t>
        </is>
      </c>
      <c r="W133">
        <f>HYPERLINK("https://klasma.github.io/Logging_0764/artfynd/S 1565-2024 artfynd.xlsx", "S 1565-2024")</f>
        <v/>
      </c>
      <c r="X133">
        <f>HYPERLINK("https://klasma.github.io/Logging_0764/kartor/S 1565-2024 karta.png", "S 1565-2024")</f>
        <v/>
      </c>
      <c r="Y133">
        <f>HYPERLINK("https://klasma.github.io/Logging_0764/kartor_geotiff/S 1565-2024 georefererad karta.tif", "S 1565-2024")</f>
        <v/>
      </c>
      <c r="AA133">
        <f>HYPERLINK("https://klasma.github.io/Logging_0764/klagomål/S 1565-2024 FSC-klagomål.docx", "S 1565-2024")</f>
        <v/>
      </c>
      <c r="AB133">
        <f>HYPERLINK("https://klasma.github.io/Logging_0764/klagomålsmail/S 1565-2024 FSC-klagomål mail.docx", "S 1565-2024")</f>
        <v/>
      </c>
      <c r="AC133">
        <f>HYPERLINK("https://klasma.github.io/Logging_0764/tillsyn/S 1565-2024 tillsynsbegäran.docx", "S 1565-2024")</f>
        <v/>
      </c>
      <c r="AD133">
        <f>HYPERLINK("https://klasma.github.io/Logging_0764/tillsynsmail/S 1565-2024 tillsynsbegäran mail.docx", "S 1565-2024")</f>
        <v/>
      </c>
      <c r="AE133">
        <f>HYPERLINK("https://klasma.github.io/Logging_0764/fåglar/S 1565-2024 prioriterade fågelarter.docx", "S 1565-2024")</f>
        <v/>
      </c>
    </row>
    <row r="134" ht="15" customHeight="1">
      <c r="A134" t="inlineStr">
        <is>
          <t>S 722-2023</t>
        </is>
      </c>
      <c r="B134" t="inlineStr">
        <is>
          <t>samrådsanmälan</t>
        </is>
      </c>
      <c r="C134" t="inlineStr">
        <is>
          <t>Askåterföring</t>
        </is>
      </c>
      <c r="D134" s="1" t="n">
        <v>44979</v>
      </c>
      <c r="E134" s="1" t="n">
        <v>46316</v>
      </c>
      <c r="F134" t="inlineStr">
        <is>
          <t>KRONOBERGS LÄN</t>
        </is>
      </c>
      <c r="G134" t="inlineStr">
        <is>
          <t>UPPVIDINGE</t>
        </is>
      </c>
      <c r="H134" t="inlineStr">
        <is>
          <t>Sveaskog</t>
        </is>
      </c>
      <c r="I134" t="n">
        <v>112.3</v>
      </c>
      <c r="J134" t="n">
        <v>1</v>
      </c>
      <c r="K134" t="n">
        <v>0</v>
      </c>
      <c r="L134" t="n">
        <v>2</v>
      </c>
      <c r="M134" t="n">
        <v>0</v>
      </c>
      <c r="N134" t="n">
        <v>0</v>
      </c>
      <c r="O134" t="n">
        <v>0</v>
      </c>
      <c r="P134" t="n">
        <v>0</v>
      </c>
      <c r="Q134" t="n">
        <v>2</v>
      </c>
      <c r="R134" t="n">
        <v>0</v>
      </c>
      <c r="S134" t="n">
        <v>3</v>
      </c>
      <c r="T134" t="n">
        <v>3</v>
      </c>
      <c r="U134" t="n">
        <v>3</v>
      </c>
      <c r="V134" s="2" t="inlineStr">
        <is>
          <t>Backstarr
Slåtterfibbla
Nattskärra</t>
        </is>
      </c>
      <c r="W134">
        <f>HYPERLINK("https://klasma.github.io/Logging_0760/artfynd/S 722-2023 artfynd.xlsx", "S 722-2023")</f>
        <v/>
      </c>
      <c r="X134">
        <f>HYPERLINK("https://klasma.github.io/Logging_0760/kartor/S 722-2023 karta.png", "S 722-2023")</f>
        <v/>
      </c>
      <c r="Y134">
        <f>HYPERLINK("https://klasma.github.io/Logging_0760/kartor_geotiff/S 722-2023 georefererad karta.tif", "S 722-2023")</f>
        <v/>
      </c>
      <c r="AA134">
        <f>HYPERLINK("https://klasma.github.io/Logging_0760/klagomål/S 722-2023 FSC-klagomål.docx", "S 722-2023")</f>
        <v/>
      </c>
      <c r="AB134">
        <f>HYPERLINK("https://klasma.github.io/Logging_0760/klagomålsmail/S 722-2023 FSC-klagomål mail.docx", "S 722-2023")</f>
        <v/>
      </c>
      <c r="AC134">
        <f>HYPERLINK("https://klasma.github.io/Logging_0760/tillsyn/S 722-2023 tillsynsbegäran.docx", "S 722-2023")</f>
        <v/>
      </c>
      <c r="AD134">
        <f>HYPERLINK("https://klasma.github.io/Logging_0760/tillsynsmail/S 722-2023 tillsynsbegäran mail.docx", "S 722-2023")</f>
        <v/>
      </c>
      <c r="AE134">
        <f>HYPERLINK("https://klasma.github.io/Logging_0760/fåglar/S 722-2023 prioriterade fågelarter.docx", "S 722-2023")</f>
        <v/>
      </c>
    </row>
    <row r="135" ht="15" customHeight="1">
      <c r="A135" t="inlineStr">
        <is>
          <t>S 5131-2024</t>
        </is>
      </c>
      <c r="B135" t="inlineStr">
        <is>
          <t>samrådsanmälan</t>
        </is>
      </c>
      <c r="C135" t="inlineStr">
        <is>
          <t>Askåterföring</t>
        </is>
      </c>
      <c r="D135" s="1" t="n">
        <v>45645</v>
      </c>
      <c r="E135" s="1" t="n">
        <v>46316</v>
      </c>
      <c r="F135" t="inlineStr">
        <is>
          <t>KRONOBERGS LÄN</t>
        </is>
      </c>
      <c r="G135" t="inlineStr">
        <is>
          <t>ÄLMHULT</t>
        </is>
      </c>
      <c r="I135" t="n">
        <v>24.5</v>
      </c>
      <c r="J135" t="n">
        <v>0</v>
      </c>
      <c r="K135" t="n">
        <v>1</v>
      </c>
      <c r="L135" t="n">
        <v>2</v>
      </c>
      <c r="M135" t="n">
        <v>0</v>
      </c>
      <c r="N135" t="n">
        <v>0</v>
      </c>
      <c r="O135" t="n">
        <v>0</v>
      </c>
      <c r="P135" t="n">
        <v>0</v>
      </c>
      <c r="Q135" t="n">
        <v>2</v>
      </c>
      <c r="R135" t="n">
        <v>0</v>
      </c>
      <c r="S135" t="n">
        <v>3</v>
      </c>
      <c r="T135" t="n">
        <v>3</v>
      </c>
      <c r="U135" t="n">
        <v>1</v>
      </c>
      <c r="V135" s="2" t="inlineStr">
        <is>
          <t>Mindre tåtelsmygare
Vitfläckig guldvinge
Kambräken</t>
        </is>
      </c>
      <c r="W135">
        <f>HYPERLINK("https://klasma.github.io/Logging_0765/artfynd/S 5131-2024 artfynd.xlsx", "S 5131-2024")</f>
        <v/>
      </c>
      <c r="X135">
        <f>HYPERLINK("https://klasma.github.io/Logging_0765/kartor/S 5131-2024 karta.png", "S 5131-2024")</f>
        <v/>
      </c>
      <c r="Y135">
        <f>HYPERLINK("https://klasma.github.io/Logging_0765/kartor_geotiff/S 5131-2024 georefererad karta.tif", "S 5131-2024")</f>
        <v/>
      </c>
      <c r="AA135">
        <f>HYPERLINK("https://klasma.github.io/Logging_0765/klagomål/S 5131-2024 FSC-klagomål.docx", "S 5131-2024")</f>
        <v/>
      </c>
      <c r="AB135">
        <f>HYPERLINK("https://klasma.github.io/Logging_0765/klagomålsmail/S 5131-2024 FSC-klagomål mail.docx", "S 5131-2024")</f>
        <v/>
      </c>
      <c r="AC135">
        <f>HYPERLINK("https://klasma.github.io/Logging_0765/tillsyn/S 5131-2024 tillsynsbegäran.docx", "S 5131-2024")</f>
        <v/>
      </c>
      <c r="AD135">
        <f>HYPERLINK("https://klasma.github.io/Logging_0765/tillsynsmail/S 5131-2024 tillsynsbegäran mail.docx", "S 5131-2024")</f>
        <v/>
      </c>
    </row>
    <row r="136" ht="15" customHeight="1">
      <c r="A136" t="inlineStr">
        <is>
          <t>S 145-2026</t>
        </is>
      </c>
      <c r="B136" t="inlineStr">
        <is>
          <t>samrådsanmälan</t>
        </is>
      </c>
      <c r="C136" t="inlineStr">
        <is>
          <t>Annan skogsbruksåtgärd</t>
        </is>
      </c>
      <c r="D136" s="1" t="n">
        <v>46043</v>
      </c>
      <c r="E136" s="1" t="n">
        <v>46316</v>
      </c>
      <c r="F136" t="inlineStr">
        <is>
          <t>KRONOBERGS LÄN</t>
        </is>
      </c>
      <c r="G136" t="inlineStr">
        <is>
          <t>ÄLMHULT</t>
        </is>
      </c>
      <c r="I136" t="n">
        <v>0.1</v>
      </c>
      <c r="J136" t="n">
        <v>0</v>
      </c>
      <c r="K136" t="n">
        <v>2</v>
      </c>
      <c r="L136" t="n">
        <v>0</v>
      </c>
      <c r="M136" t="n">
        <v>1</v>
      </c>
      <c r="N136" t="n">
        <v>0</v>
      </c>
      <c r="O136" t="n">
        <v>0</v>
      </c>
      <c r="P136" t="n">
        <v>0</v>
      </c>
      <c r="Q136" t="n">
        <v>1</v>
      </c>
      <c r="R136" t="n">
        <v>1</v>
      </c>
      <c r="S136" t="n">
        <v>3</v>
      </c>
      <c r="T136" t="n">
        <v>3</v>
      </c>
      <c r="U136" t="n">
        <v>2</v>
      </c>
      <c r="V136" s="2" t="inlineStr">
        <is>
          <t>Sjötåtel
Borstskölding
Safsa</t>
        </is>
      </c>
      <c r="W136">
        <f>HYPERLINK("https://klasma.github.io/Logging_0765/artfynd/S 145-2026 artfynd.xlsx", "S 145-2026")</f>
        <v/>
      </c>
      <c r="X136">
        <f>HYPERLINK("https://klasma.github.io/Logging_0765/kartor/S 145-2026 karta.png", "S 145-2026")</f>
        <v/>
      </c>
      <c r="Y136">
        <f>HYPERLINK("https://klasma.github.io/Logging_0765/kartor_geotiff/S 145-2026 georefererad karta.tif", "S 145-2026")</f>
        <v/>
      </c>
      <c r="AA136">
        <f>HYPERLINK("https://klasma.github.io/Logging_0765/klagomål/S 145-2026 FSC-klagomål.docx", "S 145-2026")</f>
        <v/>
      </c>
      <c r="AB136">
        <f>HYPERLINK("https://klasma.github.io/Logging_0765/klagomålsmail/S 145-2026 FSC-klagomål mail.docx", "S 145-2026")</f>
        <v/>
      </c>
      <c r="AC136">
        <f>HYPERLINK("https://klasma.github.io/Logging_0765/tillsyn/S 145-2026 tillsynsbegäran.docx", "S 145-2026")</f>
        <v/>
      </c>
      <c r="AD136">
        <f>HYPERLINK("https://klasma.github.io/Logging_0765/tillsynsmail/S 145-2026 tillsynsbegäran mail.docx", "S 145-2026")</f>
        <v/>
      </c>
    </row>
    <row r="137" ht="15" customHeight="1">
      <c r="A137" t="inlineStr">
        <is>
          <t>S 768-2026</t>
        </is>
      </c>
      <c r="B137" t="inlineStr">
        <is>
          <t>samrådsanmälan</t>
        </is>
      </c>
      <c r="C137" t="inlineStr">
        <is>
          <t>Skogsbilväg</t>
        </is>
      </c>
      <c r="D137" s="1" t="n">
        <v>46098</v>
      </c>
      <c r="E137" s="1" t="n">
        <v>46316</v>
      </c>
      <c r="F137" t="inlineStr">
        <is>
          <t>KRONOBERGS LÄN</t>
        </is>
      </c>
      <c r="G137" t="inlineStr">
        <is>
          <t>VÄXJÖ</t>
        </is>
      </c>
      <c r="I137" t="n">
        <v>0.1</v>
      </c>
      <c r="J137" t="n">
        <v>0</v>
      </c>
      <c r="K137" t="n">
        <v>1</v>
      </c>
      <c r="L137" t="n">
        <v>0</v>
      </c>
      <c r="M137" t="n">
        <v>0</v>
      </c>
      <c r="N137" t="n">
        <v>2</v>
      </c>
      <c r="O137" t="n">
        <v>0</v>
      </c>
      <c r="P137" t="n">
        <v>0</v>
      </c>
      <c r="Q137" t="n">
        <v>2</v>
      </c>
      <c r="R137" t="n">
        <v>2</v>
      </c>
      <c r="S137" t="n">
        <v>3</v>
      </c>
      <c r="T137" t="n">
        <v>3</v>
      </c>
      <c r="U137" t="n">
        <v>0</v>
      </c>
      <c r="V137" s="2" t="inlineStr">
        <is>
          <t>Almlav
Ask
Guldlockmossa</t>
        </is>
      </c>
      <c r="W137">
        <f>HYPERLINK("https://klasma.github.io/Logging_0780/artfynd/S 768-2026 artfynd.xlsx", "S 768-2026")</f>
        <v/>
      </c>
      <c r="X137">
        <f>HYPERLINK("https://klasma.github.io/Logging_0780/kartor/S 768-2026 karta.png", "S 768-2026")</f>
        <v/>
      </c>
      <c r="Y137">
        <f>HYPERLINK("https://klasma.github.io/Logging_0780/kartor_geotiff/S 768-2026 georefererad karta.tif", "S 768-2026")</f>
        <v/>
      </c>
      <c r="AA137">
        <f>HYPERLINK("https://klasma.github.io/Logging_0780/klagomål/S 768-2026 FSC-klagomål.docx", "S 768-2026")</f>
        <v/>
      </c>
      <c r="AB137">
        <f>HYPERLINK("https://klasma.github.io/Logging_0780/klagomålsmail/S 768-2026 FSC-klagomål mail.docx", "S 768-2026")</f>
        <v/>
      </c>
      <c r="AC137">
        <f>HYPERLINK("https://klasma.github.io/Logging_0780/tillsyn/S 768-2026 tillsynsbegäran.docx", "S 768-2026")</f>
        <v/>
      </c>
      <c r="AD137">
        <f>HYPERLINK("https://klasma.github.io/Logging_0780/tillsynsmail/S 768-2026 tillsynsbegäran mail.docx", "S 768-2026")</f>
        <v/>
      </c>
    </row>
    <row r="138" ht="15" customHeight="1">
      <c r="A138" t="inlineStr">
        <is>
          <t>S 2413-2026</t>
        </is>
      </c>
      <c r="B138" t="inlineStr">
        <is>
          <t>samrådsanmälan</t>
        </is>
      </c>
      <c r="C138" t="inlineStr">
        <is>
          <t>Annan skogsbruksåtgärd</t>
        </is>
      </c>
      <c r="D138" s="1" t="n">
        <v>46279</v>
      </c>
      <c r="E138" s="1" t="n">
        <v>46316</v>
      </c>
      <c r="F138" t="inlineStr">
        <is>
          <t>KRONOBERGS LÄN</t>
        </is>
      </c>
      <c r="G138" t="inlineStr">
        <is>
          <t>LJUNGBY</t>
        </is>
      </c>
      <c r="H138" t="inlineStr">
        <is>
          <t>Sveaskog</t>
        </is>
      </c>
      <c r="I138" t="n">
        <v>3.4</v>
      </c>
      <c r="J138" t="n">
        <v>0</v>
      </c>
      <c r="K138" t="n">
        <v>3</v>
      </c>
      <c r="L138" t="n">
        <v>0</v>
      </c>
      <c r="M138" t="n">
        <v>0</v>
      </c>
      <c r="N138" t="n">
        <v>0</v>
      </c>
      <c r="O138" t="n">
        <v>0</v>
      </c>
      <c r="P138" t="n">
        <v>0</v>
      </c>
      <c r="Q138" t="n">
        <v>0</v>
      </c>
      <c r="R138" t="n">
        <v>0</v>
      </c>
      <c r="S138" t="n">
        <v>3</v>
      </c>
      <c r="T138" t="n">
        <v>6</v>
      </c>
      <c r="U138" t="n">
        <v>0</v>
      </c>
      <c r="V138" s="2" t="inlineStr">
        <is>
          <t>Bokfjädermossa
Fällmossa
Klippfrullania</t>
        </is>
      </c>
      <c r="W138">
        <f>HYPERLINK("https://klasma.github.io/Logging_0781/artfynd/S 2413-2026 artfynd.xlsx", "S 2413-2026")</f>
        <v/>
      </c>
      <c r="X138">
        <f>HYPERLINK("https://klasma.github.io/Logging_0781/kartor/S 2413-2026 karta.png", "S 2413-2026")</f>
        <v/>
      </c>
      <c r="Y138">
        <f>HYPERLINK("https://klasma.github.io/Logging_0781/kartor_geotiff/S 2413-2026 georefererad karta.tif", "S 2413-2026")</f>
        <v/>
      </c>
      <c r="AA138">
        <f>HYPERLINK("https://klasma.github.io/Logging_0781/klagomål/S 2413-2026 FSC-klagomål.docx", "S 2413-2026")</f>
        <v/>
      </c>
      <c r="AB138">
        <f>HYPERLINK("https://klasma.github.io/Logging_0781/klagomålsmail/S 2413-2026 FSC-klagomål mail.docx", "S 2413-2026")</f>
        <v/>
      </c>
      <c r="AC138">
        <f>HYPERLINK("https://klasma.github.io/Logging_0781/tillsyn/S 2413-2026 tillsynsbegäran.docx", "S 2413-2026")</f>
        <v/>
      </c>
      <c r="AD138">
        <f>HYPERLINK("https://klasma.github.io/Logging_0781/tillsynsmail/S 2413-2026 tillsynsbegäran mail.docx", "S 2413-2026")</f>
        <v/>
      </c>
    </row>
    <row r="139" ht="15" customHeight="1">
      <c r="A139" t="inlineStr">
        <is>
          <t>S 2033-2026</t>
        </is>
      </c>
      <c r="B139" t="inlineStr">
        <is>
          <t>samrådsanmälan</t>
        </is>
      </c>
      <c r="C139" t="inlineStr">
        <is>
          <t>Askåterföring</t>
        </is>
      </c>
      <c r="D139" s="1" t="n">
        <v>46211</v>
      </c>
      <c r="E139" s="1" t="n">
        <v>46316</v>
      </c>
      <c r="F139" t="inlineStr">
        <is>
          <t>KRONOBERGS LÄN</t>
        </is>
      </c>
      <c r="G139" t="inlineStr">
        <is>
          <t>ÄLMHULT</t>
        </is>
      </c>
      <c r="I139" t="n">
        <v>119.5</v>
      </c>
      <c r="J139" t="n">
        <v>2</v>
      </c>
      <c r="K139" t="n">
        <v>0</v>
      </c>
      <c r="L139" t="n">
        <v>0</v>
      </c>
      <c r="M139" t="n">
        <v>0</v>
      </c>
      <c r="N139" t="n">
        <v>1</v>
      </c>
      <c r="O139" t="n">
        <v>0</v>
      </c>
      <c r="P139" t="n">
        <v>0</v>
      </c>
      <c r="Q139" t="n">
        <v>1</v>
      </c>
      <c r="R139" t="n">
        <v>1</v>
      </c>
      <c r="S139" t="n">
        <v>3</v>
      </c>
      <c r="T139" t="n">
        <v>4</v>
      </c>
      <c r="U139" t="n">
        <v>0</v>
      </c>
      <c r="V139" s="2" t="inlineStr">
        <is>
          <t>Ask
Spillkråka
Utter</t>
        </is>
      </c>
      <c r="W139">
        <f>HYPERLINK("https://klasma.github.io/Logging_0765/artfynd/S 2033-2026 artfynd.xlsx", "S 2033-2026")</f>
        <v/>
      </c>
      <c r="X139">
        <f>HYPERLINK("https://klasma.github.io/Logging_0765/kartor/S 2033-2026 karta.png", "S 2033-2026")</f>
        <v/>
      </c>
      <c r="Y139">
        <f>HYPERLINK("https://klasma.github.io/Logging_0765/kartor_geotiff/S 2033-2026 georefererad karta.tif", "S 2033-2026")</f>
        <v/>
      </c>
      <c r="AA139">
        <f>HYPERLINK("https://klasma.github.io/Logging_0765/klagomål/S 2033-2026 FSC-klagomål.docx", "S 2033-2026")</f>
        <v/>
      </c>
      <c r="AB139">
        <f>HYPERLINK("https://klasma.github.io/Logging_0765/klagomålsmail/S 2033-2026 FSC-klagomål mail.docx", "S 2033-2026")</f>
        <v/>
      </c>
      <c r="AC139">
        <f>HYPERLINK("https://klasma.github.io/Logging_0765/tillsyn/S 2033-2026 tillsynsbegäran.docx", "S 2033-2026")</f>
        <v/>
      </c>
      <c r="AD139">
        <f>HYPERLINK("https://klasma.github.io/Logging_0765/tillsynsmail/S 2033-2026 tillsynsbegäran mail.docx", "S 2033-2026")</f>
        <v/>
      </c>
      <c r="AE139">
        <f>HYPERLINK("https://klasma.github.io/Logging_0765/fåglar/S 2033-2026 prioriterade fågelarter.docx", "S 2033-2026")</f>
        <v/>
      </c>
    </row>
    <row r="140" ht="15" customHeight="1">
      <c r="A140" t="inlineStr">
        <is>
          <t>S 2467-2026</t>
        </is>
      </c>
      <c r="B140" t="inlineStr">
        <is>
          <t>samrådsanmälan</t>
        </is>
      </c>
      <c r="C140" t="inlineStr">
        <is>
          <t>Askåterföring</t>
        </is>
      </c>
      <c r="D140" s="1" t="n">
        <v>46286</v>
      </c>
      <c r="E140" s="1" t="n">
        <v>46316</v>
      </c>
      <c r="F140" t="inlineStr">
        <is>
          <t>KRONOBERGS LÄN</t>
        </is>
      </c>
      <c r="G140" t="inlineStr">
        <is>
          <t>VÄXJÖ</t>
        </is>
      </c>
      <c r="I140" t="n">
        <v>30.6</v>
      </c>
      <c r="J140" t="n">
        <v>1</v>
      </c>
      <c r="K140" t="n">
        <v>1</v>
      </c>
      <c r="L140" t="n">
        <v>0</v>
      </c>
      <c r="M140" t="n">
        <v>1</v>
      </c>
      <c r="N140" t="n">
        <v>0</v>
      </c>
      <c r="O140" t="n">
        <v>0</v>
      </c>
      <c r="P140" t="n">
        <v>0</v>
      </c>
      <c r="Q140" t="n">
        <v>1</v>
      </c>
      <c r="R140" t="n">
        <v>1</v>
      </c>
      <c r="S140" t="n">
        <v>3</v>
      </c>
      <c r="T140" t="n">
        <v>3</v>
      </c>
      <c r="U140" t="n">
        <v>0</v>
      </c>
      <c r="V140" s="2" t="inlineStr">
        <is>
          <t>Slåttergubbe
Blåmossa
Grönvit nattviol</t>
        </is>
      </c>
      <c r="W140">
        <f>HYPERLINK("https://klasma.github.io/Logging_0780/artfynd/S 2467-2026 artfynd.xlsx", "S 2467-2026")</f>
        <v/>
      </c>
      <c r="X140">
        <f>HYPERLINK("https://klasma.github.io/Logging_0780/kartor/S 2467-2026 karta.png", "S 2467-2026")</f>
        <v/>
      </c>
      <c r="Y140">
        <f>HYPERLINK("https://klasma.github.io/Logging_0780/kartor_geotiff/S 2467-2026 georefererad karta.tif", "S 2467-2026")</f>
        <v/>
      </c>
      <c r="AA140">
        <f>HYPERLINK("https://klasma.github.io/Logging_0780/klagomål/S 2467-2026 FSC-klagomål.docx", "S 2467-2026")</f>
        <v/>
      </c>
      <c r="AB140">
        <f>HYPERLINK("https://klasma.github.io/Logging_0780/klagomålsmail/S 2467-2026 FSC-klagomål mail.docx", "S 2467-2026")</f>
        <v/>
      </c>
      <c r="AC140">
        <f>HYPERLINK("https://klasma.github.io/Logging_0780/tillsyn/S 2467-2026 tillsynsbegäran.docx", "S 2467-2026")</f>
        <v/>
      </c>
      <c r="AD140">
        <f>HYPERLINK("https://klasma.github.io/Logging_0780/tillsynsmail/S 2467-2026 tillsynsbegäran mail.docx", "S 2467-2026")</f>
        <v/>
      </c>
    </row>
    <row r="141" ht="15" customHeight="1">
      <c r="A141" t="inlineStr">
        <is>
          <t>S 2102-2026</t>
        </is>
      </c>
      <c r="B141" t="inlineStr">
        <is>
          <t>samrådsanmälan</t>
        </is>
      </c>
      <c r="C141" t="inlineStr">
        <is>
          <t>Annan skogsbruksåtgärd</t>
        </is>
      </c>
      <c r="D141" s="1" t="n">
        <v>46239</v>
      </c>
      <c r="E141" s="1" t="n">
        <v>46316</v>
      </c>
      <c r="F141" t="inlineStr">
        <is>
          <t>KRONOBERGS LÄN</t>
        </is>
      </c>
      <c r="G141" t="inlineStr">
        <is>
          <t>TINGSRYD</t>
        </is>
      </c>
      <c r="I141" t="n">
        <v>7.4</v>
      </c>
      <c r="J141" t="n">
        <v>1</v>
      </c>
      <c r="K141" t="n">
        <v>2</v>
      </c>
      <c r="L141" t="n">
        <v>0</v>
      </c>
      <c r="M141" t="n">
        <v>0</v>
      </c>
      <c r="N141" t="n">
        <v>0</v>
      </c>
      <c r="O141" t="n">
        <v>0</v>
      </c>
      <c r="P141" t="n">
        <v>0</v>
      </c>
      <c r="Q141" t="n">
        <v>0</v>
      </c>
      <c r="R141" t="n">
        <v>0</v>
      </c>
      <c r="S141" t="n">
        <v>3</v>
      </c>
      <c r="T141" t="n">
        <v>5</v>
      </c>
      <c r="U141" t="n">
        <v>0</v>
      </c>
      <c r="V141" s="2" t="inlineStr">
        <is>
          <t>Guldlockmossa
Svart trolldruva
Hasselmus</t>
        </is>
      </c>
      <c r="W141">
        <f>HYPERLINK("https://klasma.github.io/Logging_0763/artfynd/S 2102-2026 artfynd.xlsx", "S 2102-2026")</f>
        <v/>
      </c>
      <c r="X141">
        <f>HYPERLINK("https://klasma.github.io/Logging_0763/kartor/S 2102-2026 karta.png", "S 2102-2026")</f>
        <v/>
      </c>
      <c r="Y141">
        <f>HYPERLINK("https://klasma.github.io/Logging_0763/kartor_geotiff/S 2102-2026 georefererad karta.tif", "S 2102-2026")</f>
        <v/>
      </c>
      <c r="AA141">
        <f>HYPERLINK("https://klasma.github.io/Logging_0763/klagomål/S 2102-2026 FSC-klagomål.docx", "S 2102-2026")</f>
        <v/>
      </c>
      <c r="AB141">
        <f>HYPERLINK("https://klasma.github.io/Logging_0763/klagomålsmail/S 2102-2026 FSC-klagomål mail.docx", "S 2102-2026")</f>
        <v/>
      </c>
      <c r="AC141">
        <f>HYPERLINK("https://klasma.github.io/Logging_0763/tillsyn/S 2102-2026 tillsynsbegäran.docx", "S 2102-2026")</f>
        <v/>
      </c>
      <c r="AD141">
        <f>HYPERLINK("https://klasma.github.io/Logging_0763/tillsynsmail/S 2102-2026 tillsynsbegäran mail.docx", "S 2102-2026")</f>
        <v/>
      </c>
    </row>
    <row r="142" ht="15" customHeight="1">
      <c r="A142" t="inlineStr">
        <is>
          <t>A 63305-2021</t>
        </is>
      </c>
      <c r="B142" t="inlineStr">
        <is>
          <t>avverkningsanmälan</t>
        </is>
      </c>
      <c r="C142" t="inlineStr">
        <is>
          <t>Föryngringsavverkning</t>
        </is>
      </c>
      <c r="D142" s="1" t="n">
        <v>44508</v>
      </c>
      <c r="E142" s="1" t="n">
        <v>46316</v>
      </c>
      <c r="F142" t="inlineStr">
        <is>
          <t>KRONOBERGS LÄN</t>
        </is>
      </c>
      <c r="G142" t="inlineStr">
        <is>
          <t>UPPVIDINGE</t>
        </is>
      </c>
      <c r="I142" t="n">
        <v>1.7</v>
      </c>
      <c r="J142" t="n">
        <v>1</v>
      </c>
      <c r="K142" t="n">
        <v>0</v>
      </c>
      <c r="L142" t="n">
        <v>1</v>
      </c>
      <c r="M142" t="n">
        <v>0</v>
      </c>
      <c r="N142" t="n">
        <v>0</v>
      </c>
      <c r="O142" t="n">
        <v>0</v>
      </c>
      <c r="P142" t="n">
        <v>0</v>
      </c>
      <c r="Q142" t="n">
        <v>1</v>
      </c>
      <c r="R142" t="n">
        <v>0</v>
      </c>
      <c r="S142" t="n">
        <v>2</v>
      </c>
      <c r="T142" t="n">
        <v>2</v>
      </c>
      <c r="U142" t="n">
        <v>0</v>
      </c>
      <c r="V142" s="2" t="inlineStr">
        <is>
          <t>Jungfrulin
Fläcknycklar</t>
        </is>
      </c>
      <c r="W142">
        <f>HYPERLINK("https://klasma.github.io/Logging_0760/artfynd/A 63305-2021 artfynd.xlsx", "A 63305-2021")</f>
        <v/>
      </c>
      <c r="X142">
        <f>HYPERLINK("https://klasma.github.io/Logging_0760/kartor/A 63305-2021 karta.png", "A 63305-2021")</f>
        <v/>
      </c>
      <c r="Y142">
        <f>HYPERLINK("https://klasma.github.io/Logging_0760/kartor_geotiff/A 63305-2021 georefererad karta.tif", "A 63305-2021")</f>
        <v/>
      </c>
      <c r="AA142">
        <f>HYPERLINK("https://klasma.github.io/Logging_0760/klagomål/A 63305-2021 FSC-klagomål.docx", "A 63305-2021")</f>
        <v/>
      </c>
      <c r="AB142">
        <f>HYPERLINK("https://klasma.github.io/Logging_0760/klagomålsmail/A 63305-2021 FSC-klagomål mail.docx", "A 63305-2021")</f>
        <v/>
      </c>
      <c r="AC142">
        <f>HYPERLINK("https://klasma.github.io/Logging_0760/tillsyn/A 63305-2021 tillsynsbegäran.docx", "A 63305-2021")</f>
        <v/>
      </c>
      <c r="AD142">
        <f>HYPERLINK("https://klasma.github.io/Logging_0760/tillsynsmail/A 63305-2021 tillsynsbegäran mail.docx", "A 63305-2021")</f>
        <v/>
      </c>
    </row>
    <row r="143" ht="15" customHeight="1">
      <c r="A143" t="inlineStr">
        <is>
          <t>A 67665-2021</t>
        </is>
      </c>
      <c r="B143" t="inlineStr">
        <is>
          <t>avverkningsanmälan</t>
        </is>
      </c>
      <c r="C143" t="inlineStr">
        <is>
          <t>Föryngringsavverkning</t>
        </is>
      </c>
      <c r="D143" s="1" t="n">
        <v>44524</v>
      </c>
      <c r="E143" s="1" t="n">
        <v>46316</v>
      </c>
      <c r="F143" t="inlineStr">
        <is>
          <t>KRONOBERGS LÄN</t>
        </is>
      </c>
      <c r="G143" t="inlineStr">
        <is>
          <t>LJUNGBY</t>
        </is>
      </c>
      <c r="I143" t="n">
        <v>7.8</v>
      </c>
      <c r="J143" t="n">
        <v>1</v>
      </c>
      <c r="K143" t="n">
        <v>0</v>
      </c>
      <c r="L143" t="n">
        <v>1</v>
      </c>
      <c r="M143" t="n">
        <v>1</v>
      </c>
      <c r="N143" t="n">
        <v>0</v>
      </c>
      <c r="O143" t="n">
        <v>0</v>
      </c>
      <c r="P143" t="n">
        <v>0</v>
      </c>
      <c r="Q143" t="n">
        <v>2</v>
      </c>
      <c r="R143" t="n">
        <v>1</v>
      </c>
      <c r="S143" t="n">
        <v>2</v>
      </c>
      <c r="T143" t="n">
        <v>2</v>
      </c>
      <c r="U143" t="n">
        <v>1</v>
      </c>
      <c r="V143" s="2" t="inlineStr">
        <is>
          <t>Sjötåtel
Drillsnäppa</t>
        </is>
      </c>
      <c r="W143">
        <f>HYPERLINK("https://klasma.github.io/Logging_0781/artfynd/A 67665-2021 artfynd.xlsx", "A 67665-2021")</f>
        <v/>
      </c>
      <c r="X143">
        <f>HYPERLINK("https://klasma.github.io/Logging_0781/kartor/A 67665-2021 karta.png", "A 67665-2021")</f>
        <v/>
      </c>
      <c r="Y143">
        <f>HYPERLINK("https://klasma.github.io/Logging_0781/kartor_geotiff/A 67665-2021 georefererad karta.tif", "A 67665-2021")</f>
        <v/>
      </c>
      <c r="AA143">
        <f>HYPERLINK("https://klasma.github.io/Logging_0781/klagomål/A 67665-2021 FSC-klagomål.docx", "A 67665-2021")</f>
        <v/>
      </c>
      <c r="AB143">
        <f>HYPERLINK("https://klasma.github.io/Logging_0781/klagomålsmail/A 67665-2021 FSC-klagomål mail.docx", "A 67665-2021")</f>
        <v/>
      </c>
      <c r="AC143">
        <f>HYPERLINK("https://klasma.github.io/Logging_0781/tillsyn/A 67665-2021 tillsynsbegäran.docx", "A 67665-2021")</f>
        <v/>
      </c>
      <c r="AD143">
        <f>HYPERLINK("https://klasma.github.io/Logging_0781/tillsynsmail/A 67665-2021 tillsynsbegäran mail.docx", "A 67665-2021")</f>
        <v/>
      </c>
      <c r="AE143">
        <f>HYPERLINK("https://klasma.github.io/Logging_0781/fåglar/A 67665-2021 prioriterade fågelarter.docx", "A 67665-2021")</f>
        <v/>
      </c>
    </row>
    <row r="144" ht="15" customHeight="1">
      <c r="A144" t="inlineStr">
        <is>
          <t>A 59220-2021</t>
        </is>
      </c>
      <c r="B144" t="inlineStr">
        <is>
          <t>avverkningsanmälan</t>
        </is>
      </c>
      <c r="C144" t="inlineStr">
        <is>
          <t>Föryngringsavverkning</t>
        </is>
      </c>
      <c r="D144" s="1" t="n">
        <v>44490</v>
      </c>
      <c r="E144" s="1" t="n">
        <v>46316</v>
      </c>
      <c r="F144" t="inlineStr">
        <is>
          <t>KRONOBERGS LÄN</t>
        </is>
      </c>
      <c r="G144" t="inlineStr">
        <is>
          <t>ALVESTA</t>
        </is>
      </c>
      <c r="I144" t="n">
        <v>0.6</v>
      </c>
      <c r="J144" t="n">
        <v>2</v>
      </c>
      <c r="K144" t="n">
        <v>0</v>
      </c>
      <c r="L144" t="n">
        <v>2</v>
      </c>
      <c r="M144" t="n">
        <v>0</v>
      </c>
      <c r="N144" t="n">
        <v>0</v>
      </c>
      <c r="O144" t="n">
        <v>0</v>
      </c>
      <c r="P144" t="n">
        <v>0</v>
      </c>
      <c r="Q144" t="n">
        <v>2</v>
      </c>
      <c r="R144" t="n">
        <v>0</v>
      </c>
      <c r="S144" t="n">
        <v>2</v>
      </c>
      <c r="T144" t="n">
        <v>2</v>
      </c>
      <c r="U144" t="n">
        <v>2</v>
      </c>
      <c r="V144" s="2" t="inlineStr">
        <is>
          <t>Ladusvala
Sädesärla</t>
        </is>
      </c>
      <c r="W144">
        <f>HYPERLINK("https://klasma.github.io/Logging_0764/artfynd/A 59220-2021 artfynd.xlsx", "A 59220-2021")</f>
        <v/>
      </c>
      <c r="X144">
        <f>HYPERLINK("https://klasma.github.io/Logging_0764/kartor/A 59220-2021 karta.png", "A 59220-2021")</f>
        <v/>
      </c>
      <c r="Y144">
        <f>HYPERLINK("https://klasma.github.io/Logging_0764/kartor_geotiff/A 59220-2021 georefererad karta.tif", "A 59220-2021")</f>
        <v/>
      </c>
      <c r="AA144">
        <f>HYPERLINK("https://klasma.github.io/Logging_0764/klagomål/A 59220-2021 FSC-klagomål.docx", "A 59220-2021")</f>
        <v/>
      </c>
      <c r="AB144">
        <f>HYPERLINK("https://klasma.github.io/Logging_0764/klagomålsmail/A 59220-2021 FSC-klagomål mail.docx", "A 59220-2021")</f>
        <v/>
      </c>
      <c r="AC144">
        <f>HYPERLINK("https://klasma.github.io/Logging_0764/tillsyn/A 59220-2021 tillsynsbegäran.docx", "A 59220-2021")</f>
        <v/>
      </c>
      <c r="AD144">
        <f>HYPERLINK("https://klasma.github.io/Logging_0764/tillsynsmail/A 59220-2021 tillsynsbegäran mail.docx", "A 59220-2021")</f>
        <v/>
      </c>
      <c r="AE144">
        <f>HYPERLINK("https://klasma.github.io/Logging_0764/fåglar/A 59220-2021 prioriterade fågelarter.docx", "A 59220-2021")</f>
        <v/>
      </c>
    </row>
    <row r="145" ht="15" customHeight="1">
      <c r="A145" t="inlineStr">
        <is>
          <t>A 4825-2022</t>
        </is>
      </c>
      <c r="B145" t="inlineStr">
        <is>
          <t>avverkningsanmälan</t>
        </is>
      </c>
      <c r="C145" t="inlineStr">
        <is>
          <t>Föryngringsavverkning</t>
        </is>
      </c>
      <c r="D145" s="1" t="n">
        <v>44592</v>
      </c>
      <c r="E145" s="1" t="n">
        <v>46316</v>
      </c>
      <c r="F145" t="inlineStr">
        <is>
          <t>KRONOBERGS LÄN</t>
        </is>
      </c>
      <c r="G145" t="inlineStr">
        <is>
          <t>ALVESTA</t>
        </is>
      </c>
      <c r="I145" t="n">
        <v>6.7</v>
      </c>
      <c r="J145" t="n">
        <v>1</v>
      </c>
      <c r="K145" t="n">
        <v>1</v>
      </c>
      <c r="L145" t="n">
        <v>0</v>
      </c>
      <c r="M145" t="n">
        <v>0</v>
      </c>
      <c r="N145" t="n">
        <v>0</v>
      </c>
      <c r="O145" t="n">
        <v>0</v>
      </c>
      <c r="P145" t="n">
        <v>0</v>
      </c>
      <c r="Q145" t="n">
        <v>0</v>
      </c>
      <c r="R145" t="n">
        <v>0</v>
      </c>
      <c r="S145" t="n">
        <v>2</v>
      </c>
      <c r="T145" t="n">
        <v>2</v>
      </c>
      <c r="U145" t="n">
        <v>2</v>
      </c>
      <c r="V145" s="2" t="inlineStr">
        <is>
          <t>Blåmossa
Spillkråka</t>
        </is>
      </c>
      <c r="W145">
        <f>HYPERLINK("https://klasma.github.io/Logging_0764/artfynd/A 4825-2022 artfynd.xlsx", "A 4825-2022")</f>
        <v/>
      </c>
      <c r="X145">
        <f>HYPERLINK("https://klasma.github.io/Logging_0764/kartor/A 4825-2022 karta.png", "A 4825-2022")</f>
        <v/>
      </c>
      <c r="Y145">
        <f>HYPERLINK("https://klasma.github.io/Logging_0764/kartor_geotiff/A 4825-2022 georefererad karta.tif", "A 4825-2022")</f>
        <v/>
      </c>
      <c r="AA145">
        <f>HYPERLINK("https://klasma.github.io/Logging_0764/klagomål/A 4825-2022 FSC-klagomål.docx", "A 4825-2022")</f>
        <v/>
      </c>
      <c r="AB145">
        <f>HYPERLINK("https://klasma.github.io/Logging_0764/klagomålsmail/A 4825-2022 FSC-klagomål mail.docx", "A 4825-2022")</f>
        <v/>
      </c>
      <c r="AC145">
        <f>HYPERLINK("https://klasma.github.io/Logging_0764/tillsyn/A 4825-2022 tillsynsbegäran.docx", "A 4825-2022")</f>
        <v/>
      </c>
      <c r="AD145">
        <f>HYPERLINK("https://klasma.github.io/Logging_0764/tillsynsmail/A 4825-2022 tillsynsbegäran mail.docx", "A 4825-2022")</f>
        <v/>
      </c>
      <c r="AE145">
        <f>HYPERLINK("https://klasma.github.io/Logging_0764/fåglar/A 4825-2022 prioriterade fågelarter.docx", "A 4825-2022")</f>
        <v/>
      </c>
    </row>
    <row r="146" ht="15" customHeight="1">
      <c r="A146" t="inlineStr">
        <is>
          <t>A 28673-2023</t>
        </is>
      </c>
      <c r="B146" t="inlineStr">
        <is>
          <t>avverkningsanmälan</t>
        </is>
      </c>
      <c r="C146" t="inlineStr">
        <is>
          <t>Föryngringsavverkning</t>
        </is>
      </c>
      <c r="D146" s="1" t="n">
        <v>45103</v>
      </c>
      <c r="E146" s="1" t="n">
        <v>46316</v>
      </c>
      <c r="F146" t="inlineStr">
        <is>
          <t>KRONOBERGS LÄN</t>
        </is>
      </c>
      <c r="G146" t="inlineStr">
        <is>
          <t>LJUNGBY</t>
        </is>
      </c>
      <c r="I146" t="n">
        <v>3.1</v>
      </c>
      <c r="J146" t="n">
        <v>1</v>
      </c>
      <c r="K146" t="n">
        <v>0</v>
      </c>
      <c r="L146" t="n">
        <v>1</v>
      </c>
      <c r="M146" t="n">
        <v>0</v>
      </c>
      <c r="N146" t="n">
        <v>0</v>
      </c>
      <c r="O146" t="n">
        <v>0</v>
      </c>
      <c r="P146" t="n">
        <v>0</v>
      </c>
      <c r="Q146" t="n">
        <v>1</v>
      </c>
      <c r="R146" t="n">
        <v>0</v>
      </c>
      <c r="S146" t="n">
        <v>2</v>
      </c>
      <c r="T146" t="n">
        <v>4</v>
      </c>
      <c r="U146" t="n">
        <v>0</v>
      </c>
      <c r="V146" s="2" t="inlineStr">
        <is>
          <t>Gullpudra
Vanlig groda</t>
        </is>
      </c>
      <c r="W146">
        <f>HYPERLINK("https://klasma.github.io/Logging_0781/artfynd/A 28673-2023 artfynd.xlsx", "A 28673-2023")</f>
        <v/>
      </c>
      <c r="X146">
        <f>HYPERLINK("https://klasma.github.io/Logging_0781/kartor/A 28673-2023 karta.png", "A 28673-2023")</f>
        <v/>
      </c>
      <c r="Y146">
        <f>HYPERLINK("https://klasma.github.io/Logging_0781/kartor_geotiff/A 28673-2023 georefererad karta.tif", "A 28673-2023")</f>
        <v/>
      </c>
      <c r="AA146">
        <f>HYPERLINK("https://klasma.github.io/Logging_0781/klagomål/A 28673-2023 FSC-klagomål.docx", "A 28673-2023")</f>
        <v/>
      </c>
      <c r="AB146">
        <f>HYPERLINK("https://klasma.github.io/Logging_0781/klagomålsmail/A 28673-2023 FSC-klagomål mail.docx", "A 28673-2023")</f>
        <v/>
      </c>
      <c r="AC146">
        <f>HYPERLINK("https://klasma.github.io/Logging_0781/tillsyn/A 28673-2023 tillsynsbegäran.docx", "A 28673-2023")</f>
        <v/>
      </c>
      <c r="AD146">
        <f>HYPERLINK("https://klasma.github.io/Logging_0781/tillsynsmail/A 28673-2023 tillsynsbegäran mail.docx", "A 28673-2023")</f>
        <v/>
      </c>
    </row>
    <row r="147" ht="15" customHeight="1">
      <c r="A147" t="inlineStr">
        <is>
          <t>A 62152-2023</t>
        </is>
      </c>
      <c r="B147" t="inlineStr">
        <is>
          <t>avverkningsanmälan</t>
        </is>
      </c>
      <c r="C147" t="inlineStr">
        <is>
          <t>Föryngringsavverkning</t>
        </is>
      </c>
      <c r="D147" s="1" t="n">
        <v>45267</v>
      </c>
      <c r="E147" s="1" t="n">
        <v>46316</v>
      </c>
      <c r="F147" t="inlineStr">
        <is>
          <t>KRONOBERGS LÄN</t>
        </is>
      </c>
      <c r="G147" t="inlineStr">
        <is>
          <t>LESSEBO</t>
        </is>
      </c>
      <c r="H147" t="inlineStr">
        <is>
          <t>Kommuner</t>
        </is>
      </c>
      <c r="I147" t="n">
        <v>2.3</v>
      </c>
      <c r="J147" t="n">
        <v>2</v>
      </c>
      <c r="K147" t="n">
        <v>1</v>
      </c>
      <c r="L147" t="n">
        <v>0</v>
      </c>
      <c r="M147" t="n">
        <v>0</v>
      </c>
      <c r="N147" t="n">
        <v>0</v>
      </c>
      <c r="O147" t="n">
        <v>0</v>
      </c>
      <c r="P147" t="n">
        <v>0</v>
      </c>
      <c r="Q147" t="n">
        <v>0</v>
      </c>
      <c r="R147" t="n">
        <v>0</v>
      </c>
      <c r="S147" t="n">
        <v>2</v>
      </c>
      <c r="T147" t="n">
        <v>2</v>
      </c>
      <c r="U147" t="n">
        <v>0</v>
      </c>
      <c r="V147" s="2" t="inlineStr">
        <is>
          <t>Tvåblad
Nattviol</t>
        </is>
      </c>
      <c r="W147">
        <f>HYPERLINK("https://klasma.github.io/Logging_0761/artfynd/A 62152-2023 artfynd.xlsx", "A 62152-2023")</f>
        <v/>
      </c>
      <c r="X147">
        <f>HYPERLINK("https://klasma.github.io/Logging_0761/kartor/A 62152-2023 karta.png", "A 62152-2023")</f>
        <v/>
      </c>
      <c r="Y147">
        <f>HYPERLINK("https://klasma.github.io/Logging_0761/kartor_geotiff/A 62152-2023 georefererad karta.tif", "A 62152-2023")</f>
        <v/>
      </c>
      <c r="AA147">
        <f>HYPERLINK("https://klasma.github.io/Logging_0761/klagomål/A 62152-2023 FSC-klagomål.docx", "A 62152-2023")</f>
        <v/>
      </c>
      <c r="AB147">
        <f>HYPERLINK("https://klasma.github.io/Logging_0761/klagomålsmail/A 62152-2023 FSC-klagomål mail.docx", "A 62152-2023")</f>
        <v/>
      </c>
      <c r="AC147">
        <f>HYPERLINK("https://klasma.github.io/Logging_0761/tillsyn/A 62152-2023 tillsynsbegäran.docx", "A 62152-2023")</f>
        <v/>
      </c>
      <c r="AD147">
        <f>HYPERLINK("https://klasma.github.io/Logging_0761/tillsynsmail/A 62152-2023 tillsynsbegäran mail.docx", "A 62152-2023")</f>
        <v/>
      </c>
    </row>
    <row r="148" ht="15" customHeight="1">
      <c r="A148" t="inlineStr">
        <is>
          <t>A 64797-2021</t>
        </is>
      </c>
      <c r="B148" t="inlineStr">
        <is>
          <t>avverkningsanmälan</t>
        </is>
      </c>
      <c r="C148" t="inlineStr">
        <is>
          <t>Föryngringsavverkning</t>
        </is>
      </c>
      <c r="D148" s="1" t="n">
        <v>44512</v>
      </c>
      <c r="E148" s="1" t="n">
        <v>46316</v>
      </c>
      <c r="F148" t="inlineStr">
        <is>
          <t>KRONOBERGS LÄN</t>
        </is>
      </c>
      <c r="G148" t="inlineStr">
        <is>
          <t>ALVESTA</t>
        </is>
      </c>
      <c r="I148" t="n">
        <v>4.2</v>
      </c>
      <c r="J148" t="n">
        <v>2</v>
      </c>
      <c r="K148" t="n">
        <v>0</v>
      </c>
      <c r="L148" t="n">
        <v>0</v>
      </c>
      <c r="M148" t="n">
        <v>0</v>
      </c>
      <c r="N148" t="n">
        <v>0</v>
      </c>
      <c r="O148" t="n">
        <v>0</v>
      </c>
      <c r="P148" t="n">
        <v>0</v>
      </c>
      <c r="Q148" t="n">
        <v>0</v>
      </c>
      <c r="R148" t="n">
        <v>0</v>
      </c>
      <c r="S148" t="n">
        <v>2</v>
      </c>
      <c r="T148" t="n">
        <v>2</v>
      </c>
      <c r="U148" t="n">
        <v>2</v>
      </c>
      <c r="V148" s="2" t="inlineStr">
        <is>
          <t>Röd glada
Trana</t>
        </is>
      </c>
      <c r="W148">
        <f>HYPERLINK("https://klasma.github.io/Logging_0764/artfynd/A 64797-2021 artfynd.xlsx", "A 64797-2021")</f>
        <v/>
      </c>
      <c r="X148">
        <f>HYPERLINK("https://klasma.github.io/Logging_0764/kartor/A 64797-2021 karta.png", "A 64797-2021")</f>
        <v/>
      </c>
      <c r="Y148">
        <f>HYPERLINK("https://klasma.github.io/Logging_0764/kartor_geotiff/A 64797-2021 georefererad karta.tif", "A 64797-2021")</f>
        <v/>
      </c>
      <c r="AA148">
        <f>HYPERLINK("https://klasma.github.io/Logging_0764/klagomål/A 64797-2021 FSC-klagomål.docx", "A 64797-2021")</f>
        <v/>
      </c>
      <c r="AB148">
        <f>HYPERLINK("https://klasma.github.io/Logging_0764/klagomålsmail/A 64797-2021 FSC-klagomål mail.docx", "A 64797-2021")</f>
        <v/>
      </c>
      <c r="AC148">
        <f>HYPERLINK("https://klasma.github.io/Logging_0764/tillsyn/A 64797-2021 tillsynsbegäran.docx", "A 64797-2021")</f>
        <v/>
      </c>
      <c r="AD148">
        <f>HYPERLINK("https://klasma.github.io/Logging_0764/tillsynsmail/A 64797-2021 tillsynsbegäran mail.docx", "A 64797-2021")</f>
        <v/>
      </c>
      <c r="AE148">
        <f>HYPERLINK("https://klasma.github.io/Logging_0764/fåglar/A 64797-2021 prioriterade fågelarter.docx", "A 64797-2021")</f>
        <v/>
      </c>
    </row>
    <row r="149" ht="15" customHeight="1">
      <c r="A149" t="inlineStr">
        <is>
          <t>A 28041-2024</t>
        </is>
      </c>
      <c r="B149" t="inlineStr">
        <is>
          <t>avverkningsanmälan</t>
        </is>
      </c>
      <c r="C149" t="inlineStr">
        <is>
          <t>Föryngringsavverkning</t>
        </is>
      </c>
      <c r="D149" s="1" t="n">
        <v>45476</v>
      </c>
      <c r="E149" s="1" t="n">
        <v>46316</v>
      </c>
      <c r="F149" t="inlineStr">
        <is>
          <t>KRONOBERGS LÄN</t>
        </is>
      </c>
      <c r="G149" t="inlineStr">
        <is>
          <t>LJUNGBY</t>
        </is>
      </c>
      <c r="I149" t="n">
        <v>0.8</v>
      </c>
      <c r="J149" t="n">
        <v>1</v>
      </c>
      <c r="K149" t="n">
        <v>0</v>
      </c>
      <c r="L149" t="n">
        <v>1</v>
      </c>
      <c r="M149" t="n">
        <v>0</v>
      </c>
      <c r="N149" t="n">
        <v>0</v>
      </c>
      <c r="O149" t="n">
        <v>0</v>
      </c>
      <c r="P149" t="n">
        <v>0</v>
      </c>
      <c r="Q149" t="n">
        <v>1</v>
      </c>
      <c r="R149" t="n">
        <v>0</v>
      </c>
      <c r="S149" t="n">
        <v>2</v>
      </c>
      <c r="T149" t="n">
        <v>3</v>
      </c>
      <c r="U149" t="n">
        <v>1</v>
      </c>
      <c r="V149" s="2" t="inlineStr">
        <is>
          <t>Brunag
Mattlummer</t>
        </is>
      </c>
      <c r="W149">
        <f>HYPERLINK("https://klasma.github.io/Logging_0781/artfynd/A 28041-2024 artfynd.xlsx", "A 28041-2024")</f>
        <v/>
      </c>
      <c r="X149">
        <f>HYPERLINK("https://klasma.github.io/Logging_0781/kartor/A 28041-2024 karta.png", "A 28041-2024")</f>
        <v/>
      </c>
      <c r="Y149">
        <f>HYPERLINK("https://klasma.github.io/Logging_0781/kartor_geotiff/A 28041-2024 georefererad karta.tif", "A 28041-2024")</f>
        <v/>
      </c>
      <c r="AA149">
        <f>HYPERLINK("https://klasma.github.io/Logging_0781/klagomål/A 28041-2024 FSC-klagomål.docx", "A 28041-2024")</f>
        <v/>
      </c>
      <c r="AB149">
        <f>HYPERLINK("https://klasma.github.io/Logging_0781/klagomålsmail/A 28041-2024 FSC-klagomål mail.docx", "A 28041-2024")</f>
        <v/>
      </c>
      <c r="AC149">
        <f>HYPERLINK("https://klasma.github.io/Logging_0781/tillsyn/A 28041-2024 tillsynsbegäran.docx", "A 28041-2024")</f>
        <v/>
      </c>
      <c r="AD149">
        <f>HYPERLINK("https://klasma.github.io/Logging_0781/tillsynsmail/A 28041-2024 tillsynsbegäran mail.docx", "A 28041-2024")</f>
        <v/>
      </c>
    </row>
    <row r="150" ht="15" customHeight="1">
      <c r="A150" t="inlineStr">
        <is>
          <t>A 42930-2022</t>
        </is>
      </c>
      <c r="B150" t="inlineStr">
        <is>
          <t>avverkningsanmälan</t>
        </is>
      </c>
      <c r="C150" t="inlineStr">
        <is>
          <t>Föryngringsavverkning</t>
        </is>
      </c>
      <c r="D150" s="1" t="n">
        <v>44833</v>
      </c>
      <c r="E150" s="1" t="n">
        <v>46316</v>
      </c>
      <c r="F150" t="inlineStr">
        <is>
          <t>KRONOBERGS LÄN</t>
        </is>
      </c>
      <c r="G150" t="inlineStr">
        <is>
          <t>UPPVIDINGE</t>
        </is>
      </c>
      <c r="H150" t="inlineStr">
        <is>
          <t>Sveaskog</t>
        </is>
      </c>
      <c r="I150" t="n">
        <v>1.1</v>
      </c>
      <c r="J150" t="n">
        <v>1</v>
      </c>
      <c r="K150" t="n">
        <v>0</v>
      </c>
      <c r="L150" t="n">
        <v>1</v>
      </c>
      <c r="M150" t="n">
        <v>0</v>
      </c>
      <c r="N150" t="n">
        <v>0</v>
      </c>
      <c r="O150" t="n">
        <v>0</v>
      </c>
      <c r="P150" t="n">
        <v>0</v>
      </c>
      <c r="Q150" t="n">
        <v>1</v>
      </c>
      <c r="R150" t="n">
        <v>0</v>
      </c>
      <c r="S150" t="n">
        <v>2</v>
      </c>
      <c r="T150" t="n">
        <v>2</v>
      </c>
      <c r="U150" t="n">
        <v>2</v>
      </c>
      <c r="V150" s="2" t="inlineStr">
        <is>
          <t>Solvända
Fläcknycklar</t>
        </is>
      </c>
      <c r="W150">
        <f>HYPERLINK("https://klasma.github.io/Logging_0760/artfynd/A 42930-2022 artfynd.xlsx", "A 42930-2022")</f>
        <v/>
      </c>
      <c r="X150">
        <f>HYPERLINK("https://klasma.github.io/Logging_0760/kartor/A 42930-2022 karta.png", "A 42930-2022")</f>
        <v/>
      </c>
      <c r="Y150">
        <f>HYPERLINK("https://klasma.github.io/Logging_0760/kartor_geotiff/A 42930-2022 georefererad karta.tif", "A 42930-2022")</f>
        <v/>
      </c>
      <c r="AA150">
        <f>HYPERLINK("https://klasma.github.io/Logging_0760/klagomål/A 42930-2022 FSC-klagomål.docx", "A 42930-2022")</f>
        <v/>
      </c>
      <c r="AB150">
        <f>HYPERLINK("https://klasma.github.io/Logging_0760/klagomålsmail/A 42930-2022 FSC-klagomål mail.docx", "A 42930-2022")</f>
        <v/>
      </c>
      <c r="AC150">
        <f>HYPERLINK("https://klasma.github.io/Logging_0760/tillsyn/A 42930-2022 tillsynsbegäran.docx", "A 42930-2022")</f>
        <v/>
      </c>
      <c r="AD150">
        <f>HYPERLINK("https://klasma.github.io/Logging_0760/tillsynsmail/A 42930-2022 tillsynsbegäran mail.docx", "A 42930-2022")</f>
        <v/>
      </c>
    </row>
    <row r="151" ht="15" customHeight="1">
      <c r="A151" t="inlineStr">
        <is>
          <t>A 69689-2021</t>
        </is>
      </c>
      <c r="B151" t="inlineStr">
        <is>
          <t>avverkningsanmälan</t>
        </is>
      </c>
      <c r="C151" t="inlineStr">
        <is>
          <t>Föryngringsavverkning</t>
        </is>
      </c>
      <c r="D151" s="1" t="n">
        <v>44532</v>
      </c>
      <c r="E151" s="1" t="n">
        <v>46316</v>
      </c>
      <c r="F151" t="inlineStr">
        <is>
          <t>KRONOBERGS LÄN</t>
        </is>
      </c>
      <c r="G151" t="inlineStr">
        <is>
          <t>VÄXJÖ</t>
        </is>
      </c>
      <c r="H151" t="inlineStr">
        <is>
          <t>Övriga statliga verk och myndigheter</t>
        </is>
      </c>
      <c r="I151" t="n">
        <v>2.7</v>
      </c>
      <c r="J151" t="n">
        <v>2</v>
      </c>
      <c r="K151" t="n">
        <v>0</v>
      </c>
      <c r="L151" t="n">
        <v>1</v>
      </c>
      <c r="M151" t="n">
        <v>0</v>
      </c>
      <c r="N151" t="n">
        <v>0</v>
      </c>
      <c r="O151" t="n">
        <v>0</v>
      </c>
      <c r="P151" t="n">
        <v>0</v>
      </c>
      <c r="Q151" t="n">
        <v>1</v>
      </c>
      <c r="R151" t="n">
        <v>0</v>
      </c>
      <c r="S151" t="n">
        <v>2</v>
      </c>
      <c r="T151" t="n">
        <v>2</v>
      </c>
      <c r="U151" t="n">
        <v>1</v>
      </c>
      <c r="V151" s="2" t="inlineStr">
        <is>
          <t>Talltita
Hasselmus</t>
        </is>
      </c>
      <c r="W151">
        <f>HYPERLINK("https://klasma.github.io/Logging_0780/artfynd/A 69689-2021 artfynd.xlsx", "A 69689-2021")</f>
        <v/>
      </c>
      <c r="X151">
        <f>HYPERLINK("https://klasma.github.io/Logging_0780/kartor/A 69689-2021 karta.png", "A 69689-2021")</f>
        <v/>
      </c>
      <c r="Y151">
        <f>HYPERLINK("https://klasma.github.io/Logging_0780/kartor_geotiff/A 69689-2021 georefererad karta.tif", "A 69689-2021")</f>
        <v/>
      </c>
      <c r="AA151">
        <f>HYPERLINK("https://klasma.github.io/Logging_0780/klagomål/A 69689-2021 FSC-klagomål.docx", "A 69689-2021")</f>
        <v/>
      </c>
      <c r="AB151">
        <f>HYPERLINK("https://klasma.github.io/Logging_0780/klagomålsmail/A 69689-2021 FSC-klagomål mail.docx", "A 69689-2021")</f>
        <v/>
      </c>
      <c r="AC151">
        <f>HYPERLINK("https://klasma.github.io/Logging_0780/tillsyn/A 69689-2021 tillsynsbegäran.docx", "A 69689-2021")</f>
        <v/>
      </c>
      <c r="AD151">
        <f>HYPERLINK("https://klasma.github.io/Logging_0780/tillsynsmail/A 69689-2021 tillsynsbegäran mail.docx", "A 69689-2021")</f>
        <v/>
      </c>
      <c r="AE151">
        <f>HYPERLINK("https://klasma.github.io/Logging_0780/fåglar/A 69689-2021 prioriterade fågelarter.docx", "A 69689-2021")</f>
        <v/>
      </c>
    </row>
    <row r="152" ht="15" customHeight="1">
      <c r="A152" t="inlineStr">
        <is>
          <t>A 1811-2025</t>
        </is>
      </c>
      <c r="B152" t="inlineStr">
        <is>
          <t>avverkningsanmälan</t>
        </is>
      </c>
      <c r="C152" t="inlineStr">
        <is>
          <t>Föryngringsavverkning</t>
        </is>
      </c>
      <c r="D152" s="1" t="n">
        <v>45670</v>
      </c>
      <c r="E152" s="1" t="n">
        <v>46316</v>
      </c>
      <c r="F152" t="inlineStr">
        <is>
          <t>KRONOBERGS LÄN</t>
        </is>
      </c>
      <c r="G152" t="inlineStr">
        <is>
          <t>ALVESTA</t>
        </is>
      </c>
      <c r="H152" t="inlineStr">
        <is>
          <t>Kyrkan</t>
        </is>
      </c>
      <c r="I152" t="n">
        <v>2.3</v>
      </c>
      <c r="J152" t="n">
        <v>1</v>
      </c>
      <c r="K152" t="n">
        <v>1</v>
      </c>
      <c r="L152" t="n">
        <v>0</v>
      </c>
      <c r="M152" t="n">
        <v>0</v>
      </c>
      <c r="N152" t="n">
        <v>0</v>
      </c>
      <c r="O152" t="n">
        <v>0</v>
      </c>
      <c r="P152" t="n">
        <v>0</v>
      </c>
      <c r="Q152" t="n">
        <v>0</v>
      </c>
      <c r="R152" t="n">
        <v>0</v>
      </c>
      <c r="S152" t="n">
        <v>2</v>
      </c>
      <c r="T152" t="n">
        <v>3</v>
      </c>
      <c r="U152" t="n">
        <v>3</v>
      </c>
      <c r="V152" s="2" t="inlineStr">
        <is>
          <t>Blomkålssvamp
Spillkråka</t>
        </is>
      </c>
      <c r="W152">
        <f>HYPERLINK("https://klasma.github.io/Logging_0764/artfynd/A 1811-2025 artfynd.xlsx", "A 1811-2025")</f>
        <v/>
      </c>
      <c r="X152">
        <f>HYPERLINK("https://klasma.github.io/Logging_0764/kartor/A 1811-2025 karta.png", "A 1811-2025")</f>
        <v/>
      </c>
      <c r="Y152">
        <f>HYPERLINK("https://klasma.github.io/Logging_0764/kartor_geotiff/A 1811-2025 georefererad karta.tif", "A 1811-2025")</f>
        <v/>
      </c>
      <c r="AA152">
        <f>HYPERLINK("https://klasma.github.io/Logging_0764/klagomål/A 1811-2025 FSC-klagomål.docx", "A 1811-2025")</f>
        <v/>
      </c>
      <c r="AB152">
        <f>HYPERLINK("https://klasma.github.io/Logging_0764/klagomålsmail/A 1811-2025 FSC-klagomål mail.docx", "A 1811-2025")</f>
        <v/>
      </c>
      <c r="AC152">
        <f>HYPERLINK("https://klasma.github.io/Logging_0764/tillsyn/A 1811-2025 tillsynsbegäran.docx", "A 1811-2025")</f>
        <v/>
      </c>
      <c r="AD152">
        <f>HYPERLINK("https://klasma.github.io/Logging_0764/tillsynsmail/A 1811-2025 tillsynsbegäran mail.docx", "A 1811-2025")</f>
        <v/>
      </c>
      <c r="AE152">
        <f>HYPERLINK("https://klasma.github.io/Logging_0764/fåglar/A 1811-2025 prioriterade fågelarter.docx", "A 1811-2025")</f>
        <v/>
      </c>
    </row>
    <row r="153" ht="15" customHeight="1">
      <c r="A153" t="inlineStr">
        <is>
          <t>A 32944-2024</t>
        </is>
      </c>
      <c r="B153" t="inlineStr">
        <is>
          <t>avverkningsanmälan</t>
        </is>
      </c>
      <c r="C153" t="inlineStr">
        <is>
          <t>Föryngringsavverkning</t>
        </is>
      </c>
      <c r="D153" s="1" t="n">
        <v>45517</v>
      </c>
      <c r="E153" s="1" t="n">
        <v>46316</v>
      </c>
      <c r="F153" t="inlineStr">
        <is>
          <t>KRONOBERGS LÄN</t>
        </is>
      </c>
      <c r="G153" t="inlineStr">
        <is>
          <t>UPPVIDINGE</t>
        </is>
      </c>
      <c r="I153" t="n">
        <v>7.9</v>
      </c>
      <c r="J153" t="n">
        <v>1</v>
      </c>
      <c r="K153" t="n">
        <v>1</v>
      </c>
      <c r="L153" t="n">
        <v>0</v>
      </c>
      <c r="M153" t="n">
        <v>0</v>
      </c>
      <c r="N153" t="n">
        <v>0</v>
      </c>
      <c r="O153" t="n">
        <v>0</v>
      </c>
      <c r="P153" t="n">
        <v>0</v>
      </c>
      <c r="Q153" t="n">
        <v>0</v>
      </c>
      <c r="R153" t="n">
        <v>0</v>
      </c>
      <c r="S153" t="n">
        <v>2</v>
      </c>
      <c r="T153" t="n">
        <v>3</v>
      </c>
      <c r="U153" t="n">
        <v>0</v>
      </c>
      <c r="V153" s="2" t="inlineStr">
        <is>
          <t>Blåmossa
Revlummer</t>
        </is>
      </c>
      <c r="W153">
        <f>HYPERLINK("https://klasma.github.io/Logging_0760/artfynd/A 32944-2024 artfynd.xlsx", "A 32944-2024")</f>
        <v/>
      </c>
      <c r="X153">
        <f>HYPERLINK("https://klasma.github.io/Logging_0760/kartor/A 32944-2024 karta.png", "A 32944-2024")</f>
        <v/>
      </c>
      <c r="Y153">
        <f>HYPERLINK("https://klasma.github.io/Logging_0760/kartor_geotiff/A 32944-2024 georefererad karta.tif", "A 32944-2024")</f>
        <v/>
      </c>
      <c r="AA153">
        <f>HYPERLINK("https://klasma.github.io/Logging_0760/klagomål/A 32944-2024 FSC-klagomål.docx", "A 32944-2024")</f>
        <v/>
      </c>
      <c r="AB153">
        <f>HYPERLINK("https://klasma.github.io/Logging_0760/klagomålsmail/A 32944-2024 FSC-klagomål mail.docx", "A 32944-2024")</f>
        <v/>
      </c>
      <c r="AC153">
        <f>HYPERLINK("https://klasma.github.io/Logging_0760/tillsyn/A 32944-2024 tillsynsbegäran.docx", "A 32944-2024")</f>
        <v/>
      </c>
      <c r="AD153">
        <f>HYPERLINK("https://klasma.github.io/Logging_0760/tillsynsmail/A 32944-2024 tillsynsbegäran mail.docx", "A 32944-2024")</f>
        <v/>
      </c>
    </row>
    <row r="154" ht="15" customHeight="1">
      <c r="A154" t="inlineStr">
        <is>
          <t>A 62862-2023</t>
        </is>
      </c>
      <c r="B154" t="inlineStr">
        <is>
          <t>avverkningsanmälan</t>
        </is>
      </c>
      <c r="C154" t="inlineStr">
        <is>
          <t>Avverkning för att bevara och utveckla /försöksver</t>
        </is>
      </c>
      <c r="D154" s="1" t="n">
        <v>45272</v>
      </c>
      <c r="E154" s="1" t="n">
        <v>46316</v>
      </c>
      <c r="F154" t="inlineStr">
        <is>
          <t>KRONOBERGS LÄN</t>
        </is>
      </c>
      <c r="G154" t="inlineStr">
        <is>
          <t>LJUNGBY</t>
        </is>
      </c>
      <c r="I154" t="n">
        <v>4.2</v>
      </c>
      <c r="J154" t="n">
        <v>0</v>
      </c>
      <c r="K154" t="n">
        <v>2</v>
      </c>
      <c r="L154" t="n">
        <v>0</v>
      </c>
      <c r="M154" t="n">
        <v>0</v>
      </c>
      <c r="N154" t="n">
        <v>0</v>
      </c>
      <c r="O154" t="n">
        <v>0</v>
      </c>
      <c r="P154" t="n">
        <v>0</v>
      </c>
      <c r="Q154" t="n">
        <v>0</v>
      </c>
      <c r="R154" t="n">
        <v>0</v>
      </c>
      <c r="S154" t="n">
        <v>2</v>
      </c>
      <c r="T154" t="n">
        <v>3</v>
      </c>
      <c r="U154" t="n">
        <v>0</v>
      </c>
      <c r="V154" s="2" t="inlineStr">
        <is>
          <t>Barkkornlav
Klippfrullania</t>
        </is>
      </c>
      <c r="W154">
        <f>HYPERLINK("https://klasma.github.io/Logging_0781/artfynd/A 62862-2023 artfynd.xlsx", "A 62862-2023")</f>
        <v/>
      </c>
      <c r="X154">
        <f>HYPERLINK("https://klasma.github.io/Logging_0781/kartor/A 62862-2023 karta.png", "A 62862-2023")</f>
        <v/>
      </c>
      <c r="Y154">
        <f>HYPERLINK("https://klasma.github.io/Logging_0781/kartor_geotiff/A 62862-2023 georefererad karta.tif", "A 62862-2023")</f>
        <v/>
      </c>
      <c r="AA154">
        <f>HYPERLINK("https://klasma.github.io/Logging_0781/klagomål/A 62862-2023 FSC-klagomål.docx", "A 62862-2023")</f>
        <v/>
      </c>
      <c r="AB154">
        <f>HYPERLINK("https://klasma.github.io/Logging_0781/klagomålsmail/A 62862-2023 FSC-klagomål mail.docx", "A 62862-2023")</f>
        <v/>
      </c>
      <c r="AC154">
        <f>HYPERLINK("https://klasma.github.io/Logging_0781/tillsyn/A 62862-2023 tillsynsbegäran.docx", "A 62862-2023")</f>
        <v/>
      </c>
      <c r="AD154">
        <f>HYPERLINK("https://klasma.github.io/Logging_0781/tillsynsmail/A 62862-2023 tillsynsbegäran mail.docx", "A 62862-2023")</f>
        <v/>
      </c>
    </row>
    <row r="155" ht="15" customHeight="1">
      <c r="A155" t="inlineStr">
        <is>
          <t>A 15743-2024</t>
        </is>
      </c>
      <c r="B155" t="inlineStr">
        <is>
          <t>avverkningsanmälan</t>
        </is>
      </c>
      <c r="C155" t="inlineStr">
        <is>
          <t>Föryngringsavverkning</t>
        </is>
      </c>
      <c r="D155" s="1" t="n">
        <v>45404</v>
      </c>
      <c r="E155" s="1" t="n">
        <v>46316</v>
      </c>
      <c r="F155" t="inlineStr">
        <is>
          <t>KRONOBERGS LÄN</t>
        </is>
      </c>
      <c r="G155" t="inlineStr">
        <is>
          <t>UPPVIDINGE</t>
        </is>
      </c>
      <c r="I155" t="n">
        <v>5.8</v>
      </c>
      <c r="J155" t="n">
        <v>1</v>
      </c>
      <c r="K155" t="n">
        <v>1</v>
      </c>
      <c r="L155" t="n">
        <v>0</v>
      </c>
      <c r="M155" t="n">
        <v>0</v>
      </c>
      <c r="N155" t="n">
        <v>0</v>
      </c>
      <c r="O155" t="n">
        <v>0</v>
      </c>
      <c r="P155" t="n">
        <v>0</v>
      </c>
      <c r="Q155" t="n">
        <v>0</v>
      </c>
      <c r="R155" t="n">
        <v>0</v>
      </c>
      <c r="S155" t="n">
        <v>2</v>
      </c>
      <c r="T155" t="n">
        <v>2</v>
      </c>
      <c r="U155" t="n">
        <v>2</v>
      </c>
      <c r="V155" s="2" t="inlineStr">
        <is>
          <t>Grönpyrola
Mattlummer</t>
        </is>
      </c>
      <c r="W155">
        <f>HYPERLINK("https://klasma.github.io/Logging_0760/artfynd/A 15743-2024 artfynd.xlsx", "A 15743-2024")</f>
        <v/>
      </c>
      <c r="X155">
        <f>HYPERLINK("https://klasma.github.io/Logging_0760/kartor/A 15743-2024 karta.png", "A 15743-2024")</f>
        <v/>
      </c>
      <c r="Y155">
        <f>HYPERLINK("https://klasma.github.io/Logging_0760/kartor_geotiff/A 15743-2024 georefererad karta.tif", "A 15743-2024")</f>
        <v/>
      </c>
      <c r="AA155">
        <f>HYPERLINK("https://klasma.github.io/Logging_0760/klagomål/A 15743-2024 FSC-klagomål.docx", "A 15743-2024")</f>
        <v/>
      </c>
      <c r="AB155">
        <f>HYPERLINK("https://klasma.github.io/Logging_0760/klagomålsmail/A 15743-2024 FSC-klagomål mail.docx", "A 15743-2024")</f>
        <v/>
      </c>
      <c r="AC155">
        <f>HYPERLINK("https://klasma.github.io/Logging_0760/tillsyn/A 15743-2024 tillsynsbegäran.docx", "A 15743-2024")</f>
        <v/>
      </c>
      <c r="AD155">
        <f>HYPERLINK("https://klasma.github.io/Logging_0760/tillsynsmail/A 15743-2024 tillsynsbegäran mail.docx", "A 15743-2024")</f>
        <v/>
      </c>
    </row>
    <row r="156" ht="15" customHeight="1">
      <c r="A156" t="inlineStr">
        <is>
          <t>A 55971-2022</t>
        </is>
      </c>
      <c r="B156" t="inlineStr">
        <is>
          <t>avverkningsanmälan</t>
        </is>
      </c>
      <c r="C156" t="inlineStr">
        <is>
          <t>Föryngringsavverkning</t>
        </is>
      </c>
      <c r="D156" s="1" t="n">
        <v>44889</v>
      </c>
      <c r="E156" s="1" t="n">
        <v>46316</v>
      </c>
      <c r="F156" t="inlineStr">
        <is>
          <t>KRONOBERGS LÄN</t>
        </is>
      </c>
      <c r="G156" t="inlineStr">
        <is>
          <t>ÄLMHULT</t>
        </is>
      </c>
      <c r="I156" t="n">
        <v>0.5</v>
      </c>
      <c r="J156" t="n">
        <v>2</v>
      </c>
      <c r="K156" t="n">
        <v>0</v>
      </c>
      <c r="L156" t="n">
        <v>1</v>
      </c>
      <c r="M156" t="n">
        <v>0</v>
      </c>
      <c r="N156" t="n">
        <v>0</v>
      </c>
      <c r="O156" t="n">
        <v>0</v>
      </c>
      <c r="P156" t="n">
        <v>0</v>
      </c>
      <c r="Q156" t="n">
        <v>1</v>
      </c>
      <c r="R156" t="n">
        <v>0</v>
      </c>
      <c r="S156" t="n">
        <v>2</v>
      </c>
      <c r="T156" t="n">
        <v>2</v>
      </c>
      <c r="U156" t="n">
        <v>2</v>
      </c>
      <c r="V156" s="2" t="inlineStr">
        <is>
          <t>Gulsparv
Trädlärka</t>
        </is>
      </c>
      <c r="W156">
        <f>HYPERLINK("https://klasma.github.io/Logging_0765/artfynd/A 55971-2022 artfynd.xlsx", "A 55971-2022")</f>
        <v/>
      </c>
      <c r="X156">
        <f>HYPERLINK("https://klasma.github.io/Logging_0765/kartor/A 55971-2022 karta.png", "A 55971-2022")</f>
        <v/>
      </c>
      <c r="Y156">
        <f>HYPERLINK("https://klasma.github.io/Logging_0765/kartor_geotiff/A 55971-2022 georefererad karta.tif", "A 55971-2022")</f>
        <v/>
      </c>
      <c r="AA156">
        <f>HYPERLINK("https://klasma.github.io/Logging_0765/klagomål/A 55971-2022 FSC-klagomål.docx", "A 55971-2022")</f>
        <v/>
      </c>
      <c r="AB156">
        <f>HYPERLINK("https://klasma.github.io/Logging_0765/klagomålsmail/A 55971-2022 FSC-klagomål mail.docx", "A 55971-2022")</f>
        <v/>
      </c>
      <c r="AC156">
        <f>HYPERLINK("https://klasma.github.io/Logging_0765/tillsyn/A 55971-2022 tillsynsbegäran.docx", "A 55971-2022")</f>
        <v/>
      </c>
      <c r="AD156">
        <f>HYPERLINK("https://klasma.github.io/Logging_0765/tillsynsmail/A 55971-2022 tillsynsbegäran mail.docx", "A 55971-2022")</f>
        <v/>
      </c>
      <c r="AE156">
        <f>HYPERLINK("https://klasma.github.io/Logging_0765/fåglar/A 55971-2022 prioriterade fågelarter.docx", "A 55971-2022")</f>
        <v/>
      </c>
    </row>
    <row r="157" ht="15" customHeight="1">
      <c r="A157" t="inlineStr">
        <is>
          <t>A 70221-2021</t>
        </is>
      </c>
      <c r="B157" t="inlineStr">
        <is>
          <t>avverkningsanmälan</t>
        </is>
      </c>
      <c r="C157" t="inlineStr">
        <is>
          <t>Föryngringsavverkning</t>
        </is>
      </c>
      <c r="D157" s="1" t="n">
        <v>44535</v>
      </c>
      <c r="E157" s="1" t="n">
        <v>46316</v>
      </c>
      <c r="F157" t="inlineStr">
        <is>
          <t>KRONOBERGS LÄN</t>
        </is>
      </c>
      <c r="G157" t="inlineStr">
        <is>
          <t>ALVESTA</t>
        </is>
      </c>
      <c r="I157" t="n">
        <v>1.1</v>
      </c>
      <c r="J157" t="n">
        <v>0</v>
      </c>
      <c r="K157" t="n">
        <v>1</v>
      </c>
      <c r="L157" t="n">
        <v>1</v>
      </c>
      <c r="M157" t="n">
        <v>0</v>
      </c>
      <c r="N157" t="n">
        <v>0</v>
      </c>
      <c r="O157" t="n">
        <v>0</v>
      </c>
      <c r="P157" t="n">
        <v>0</v>
      </c>
      <c r="Q157" t="n">
        <v>1</v>
      </c>
      <c r="R157" t="n">
        <v>0</v>
      </c>
      <c r="S157" t="n">
        <v>2</v>
      </c>
      <c r="T157" t="n">
        <v>2</v>
      </c>
      <c r="U157" t="n">
        <v>0</v>
      </c>
      <c r="V157" s="2" t="inlineStr">
        <is>
          <t>Brunpudrad nållav
Gulnål</t>
        </is>
      </c>
      <c r="W157">
        <f>HYPERLINK("https://klasma.github.io/Logging_0764/artfynd/A 70221-2021 artfynd.xlsx", "A 70221-2021")</f>
        <v/>
      </c>
      <c r="X157">
        <f>HYPERLINK("https://klasma.github.io/Logging_0764/kartor/A 70221-2021 karta.png", "A 70221-2021")</f>
        <v/>
      </c>
      <c r="Y157">
        <f>HYPERLINK("https://klasma.github.io/Logging_0764/kartor_geotiff/A 70221-2021 georefererad karta.tif", "A 70221-2021")</f>
        <v/>
      </c>
      <c r="AA157">
        <f>HYPERLINK("https://klasma.github.io/Logging_0764/klagomål/A 70221-2021 FSC-klagomål.docx", "A 70221-2021")</f>
        <v/>
      </c>
      <c r="AB157">
        <f>HYPERLINK("https://klasma.github.io/Logging_0764/klagomålsmail/A 70221-2021 FSC-klagomål mail.docx", "A 70221-2021")</f>
        <v/>
      </c>
      <c r="AC157">
        <f>HYPERLINK("https://klasma.github.io/Logging_0764/tillsyn/A 70221-2021 tillsynsbegäran.docx", "A 70221-2021")</f>
        <v/>
      </c>
      <c r="AD157">
        <f>HYPERLINK("https://klasma.github.io/Logging_0764/tillsynsmail/A 70221-2021 tillsynsbegäran mail.docx", "A 70221-2021")</f>
        <v/>
      </c>
    </row>
    <row r="158" ht="15" customHeight="1">
      <c r="A158" t="inlineStr">
        <is>
          <t>A 51447-2024</t>
        </is>
      </c>
      <c r="B158" t="inlineStr">
        <is>
          <t>avverkningsanmälan</t>
        </is>
      </c>
      <c r="C158" t="inlineStr">
        <is>
          <t>Föryngringsavverkning</t>
        </is>
      </c>
      <c r="D158" s="1" t="n">
        <v>45604</v>
      </c>
      <c r="E158" s="1" t="n">
        <v>46316</v>
      </c>
      <c r="F158" t="inlineStr">
        <is>
          <t>KRONOBERGS LÄN</t>
        </is>
      </c>
      <c r="G158" t="inlineStr">
        <is>
          <t>UPPVIDINGE</t>
        </is>
      </c>
      <c r="I158" t="n">
        <v>1.1</v>
      </c>
      <c r="J158" t="n">
        <v>1</v>
      </c>
      <c r="K158" t="n">
        <v>1</v>
      </c>
      <c r="L158" t="n">
        <v>0</v>
      </c>
      <c r="M158" t="n">
        <v>0</v>
      </c>
      <c r="N158" t="n">
        <v>0</v>
      </c>
      <c r="O158" t="n">
        <v>0</v>
      </c>
      <c r="P158" t="n">
        <v>0</v>
      </c>
      <c r="Q158" t="n">
        <v>0</v>
      </c>
      <c r="R158" t="n">
        <v>0</v>
      </c>
      <c r="S158" t="n">
        <v>2</v>
      </c>
      <c r="T158" t="n">
        <v>2</v>
      </c>
      <c r="U158" t="n">
        <v>2</v>
      </c>
      <c r="V158" s="2" t="inlineStr">
        <is>
          <t>Trådticka
Tjäder</t>
        </is>
      </c>
      <c r="W158">
        <f>HYPERLINK("https://klasma.github.io/Logging_0760/artfynd/A 51447-2024 artfynd.xlsx", "A 51447-2024")</f>
        <v/>
      </c>
      <c r="X158">
        <f>HYPERLINK("https://klasma.github.io/Logging_0760/kartor/A 51447-2024 karta.png", "A 51447-2024")</f>
        <v/>
      </c>
      <c r="Y158">
        <f>HYPERLINK("https://klasma.github.io/Logging_0760/kartor_geotiff/A 51447-2024 georefererad karta.tif", "A 51447-2024")</f>
        <v/>
      </c>
      <c r="AA158">
        <f>HYPERLINK("https://klasma.github.io/Logging_0760/klagomål/A 51447-2024 FSC-klagomål.docx", "A 51447-2024")</f>
        <v/>
      </c>
      <c r="AB158">
        <f>HYPERLINK("https://klasma.github.io/Logging_0760/klagomålsmail/A 51447-2024 FSC-klagomål mail.docx", "A 51447-2024")</f>
        <v/>
      </c>
      <c r="AC158">
        <f>HYPERLINK("https://klasma.github.io/Logging_0760/tillsyn/A 51447-2024 tillsynsbegäran.docx", "A 51447-2024")</f>
        <v/>
      </c>
      <c r="AD158">
        <f>HYPERLINK("https://klasma.github.io/Logging_0760/tillsynsmail/A 51447-2024 tillsynsbegäran mail.docx", "A 51447-2024")</f>
        <v/>
      </c>
      <c r="AE158">
        <f>HYPERLINK("https://klasma.github.io/Logging_0760/fåglar/A 51447-2024 prioriterade fågelarter.docx", "A 51447-2024")</f>
        <v/>
      </c>
    </row>
    <row r="159" ht="15" customHeight="1">
      <c r="A159" t="inlineStr">
        <is>
          <t>A 45510-2023</t>
        </is>
      </c>
      <c r="B159" t="inlineStr">
        <is>
          <t>avverkningsanmälan</t>
        </is>
      </c>
      <c r="C159" t="inlineStr">
        <is>
          <t>Föryngringsavverkning</t>
        </is>
      </c>
      <c r="D159" s="1" t="n">
        <v>45194</v>
      </c>
      <c r="E159" s="1" t="n">
        <v>46316</v>
      </c>
      <c r="F159" t="inlineStr">
        <is>
          <t>KRONOBERGS LÄN</t>
        </is>
      </c>
      <c r="G159" t="inlineStr">
        <is>
          <t>LJUNGBY</t>
        </is>
      </c>
      <c r="I159" t="n">
        <v>1.9</v>
      </c>
      <c r="J159" t="n">
        <v>0</v>
      </c>
      <c r="K159" t="n">
        <v>2</v>
      </c>
      <c r="L159" t="n">
        <v>0</v>
      </c>
      <c r="M159" t="n">
        <v>0</v>
      </c>
      <c r="N159" t="n">
        <v>0</v>
      </c>
      <c r="O159" t="n">
        <v>0</v>
      </c>
      <c r="P159" t="n">
        <v>0</v>
      </c>
      <c r="Q159" t="n">
        <v>0</v>
      </c>
      <c r="R159" t="n">
        <v>0</v>
      </c>
      <c r="S159" t="n">
        <v>2</v>
      </c>
      <c r="T159" t="n">
        <v>3</v>
      </c>
      <c r="U159" t="n">
        <v>0</v>
      </c>
      <c r="V159" s="2" t="inlineStr">
        <is>
          <t>Fällmossa
Klippfrullania</t>
        </is>
      </c>
      <c r="W159">
        <f>HYPERLINK("https://klasma.github.io/Logging_0781/artfynd/A 45510-2023 artfynd.xlsx", "A 45510-2023")</f>
        <v/>
      </c>
      <c r="X159">
        <f>HYPERLINK("https://klasma.github.io/Logging_0781/kartor/A 45510-2023 karta.png", "A 45510-2023")</f>
        <v/>
      </c>
      <c r="Y159">
        <f>HYPERLINK("https://klasma.github.io/Logging_0781/kartor_geotiff/A 45510-2023 georefererad karta.tif", "A 45510-2023")</f>
        <v/>
      </c>
      <c r="AA159">
        <f>HYPERLINK("https://klasma.github.io/Logging_0781/klagomål/A 45510-2023 FSC-klagomål.docx", "A 45510-2023")</f>
        <v/>
      </c>
      <c r="AB159">
        <f>HYPERLINK("https://klasma.github.io/Logging_0781/klagomålsmail/A 45510-2023 FSC-klagomål mail.docx", "A 45510-2023")</f>
        <v/>
      </c>
      <c r="AC159">
        <f>HYPERLINK("https://klasma.github.io/Logging_0781/tillsyn/A 45510-2023 tillsynsbegäran.docx", "A 45510-2023")</f>
        <v/>
      </c>
      <c r="AD159">
        <f>HYPERLINK("https://klasma.github.io/Logging_0781/tillsynsmail/A 45510-2023 tillsynsbegäran mail.docx", "A 45510-2023")</f>
        <v/>
      </c>
    </row>
    <row r="160" ht="15" customHeight="1">
      <c r="A160" t="inlineStr">
        <is>
          <t>A 24031-2023</t>
        </is>
      </c>
      <c r="B160" t="inlineStr">
        <is>
          <t>avverkningsanmälan</t>
        </is>
      </c>
      <c r="C160" t="inlineStr">
        <is>
          <t>Föryngringsavverkning</t>
        </is>
      </c>
      <c r="D160" s="1" t="n">
        <v>45078</v>
      </c>
      <c r="E160" s="1" t="n">
        <v>46316</v>
      </c>
      <c r="F160" t="inlineStr">
        <is>
          <t>KRONOBERGS LÄN</t>
        </is>
      </c>
      <c r="G160" t="inlineStr">
        <is>
          <t>LJUNGBY</t>
        </is>
      </c>
      <c r="I160" t="n">
        <v>3.3</v>
      </c>
      <c r="J160" t="n">
        <v>0</v>
      </c>
      <c r="K160" t="n">
        <v>2</v>
      </c>
      <c r="L160" t="n">
        <v>0</v>
      </c>
      <c r="M160" t="n">
        <v>0</v>
      </c>
      <c r="N160" t="n">
        <v>0</v>
      </c>
      <c r="O160" t="n">
        <v>0</v>
      </c>
      <c r="P160" t="n">
        <v>0</v>
      </c>
      <c r="Q160" t="n">
        <v>0</v>
      </c>
      <c r="R160" t="n">
        <v>0</v>
      </c>
      <c r="S160" t="n">
        <v>2</v>
      </c>
      <c r="T160" t="n">
        <v>3</v>
      </c>
      <c r="U160" t="n">
        <v>0</v>
      </c>
      <c r="V160" s="2" t="inlineStr">
        <is>
          <t>Fällmossa
Klippfrullania</t>
        </is>
      </c>
      <c r="W160">
        <f>HYPERLINK("https://klasma.github.io/Logging_0781/artfynd/A 24031-2023 artfynd.xlsx", "A 24031-2023")</f>
        <v/>
      </c>
      <c r="X160">
        <f>HYPERLINK("https://klasma.github.io/Logging_0781/kartor/A 24031-2023 karta.png", "A 24031-2023")</f>
        <v/>
      </c>
      <c r="Y160">
        <f>HYPERLINK("https://klasma.github.io/Logging_0781/kartor_geotiff/A 24031-2023 georefererad karta.tif", "A 24031-2023")</f>
        <v/>
      </c>
      <c r="AA160">
        <f>HYPERLINK("https://klasma.github.io/Logging_0781/klagomål/A 24031-2023 FSC-klagomål.docx", "A 24031-2023")</f>
        <v/>
      </c>
      <c r="AB160">
        <f>HYPERLINK("https://klasma.github.io/Logging_0781/klagomålsmail/A 24031-2023 FSC-klagomål mail.docx", "A 24031-2023")</f>
        <v/>
      </c>
      <c r="AC160">
        <f>HYPERLINK("https://klasma.github.io/Logging_0781/tillsyn/A 24031-2023 tillsynsbegäran.docx", "A 24031-2023")</f>
        <v/>
      </c>
      <c r="AD160">
        <f>HYPERLINK("https://klasma.github.io/Logging_0781/tillsynsmail/A 24031-2023 tillsynsbegäran mail.docx", "A 24031-2023")</f>
        <v/>
      </c>
    </row>
    <row r="161" ht="15" customHeight="1">
      <c r="A161" t="inlineStr">
        <is>
          <t>A 28801-2025</t>
        </is>
      </c>
      <c r="B161" t="inlineStr">
        <is>
          <t>avverkningsanmälan</t>
        </is>
      </c>
      <c r="C161" t="inlineStr">
        <is>
          <t>Föryngringsavverkning</t>
        </is>
      </c>
      <c r="D161" s="1" t="n">
        <v>45820</v>
      </c>
      <c r="E161" s="1" t="n">
        <v>46316</v>
      </c>
      <c r="F161" t="inlineStr">
        <is>
          <t>KRONOBERGS LÄN</t>
        </is>
      </c>
      <c r="G161" t="inlineStr">
        <is>
          <t>VÄXJÖ</t>
        </is>
      </c>
      <c r="I161" t="n">
        <v>4</v>
      </c>
      <c r="J161" t="n">
        <v>2</v>
      </c>
      <c r="K161" t="n">
        <v>0</v>
      </c>
      <c r="L161" t="n">
        <v>0</v>
      </c>
      <c r="M161" t="n">
        <v>0</v>
      </c>
      <c r="N161" t="n">
        <v>0</v>
      </c>
      <c r="O161" t="n">
        <v>0</v>
      </c>
      <c r="P161" t="n">
        <v>0</v>
      </c>
      <c r="Q161" t="n">
        <v>0</v>
      </c>
      <c r="R161" t="n">
        <v>0</v>
      </c>
      <c r="S161" t="n">
        <v>2</v>
      </c>
      <c r="T161" t="n">
        <v>2</v>
      </c>
      <c r="U161" t="n">
        <v>2</v>
      </c>
      <c r="V161" s="2" t="inlineStr">
        <is>
          <t>Tofsmes
Orre</t>
        </is>
      </c>
      <c r="W161">
        <f>HYPERLINK("https://klasma.github.io/Logging_0780/artfynd/A 28801-2025 artfynd.xlsx", "A 28801-2025")</f>
        <v/>
      </c>
      <c r="X161">
        <f>HYPERLINK("https://klasma.github.io/Logging_0780/kartor/A 28801-2025 karta.png", "A 28801-2025")</f>
        <v/>
      </c>
      <c r="Y161">
        <f>HYPERLINK("https://klasma.github.io/Logging_0780/kartor_geotiff/A 28801-2025 georefererad karta.tif", "A 28801-2025")</f>
        <v/>
      </c>
      <c r="AA161">
        <f>HYPERLINK("https://klasma.github.io/Logging_0780/klagomål/A 28801-2025 FSC-klagomål.docx", "A 28801-2025")</f>
        <v/>
      </c>
      <c r="AB161">
        <f>HYPERLINK("https://klasma.github.io/Logging_0780/klagomålsmail/A 28801-2025 FSC-klagomål mail.docx", "A 28801-2025")</f>
        <v/>
      </c>
      <c r="AC161">
        <f>HYPERLINK("https://klasma.github.io/Logging_0780/tillsyn/A 28801-2025 tillsynsbegäran.docx", "A 28801-2025")</f>
        <v/>
      </c>
      <c r="AD161">
        <f>HYPERLINK("https://klasma.github.io/Logging_0780/tillsynsmail/A 28801-2025 tillsynsbegäran mail.docx", "A 28801-2025")</f>
        <v/>
      </c>
      <c r="AE161">
        <f>HYPERLINK("https://klasma.github.io/Logging_0780/fåglar/A 28801-2025 prioriterade fågelarter.docx", "A 28801-2025")</f>
        <v/>
      </c>
    </row>
    <row r="162" ht="15" customHeight="1">
      <c r="A162" t="inlineStr">
        <is>
          <t>A 51195-2023</t>
        </is>
      </c>
      <c r="B162" t="inlineStr">
        <is>
          <t>avverkningsanmälan</t>
        </is>
      </c>
      <c r="C162" t="inlineStr">
        <is>
          <t>Föryngringsavverkning</t>
        </is>
      </c>
      <c r="D162" s="1" t="n">
        <v>45219</v>
      </c>
      <c r="E162" s="1" t="n">
        <v>46316</v>
      </c>
      <c r="F162" t="inlineStr">
        <is>
          <t>KRONOBERGS LÄN</t>
        </is>
      </c>
      <c r="G162" t="inlineStr">
        <is>
          <t>MARKARYD</t>
        </is>
      </c>
      <c r="I162" t="n">
        <v>1.6</v>
      </c>
      <c r="J162" t="n">
        <v>1</v>
      </c>
      <c r="K162" t="n">
        <v>1</v>
      </c>
      <c r="L162" t="n">
        <v>1</v>
      </c>
      <c r="M162" t="n">
        <v>0</v>
      </c>
      <c r="N162" t="n">
        <v>0</v>
      </c>
      <c r="O162" t="n">
        <v>0</v>
      </c>
      <c r="P162" t="n">
        <v>0</v>
      </c>
      <c r="Q162" t="n">
        <v>1</v>
      </c>
      <c r="R162" t="n">
        <v>0</v>
      </c>
      <c r="S162" t="n">
        <v>2</v>
      </c>
      <c r="T162" t="n">
        <v>2</v>
      </c>
      <c r="U162" t="n">
        <v>2</v>
      </c>
      <c r="V162" s="2" t="inlineStr">
        <is>
          <t>Jungfrulin
Spindelblomster</t>
        </is>
      </c>
      <c r="W162">
        <f>HYPERLINK("https://klasma.github.io/Logging_0767/artfynd/A 51195-2023 artfynd.xlsx", "A 51195-2023")</f>
        <v/>
      </c>
      <c r="X162">
        <f>HYPERLINK("https://klasma.github.io/Logging_0767/kartor/A 51195-2023 karta.png", "A 51195-2023")</f>
        <v/>
      </c>
      <c r="Y162">
        <f>HYPERLINK("https://klasma.github.io/Logging_0767/kartor_geotiff/A 51195-2023 georefererad karta.tif", "A 51195-2023")</f>
        <v/>
      </c>
      <c r="AA162">
        <f>HYPERLINK("https://klasma.github.io/Logging_0767/klagomål/A 51195-2023 FSC-klagomål.docx", "A 51195-2023")</f>
        <v/>
      </c>
      <c r="AB162">
        <f>HYPERLINK("https://klasma.github.io/Logging_0767/klagomålsmail/A 51195-2023 FSC-klagomål mail.docx", "A 51195-2023")</f>
        <v/>
      </c>
      <c r="AC162">
        <f>HYPERLINK("https://klasma.github.io/Logging_0767/tillsyn/A 51195-2023 tillsynsbegäran.docx", "A 51195-2023")</f>
        <v/>
      </c>
      <c r="AD162">
        <f>HYPERLINK("https://klasma.github.io/Logging_0767/tillsynsmail/A 51195-2023 tillsynsbegäran mail.docx", "A 51195-2023")</f>
        <v/>
      </c>
    </row>
    <row r="163" ht="15" customHeight="1">
      <c r="A163" t="inlineStr">
        <is>
          <t>A 5344-2026</t>
        </is>
      </c>
      <c r="B163" t="inlineStr">
        <is>
          <t>avverkningsanmälan</t>
        </is>
      </c>
      <c r="C163" t="inlineStr">
        <is>
          <t>Avverkning för att bevara och utveckla /försöksver</t>
        </is>
      </c>
      <c r="D163" s="1" t="n">
        <v>46050</v>
      </c>
      <c r="E163" s="1" t="n">
        <v>46316</v>
      </c>
      <c r="F163" t="inlineStr">
        <is>
          <t>KRONOBERGS LÄN</t>
        </is>
      </c>
      <c r="G163" t="inlineStr">
        <is>
          <t>TINGSRYD</t>
        </is>
      </c>
      <c r="I163" t="n">
        <v>2.5</v>
      </c>
      <c r="J163" t="n">
        <v>0</v>
      </c>
      <c r="K163" t="n">
        <v>2</v>
      </c>
      <c r="L163" t="n">
        <v>0</v>
      </c>
      <c r="M163" t="n">
        <v>0</v>
      </c>
      <c r="N163" t="n">
        <v>0</v>
      </c>
      <c r="O163" t="n">
        <v>0</v>
      </c>
      <c r="P163" t="n">
        <v>0</v>
      </c>
      <c r="Q163" t="n">
        <v>0</v>
      </c>
      <c r="R163" t="n">
        <v>0</v>
      </c>
      <c r="S163" t="n">
        <v>2</v>
      </c>
      <c r="T163" t="n">
        <v>2</v>
      </c>
      <c r="U163" t="n">
        <v>0</v>
      </c>
      <c r="V163" s="2" t="inlineStr">
        <is>
          <t>Svart trolldruva
Underviol</t>
        </is>
      </c>
      <c r="W163">
        <f>HYPERLINK("https://klasma.github.io/Logging_0763/artfynd/A 5344-2026 artfynd.xlsx", "A 5344-2026")</f>
        <v/>
      </c>
      <c r="X163">
        <f>HYPERLINK("https://klasma.github.io/Logging_0763/kartor/A 5344-2026 karta.png", "A 5344-2026")</f>
        <v/>
      </c>
      <c r="Y163">
        <f>HYPERLINK("https://klasma.github.io/Logging_0763/kartor_geotiff/A 5344-2026 georefererad karta.tif", "A 5344-2026")</f>
        <v/>
      </c>
      <c r="AA163">
        <f>HYPERLINK("https://klasma.github.io/Logging_0763/klagomål/A 5344-2026 FSC-klagomål.docx", "A 5344-2026")</f>
        <v/>
      </c>
      <c r="AB163">
        <f>HYPERLINK("https://klasma.github.io/Logging_0763/klagomålsmail/A 5344-2026 FSC-klagomål mail.docx", "A 5344-2026")</f>
        <v/>
      </c>
      <c r="AC163">
        <f>HYPERLINK("https://klasma.github.io/Logging_0763/tillsyn/A 5344-2026 tillsynsbegäran.docx", "A 5344-2026")</f>
        <v/>
      </c>
      <c r="AD163">
        <f>HYPERLINK("https://klasma.github.io/Logging_0763/tillsynsmail/A 5344-2026 tillsynsbegäran mail.docx", "A 5344-2026")</f>
        <v/>
      </c>
    </row>
    <row r="164" ht="15" customHeight="1">
      <c r="A164" t="inlineStr">
        <is>
          <t>A 5721-2026</t>
        </is>
      </c>
      <c r="B164" t="inlineStr">
        <is>
          <t>avverkningsanmälan</t>
        </is>
      </c>
      <c r="C164" t="inlineStr">
        <is>
          <t>Avverkning för annat ändamål</t>
        </is>
      </c>
      <c r="D164" s="1" t="n">
        <v>46051</v>
      </c>
      <c r="E164" s="1" t="n">
        <v>46316</v>
      </c>
      <c r="F164" t="inlineStr">
        <is>
          <t>KRONOBERGS LÄN</t>
        </is>
      </c>
      <c r="G164" t="inlineStr">
        <is>
          <t>UPPVIDINGE</t>
        </is>
      </c>
      <c r="I164" t="n">
        <v>2.6</v>
      </c>
      <c r="J164" t="n">
        <v>0</v>
      </c>
      <c r="K164" t="n">
        <v>0</v>
      </c>
      <c r="L164" t="n">
        <v>2</v>
      </c>
      <c r="M164" t="n">
        <v>0</v>
      </c>
      <c r="N164" t="n">
        <v>0</v>
      </c>
      <c r="O164" t="n">
        <v>0</v>
      </c>
      <c r="P164" t="n">
        <v>0</v>
      </c>
      <c r="Q164" t="n">
        <v>2</v>
      </c>
      <c r="R164" t="n">
        <v>0</v>
      </c>
      <c r="S164" t="n">
        <v>2</v>
      </c>
      <c r="T164" t="n">
        <v>2</v>
      </c>
      <c r="U164" t="n">
        <v>0</v>
      </c>
      <c r="V164" s="2" t="inlineStr">
        <is>
          <t>Solvända
Sommarfibbla</t>
        </is>
      </c>
      <c r="W164">
        <f>HYPERLINK("https://klasma.github.io/Logging_0760/artfynd/A 5721-2026 artfynd.xlsx", "A 5721-2026")</f>
        <v/>
      </c>
      <c r="X164">
        <f>HYPERLINK("https://klasma.github.io/Logging_0760/kartor/A 5721-2026 karta.png", "A 5721-2026")</f>
        <v/>
      </c>
      <c r="Y164">
        <f>HYPERLINK("https://klasma.github.io/Logging_0760/kartor_geotiff/A 5721-2026 georefererad karta.tif", "A 5721-2026")</f>
        <v/>
      </c>
      <c r="AA164">
        <f>HYPERLINK("https://klasma.github.io/Logging_0760/klagomål/A 5721-2026 FSC-klagomål.docx", "A 5721-2026")</f>
        <v/>
      </c>
      <c r="AB164">
        <f>HYPERLINK("https://klasma.github.io/Logging_0760/klagomålsmail/A 5721-2026 FSC-klagomål mail.docx", "A 5721-2026")</f>
        <v/>
      </c>
      <c r="AC164">
        <f>HYPERLINK("https://klasma.github.io/Logging_0760/tillsyn/A 5721-2026 tillsynsbegäran.docx", "A 5721-2026")</f>
        <v/>
      </c>
      <c r="AD164">
        <f>HYPERLINK("https://klasma.github.io/Logging_0760/tillsynsmail/A 5721-2026 tillsynsbegäran mail.docx", "A 5721-2026")</f>
        <v/>
      </c>
    </row>
    <row r="165" ht="15" customHeight="1">
      <c r="A165" t="inlineStr">
        <is>
          <t>A 30330-2025</t>
        </is>
      </c>
      <c r="B165" t="inlineStr">
        <is>
          <t>avverkningsanmälan</t>
        </is>
      </c>
      <c r="C165" t="inlineStr">
        <is>
          <t>Föryngringsavverkning</t>
        </is>
      </c>
      <c r="D165" s="1" t="n">
        <v>45827</v>
      </c>
      <c r="E165" s="1" t="n">
        <v>46316</v>
      </c>
      <c r="F165" t="inlineStr">
        <is>
          <t>KRONOBERGS LÄN</t>
        </is>
      </c>
      <c r="G165" t="inlineStr">
        <is>
          <t>TINGSRYD</t>
        </is>
      </c>
      <c r="H165" t="inlineStr">
        <is>
          <t>Kommuner</t>
        </is>
      </c>
      <c r="I165" t="n">
        <v>1.8</v>
      </c>
      <c r="J165" t="n">
        <v>0</v>
      </c>
      <c r="K165" t="n">
        <v>1</v>
      </c>
      <c r="L165" t="n">
        <v>1</v>
      </c>
      <c r="M165" t="n">
        <v>0</v>
      </c>
      <c r="N165" t="n">
        <v>0</v>
      </c>
      <c r="O165" t="n">
        <v>0</v>
      </c>
      <c r="P165" t="n">
        <v>0</v>
      </c>
      <c r="Q165" t="n">
        <v>1</v>
      </c>
      <c r="R165" t="n">
        <v>0</v>
      </c>
      <c r="S165" t="n">
        <v>2</v>
      </c>
      <c r="T165" t="n">
        <v>2</v>
      </c>
      <c r="U165" t="n">
        <v>0</v>
      </c>
      <c r="V165" s="2" t="inlineStr">
        <is>
          <t>Vårstarr
Västlig hakmossa</t>
        </is>
      </c>
      <c r="W165">
        <f>HYPERLINK("https://klasma.github.io/Logging_0763/artfynd/A 30330-2025 artfynd.xlsx", "A 30330-2025")</f>
        <v/>
      </c>
      <c r="X165">
        <f>HYPERLINK("https://klasma.github.io/Logging_0763/kartor/A 30330-2025 karta.png", "A 30330-2025")</f>
        <v/>
      </c>
      <c r="Y165">
        <f>HYPERLINK("https://klasma.github.io/Logging_0763/kartor_geotiff/A 30330-2025 georefererad karta.tif", "A 30330-2025")</f>
        <v/>
      </c>
      <c r="AA165">
        <f>HYPERLINK("https://klasma.github.io/Logging_0763/klagomål/A 30330-2025 FSC-klagomål.docx", "A 30330-2025")</f>
        <v/>
      </c>
      <c r="AB165">
        <f>HYPERLINK("https://klasma.github.io/Logging_0763/klagomålsmail/A 30330-2025 FSC-klagomål mail.docx", "A 30330-2025")</f>
        <v/>
      </c>
      <c r="AC165">
        <f>HYPERLINK("https://klasma.github.io/Logging_0763/tillsyn/A 30330-2025 tillsynsbegäran.docx", "A 30330-2025")</f>
        <v/>
      </c>
      <c r="AD165">
        <f>HYPERLINK("https://klasma.github.io/Logging_0763/tillsynsmail/A 30330-2025 tillsynsbegäran mail.docx", "A 30330-2025")</f>
        <v/>
      </c>
    </row>
    <row r="166" ht="15" customHeight="1">
      <c r="A166" t="inlineStr">
        <is>
          <t>A 51785-2025</t>
        </is>
      </c>
      <c r="B166" t="inlineStr">
        <is>
          <t>avverkningsanmälan</t>
        </is>
      </c>
      <c r="C166" t="inlineStr">
        <is>
          <t>Föryngringsavverkning</t>
        </is>
      </c>
      <c r="D166" s="1" t="n">
        <v>45951</v>
      </c>
      <c r="E166" s="1" t="n">
        <v>46316</v>
      </c>
      <c r="F166" t="inlineStr">
        <is>
          <t>KRONOBERGS LÄN</t>
        </is>
      </c>
      <c r="G166" t="inlineStr">
        <is>
          <t>ALVESTA</t>
        </is>
      </c>
      <c r="I166" t="n">
        <v>24.5</v>
      </c>
      <c r="J166" t="n">
        <v>1</v>
      </c>
      <c r="K166" t="n">
        <v>0</v>
      </c>
      <c r="L166" t="n">
        <v>1</v>
      </c>
      <c r="M166" t="n">
        <v>0</v>
      </c>
      <c r="N166" t="n">
        <v>0</v>
      </c>
      <c r="O166" t="n">
        <v>0</v>
      </c>
      <c r="P166" t="n">
        <v>0</v>
      </c>
      <c r="Q166" t="n">
        <v>1</v>
      </c>
      <c r="R166" t="n">
        <v>0</v>
      </c>
      <c r="S166" t="n">
        <v>2</v>
      </c>
      <c r="T166" t="n">
        <v>2</v>
      </c>
      <c r="U166" t="n">
        <v>0</v>
      </c>
      <c r="V166" s="2" t="inlineStr">
        <is>
          <t>Borsttåg
Lopplummer (aggregat)</t>
        </is>
      </c>
      <c r="W166">
        <f>HYPERLINK("https://klasma.github.io/Logging_0764/artfynd/A 51785-2025 artfynd.xlsx", "A 51785-2025")</f>
        <v/>
      </c>
      <c r="X166">
        <f>HYPERLINK("https://klasma.github.io/Logging_0764/kartor/A 51785-2025 karta.png", "A 51785-2025")</f>
        <v/>
      </c>
      <c r="Y166">
        <f>HYPERLINK("https://klasma.github.io/Logging_0764/kartor_geotiff/A 51785-2025 georefererad karta.tif", "A 51785-2025")</f>
        <v/>
      </c>
      <c r="AA166">
        <f>HYPERLINK("https://klasma.github.io/Logging_0764/klagomål/A 51785-2025 FSC-klagomål.docx", "A 51785-2025")</f>
        <v/>
      </c>
      <c r="AB166">
        <f>HYPERLINK("https://klasma.github.io/Logging_0764/klagomålsmail/A 51785-2025 FSC-klagomål mail.docx", "A 51785-2025")</f>
        <v/>
      </c>
      <c r="AC166">
        <f>HYPERLINK("https://klasma.github.io/Logging_0764/tillsyn/A 51785-2025 tillsynsbegäran.docx", "A 51785-2025")</f>
        <v/>
      </c>
      <c r="AD166">
        <f>HYPERLINK("https://klasma.github.io/Logging_0764/tillsynsmail/A 51785-2025 tillsynsbegäran mail.docx", "A 51785-2025")</f>
        <v/>
      </c>
    </row>
    <row r="167" ht="15" customHeight="1">
      <c r="A167" t="inlineStr">
        <is>
          <t>A 24024-2023</t>
        </is>
      </c>
      <c r="B167" t="inlineStr">
        <is>
          <t>avverkningsanmälan</t>
        </is>
      </c>
      <c r="C167" t="inlineStr">
        <is>
          <t>Föryngringsavverkning</t>
        </is>
      </c>
      <c r="D167" s="1" t="n">
        <v>45078</v>
      </c>
      <c r="E167" s="1" t="n">
        <v>46316</v>
      </c>
      <c r="F167" t="inlineStr">
        <is>
          <t>KRONOBERGS LÄN</t>
        </is>
      </c>
      <c r="G167" t="inlineStr">
        <is>
          <t>LJUNGBY</t>
        </is>
      </c>
      <c r="I167" t="n">
        <v>3</v>
      </c>
      <c r="J167" t="n">
        <v>0</v>
      </c>
      <c r="K167" t="n">
        <v>2</v>
      </c>
      <c r="L167" t="n">
        <v>0</v>
      </c>
      <c r="M167" t="n">
        <v>0</v>
      </c>
      <c r="N167" t="n">
        <v>0</v>
      </c>
      <c r="O167" t="n">
        <v>0</v>
      </c>
      <c r="P167" t="n">
        <v>0</v>
      </c>
      <c r="Q167" t="n">
        <v>0</v>
      </c>
      <c r="R167" t="n">
        <v>0</v>
      </c>
      <c r="S167" t="n">
        <v>2</v>
      </c>
      <c r="T167" t="n">
        <v>4</v>
      </c>
      <c r="U167" t="n">
        <v>0</v>
      </c>
      <c r="V167" s="2" t="inlineStr">
        <is>
          <t>Fällmossa
Klippfrullania</t>
        </is>
      </c>
      <c r="W167">
        <f>HYPERLINK("https://klasma.github.io/Logging_0781/artfynd/A 24024-2023 artfynd.xlsx", "A 24024-2023")</f>
        <v/>
      </c>
      <c r="X167">
        <f>HYPERLINK("https://klasma.github.io/Logging_0781/kartor/A 24024-2023 karta.png", "A 24024-2023")</f>
        <v/>
      </c>
      <c r="Y167">
        <f>HYPERLINK("https://klasma.github.io/Logging_0781/kartor_geotiff/A 24024-2023 georefererad karta.tif", "A 24024-2023")</f>
        <v/>
      </c>
      <c r="AA167">
        <f>HYPERLINK("https://klasma.github.io/Logging_0781/klagomål/A 24024-2023 FSC-klagomål.docx", "A 24024-2023")</f>
        <v/>
      </c>
      <c r="AB167">
        <f>HYPERLINK("https://klasma.github.io/Logging_0781/klagomålsmail/A 24024-2023 FSC-klagomål mail.docx", "A 24024-2023")</f>
        <v/>
      </c>
      <c r="AC167">
        <f>HYPERLINK("https://klasma.github.io/Logging_0781/tillsyn/A 24024-2023 tillsynsbegäran.docx", "A 24024-2023")</f>
        <v/>
      </c>
      <c r="AD167">
        <f>HYPERLINK("https://klasma.github.io/Logging_0781/tillsynsmail/A 24024-2023 tillsynsbegäran mail.docx", "A 24024-2023")</f>
        <v/>
      </c>
    </row>
    <row r="168" ht="15" customHeight="1">
      <c r="A168" t="inlineStr">
        <is>
          <t>A 25295-2023</t>
        </is>
      </c>
      <c r="B168" t="inlineStr">
        <is>
          <t>avverkningsanmälan</t>
        </is>
      </c>
      <c r="C168" t="inlineStr">
        <is>
          <t>Föryngringsavverkning</t>
        </is>
      </c>
      <c r="D168" s="1" t="n">
        <v>45086</v>
      </c>
      <c r="E168" s="1" t="n">
        <v>46316</v>
      </c>
      <c r="F168" t="inlineStr">
        <is>
          <t>KRONOBERGS LÄN</t>
        </is>
      </c>
      <c r="G168" t="inlineStr">
        <is>
          <t>LJUNGBY</t>
        </is>
      </c>
      <c r="I168" t="n">
        <v>1.3</v>
      </c>
      <c r="J168" t="n">
        <v>1</v>
      </c>
      <c r="K168" t="n">
        <v>1</v>
      </c>
      <c r="L168" t="n">
        <v>0</v>
      </c>
      <c r="M168" t="n">
        <v>0</v>
      </c>
      <c r="N168" t="n">
        <v>0</v>
      </c>
      <c r="O168" t="n">
        <v>0</v>
      </c>
      <c r="P168" t="n">
        <v>0</v>
      </c>
      <c r="Q168" t="n">
        <v>0</v>
      </c>
      <c r="R168" t="n">
        <v>0</v>
      </c>
      <c r="S168" t="n">
        <v>2</v>
      </c>
      <c r="T168" t="n">
        <v>3</v>
      </c>
      <c r="U168" t="n">
        <v>0</v>
      </c>
      <c r="V168" s="2" t="inlineStr">
        <is>
          <t>Grönpyrola
Mattlummer</t>
        </is>
      </c>
      <c r="W168">
        <f>HYPERLINK("https://klasma.github.io/Logging_0781/artfynd/A 25295-2023 artfynd.xlsx", "A 25295-2023")</f>
        <v/>
      </c>
      <c r="X168">
        <f>HYPERLINK("https://klasma.github.io/Logging_0781/kartor/A 25295-2023 karta.png", "A 25295-2023")</f>
        <v/>
      </c>
      <c r="Y168">
        <f>HYPERLINK("https://klasma.github.io/Logging_0781/kartor_geotiff/A 25295-2023 georefererad karta.tif", "A 25295-2023")</f>
        <v/>
      </c>
      <c r="AA168">
        <f>HYPERLINK("https://klasma.github.io/Logging_0781/klagomål/A 25295-2023 FSC-klagomål.docx", "A 25295-2023")</f>
        <v/>
      </c>
      <c r="AB168">
        <f>HYPERLINK("https://klasma.github.io/Logging_0781/klagomålsmail/A 25295-2023 FSC-klagomål mail.docx", "A 25295-2023")</f>
        <v/>
      </c>
      <c r="AC168">
        <f>HYPERLINK("https://klasma.github.io/Logging_0781/tillsyn/A 25295-2023 tillsynsbegäran.docx", "A 25295-2023")</f>
        <v/>
      </c>
      <c r="AD168">
        <f>HYPERLINK("https://klasma.github.io/Logging_0781/tillsynsmail/A 25295-2023 tillsynsbegäran mail.docx", "A 25295-2023")</f>
        <v/>
      </c>
    </row>
    <row r="169" ht="15" customHeight="1">
      <c r="A169" t="inlineStr">
        <is>
          <t>A 28168-2023</t>
        </is>
      </c>
      <c r="B169" t="inlineStr">
        <is>
          <t>avverkningsanmälan</t>
        </is>
      </c>
      <c r="C169" t="inlineStr">
        <is>
          <t>Föryngringsavverkning</t>
        </is>
      </c>
      <c r="D169" s="1" t="n">
        <v>45099</v>
      </c>
      <c r="E169" s="1" t="n">
        <v>46316</v>
      </c>
      <c r="F169" t="inlineStr">
        <is>
          <t>KRONOBERGS LÄN</t>
        </is>
      </c>
      <c r="G169" t="inlineStr">
        <is>
          <t>TINGSRYD</t>
        </is>
      </c>
      <c r="I169" t="n">
        <v>1.1</v>
      </c>
      <c r="J169" t="n">
        <v>0</v>
      </c>
      <c r="K169" t="n">
        <v>0</v>
      </c>
      <c r="L169" t="n">
        <v>2</v>
      </c>
      <c r="M169" t="n">
        <v>0</v>
      </c>
      <c r="N169" t="n">
        <v>0</v>
      </c>
      <c r="O169" t="n">
        <v>0</v>
      </c>
      <c r="P169" t="n">
        <v>0</v>
      </c>
      <c r="Q169" t="n">
        <v>2</v>
      </c>
      <c r="R169" t="n">
        <v>0</v>
      </c>
      <c r="S169" t="n">
        <v>2</v>
      </c>
      <c r="T169" t="n">
        <v>2</v>
      </c>
      <c r="U169" t="n">
        <v>2</v>
      </c>
      <c r="V169" s="2" t="inlineStr">
        <is>
          <t>Mörk dunört
Åkerkål</t>
        </is>
      </c>
      <c r="W169">
        <f>HYPERLINK("https://klasma.github.io/Logging_0763/artfynd/A 28168-2023 artfynd.xlsx", "A 28168-2023")</f>
        <v/>
      </c>
      <c r="X169">
        <f>HYPERLINK("https://klasma.github.io/Logging_0763/kartor/A 28168-2023 karta.png", "A 28168-2023")</f>
        <v/>
      </c>
      <c r="Y169">
        <f>HYPERLINK("https://klasma.github.io/Logging_0763/kartor_geotiff/A 28168-2023 georefererad karta.tif", "A 28168-2023")</f>
        <v/>
      </c>
      <c r="AA169">
        <f>HYPERLINK("https://klasma.github.io/Logging_0763/klagomål/A 28168-2023 FSC-klagomål.docx", "A 28168-2023")</f>
        <v/>
      </c>
      <c r="AB169">
        <f>HYPERLINK("https://klasma.github.io/Logging_0763/klagomålsmail/A 28168-2023 FSC-klagomål mail.docx", "A 28168-2023")</f>
        <v/>
      </c>
      <c r="AC169">
        <f>HYPERLINK("https://klasma.github.io/Logging_0763/tillsyn/A 28168-2023 tillsynsbegäran.docx", "A 28168-2023")</f>
        <v/>
      </c>
      <c r="AD169">
        <f>HYPERLINK("https://klasma.github.io/Logging_0763/tillsynsmail/A 28168-2023 tillsynsbegäran mail.docx", "A 28168-2023")</f>
        <v/>
      </c>
    </row>
    <row r="170" ht="15" customHeight="1">
      <c r="A170" t="inlineStr">
        <is>
          <t>A 56760-2025</t>
        </is>
      </c>
      <c r="B170" t="inlineStr">
        <is>
          <t>avverkningsanmälan</t>
        </is>
      </c>
      <c r="C170" t="inlineStr">
        <is>
          <t>Föryngringsavverkning</t>
        </is>
      </c>
      <c r="D170" s="1" t="n">
        <v>45978</v>
      </c>
      <c r="E170" s="1" t="n">
        <v>46316</v>
      </c>
      <c r="F170" t="inlineStr">
        <is>
          <t>KRONOBERGS LÄN</t>
        </is>
      </c>
      <c r="G170" t="inlineStr">
        <is>
          <t>LJUNGBY</t>
        </is>
      </c>
      <c r="I170" t="n">
        <v>1</v>
      </c>
      <c r="J170" t="n">
        <v>0</v>
      </c>
      <c r="K170" t="n">
        <v>0</v>
      </c>
      <c r="L170" t="n">
        <v>2</v>
      </c>
      <c r="M170" t="n">
        <v>0</v>
      </c>
      <c r="N170" t="n">
        <v>0</v>
      </c>
      <c r="O170" t="n">
        <v>0</v>
      </c>
      <c r="P170" t="n">
        <v>0</v>
      </c>
      <c r="Q170" t="n">
        <v>2</v>
      </c>
      <c r="R170" t="n">
        <v>0</v>
      </c>
      <c r="S170" t="n">
        <v>2</v>
      </c>
      <c r="T170" t="n">
        <v>2</v>
      </c>
      <c r="U170" t="n">
        <v>0</v>
      </c>
      <c r="V170" s="2" t="inlineStr">
        <is>
          <t>Jungfrulin
Månlåsbräken</t>
        </is>
      </c>
      <c r="W170">
        <f>HYPERLINK("https://klasma.github.io/Logging_0781/artfynd/A 56760-2025 artfynd.xlsx", "A 56760-2025")</f>
        <v/>
      </c>
      <c r="X170">
        <f>HYPERLINK("https://klasma.github.io/Logging_0781/kartor/A 56760-2025 karta.png", "A 56760-2025")</f>
        <v/>
      </c>
      <c r="Y170">
        <f>HYPERLINK("https://klasma.github.io/Logging_0781/kartor_geotiff/A 56760-2025 georefererad karta.tif", "A 56760-2025")</f>
        <v/>
      </c>
      <c r="AA170">
        <f>HYPERLINK("https://klasma.github.io/Logging_0781/klagomål/A 56760-2025 FSC-klagomål.docx", "A 56760-2025")</f>
        <v/>
      </c>
      <c r="AB170">
        <f>HYPERLINK("https://klasma.github.io/Logging_0781/klagomålsmail/A 56760-2025 FSC-klagomål mail.docx", "A 56760-2025")</f>
        <v/>
      </c>
      <c r="AC170">
        <f>HYPERLINK("https://klasma.github.io/Logging_0781/tillsyn/A 56760-2025 tillsynsbegäran.docx", "A 56760-2025")</f>
        <v/>
      </c>
      <c r="AD170">
        <f>HYPERLINK("https://klasma.github.io/Logging_0781/tillsynsmail/A 56760-2025 tillsynsbegäran mail.docx", "A 56760-2025")</f>
        <v/>
      </c>
    </row>
    <row r="171" ht="15" customHeight="1">
      <c r="A171" t="inlineStr">
        <is>
          <t>A 1917-2023</t>
        </is>
      </c>
      <c r="B171" t="inlineStr">
        <is>
          <t>avverkningsanmälan</t>
        </is>
      </c>
      <c r="C171" t="inlineStr">
        <is>
          <t>Avverkning för annat ändamål</t>
        </is>
      </c>
      <c r="D171" s="1" t="n">
        <v>44937</v>
      </c>
      <c r="E171" s="1" t="n">
        <v>46316</v>
      </c>
      <c r="F171" t="inlineStr">
        <is>
          <t>KRONOBERGS LÄN</t>
        </is>
      </c>
      <c r="G171" t="inlineStr">
        <is>
          <t>UPPVIDINGE</t>
        </is>
      </c>
      <c r="H171" t="inlineStr">
        <is>
          <t>Kommuner</t>
        </is>
      </c>
      <c r="I171" t="n">
        <v>9.1</v>
      </c>
      <c r="J171" t="n">
        <v>2</v>
      </c>
      <c r="K171" t="n">
        <v>0</v>
      </c>
      <c r="L171" t="n">
        <v>0</v>
      </c>
      <c r="M171" t="n">
        <v>0</v>
      </c>
      <c r="N171" t="n">
        <v>0</v>
      </c>
      <c r="O171" t="n">
        <v>0</v>
      </c>
      <c r="P171" t="n">
        <v>0</v>
      </c>
      <c r="Q171" t="n">
        <v>0</v>
      </c>
      <c r="R171" t="n">
        <v>0</v>
      </c>
      <c r="S171" t="n">
        <v>2</v>
      </c>
      <c r="T171" t="n">
        <v>2</v>
      </c>
      <c r="U171" t="n">
        <v>0</v>
      </c>
      <c r="V171" s="2" t="inlineStr">
        <is>
          <t>Skogsödla
Revlummer</t>
        </is>
      </c>
      <c r="W171">
        <f>HYPERLINK("https://klasma.github.io/Logging_0760/artfynd/A 1917-2023 artfynd.xlsx", "A 1917-2023")</f>
        <v/>
      </c>
      <c r="X171">
        <f>HYPERLINK("https://klasma.github.io/Logging_0760/kartor/A 1917-2023 karta.png", "A 1917-2023")</f>
        <v/>
      </c>
      <c r="Y171">
        <f>HYPERLINK("https://klasma.github.io/Logging_0760/kartor_geotiff/A 1917-2023 georefererad karta.tif", "A 1917-2023")</f>
        <v/>
      </c>
      <c r="AA171">
        <f>HYPERLINK("https://klasma.github.io/Logging_0760/klagomål/A 1917-2023 FSC-klagomål.docx", "A 1917-2023")</f>
        <v/>
      </c>
      <c r="AB171">
        <f>HYPERLINK("https://klasma.github.io/Logging_0760/klagomålsmail/A 1917-2023 FSC-klagomål mail.docx", "A 1917-2023")</f>
        <v/>
      </c>
      <c r="AC171">
        <f>HYPERLINK("https://klasma.github.io/Logging_0760/tillsyn/A 1917-2023 tillsynsbegäran.docx", "A 1917-2023")</f>
        <v/>
      </c>
      <c r="AD171">
        <f>HYPERLINK("https://klasma.github.io/Logging_0760/tillsynsmail/A 1917-2023 tillsynsbegäran mail.docx", "A 1917-2023")</f>
        <v/>
      </c>
    </row>
    <row r="172" ht="15" customHeight="1">
      <c r="A172" t="inlineStr">
        <is>
          <t>A 60681-2025</t>
        </is>
      </c>
      <c r="B172" t="inlineStr">
        <is>
          <t>avverkningsanmälan</t>
        </is>
      </c>
      <c r="C172" t="inlineStr">
        <is>
          <t>Föryngringsavverkning</t>
        </is>
      </c>
      <c r="D172" s="1" t="n">
        <v>45996</v>
      </c>
      <c r="E172" s="1" t="n">
        <v>46316</v>
      </c>
      <c r="F172" t="inlineStr">
        <is>
          <t>KRONOBERGS LÄN</t>
        </is>
      </c>
      <c r="G172" t="inlineStr">
        <is>
          <t>LJUNGBY</t>
        </is>
      </c>
      <c r="I172" t="n">
        <v>5.6</v>
      </c>
      <c r="J172" t="n">
        <v>2</v>
      </c>
      <c r="K172" t="n">
        <v>0</v>
      </c>
      <c r="L172" t="n">
        <v>1</v>
      </c>
      <c r="M172" t="n">
        <v>0</v>
      </c>
      <c r="N172" t="n">
        <v>0</v>
      </c>
      <c r="O172" t="n">
        <v>0</v>
      </c>
      <c r="P172" t="n">
        <v>0</v>
      </c>
      <c r="Q172" t="n">
        <v>1</v>
      </c>
      <c r="R172" t="n">
        <v>0</v>
      </c>
      <c r="S172" t="n">
        <v>2</v>
      </c>
      <c r="T172" t="n">
        <v>2</v>
      </c>
      <c r="U172" t="n">
        <v>0</v>
      </c>
      <c r="V172" s="2" t="inlineStr">
        <is>
          <t>Gulsparv
Spillkråka</t>
        </is>
      </c>
      <c r="W172">
        <f>HYPERLINK("https://klasma.github.io/Logging_0781/artfynd/A 60681-2025 artfynd.xlsx", "A 60681-2025")</f>
        <v/>
      </c>
      <c r="X172">
        <f>HYPERLINK("https://klasma.github.io/Logging_0781/kartor/A 60681-2025 karta.png", "A 60681-2025")</f>
        <v/>
      </c>
      <c r="Y172">
        <f>HYPERLINK("https://klasma.github.io/Logging_0781/kartor_geotiff/A 60681-2025 georefererad karta.tif", "A 60681-2025")</f>
        <v/>
      </c>
      <c r="AA172">
        <f>HYPERLINK("https://klasma.github.io/Logging_0781/klagomål/A 60681-2025 FSC-klagomål.docx", "A 60681-2025")</f>
        <v/>
      </c>
      <c r="AB172">
        <f>HYPERLINK("https://klasma.github.io/Logging_0781/klagomålsmail/A 60681-2025 FSC-klagomål mail.docx", "A 60681-2025")</f>
        <v/>
      </c>
      <c r="AC172">
        <f>HYPERLINK("https://klasma.github.io/Logging_0781/tillsyn/A 60681-2025 tillsynsbegäran.docx", "A 60681-2025")</f>
        <v/>
      </c>
      <c r="AD172">
        <f>HYPERLINK("https://klasma.github.io/Logging_0781/tillsynsmail/A 60681-2025 tillsynsbegäran mail.docx", "A 60681-2025")</f>
        <v/>
      </c>
      <c r="AE172">
        <f>HYPERLINK("https://klasma.github.io/Logging_0781/fåglar/A 60681-2025 prioriterade fågelarter.docx", "A 60681-2025")</f>
        <v/>
      </c>
    </row>
    <row r="173" ht="15" customHeight="1">
      <c r="A173" t="inlineStr">
        <is>
          <t>A 60139-2024</t>
        </is>
      </c>
      <c r="B173" t="inlineStr">
        <is>
          <t>avverkningsanmälan</t>
        </is>
      </c>
      <c r="C173" t="inlineStr">
        <is>
          <t>Föryngringsavverkning</t>
        </is>
      </c>
      <c r="D173" s="1" t="n">
        <v>45642</v>
      </c>
      <c r="E173" s="1" t="n">
        <v>46316</v>
      </c>
      <c r="F173" t="inlineStr">
        <is>
          <t>KRONOBERGS LÄN</t>
        </is>
      </c>
      <c r="G173" t="inlineStr">
        <is>
          <t>LJUNGBY</t>
        </is>
      </c>
      <c r="I173" t="n">
        <v>0.7</v>
      </c>
      <c r="J173" t="n">
        <v>1</v>
      </c>
      <c r="K173" t="n">
        <v>0</v>
      </c>
      <c r="L173" t="n">
        <v>0</v>
      </c>
      <c r="M173" t="n">
        <v>0</v>
      </c>
      <c r="N173" t="n">
        <v>1</v>
      </c>
      <c r="O173" t="n">
        <v>0</v>
      </c>
      <c r="P173" t="n">
        <v>0</v>
      </c>
      <c r="Q173" t="n">
        <v>1</v>
      </c>
      <c r="R173" t="n">
        <v>1</v>
      </c>
      <c r="S173" t="n">
        <v>2</v>
      </c>
      <c r="T173" t="n">
        <v>4</v>
      </c>
      <c r="U173" t="n">
        <v>0</v>
      </c>
      <c r="V173" s="2" t="inlineStr">
        <is>
          <t>Skogsalm
Blåsippa</t>
        </is>
      </c>
      <c r="W173">
        <f>HYPERLINK("https://klasma.github.io/Logging_0781/artfynd/A 60139-2024 artfynd.xlsx", "A 60139-2024")</f>
        <v/>
      </c>
      <c r="X173">
        <f>HYPERLINK("https://klasma.github.io/Logging_0781/kartor/A 60139-2024 karta.png", "A 60139-2024")</f>
        <v/>
      </c>
      <c r="Y173">
        <f>HYPERLINK("https://klasma.github.io/Logging_0781/kartor_geotiff/A 60139-2024 georefererad karta.tif", "A 60139-2024")</f>
        <v/>
      </c>
      <c r="AA173">
        <f>HYPERLINK("https://klasma.github.io/Logging_0781/klagomål/A 60139-2024 FSC-klagomål.docx", "A 60139-2024")</f>
        <v/>
      </c>
      <c r="AB173">
        <f>HYPERLINK("https://klasma.github.io/Logging_0781/klagomålsmail/A 60139-2024 FSC-klagomål mail.docx", "A 60139-2024")</f>
        <v/>
      </c>
      <c r="AC173">
        <f>HYPERLINK("https://klasma.github.io/Logging_0781/tillsyn/A 60139-2024 tillsynsbegäran.docx", "A 60139-2024")</f>
        <v/>
      </c>
      <c r="AD173">
        <f>HYPERLINK("https://klasma.github.io/Logging_0781/tillsynsmail/A 60139-2024 tillsynsbegäran mail.docx", "A 60139-2024")</f>
        <v/>
      </c>
    </row>
    <row r="174" ht="15" customHeight="1">
      <c r="A174" t="inlineStr">
        <is>
          <t>A 40266-2024</t>
        </is>
      </c>
      <c r="B174" t="inlineStr">
        <is>
          <t>avverkningsanmälan</t>
        </is>
      </c>
      <c r="C174" t="inlineStr">
        <is>
          <t>Föryngringsavverkning</t>
        </is>
      </c>
      <c r="D174" s="1" t="n">
        <v>45554</v>
      </c>
      <c r="E174" s="1" t="n">
        <v>46316</v>
      </c>
      <c r="F174" t="inlineStr">
        <is>
          <t>KRONOBERGS LÄN</t>
        </is>
      </c>
      <c r="G174" t="inlineStr">
        <is>
          <t>VÄXJÖ</t>
        </is>
      </c>
      <c r="I174" t="n">
        <v>0.5</v>
      </c>
      <c r="J174" t="n">
        <v>0</v>
      </c>
      <c r="K174" t="n">
        <v>0</v>
      </c>
      <c r="L174" t="n">
        <v>1</v>
      </c>
      <c r="M174" t="n">
        <v>1</v>
      </c>
      <c r="N174" t="n">
        <v>0</v>
      </c>
      <c r="O174" t="n">
        <v>0</v>
      </c>
      <c r="P174" t="n">
        <v>0</v>
      </c>
      <c r="Q174" t="n">
        <v>2</v>
      </c>
      <c r="R174" t="n">
        <v>1</v>
      </c>
      <c r="S174" t="n">
        <v>2</v>
      </c>
      <c r="T174" t="n">
        <v>2</v>
      </c>
      <c r="U174" t="n">
        <v>0</v>
      </c>
      <c r="V174" s="2" t="inlineStr">
        <is>
          <t>Mindre bastardsvärmare
Vitfläckig guldvinge</t>
        </is>
      </c>
      <c r="W174">
        <f>HYPERLINK("https://klasma.github.io/Logging_0780/artfynd/A 40266-2024 artfynd.xlsx", "A 40266-2024")</f>
        <v/>
      </c>
      <c r="X174">
        <f>HYPERLINK("https://klasma.github.io/Logging_0780/kartor/A 40266-2024 karta.png", "A 40266-2024")</f>
        <v/>
      </c>
      <c r="Y174">
        <f>HYPERLINK("https://klasma.github.io/Logging_0780/kartor_geotiff/A 40266-2024 georefererad karta.tif", "A 40266-2024")</f>
        <v/>
      </c>
      <c r="AA174">
        <f>HYPERLINK("https://klasma.github.io/Logging_0780/klagomål/A 40266-2024 FSC-klagomål.docx", "A 40266-2024")</f>
        <v/>
      </c>
      <c r="AB174">
        <f>HYPERLINK("https://klasma.github.io/Logging_0780/klagomålsmail/A 40266-2024 FSC-klagomål mail.docx", "A 40266-2024")</f>
        <v/>
      </c>
      <c r="AC174">
        <f>HYPERLINK("https://klasma.github.io/Logging_0780/tillsyn/A 40266-2024 tillsynsbegäran.docx", "A 40266-2024")</f>
        <v/>
      </c>
      <c r="AD174">
        <f>HYPERLINK("https://klasma.github.io/Logging_0780/tillsynsmail/A 40266-2024 tillsynsbegäran mail.docx", "A 40266-2024")</f>
        <v/>
      </c>
    </row>
    <row r="175" ht="15" customHeight="1">
      <c r="A175" t="inlineStr">
        <is>
          <t>A 18486-2025</t>
        </is>
      </c>
      <c r="B175" t="inlineStr">
        <is>
          <t>avverkningsanmälan</t>
        </is>
      </c>
      <c r="C175" t="inlineStr">
        <is>
          <t>Föryngringsavverkning</t>
        </is>
      </c>
      <c r="D175" s="1" t="n">
        <v>45763</v>
      </c>
      <c r="E175" s="1" t="n">
        <v>46316</v>
      </c>
      <c r="F175" t="inlineStr">
        <is>
          <t>KRONOBERGS LÄN</t>
        </is>
      </c>
      <c r="G175" t="inlineStr">
        <is>
          <t>ALVESTA</t>
        </is>
      </c>
      <c r="I175" t="n">
        <v>1.5</v>
      </c>
      <c r="J175" t="n">
        <v>1</v>
      </c>
      <c r="K175" t="n">
        <v>0</v>
      </c>
      <c r="L175" t="n">
        <v>1</v>
      </c>
      <c r="M175" t="n">
        <v>0</v>
      </c>
      <c r="N175" t="n">
        <v>0</v>
      </c>
      <c r="O175" t="n">
        <v>0</v>
      </c>
      <c r="P175" t="n">
        <v>0</v>
      </c>
      <c r="Q175" t="n">
        <v>1</v>
      </c>
      <c r="R175" t="n">
        <v>0</v>
      </c>
      <c r="S175" t="n">
        <v>2</v>
      </c>
      <c r="T175" t="n">
        <v>2</v>
      </c>
      <c r="U175" t="n">
        <v>0</v>
      </c>
      <c r="V175" s="2" t="inlineStr">
        <is>
          <t>Brunpudrad nållav
Spillkråka</t>
        </is>
      </c>
      <c r="W175">
        <f>HYPERLINK("https://klasma.github.io/Logging_0764/artfynd/A 18486-2025 artfynd.xlsx", "A 18486-2025")</f>
        <v/>
      </c>
      <c r="X175">
        <f>HYPERLINK("https://klasma.github.io/Logging_0764/kartor/A 18486-2025 karta.png", "A 18486-2025")</f>
        <v/>
      </c>
      <c r="Y175">
        <f>HYPERLINK("https://klasma.github.io/Logging_0764/kartor_geotiff/A 18486-2025 georefererad karta.tif", "A 18486-2025")</f>
        <v/>
      </c>
      <c r="AA175">
        <f>HYPERLINK("https://klasma.github.io/Logging_0764/klagomål/A 18486-2025 FSC-klagomål.docx", "A 18486-2025")</f>
        <v/>
      </c>
      <c r="AB175">
        <f>HYPERLINK("https://klasma.github.io/Logging_0764/klagomålsmail/A 18486-2025 FSC-klagomål mail.docx", "A 18486-2025")</f>
        <v/>
      </c>
      <c r="AC175">
        <f>HYPERLINK("https://klasma.github.io/Logging_0764/tillsyn/A 18486-2025 tillsynsbegäran.docx", "A 18486-2025")</f>
        <v/>
      </c>
      <c r="AD175">
        <f>HYPERLINK("https://klasma.github.io/Logging_0764/tillsynsmail/A 18486-2025 tillsynsbegäran mail.docx", "A 18486-2025")</f>
        <v/>
      </c>
      <c r="AE175">
        <f>HYPERLINK("https://klasma.github.io/Logging_0764/fåglar/A 18486-2025 prioriterade fågelarter.docx", "A 18486-2025")</f>
        <v/>
      </c>
    </row>
    <row r="176" ht="15" customHeight="1">
      <c r="A176" t="inlineStr">
        <is>
          <t>A 37016-2025</t>
        </is>
      </c>
      <c r="B176" t="inlineStr">
        <is>
          <t>avverkningsanmälan</t>
        </is>
      </c>
      <c r="C176" t="inlineStr">
        <is>
          <t>Föryngringsavverkning</t>
        </is>
      </c>
      <c r="D176" s="1" t="n">
        <v>45874</v>
      </c>
      <c r="E176" s="1" t="n">
        <v>46316</v>
      </c>
      <c r="F176" t="inlineStr">
        <is>
          <t>KRONOBERGS LÄN</t>
        </is>
      </c>
      <c r="G176" t="inlineStr">
        <is>
          <t>VÄXJÖ</t>
        </is>
      </c>
      <c r="H176" t="inlineStr">
        <is>
          <t>Kyrkan</t>
        </is>
      </c>
      <c r="I176" t="n">
        <v>2.5</v>
      </c>
      <c r="J176" t="n">
        <v>1</v>
      </c>
      <c r="K176" t="n">
        <v>0</v>
      </c>
      <c r="L176" t="n">
        <v>1</v>
      </c>
      <c r="M176" t="n">
        <v>0</v>
      </c>
      <c r="N176" t="n">
        <v>0</v>
      </c>
      <c r="O176" t="n">
        <v>0</v>
      </c>
      <c r="P176" t="n">
        <v>0</v>
      </c>
      <c r="Q176" t="n">
        <v>1</v>
      </c>
      <c r="R176" t="n">
        <v>0</v>
      </c>
      <c r="S176" t="n">
        <v>2</v>
      </c>
      <c r="T176" t="n">
        <v>2</v>
      </c>
      <c r="U176" t="n">
        <v>0</v>
      </c>
      <c r="V176" s="2" t="inlineStr">
        <is>
          <t>Vitfläckig guldvinge
Vanlig snok</t>
        </is>
      </c>
      <c r="W176">
        <f>HYPERLINK("https://klasma.github.io/Logging_0780/artfynd/A 37016-2025 artfynd.xlsx", "A 37016-2025")</f>
        <v/>
      </c>
      <c r="X176">
        <f>HYPERLINK("https://klasma.github.io/Logging_0780/kartor/A 37016-2025 karta.png", "A 37016-2025")</f>
        <v/>
      </c>
      <c r="Y176">
        <f>HYPERLINK("https://klasma.github.io/Logging_0780/kartor_geotiff/A 37016-2025 georefererad karta.tif", "A 37016-2025")</f>
        <v/>
      </c>
      <c r="AA176">
        <f>HYPERLINK("https://klasma.github.io/Logging_0780/klagomål/A 37016-2025 FSC-klagomål.docx", "A 37016-2025")</f>
        <v/>
      </c>
      <c r="AB176">
        <f>HYPERLINK("https://klasma.github.io/Logging_0780/klagomålsmail/A 37016-2025 FSC-klagomål mail.docx", "A 37016-2025")</f>
        <v/>
      </c>
      <c r="AC176">
        <f>HYPERLINK("https://klasma.github.io/Logging_0780/tillsyn/A 37016-2025 tillsynsbegäran.docx", "A 37016-2025")</f>
        <v/>
      </c>
      <c r="AD176">
        <f>HYPERLINK("https://klasma.github.io/Logging_0780/tillsynsmail/A 37016-2025 tillsynsbegäran mail.docx", "A 37016-2025")</f>
        <v/>
      </c>
    </row>
    <row r="177" ht="15" customHeight="1">
      <c r="A177" t="inlineStr">
        <is>
          <t>A 28560-2025</t>
        </is>
      </c>
      <c r="B177" t="inlineStr">
        <is>
          <t>avverkningsanmälan</t>
        </is>
      </c>
      <c r="C177" t="inlineStr">
        <is>
          <t>Föryngringsavverkning</t>
        </is>
      </c>
      <c r="D177" s="1" t="n">
        <v>45819</v>
      </c>
      <c r="E177" s="1" t="n">
        <v>46316</v>
      </c>
      <c r="F177" t="inlineStr">
        <is>
          <t>KRONOBERGS LÄN</t>
        </is>
      </c>
      <c r="G177" t="inlineStr">
        <is>
          <t>LJUNGBY</t>
        </is>
      </c>
      <c r="I177" t="n">
        <v>0.9</v>
      </c>
      <c r="J177" t="n">
        <v>0</v>
      </c>
      <c r="K177" t="n">
        <v>0</v>
      </c>
      <c r="L177" t="n">
        <v>2</v>
      </c>
      <c r="M177" t="n">
        <v>0</v>
      </c>
      <c r="N177" t="n">
        <v>0</v>
      </c>
      <c r="O177" t="n">
        <v>0</v>
      </c>
      <c r="P177" t="n">
        <v>0</v>
      </c>
      <c r="Q177" t="n">
        <v>2</v>
      </c>
      <c r="R177" t="n">
        <v>0</v>
      </c>
      <c r="S177" t="n">
        <v>2</v>
      </c>
      <c r="T177" t="n">
        <v>2</v>
      </c>
      <c r="U177" t="n">
        <v>2</v>
      </c>
      <c r="V177" s="2" t="inlineStr">
        <is>
          <t>Jungfrulin
Svinrot</t>
        </is>
      </c>
      <c r="W177">
        <f>HYPERLINK("https://klasma.github.io/Logging_0781/artfynd/A 28560-2025 artfynd.xlsx", "A 28560-2025")</f>
        <v/>
      </c>
      <c r="X177">
        <f>HYPERLINK("https://klasma.github.io/Logging_0781/kartor/A 28560-2025 karta.png", "A 28560-2025")</f>
        <v/>
      </c>
      <c r="Y177">
        <f>HYPERLINK("https://klasma.github.io/Logging_0781/kartor_geotiff/A 28560-2025 georefererad karta.tif", "A 28560-2025")</f>
        <v/>
      </c>
      <c r="AA177">
        <f>HYPERLINK("https://klasma.github.io/Logging_0781/klagomål/A 28560-2025 FSC-klagomål.docx", "A 28560-2025")</f>
        <v/>
      </c>
      <c r="AB177">
        <f>HYPERLINK("https://klasma.github.io/Logging_0781/klagomålsmail/A 28560-2025 FSC-klagomål mail.docx", "A 28560-2025")</f>
        <v/>
      </c>
      <c r="AC177">
        <f>HYPERLINK("https://klasma.github.io/Logging_0781/tillsyn/A 28560-2025 tillsynsbegäran.docx", "A 28560-2025")</f>
        <v/>
      </c>
      <c r="AD177">
        <f>HYPERLINK("https://klasma.github.io/Logging_0781/tillsynsmail/A 28560-2025 tillsynsbegäran mail.docx", "A 28560-2025")</f>
        <v/>
      </c>
    </row>
    <row r="178" ht="15" customHeight="1">
      <c r="A178" t="inlineStr">
        <is>
          <t>A 26756-2025</t>
        </is>
      </c>
      <c r="B178" t="inlineStr">
        <is>
          <t>avverkningsanmälan</t>
        </is>
      </c>
      <c r="C178" t="inlineStr">
        <is>
          <t>Föryngringsavverkning</t>
        </is>
      </c>
      <c r="D178" s="1" t="n">
        <v>45810</v>
      </c>
      <c r="E178" s="1" t="n">
        <v>46316</v>
      </c>
      <c r="F178" t="inlineStr">
        <is>
          <t>KRONOBERGS LÄN</t>
        </is>
      </c>
      <c r="G178" t="inlineStr">
        <is>
          <t>TINGSRYD</t>
        </is>
      </c>
      <c r="I178" t="n">
        <v>1.3</v>
      </c>
      <c r="J178" t="n">
        <v>1</v>
      </c>
      <c r="K178" t="n">
        <v>0</v>
      </c>
      <c r="L178" t="n">
        <v>0</v>
      </c>
      <c r="M178" t="n">
        <v>1</v>
      </c>
      <c r="N178" t="n">
        <v>0</v>
      </c>
      <c r="O178" t="n">
        <v>0</v>
      </c>
      <c r="P178" t="n">
        <v>0</v>
      </c>
      <c r="Q178" t="n">
        <v>1</v>
      </c>
      <c r="R178" t="n">
        <v>1</v>
      </c>
      <c r="S178" t="n">
        <v>2</v>
      </c>
      <c r="T178" t="n">
        <v>2</v>
      </c>
      <c r="U178" t="n">
        <v>2</v>
      </c>
      <c r="V178" s="2" t="inlineStr">
        <is>
          <t>Slåttergubbe
Fläcknycklar</t>
        </is>
      </c>
      <c r="W178">
        <f>HYPERLINK("https://klasma.github.io/Logging_0763/artfynd/A 26756-2025 artfynd.xlsx", "A 26756-2025")</f>
        <v/>
      </c>
      <c r="X178">
        <f>HYPERLINK("https://klasma.github.io/Logging_0763/kartor/A 26756-2025 karta.png", "A 26756-2025")</f>
        <v/>
      </c>
      <c r="Y178">
        <f>HYPERLINK("https://klasma.github.io/Logging_0763/kartor_geotiff/A 26756-2025 georefererad karta.tif", "A 26756-2025")</f>
        <v/>
      </c>
      <c r="AA178">
        <f>HYPERLINK("https://klasma.github.io/Logging_0763/klagomål/A 26756-2025 FSC-klagomål.docx", "A 26756-2025")</f>
        <v/>
      </c>
      <c r="AB178">
        <f>HYPERLINK("https://klasma.github.io/Logging_0763/klagomålsmail/A 26756-2025 FSC-klagomål mail.docx", "A 26756-2025")</f>
        <v/>
      </c>
      <c r="AC178">
        <f>HYPERLINK("https://klasma.github.io/Logging_0763/tillsyn/A 26756-2025 tillsynsbegäran.docx", "A 26756-2025")</f>
        <v/>
      </c>
      <c r="AD178">
        <f>HYPERLINK("https://klasma.github.io/Logging_0763/tillsynsmail/A 26756-2025 tillsynsbegäran mail.docx", "A 26756-2025")</f>
        <v/>
      </c>
    </row>
    <row r="179" ht="15" customHeight="1">
      <c r="A179" t="inlineStr">
        <is>
          <t>A 28325-2025</t>
        </is>
      </c>
      <c r="B179" t="inlineStr">
        <is>
          <t>avverkningsanmälan</t>
        </is>
      </c>
      <c r="C179" t="inlineStr">
        <is>
          <t>Avverkning för att bevara och utveckla /försöksver</t>
        </is>
      </c>
      <c r="D179" s="1" t="n">
        <v>45818</v>
      </c>
      <c r="E179" s="1" t="n">
        <v>46316</v>
      </c>
      <c r="F179" t="inlineStr">
        <is>
          <t>KRONOBERGS LÄN</t>
        </is>
      </c>
      <c r="G179" t="inlineStr">
        <is>
          <t>ÄLMHULT</t>
        </is>
      </c>
      <c r="H179" t="inlineStr">
        <is>
          <t>Sveaskog</t>
        </is>
      </c>
      <c r="I179" t="n">
        <v>2.2</v>
      </c>
      <c r="J179" t="n">
        <v>2</v>
      </c>
      <c r="K179" t="n">
        <v>0</v>
      </c>
      <c r="L179" t="n">
        <v>0</v>
      </c>
      <c r="M179" t="n">
        <v>0</v>
      </c>
      <c r="N179" t="n">
        <v>0</v>
      </c>
      <c r="O179" t="n">
        <v>0</v>
      </c>
      <c r="P179" t="n">
        <v>0</v>
      </c>
      <c r="Q179" t="n">
        <v>0</v>
      </c>
      <c r="R179" t="n">
        <v>0</v>
      </c>
      <c r="S179" t="n">
        <v>2</v>
      </c>
      <c r="T179" t="n">
        <v>2</v>
      </c>
      <c r="U179" t="n">
        <v>2</v>
      </c>
      <c r="V179" s="2" t="inlineStr">
        <is>
          <t>Mattlummer
Lopplummer (aggregat)</t>
        </is>
      </c>
      <c r="W179">
        <f>HYPERLINK("https://klasma.github.io/Logging_0765/artfynd/A 28325-2025 artfynd.xlsx", "A 28325-2025")</f>
        <v/>
      </c>
      <c r="X179">
        <f>HYPERLINK("https://klasma.github.io/Logging_0765/kartor/A 28325-2025 karta.png", "A 28325-2025")</f>
        <v/>
      </c>
      <c r="Y179">
        <f>HYPERLINK("https://klasma.github.io/Logging_0765/kartor_geotiff/A 28325-2025 georefererad karta.tif", "A 28325-2025")</f>
        <v/>
      </c>
      <c r="AA179">
        <f>HYPERLINK("https://klasma.github.io/Logging_0765/klagomål/A 28325-2025 FSC-klagomål.docx", "A 28325-2025")</f>
        <v/>
      </c>
      <c r="AB179">
        <f>HYPERLINK("https://klasma.github.io/Logging_0765/klagomålsmail/A 28325-2025 FSC-klagomål mail.docx", "A 28325-2025")</f>
        <v/>
      </c>
      <c r="AC179">
        <f>HYPERLINK("https://klasma.github.io/Logging_0765/tillsyn/A 28325-2025 tillsynsbegäran.docx", "A 28325-2025")</f>
        <v/>
      </c>
      <c r="AD179">
        <f>HYPERLINK("https://klasma.github.io/Logging_0765/tillsynsmail/A 28325-2025 tillsynsbegäran mail.docx", "A 28325-2025")</f>
        <v/>
      </c>
    </row>
    <row r="180" ht="15" customHeight="1">
      <c r="A180" t="inlineStr">
        <is>
          <t>A 48123-2023</t>
        </is>
      </c>
      <c r="B180" t="inlineStr">
        <is>
          <t>avverkningsanmälan</t>
        </is>
      </c>
      <c r="C180" t="inlineStr">
        <is>
          <t>Föryngringsavverkning</t>
        </is>
      </c>
      <c r="D180" s="1" t="n">
        <v>45205</v>
      </c>
      <c r="E180" s="1" t="n">
        <v>46316</v>
      </c>
      <c r="F180" t="inlineStr">
        <is>
          <t>KRONOBERGS LÄN</t>
        </is>
      </c>
      <c r="G180" t="inlineStr">
        <is>
          <t>UPPVIDINGE</t>
        </is>
      </c>
      <c r="I180" t="n">
        <v>3.7</v>
      </c>
      <c r="J180" t="n">
        <v>2</v>
      </c>
      <c r="K180" t="n">
        <v>0</v>
      </c>
      <c r="L180" t="n">
        <v>2</v>
      </c>
      <c r="M180" t="n">
        <v>0</v>
      </c>
      <c r="N180" t="n">
        <v>0</v>
      </c>
      <c r="O180" t="n">
        <v>0</v>
      </c>
      <c r="P180" t="n">
        <v>0</v>
      </c>
      <c r="Q180" t="n">
        <v>2</v>
      </c>
      <c r="R180" t="n">
        <v>0</v>
      </c>
      <c r="S180" t="n">
        <v>2</v>
      </c>
      <c r="T180" t="n">
        <v>2</v>
      </c>
      <c r="U180" t="n">
        <v>0</v>
      </c>
      <c r="V180" s="2" t="inlineStr">
        <is>
          <t>Gulsparv
Järnsparv</t>
        </is>
      </c>
      <c r="W180">
        <f>HYPERLINK("https://klasma.github.io/Logging_0760/artfynd/A 48123-2023 artfynd.xlsx", "A 48123-2023")</f>
        <v/>
      </c>
      <c r="X180">
        <f>HYPERLINK("https://klasma.github.io/Logging_0760/kartor/A 48123-2023 karta.png", "A 48123-2023")</f>
        <v/>
      </c>
      <c r="Y180">
        <f>HYPERLINK("https://klasma.github.io/Logging_0760/kartor_geotiff/A 48123-2023 georefererad karta.tif", "A 48123-2023")</f>
        <v/>
      </c>
      <c r="AA180">
        <f>HYPERLINK("https://klasma.github.io/Logging_0760/klagomål/A 48123-2023 FSC-klagomål.docx", "A 48123-2023")</f>
        <v/>
      </c>
      <c r="AB180">
        <f>HYPERLINK("https://klasma.github.io/Logging_0760/klagomålsmail/A 48123-2023 FSC-klagomål mail.docx", "A 48123-2023")</f>
        <v/>
      </c>
      <c r="AC180">
        <f>HYPERLINK("https://klasma.github.io/Logging_0760/tillsyn/A 48123-2023 tillsynsbegäran.docx", "A 48123-2023")</f>
        <v/>
      </c>
      <c r="AD180">
        <f>HYPERLINK("https://klasma.github.io/Logging_0760/tillsynsmail/A 48123-2023 tillsynsbegäran mail.docx", "A 48123-2023")</f>
        <v/>
      </c>
      <c r="AE180">
        <f>HYPERLINK("https://klasma.github.io/Logging_0760/fåglar/A 48123-2023 prioriterade fågelarter.docx", "A 48123-2023")</f>
        <v/>
      </c>
    </row>
    <row r="181" ht="15" customHeight="1">
      <c r="A181" t="inlineStr">
        <is>
          <t>A 12841-2025</t>
        </is>
      </c>
      <c r="B181" t="inlineStr">
        <is>
          <t>avverkningsanmälan</t>
        </is>
      </c>
      <c r="C181" t="inlineStr">
        <is>
          <t>Föryngringsavverkning</t>
        </is>
      </c>
      <c r="D181" s="1" t="n">
        <v>45733</v>
      </c>
      <c r="E181" s="1" t="n">
        <v>46316</v>
      </c>
      <c r="F181" t="inlineStr">
        <is>
          <t>KRONOBERGS LÄN</t>
        </is>
      </c>
      <c r="G181" t="inlineStr">
        <is>
          <t>LJUNGBY</t>
        </is>
      </c>
      <c r="I181" t="n">
        <v>5.2</v>
      </c>
      <c r="J181" t="n">
        <v>2</v>
      </c>
      <c r="K181" t="n">
        <v>0</v>
      </c>
      <c r="L181" t="n">
        <v>2</v>
      </c>
      <c r="M181" t="n">
        <v>0</v>
      </c>
      <c r="N181" t="n">
        <v>0</v>
      </c>
      <c r="O181" t="n">
        <v>0</v>
      </c>
      <c r="P181" t="n">
        <v>0</v>
      </c>
      <c r="Q181" t="n">
        <v>2</v>
      </c>
      <c r="R181" t="n">
        <v>0</v>
      </c>
      <c r="S181" t="n">
        <v>2</v>
      </c>
      <c r="T181" t="n">
        <v>2</v>
      </c>
      <c r="U181" t="n">
        <v>0</v>
      </c>
      <c r="V181" s="2" t="inlineStr">
        <is>
          <t>Brunlångöra
Nordfladdermus</t>
        </is>
      </c>
      <c r="W181">
        <f>HYPERLINK("https://klasma.github.io/Logging_0781/artfynd/A 12841-2025 artfynd.xlsx", "A 12841-2025")</f>
        <v/>
      </c>
      <c r="X181">
        <f>HYPERLINK("https://klasma.github.io/Logging_0781/kartor/A 12841-2025 karta.png", "A 12841-2025")</f>
        <v/>
      </c>
      <c r="Y181">
        <f>HYPERLINK("https://klasma.github.io/Logging_0781/kartor_geotiff/A 12841-2025 georefererad karta.tif", "A 12841-2025")</f>
        <v/>
      </c>
      <c r="AA181">
        <f>HYPERLINK("https://klasma.github.io/Logging_0781/klagomål/A 12841-2025 FSC-klagomål.docx", "A 12841-2025")</f>
        <v/>
      </c>
      <c r="AB181">
        <f>HYPERLINK("https://klasma.github.io/Logging_0781/klagomålsmail/A 12841-2025 FSC-klagomål mail.docx", "A 12841-2025")</f>
        <v/>
      </c>
      <c r="AC181">
        <f>HYPERLINK("https://klasma.github.io/Logging_0781/tillsyn/A 12841-2025 tillsynsbegäran.docx", "A 12841-2025")</f>
        <v/>
      </c>
      <c r="AD181">
        <f>HYPERLINK("https://klasma.github.io/Logging_0781/tillsynsmail/A 12841-2025 tillsynsbegäran mail.docx", "A 12841-2025")</f>
        <v/>
      </c>
    </row>
    <row r="182" ht="15" customHeight="1">
      <c r="A182" t="inlineStr">
        <is>
          <t>A 38396-2025</t>
        </is>
      </c>
      <c r="B182" t="inlineStr">
        <is>
          <t>avverkningsanmälan</t>
        </is>
      </c>
      <c r="C182" t="inlineStr">
        <is>
          <t>Föryngringsavverkning</t>
        </is>
      </c>
      <c r="D182" s="1" t="n">
        <v>45883</v>
      </c>
      <c r="E182" s="1" t="n">
        <v>46316</v>
      </c>
      <c r="F182" t="inlineStr">
        <is>
          <t>KRONOBERGS LÄN</t>
        </is>
      </c>
      <c r="G182" t="inlineStr">
        <is>
          <t>VÄXJÖ</t>
        </is>
      </c>
      <c r="I182" t="n">
        <v>0.5</v>
      </c>
      <c r="J182" t="n">
        <v>0</v>
      </c>
      <c r="K182" t="n">
        <v>1</v>
      </c>
      <c r="L182" t="n">
        <v>1</v>
      </c>
      <c r="M182" t="n">
        <v>0</v>
      </c>
      <c r="N182" t="n">
        <v>0</v>
      </c>
      <c r="O182" t="n">
        <v>0</v>
      </c>
      <c r="P182" t="n">
        <v>0</v>
      </c>
      <c r="Q182" t="n">
        <v>1</v>
      </c>
      <c r="R182" t="n">
        <v>0</v>
      </c>
      <c r="S182" t="n">
        <v>2</v>
      </c>
      <c r="T182" t="n">
        <v>2</v>
      </c>
      <c r="U182" t="n">
        <v>0</v>
      </c>
      <c r="V182" s="2" t="inlineStr">
        <is>
          <t>Dynstinksvamp
Smal svampklubba</t>
        </is>
      </c>
      <c r="W182">
        <f>HYPERLINK("https://klasma.github.io/Logging_0780/artfynd/A 38396-2025 artfynd.xlsx", "A 38396-2025")</f>
        <v/>
      </c>
      <c r="X182">
        <f>HYPERLINK("https://klasma.github.io/Logging_0780/kartor/A 38396-2025 karta.png", "A 38396-2025")</f>
        <v/>
      </c>
      <c r="Y182">
        <f>HYPERLINK("https://klasma.github.io/Logging_0780/kartor_geotiff/A 38396-2025 georefererad karta.tif", "A 38396-2025")</f>
        <v/>
      </c>
      <c r="AA182">
        <f>HYPERLINK("https://klasma.github.io/Logging_0780/klagomål/A 38396-2025 FSC-klagomål.docx", "A 38396-2025")</f>
        <v/>
      </c>
      <c r="AB182">
        <f>HYPERLINK("https://klasma.github.io/Logging_0780/klagomålsmail/A 38396-2025 FSC-klagomål mail.docx", "A 38396-2025")</f>
        <v/>
      </c>
      <c r="AC182">
        <f>HYPERLINK("https://klasma.github.io/Logging_0780/tillsyn/A 38396-2025 tillsynsbegäran.docx", "A 38396-2025")</f>
        <v/>
      </c>
      <c r="AD182">
        <f>HYPERLINK("https://klasma.github.io/Logging_0780/tillsynsmail/A 38396-2025 tillsynsbegäran mail.docx", "A 38396-2025")</f>
        <v/>
      </c>
    </row>
    <row r="183" ht="15" customHeight="1">
      <c r="A183" t="inlineStr">
        <is>
          <t>A 28468-2023</t>
        </is>
      </c>
      <c r="B183" t="inlineStr">
        <is>
          <t>avverkningsanmälan</t>
        </is>
      </c>
      <c r="C183" t="inlineStr">
        <is>
          <t>Föryngringsavverkning</t>
        </is>
      </c>
      <c r="D183" s="1" t="n">
        <v>45103</v>
      </c>
      <c r="E183" s="1" t="n">
        <v>46316</v>
      </c>
      <c r="F183" t="inlineStr">
        <is>
          <t>KRONOBERGS LÄN</t>
        </is>
      </c>
      <c r="G183" t="inlineStr">
        <is>
          <t>UPPVIDINGE</t>
        </is>
      </c>
      <c r="I183" t="n">
        <v>5.9</v>
      </c>
      <c r="J183" t="n">
        <v>2</v>
      </c>
      <c r="K183" t="n">
        <v>1</v>
      </c>
      <c r="L183" t="n">
        <v>0</v>
      </c>
      <c r="M183" t="n">
        <v>0</v>
      </c>
      <c r="N183" t="n">
        <v>0</v>
      </c>
      <c r="O183" t="n">
        <v>0</v>
      </c>
      <c r="P183" t="n">
        <v>0</v>
      </c>
      <c r="Q183" t="n">
        <v>0</v>
      </c>
      <c r="R183" t="n">
        <v>0</v>
      </c>
      <c r="S183" t="n">
        <v>2</v>
      </c>
      <c r="T183" t="n">
        <v>3</v>
      </c>
      <c r="U183" t="n">
        <v>1</v>
      </c>
      <c r="V183" s="2" t="inlineStr">
        <is>
          <t>Korallrot
Dubbelnycklar</t>
        </is>
      </c>
      <c r="W183">
        <f>HYPERLINK("https://klasma.github.io/Logging_0760/artfynd/A 28468-2023 artfynd.xlsx", "A 28468-2023")</f>
        <v/>
      </c>
      <c r="X183">
        <f>HYPERLINK("https://klasma.github.io/Logging_0760/kartor/A 28468-2023 karta.png", "A 28468-2023")</f>
        <v/>
      </c>
      <c r="Y183">
        <f>HYPERLINK("https://klasma.github.io/Logging_0760/kartor_geotiff/A 28468-2023 georefererad karta.tif", "A 28468-2023")</f>
        <v/>
      </c>
      <c r="AA183">
        <f>HYPERLINK("https://klasma.github.io/Logging_0760/klagomål/A 28468-2023 FSC-klagomål.docx", "A 28468-2023")</f>
        <v/>
      </c>
      <c r="AB183">
        <f>HYPERLINK("https://klasma.github.io/Logging_0760/klagomålsmail/A 28468-2023 FSC-klagomål mail.docx", "A 28468-2023")</f>
        <v/>
      </c>
      <c r="AC183">
        <f>HYPERLINK("https://klasma.github.io/Logging_0760/tillsyn/A 28468-2023 tillsynsbegäran.docx", "A 28468-2023")</f>
        <v/>
      </c>
      <c r="AD183">
        <f>HYPERLINK("https://klasma.github.io/Logging_0760/tillsynsmail/A 28468-2023 tillsynsbegäran mail.docx", "A 28468-2023")</f>
        <v/>
      </c>
    </row>
    <row r="184" ht="15" customHeight="1">
      <c r="A184" t="inlineStr">
        <is>
          <t>A 21333-2026</t>
        </is>
      </c>
      <c r="B184" t="inlineStr">
        <is>
          <t>avverkningsanmälan</t>
        </is>
      </c>
      <c r="C184" t="inlineStr">
        <is>
          <t>Föryngringsavverkning</t>
        </is>
      </c>
      <c r="D184" s="1" t="n">
        <v>46147</v>
      </c>
      <c r="E184" s="1" t="n">
        <v>46316</v>
      </c>
      <c r="F184" t="inlineStr">
        <is>
          <t>KRONOBERGS LÄN</t>
        </is>
      </c>
      <c r="G184" t="inlineStr">
        <is>
          <t>VÄXJÖ</t>
        </is>
      </c>
      <c r="I184" t="n">
        <v>1.2</v>
      </c>
      <c r="J184" t="n">
        <v>0</v>
      </c>
      <c r="K184" t="n">
        <v>0</v>
      </c>
      <c r="L184" t="n">
        <v>1</v>
      </c>
      <c r="M184" t="n">
        <v>1</v>
      </c>
      <c r="N184" t="n">
        <v>0</v>
      </c>
      <c r="O184" t="n">
        <v>0</v>
      </c>
      <c r="P184" t="n">
        <v>0</v>
      </c>
      <c r="Q184" t="n">
        <v>2</v>
      </c>
      <c r="R184" t="n">
        <v>1</v>
      </c>
      <c r="S184" t="n">
        <v>2</v>
      </c>
      <c r="T184" t="n">
        <v>2</v>
      </c>
      <c r="U184" t="n">
        <v>0</v>
      </c>
      <c r="V184" s="2" t="inlineStr">
        <is>
          <t>Slåttergubbe
Vårstarr</t>
        </is>
      </c>
      <c r="W184">
        <f>HYPERLINK("https://klasma.github.io/Logging_0780/artfynd/A 21333-2026 artfynd.xlsx", "A 21333-2026")</f>
        <v/>
      </c>
      <c r="X184">
        <f>HYPERLINK("https://klasma.github.io/Logging_0780/kartor/A 21333-2026 karta.png", "A 21333-2026")</f>
        <v/>
      </c>
      <c r="Y184">
        <f>HYPERLINK("https://klasma.github.io/Logging_0780/kartor_geotiff/A 21333-2026 georefererad karta.tif", "A 21333-2026")</f>
        <v/>
      </c>
      <c r="AA184">
        <f>HYPERLINK("https://klasma.github.io/Logging_0780/klagomål/A 21333-2026 FSC-klagomål.docx", "A 21333-2026")</f>
        <v/>
      </c>
      <c r="AB184">
        <f>HYPERLINK("https://klasma.github.io/Logging_0780/klagomålsmail/A 21333-2026 FSC-klagomål mail.docx", "A 21333-2026")</f>
        <v/>
      </c>
      <c r="AC184">
        <f>HYPERLINK("https://klasma.github.io/Logging_0780/tillsyn/A 21333-2026 tillsynsbegäran.docx", "A 21333-2026")</f>
        <v/>
      </c>
      <c r="AD184">
        <f>HYPERLINK("https://klasma.github.io/Logging_0780/tillsynsmail/A 21333-2026 tillsynsbegäran mail.docx", "A 21333-2026")</f>
        <v/>
      </c>
    </row>
    <row r="185" ht="15" customHeight="1">
      <c r="A185" t="inlineStr">
        <is>
          <t>A 3607-2024</t>
        </is>
      </c>
      <c r="B185" t="inlineStr">
        <is>
          <t>avverkningsanmälan</t>
        </is>
      </c>
      <c r="C185" t="inlineStr">
        <is>
          <t>Föryngringsavverkning</t>
        </is>
      </c>
      <c r="D185" s="1" t="n">
        <v>45320</v>
      </c>
      <c r="E185" s="1" t="n">
        <v>46316</v>
      </c>
      <c r="F185" t="inlineStr">
        <is>
          <t>KRONOBERGS LÄN</t>
        </is>
      </c>
      <c r="G185" t="inlineStr">
        <is>
          <t>UPPVIDINGE</t>
        </is>
      </c>
      <c r="I185" t="n">
        <v>1.7</v>
      </c>
      <c r="J185" t="n">
        <v>0</v>
      </c>
      <c r="K185" t="n">
        <v>0</v>
      </c>
      <c r="L185" t="n">
        <v>2</v>
      </c>
      <c r="M185" t="n">
        <v>0</v>
      </c>
      <c r="N185" t="n">
        <v>0</v>
      </c>
      <c r="O185" t="n">
        <v>0</v>
      </c>
      <c r="P185" t="n">
        <v>0</v>
      </c>
      <c r="Q185" t="n">
        <v>2</v>
      </c>
      <c r="R185" t="n">
        <v>0</v>
      </c>
      <c r="S185" t="n">
        <v>2</v>
      </c>
      <c r="T185" t="n">
        <v>2</v>
      </c>
      <c r="U185" t="n">
        <v>0</v>
      </c>
      <c r="V185" s="2" t="inlineStr">
        <is>
          <t>Fjällig taggsvamp s.str.
Skarp dropptaggsvamp</t>
        </is>
      </c>
      <c r="W185">
        <f>HYPERLINK("https://klasma.github.io/Logging_0760/artfynd/A 3607-2024 artfynd.xlsx", "A 3607-2024")</f>
        <v/>
      </c>
      <c r="X185">
        <f>HYPERLINK("https://klasma.github.io/Logging_0760/kartor/A 3607-2024 karta.png", "A 3607-2024")</f>
        <v/>
      </c>
      <c r="Y185">
        <f>HYPERLINK("https://klasma.github.io/Logging_0760/kartor_geotiff/A 3607-2024 georefererad karta.tif", "A 3607-2024")</f>
        <v/>
      </c>
      <c r="AA185">
        <f>HYPERLINK("https://klasma.github.io/Logging_0760/klagomål/A 3607-2024 FSC-klagomål.docx", "A 3607-2024")</f>
        <v/>
      </c>
      <c r="AB185">
        <f>HYPERLINK("https://klasma.github.io/Logging_0760/klagomålsmail/A 3607-2024 FSC-klagomål mail.docx", "A 3607-2024")</f>
        <v/>
      </c>
      <c r="AC185">
        <f>HYPERLINK("https://klasma.github.io/Logging_0760/tillsyn/A 3607-2024 tillsynsbegäran.docx", "A 3607-2024")</f>
        <v/>
      </c>
      <c r="AD185">
        <f>HYPERLINK("https://klasma.github.io/Logging_0760/tillsynsmail/A 3607-2024 tillsynsbegäran mail.docx", "A 3607-2024")</f>
        <v/>
      </c>
    </row>
    <row r="186" ht="15" customHeight="1">
      <c r="A186" t="inlineStr">
        <is>
          <t>A 21869-2026</t>
        </is>
      </c>
      <c r="B186" t="inlineStr">
        <is>
          <t>avverkningsanmälan</t>
        </is>
      </c>
      <c r="C186" t="inlineStr">
        <is>
          <t>Föryngringsavverkning</t>
        </is>
      </c>
      <c r="D186" s="1" t="n">
        <v>46150</v>
      </c>
      <c r="E186" s="1" t="n">
        <v>46316</v>
      </c>
      <c r="F186" t="inlineStr">
        <is>
          <t>KRONOBERGS LÄN</t>
        </is>
      </c>
      <c r="G186" t="inlineStr">
        <is>
          <t>LJUNGBY</t>
        </is>
      </c>
      <c r="I186" t="n">
        <v>3.4</v>
      </c>
      <c r="J186" t="n">
        <v>0</v>
      </c>
      <c r="K186" t="n">
        <v>0</v>
      </c>
      <c r="L186" t="n">
        <v>1</v>
      </c>
      <c r="M186" t="n">
        <v>0</v>
      </c>
      <c r="N186" t="n">
        <v>0</v>
      </c>
      <c r="O186" t="n">
        <v>0</v>
      </c>
      <c r="P186" t="n">
        <v>0</v>
      </c>
      <c r="Q186" t="n">
        <v>1</v>
      </c>
      <c r="R186" t="n">
        <v>0</v>
      </c>
      <c r="S186" t="n">
        <v>2</v>
      </c>
      <c r="T186" t="n">
        <v>2</v>
      </c>
      <c r="U186" t="n">
        <v>2</v>
      </c>
      <c r="V186" s="2" t="inlineStr">
        <is>
          <t>Svinrot
Ängskovall</t>
        </is>
      </c>
      <c r="W186">
        <f>HYPERLINK("https://klasma.github.io/Logging_0781/artfynd/A 21869-2026 artfynd.xlsx", "A 21869-2026")</f>
        <v/>
      </c>
      <c r="X186">
        <f>HYPERLINK("https://klasma.github.io/Logging_0781/kartor/A 21869-2026 karta.png", "A 21869-2026")</f>
        <v/>
      </c>
      <c r="Y186">
        <f>HYPERLINK("https://klasma.github.io/Logging_0781/kartor_geotiff/A 21869-2026 georefererad karta.tif", "A 21869-2026")</f>
        <v/>
      </c>
      <c r="AA186">
        <f>HYPERLINK("https://klasma.github.io/Logging_0781/klagomål/A 21869-2026 FSC-klagomål.docx", "A 21869-2026")</f>
        <v/>
      </c>
      <c r="AB186">
        <f>HYPERLINK("https://klasma.github.io/Logging_0781/klagomålsmail/A 21869-2026 FSC-klagomål mail.docx", "A 21869-2026")</f>
        <v/>
      </c>
      <c r="AC186">
        <f>HYPERLINK("https://klasma.github.io/Logging_0781/tillsyn/A 21869-2026 tillsynsbegäran.docx", "A 21869-2026")</f>
        <v/>
      </c>
      <c r="AD186">
        <f>HYPERLINK("https://klasma.github.io/Logging_0781/tillsynsmail/A 21869-2026 tillsynsbegäran mail.docx", "A 21869-2026")</f>
        <v/>
      </c>
    </row>
    <row r="187" ht="15" customHeight="1">
      <c r="A187" t="inlineStr">
        <is>
          <t>A 9407-2024</t>
        </is>
      </c>
      <c r="B187" t="inlineStr">
        <is>
          <t>avverkningsanmälan</t>
        </is>
      </c>
      <c r="C187" t="inlineStr">
        <is>
          <t>Föryngringsavverkning</t>
        </is>
      </c>
      <c r="D187" s="1" t="n">
        <v>45359</v>
      </c>
      <c r="E187" s="1" t="n">
        <v>46316</v>
      </c>
      <c r="F187" t="inlineStr">
        <is>
          <t>KRONOBERGS LÄN</t>
        </is>
      </c>
      <c r="G187" t="inlineStr">
        <is>
          <t>ALVESTA</t>
        </is>
      </c>
      <c r="I187" t="n">
        <v>0.6</v>
      </c>
      <c r="J187" t="n">
        <v>0</v>
      </c>
      <c r="K187" t="n">
        <v>2</v>
      </c>
      <c r="L187" t="n">
        <v>0</v>
      </c>
      <c r="M187" t="n">
        <v>0</v>
      </c>
      <c r="N187" t="n">
        <v>0</v>
      </c>
      <c r="O187" t="n">
        <v>0</v>
      </c>
      <c r="P187" t="n">
        <v>0</v>
      </c>
      <c r="Q187" t="n">
        <v>0</v>
      </c>
      <c r="R187" t="n">
        <v>0</v>
      </c>
      <c r="S187" t="n">
        <v>2</v>
      </c>
      <c r="T187" t="n">
        <v>2</v>
      </c>
      <c r="U187" t="n">
        <v>0</v>
      </c>
      <c r="V187" s="2" t="inlineStr">
        <is>
          <t>Småvaxing
Toppvaxing</t>
        </is>
      </c>
      <c r="W187">
        <f>HYPERLINK("https://klasma.github.io/Logging_0764/artfynd/A 9407-2024 artfynd.xlsx", "A 9407-2024")</f>
        <v/>
      </c>
      <c r="X187">
        <f>HYPERLINK("https://klasma.github.io/Logging_0764/kartor/A 9407-2024 karta.png", "A 9407-2024")</f>
        <v/>
      </c>
      <c r="Y187">
        <f>HYPERLINK("https://klasma.github.io/Logging_0764/kartor_geotiff/A 9407-2024 georefererad karta.tif", "A 9407-2024")</f>
        <v/>
      </c>
      <c r="AA187">
        <f>HYPERLINK("https://klasma.github.io/Logging_0764/klagomål/A 9407-2024 FSC-klagomål.docx", "A 9407-2024")</f>
        <v/>
      </c>
      <c r="AB187">
        <f>HYPERLINK("https://klasma.github.io/Logging_0764/klagomålsmail/A 9407-2024 FSC-klagomål mail.docx", "A 9407-2024")</f>
        <v/>
      </c>
      <c r="AC187">
        <f>HYPERLINK("https://klasma.github.io/Logging_0764/tillsyn/A 9407-2024 tillsynsbegäran.docx", "A 9407-2024")</f>
        <v/>
      </c>
      <c r="AD187">
        <f>HYPERLINK("https://klasma.github.io/Logging_0764/tillsynsmail/A 9407-2024 tillsynsbegäran mail.docx", "A 9407-2024")</f>
        <v/>
      </c>
    </row>
    <row r="188" ht="15" customHeight="1">
      <c r="A188" t="inlineStr">
        <is>
          <t>A 23153-2026</t>
        </is>
      </c>
      <c r="B188" t="inlineStr">
        <is>
          <t>avverkningsanmälan</t>
        </is>
      </c>
      <c r="C188" t="inlineStr">
        <is>
          <t>Föryngringsavverkning</t>
        </is>
      </c>
      <c r="D188" s="1" t="n">
        <v>46161</v>
      </c>
      <c r="E188" s="1" t="n">
        <v>46316</v>
      </c>
      <c r="F188" t="inlineStr">
        <is>
          <t>KRONOBERGS LÄN</t>
        </is>
      </c>
      <c r="G188" t="inlineStr">
        <is>
          <t>VÄXJÖ</t>
        </is>
      </c>
      <c r="I188" t="n">
        <v>0.5</v>
      </c>
      <c r="J188" t="n">
        <v>1</v>
      </c>
      <c r="K188" t="n">
        <v>1</v>
      </c>
      <c r="L188" t="n">
        <v>0</v>
      </c>
      <c r="M188" t="n">
        <v>0</v>
      </c>
      <c r="N188" t="n">
        <v>0</v>
      </c>
      <c r="O188" t="n">
        <v>0</v>
      </c>
      <c r="P188" t="n">
        <v>0</v>
      </c>
      <c r="Q188" t="n">
        <v>0</v>
      </c>
      <c r="R188" t="n">
        <v>0</v>
      </c>
      <c r="S188" t="n">
        <v>2</v>
      </c>
      <c r="T188" t="n">
        <v>2</v>
      </c>
      <c r="U188" t="n">
        <v>0</v>
      </c>
      <c r="V188" s="2" t="inlineStr">
        <is>
          <t>Västlig hakmossa
Tjäder</t>
        </is>
      </c>
      <c r="W188">
        <f>HYPERLINK("https://klasma.github.io/Logging_0780/artfynd/A 23153-2026 artfynd.xlsx", "A 23153-2026")</f>
        <v/>
      </c>
      <c r="X188">
        <f>HYPERLINK("https://klasma.github.io/Logging_0780/kartor/A 23153-2026 karta.png", "A 23153-2026")</f>
        <v/>
      </c>
      <c r="Y188">
        <f>HYPERLINK("https://klasma.github.io/Logging_0780/kartor_geotiff/A 23153-2026 georefererad karta.tif", "A 23153-2026")</f>
        <v/>
      </c>
      <c r="AA188">
        <f>HYPERLINK("https://klasma.github.io/Logging_0780/klagomål/A 23153-2026 FSC-klagomål.docx", "A 23153-2026")</f>
        <v/>
      </c>
      <c r="AB188">
        <f>HYPERLINK("https://klasma.github.io/Logging_0780/klagomålsmail/A 23153-2026 FSC-klagomål mail.docx", "A 23153-2026")</f>
        <v/>
      </c>
      <c r="AC188">
        <f>HYPERLINK("https://klasma.github.io/Logging_0780/tillsyn/A 23153-2026 tillsynsbegäran.docx", "A 23153-2026")</f>
        <v/>
      </c>
      <c r="AD188">
        <f>HYPERLINK("https://klasma.github.io/Logging_0780/tillsynsmail/A 23153-2026 tillsynsbegäran mail.docx", "A 23153-2026")</f>
        <v/>
      </c>
      <c r="AE188">
        <f>HYPERLINK("https://klasma.github.io/Logging_0780/fåglar/A 23153-2026 prioriterade fågelarter.docx", "A 23153-2026")</f>
        <v/>
      </c>
    </row>
    <row r="189" ht="15" customHeight="1">
      <c r="A189" t="inlineStr">
        <is>
          <t>A 14429-2023</t>
        </is>
      </c>
      <c r="B189" t="inlineStr">
        <is>
          <t>avverkningsanmälan</t>
        </is>
      </c>
      <c r="C189" t="inlineStr">
        <is>
          <t>Föryngringsavverkning</t>
        </is>
      </c>
      <c r="D189" s="1" t="n">
        <v>45012</v>
      </c>
      <c r="E189" s="1" t="n">
        <v>46316</v>
      </c>
      <c r="F189" t="inlineStr">
        <is>
          <t>KRONOBERGS LÄN</t>
        </is>
      </c>
      <c r="G189" t="inlineStr">
        <is>
          <t>ÄLMHULT</t>
        </is>
      </c>
      <c r="I189" t="n">
        <v>1.5</v>
      </c>
      <c r="J189" t="n">
        <v>1</v>
      </c>
      <c r="K189" t="n">
        <v>1</v>
      </c>
      <c r="L189" t="n">
        <v>0</v>
      </c>
      <c r="M189" t="n">
        <v>0</v>
      </c>
      <c r="N189" t="n">
        <v>0</v>
      </c>
      <c r="O189" t="n">
        <v>0</v>
      </c>
      <c r="P189" t="n">
        <v>0</v>
      </c>
      <c r="Q189" t="n">
        <v>0</v>
      </c>
      <c r="R189" t="n">
        <v>0</v>
      </c>
      <c r="S189" t="n">
        <v>2</v>
      </c>
      <c r="T189" t="n">
        <v>2</v>
      </c>
      <c r="U189" t="n">
        <v>1</v>
      </c>
      <c r="V189" s="2" t="inlineStr">
        <is>
          <t>Gulnål
Ärtsångare</t>
        </is>
      </c>
      <c r="W189">
        <f>HYPERLINK("https://klasma.github.io/Logging_0765/artfynd/A 14429-2023 artfynd.xlsx", "A 14429-2023")</f>
        <v/>
      </c>
      <c r="X189">
        <f>HYPERLINK("https://klasma.github.io/Logging_0765/kartor/A 14429-2023 karta.png", "A 14429-2023")</f>
        <v/>
      </c>
      <c r="Y189">
        <f>HYPERLINK("https://klasma.github.io/Logging_0765/kartor_geotiff/A 14429-2023 georefererad karta.tif", "A 14429-2023")</f>
        <v/>
      </c>
      <c r="AA189">
        <f>HYPERLINK("https://klasma.github.io/Logging_0765/klagomål/A 14429-2023 FSC-klagomål.docx", "A 14429-2023")</f>
        <v/>
      </c>
      <c r="AB189">
        <f>HYPERLINK("https://klasma.github.io/Logging_0765/klagomålsmail/A 14429-2023 FSC-klagomål mail.docx", "A 14429-2023")</f>
        <v/>
      </c>
      <c r="AC189">
        <f>HYPERLINK("https://klasma.github.io/Logging_0765/tillsyn/A 14429-2023 tillsynsbegäran.docx", "A 14429-2023")</f>
        <v/>
      </c>
      <c r="AD189">
        <f>HYPERLINK("https://klasma.github.io/Logging_0765/tillsynsmail/A 14429-2023 tillsynsbegäran mail.docx", "A 14429-2023")</f>
        <v/>
      </c>
    </row>
    <row r="190" ht="15" customHeight="1">
      <c r="A190" t="inlineStr">
        <is>
          <t>A 24410-2026</t>
        </is>
      </c>
      <c r="B190" t="inlineStr">
        <is>
          <t>avverkningsanmälan</t>
        </is>
      </c>
      <c r="C190" t="inlineStr">
        <is>
          <t>Föryngringsavverkning</t>
        </is>
      </c>
      <c r="D190" s="1" t="n">
        <v>46169</v>
      </c>
      <c r="E190" s="1" t="n">
        <v>46316</v>
      </c>
      <c r="F190" t="inlineStr">
        <is>
          <t>KRONOBERGS LÄN</t>
        </is>
      </c>
      <c r="G190" t="inlineStr">
        <is>
          <t>UPPVIDINGE</t>
        </is>
      </c>
      <c r="I190" t="n">
        <v>4.7</v>
      </c>
      <c r="J190" t="n">
        <v>2</v>
      </c>
      <c r="K190" t="n">
        <v>0</v>
      </c>
      <c r="L190" t="n">
        <v>2</v>
      </c>
      <c r="M190" t="n">
        <v>0</v>
      </c>
      <c r="N190" t="n">
        <v>0</v>
      </c>
      <c r="O190" t="n">
        <v>0</v>
      </c>
      <c r="P190" t="n">
        <v>0</v>
      </c>
      <c r="Q190" t="n">
        <v>2</v>
      </c>
      <c r="R190" t="n">
        <v>0</v>
      </c>
      <c r="S190" t="n">
        <v>2</v>
      </c>
      <c r="T190" t="n">
        <v>2</v>
      </c>
      <c r="U190" t="n">
        <v>0</v>
      </c>
      <c r="V190" s="2" t="inlineStr">
        <is>
          <t>Brunlångöra
Nordfladdermus</t>
        </is>
      </c>
      <c r="W190">
        <f>HYPERLINK("https://klasma.github.io/Logging_0760/artfynd/A 24410-2026 artfynd.xlsx", "A 24410-2026")</f>
        <v/>
      </c>
      <c r="X190">
        <f>HYPERLINK("https://klasma.github.io/Logging_0760/kartor/A 24410-2026 karta.png", "A 24410-2026")</f>
        <v/>
      </c>
      <c r="Y190">
        <f>HYPERLINK("https://klasma.github.io/Logging_0760/kartor_geotiff/A 24410-2026 georefererad karta.tif", "A 24410-2026")</f>
        <v/>
      </c>
      <c r="AA190">
        <f>HYPERLINK("https://klasma.github.io/Logging_0760/klagomål/A 24410-2026 FSC-klagomål.docx", "A 24410-2026")</f>
        <v/>
      </c>
      <c r="AB190">
        <f>HYPERLINK("https://klasma.github.io/Logging_0760/klagomålsmail/A 24410-2026 FSC-klagomål mail.docx", "A 24410-2026")</f>
        <v/>
      </c>
      <c r="AC190">
        <f>HYPERLINK("https://klasma.github.io/Logging_0760/tillsyn/A 24410-2026 tillsynsbegäran.docx", "A 24410-2026")</f>
        <v/>
      </c>
      <c r="AD190">
        <f>HYPERLINK("https://klasma.github.io/Logging_0760/tillsynsmail/A 24410-2026 tillsynsbegäran mail.docx", "A 24410-2026")</f>
        <v/>
      </c>
    </row>
    <row r="191" ht="15" customHeight="1">
      <c r="A191" t="inlineStr">
        <is>
          <t>A 9027-2024</t>
        </is>
      </c>
      <c r="B191" t="inlineStr">
        <is>
          <t>avverkningsanmälan</t>
        </is>
      </c>
      <c r="C191" t="inlineStr">
        <is>
          <t>Föryngringsavverkning</t>
        </is>
      </c>
      <c r="D191" s="1" t="n">
        <v>45357</v>
      </c>
      <c r="E191" s="1" t="n">
        <v>46316</v>
      </c>
      <c r="F191" t="inlineStr">
        <is>
          <t>KRONOBERGS LÄN</t>
        </is>
      </c>
      <c r="G191" t="inlineStr">
        <is>
          <t>LJUNGBY</t>
        </is>
      </c>
      <c r="I191" t="n">
        <v>0.4</v>
      </c>
      <c r="J191" t="n">
        <v>1</v>
      </c>
      <c r="K191" t="n">
        <v>0</v>
      </c>
      <c r="L191" t="n">
        <v>1</v>
      </c>
      <c r="M191" t="n">
        <v>0</v>
      </c>
      <c r="N191" t="n">
        <v>1</v>
      </c>
      <c r="O191" t="n">
        <v>0</v>
      </c>
      <c r="P191" t="n">
        <v>0</v>
      </c>
      <c r="Q191" t="n">
        <v>2</v>
      </c>
      <c r="R191" t="n">
        <v>1</v>
      </c>
      <c r="S191" t="n">
        <v>2</v>
      </c>
      <c r="T191" t="n">
        <v>4</v>
      </c>
      <c r="U191" t="n">
        <v>0</v>
      </c>
      <c r="V191" s="2" t="inlineStr">
        <is>
          <t>Klockgentiana
Granspira</t>
        </is>
      </c>
      <c r="W191">
        <f>HYPERLINK("https://klasma.github.io/Logging_0781/artfynd/A 9027-2024 artfynd.xlsx", "A 9027-2024")</f>
        <v/>
      </c>
      <c r="X191">
        <f>HYPERLINK("https://klasma.github.io/Logging_0781/kartor/A 9027-2024 karta.png", "A 9027-2024")</f>
        <v/>
      </c>
      <c r="Y191">
        <f>HYPERLINK("https://klasma.github.io/Logging_0781/kartor_geotiff/A 9027-2024 georefererad karta.tif", "A 9027-2024")</f>
        <v/>
      </c>
      <c r="AA191">
        <f>HYPERLINK("https://klasma.github.io/Logging_0781/klagomål/A 9027-2024 FSC-klagomål.docx", "A 9027-2024")</f>
        <v/>
      </c>
      <c r="AB191">
        <f>HYPERLINK("https://klasma.github.io/Logging_0781/klagomålsmail/A 9027-2024 FSC-klagomål mail.docx", "A 9027-2024")</f>
        <v/>
      </c>
      <c r="AC191">
        <f>HYPERLINK("https://klasma.github.io/Logging_0781/tillsyn/A 9027-2024 tillsynsbegäran.docx", "A 9027-2024")</f>
        <v/>
      </c>
      <c r="AD191">
        <f>HYPERLINK("https://klasma.github.io/Logging_0781/tillsynsmail/A 9027-2024 tillsynsbegäran mail.docx", "A 9027-2024")</f>
        <v/>
      </c>
    </row>
    <row r="192" ht="15" customHeight="1">
      <c r="A192" t="inlineStr">
        <is>
          <t>A 25359-2026</t>
        </is>
      </c>
      <c r="B192" t="inlineStr">
        <is>
          <t>avverkningsanmälan</t>
        </is>
      </c>
      <c r="C192" t="inlineStr">
        <is>
          <t>Föryngringsavverkning</t>
        </is>
      </c>
      <c r="D192" s="1" t="n">
        <v>46176</v>
      </c>
      <c r="E192" s="1" t="n">
        <v>46316</v>
      </c>
      <c r="F192" t="inlineStr">
        <is>
          <t>KRONOBERGS LÄN</t>
        </is>
      </c>
      <c r="G192" t="inlineStr">
        <is>
          <t>LESSEBO</t>
        </is>
      </c>
      <c r="H192" t="inlineStr">
        <is>
          <t>Sveaskog</t>
        </is>
      </c>
      <c r="I192" t="n">
        <v>1</v>
      </c>
      <c r="J192" t="n">
        <v>2</v>
      </c>
      <c r="K192" t="n">
        <v>0</v>
      </c>
      <c r="L192" t="n">
        <v>1</v>
      </c>
      <c r="M192" t="n">
        <v>0</v>
      </c>
      <c r="N192" t="n">
        <v>0</v>
      </c>
      <c r="O192" t="n">
        <v>0</v>
      </c>
      <c r="P192" t="n">
        <v>0</v>
      </c>
      <c r="Q192" t="n">
        <v>1</v>
      </c>
      <c r="R192" t="n">
        <v>0</v>
      </c>
      <c r="S192" t="n">
        <v>2</v>
      </c>
      <c r="T192" t="n">
        <v>3</v>
      </c>
      <c r="U192" t="n">
        <v>0</v>
      </c>
      <c r="V192" s="2" t="inlineStr">
        <is>
          <t>Talltita
Kungsfågel</t>
        </is>
      </c>
      <c r="W192">
        <f>HYPERLINK("https://klasma.github.io/Logging_0761/artfynd/A 25359-2026 artfynd.xlsx", "A 25359-2026")</f>
        <v/>
      </c>
      <c r="X192">
        <f>HYPERLINK("https://klasma.github.io/Logging_0761/kartor/A 25359-2026 karta.png", "A 25359-2026")</f>
        <v/>
      </c>
      <c r="Y192">
        <f>HYPERLINK("https://klasma.github.io/Logging_0761/kartor_geotiff/A 25359-2026 georefererad karta.tif", "A 25359-2026")</f>
        <v/>
      </c>
      <c r="AA192">
        <f>HYPERLINK("https://klasma.github.io/Logging_0761/klagomål/A 25359-2026 FSC-klagomål.docx", "A 25359-2026")</f>
        <v/>
      </c>
      <c r="AB192">
        <f>HYPERLINK("https://klasma.github.io/Logging_0761/klagomålsmail/A 25359-2026 FSC-klagomål mail.docx", "A 25359-2026")</f>
        <v/>
      </c>
      <c r="AC192">
        <f>HYPERLINK("https://klasma.github.io/Logging_0761/tillsyn/A 25359-2026 tillsynsbegäran.docx", "A 25359-2026")</f>
        <v/>
      </c>
      <c r="AD192">
        <f>HYPERLINK("https://klasma.github.io/Logging_0761/tillsynsmail/A 25359-2026 tillsynsbegäran mail.docx", "A 25359-2026")</f>
        <v/>
      </c>
      <c r="AE192">
        <f>HYPERLINK("https://klasma.github.io/Logging_0761/fåglar/A 25359-2026 prioriterade fågelarter.docx", "A 25359-2026")</f>
        <v/>
      </c>
    </row>
    <row r="193" ht="15" customHeight="1">
      <c r="A193" t="inlineStr">
        <is>
          <t>A 43196-2023</t>
        </is>
      </c>
      <c r="B193" t="inlineStr">
        <is>
          <t>avverkningsanmälan</t>
        </is>
      </c>
      <c r="C193" t="inlineStr">
        <is>
          <t>Föryngringsavverkning</t>
        </is>
      </c>
      <c r="D193" s="1" t="n">
        <v>45183</v>
      </c>
      <c r="E193" s="1" t="n">
        <v>46316</v>
      </c>
      <c r="F193" t="inlineStr">
        <is>
          <t>KRONOBERGS LÄN</t>
        </is>
      </c>
      <c r="G193" t="inlineStr">
        <is>
          <t>ÄLMHULT</t>
        </is>
      </c>
      <c r="I193" t="n">
        <v>2</v>
      </c>
      <c r="J193" t="n">
        <v>0</v>
      </c>
      <c r="K193" t="n">
        <v>1</v>
      </c>
      <c r="L193" t="n">
        <v>1</v>
      </c>
      <c r="M193" t="n">
        <v>0</v>
      </c>
      <c r="N193" t="n">
        <v>0</v>
      </c>
      <c r="O193" t="n">
        <v>0</v>
      </c>
      <c r="P193" t="n">
        <v>0</v>
      </c>
      <c r="Q193" t="n">
        <v>1</v>
      </c>
      <c r="R193" t="n">
        <v>0</v>
      </c>
      <c r="S193" t="n">
        <v>2</v>
      </c>
      <c r="T193" t="n">
        <v>4</v>
      </c>
      <c r="U193" t="n">
        <v>0</v>
      </c>
      <c r="V193" s="2" t="inlineStr">
        <is>
          <t>Vedtrappmossa
Blåsfliksmossa</t>
        </is>
      </c>
      <c r="W193">
        <f>HYPERLINK("https://klasma.github.io/Logging_0765/artfynd/A 43196-2023 artfynd.xlsx", "A 43196-2023")</f>
        <v/>
      </c>
      <c r="X193">
        <f>HYPERLINK("https://klasma.github.io/Logging_0765/kartor/A 43196-2023 karta.png", "A 43196-2023")</f>
        <v/>
      </c>
      <c r="Y193">
        <f>HYPERLINK("https://klasma.github.io/Logging_0765/kartor_geotiff/A 43196-2023 georefererad karta.tif", "A 43196-2023")</f>
        <v/>
      </c>
      <c r="AA193">
        <f>HYPERLINK("https://klasma.github.io/Logging_0765/klagomål/A 43196-2023 FSC-klagomål.docx", "A 43196-2023")</f>
        <v/>
      </c>
      <c r="AB193">
        <f>HYPERLINK("https://klasma.github.io/Logging_0765/klagomålsmail/A 43196-2023 FSC-klagomål mail.docx", "A 43196-2023")</f>
        <v/>
      </c>
      <c r="AC193">
        <f>HYPERLINK("https://klasma.github.io/Logging_0765/tillsyn/A 43196-2023 tillsynsbegäran.docx", "A 43196-2023")</f>
        <v/>
      </c>
      <c r="AD193">
        <f>HYPERLINK("https://klasma.github.io/Logging_0765/tillsynsmail/A 43196-2023 tillsynsbegäran mail.docx", "A 43196-2023")</f>
        <v/>
      </c>
    </row>
    <row r="194" ht="15" customHeight="1">
      <c r="A194" t="inlineStr">
        <is>
          <t>A 44923-2023</t>
        </is>
      </c>
      <c r="B194" t="inlineStr">
        <is>
          <t>avverkningsanmälan</t>
        </is>
      </c>
      <c r="C194" t="inlineStr">
        <is>
          <t>Föryngringsavverkning</t>
        </is>
      </c>
      <c r="D194" s="1" t="n">
        <v>45190</v>
      </c>
      <c r="E194" s="1" t="n">
        <v>46316</v>
      </c>
      <c r="F194" t="inlineStr">
        <is>
          <t>KRONOBERGS LÄN</t>
        </is>
      </c>
      <c r="G194" t="inlineStr">
        <is>
          <t>VÄXJÖ</t>
        </is>
      </c>
      <c r="I194" t="n">
        <v>2.3</v>
      </c>
      <c r="J194" t="n">
        <v>0</v>
      </c>
      <c r="K194" t="n">
        <v>0</v>
      </c>
      <c r="L194" t="n">
        <v>2</v>
      </c>
      <c r="M194" t="n">
        <v>0</v>
      </c>
      <c r="N194" t="n">
        <v>0</v>
      </c>
      <c r="O194" t="n">
        <v>0</v>
      </c>
      <c r="P194" t="n">
        <v>0</v>
      </c>
      <c r="Q194" t="n">
        <v>2</v>
      </c>
      <c r="R194" t="n">
        <v>0</v>
      </c>
      <c r="S194" t="n">
        <v>2</v>
      </c>
      <c r="T194" t="n">
        <v>2</v>
      </c>
      <c r="U194" t="n">
        <v>1</v>
      </c>
      <c r="V194" s="2" t="inlineStr">
        <is>
          <t>Sommarfibbla
Åkerkulla</t>
        </is>
      </c>
      <c r="W194">
        <f>HYPERLINK("https://klasma.github.io/Logging_0780/artfynd/A 44923-2023 artfynd.xlsx", "A 44923-2023")</f>
        <v/>
      </c>
      <c r="X194">
        <f>HYPERLINK("https://klasma.github.io/Logging_0780/kartor/A 44923-2023 karta.png", "A 44923-2023")</f>
        <v/>
      </c>
      <c r="Y194">
        <f>HYPERLINK("https://klasma.github.io/Logging_0780/kartor_geotiff/A 44923-2023 georefererad karta.tif", "A 44923-2023")</f>
        <v/>
      </c>
      <c r="AA194">
        <f>HYPERLINK("https://klasma.github.io/Logging_0780/klagomål/A 44923-2023 FSC-klagomål.docx", "A 44923-2023")</f>
        <v/>
      </c>
      <c r="AB194">
        <f>HYPERLINK("https://klasma.github.io/Logging_0780/klagomålsmail/A 44923-2023 FSC-klagomål mail.docx", "A 44923-2023")</f>
        <v/>
      </c>
      <c r="AC194">
        <f>HYPERLINK("https://klasma.github.io/Logging_0780/tillsyn/A 44923-2023 tillsynsbegäran.docx", "A 44923-2023")</f>
        <v/>
      </c>
      <c r="AD194">
        <f>HYPERLINK("https://klasma.github.io/Logging_0780/tillsynsmail/A 44923-2023 tillsynsbegäran mail.docx", "A 44923-2023")</f>
        <v/>
      </c>
    </row>
    <row r="195" ht="15" customHeight="1">
      <c r="A195" t="inlineStr">
        <is>
          <t>A 26423-2026</t>
        </is>
      </c>
      <c r="B195" t="inlineStr">
        <is>
          <t>avverkningsanmälan</t>
        </is>
      </c>
      <c r="C195" t="inlineStr">
        <is>
          <t>Föryngringsavverkning</t>
        </is>
      </c>
      <c r="D195" s="1" t="n">
        <v>46182</v>
      </c>
      <c r="E195" s="1" t="n">
        <v>46316</v>
      </c>
      <c r="F195" t="inlineStr">
        <is>
          <t>KRONOBERGS LÄN</t>
        </is>
      </c>
      <c r="G195" t="inlineStr">
        <is>
          <t>VÄXJÖ</t>
        </is>
      </c>
      <c r="H195" t="inlineStr">
        <is>
          <t>Kyrkan</t>
        </is>
      </c>
      <c r="I195" t="n">
        <v>1.9</v>
      </c>
      <c r="J195" t="n">
        <v>2</v>
      </c>
      <c r="K195" t="n">
        <v>0</v>
      </c>
      <c r="L195" t="n">
        <v>0</v>
      </c>
      <c r="M195" t="n">
        <v>0</v>
      </c>
      <c r="N195" t="n">
        <v>0</v>
      </c>
      <c r="O195" t="n">
        <v>0</v>
      </c>
      <c r="P195" t="n">
        <v>0</v>
      </c>
      <c r="Q195" t="n">
        <v>0</v>
      </c>
      <c r="R195" t="n">
        <v>0</v>
      </c>
      <c r="S195" t="n">
        <v>2</v>
      </c>
      <c r="T195" t="n">
        <v>2</v>
      </c>
      <c r="U195" t="n">
        <v>1</v>
      </c>
      <c r="V195" s="2" t="inlineStr">
        <is>
          <t>Hårklomossa
Spillkråka</t>
        </is>
      </c>
      <c r="W195">
        <f>HYPERLINK("https://klasma.github.io/Logging_0780/artfynd/A 26423-2026 artfynd.xlsx", "A 26423-2026")</f>
        <v/>
      </c>
      <c r="X195">
        <f>HYPERLINK("https://klasma.github.io/Logging_0780/kartor/A 26423-2026 karta.png", "A 26423-2026")</f>
        <v/>
      </c>
      <c r="Y195">
        <f>HYPERLINK("https://klasma.github.io/Logging_0780/kartor_geotiff/A 26423-2026 georefererad karta.tif", "A 26423-2026")</f>
        <v/>
      </c>
      <c r="AA195">
        <f>HYPERLINK("https://klasma.github.io/Logging_0780/klagomål/A 26423-2026 FSC-klagomål.docx", "A 26423-2026")</f>
        <v/>
      </c>
      <c r="AB195">
        <f>HYPERLINK("https://klasma.github.io/Logging_0780/klagomålsmail/A 26423-2026 FSC-klagomål mail.docx", "A 26423-2026")</f>
        <v/>
      </c>
      <c r="AC195">
        <f>HYPERLINK("https://klasma.github.io/Logging_0780/tillsyn/A 26423-2026 tillsynsbegäran.docx", "A 26423-2026")</f>
        <v/>
      </c>
      <c r="AD195">
        <f>HYPERLINK("https://klasma.github.io/Logging_0780/tillsynsmail/A 26423-2026 tillsynsbegäran mail.docx", "A 26423-2026")</f>
        <v/>
      </c>
      <c r="AE195">
        <f>HYPERLINK("https://klasma.github.io/Logging_0780/fåglar/A 26423-2026 prioriterade fågelarter.docx", "A 26423-2026")</f>
        <v/>
      </c>
    </row>
    <row r="196" ht="15" customHeight="1">
      <c r="A196" t="inlineStr">
        <is>
          <t>A 51489-2024</t>
        </is>
      </c>
      <c r="B196" t="inlineStr">
        <is>
          <t>avverkningsanmälan</t>
        </is>
      </c>
      <c r="C196" t="inlineStr">
        <is>
          <t>Föryngringsavverkning</t>
        </is>
      </c>
      <c r="D196" s="1" t="n">
        <v>45604</v>
      </c>
      <c r="E196" s="1" t="n">
        <v>46316</v>
      </c>
      <c r="F196" t="inlineStr">
        <is>
          <t>KRONOBERGS LÄN</t>
        </is>
      </c>
      <c r="G196" t="inlineStr">
        <is>
          <t>UPPVIDINGE</t>
        </is>
      </c>
      <c r="I196" t="n">
        <v>1.3</v>
      </c>
      <c r="J196" t="n">
        <v>0</v>
      </c>
      <c r="K196" t="n">
        <v>1</v>
      </c>
      <c r="L196" t="n">
        <v>1</v>
      </c>
      <c r="M196" t="n">
        <v>0</v>
      </c>
      <c r="N196" t="n">
        <v>0</v>
      </c>
      <c r="O196" t="n">
        <v>0</v>
      </c>
      <c r="P196" t="n">
        <v>0</v>
      </c>
      <c r="Q196" t="n">
        <v>1</v>
      </c>
      <c r="R196" t="n">
        <v>0</v>
      </c>
      <c r="S196" t="n">
        <v>2</v>
      </c>
      <c r="T196" t="n">
        <v>2</v>
      </c>
      <c r="U196" t="n">
        <v>2</v>
      </c>
      <c r="V196" s="2" t="inlineStr">
        <is>
          <t>Slåtterfibbla
Tibast</t>
        </is>
      </c>
      <c r="W196">
        <f>HYPERLINK("https://klasma.github.io/Logging_0760/artfynd/A 51489-2024 artfynd.xlsx", "A 51489-2024")</f>
        <v/>
      </c>
      <c r="X196">
        <f>HYPERLINK("https://klasma.github.io/Logging_0760/kartor/A 51489-2024 karta.png", "A 51489-2024")</f>
        <v/>
      </c>
      <c r="Y196">
        <f>HYPERLINK("https://klasma.github.io/Logging_0760/kartor_geotiff/A 51489-2024 georefererad karta.tif", "A 51489-2024")</f>
        <v/>
      </c>
      <c r="AA196">
        <f>HYPERLINK("https://klasma.github.io/Logging_0760/klagomål/A 51489-2024 FSC-klagomål.docx", "A 51489-2024")</f>
        <v/>
      </c>
      <c r="AB196">
        <f>HYPERLINK("https://klasma.github.io/Logging_0760/klagomålsmail/A 51489-2024 FSC-klagomål mail.docx", "A 51489-2024")</f>
        <v/>
      </c>
      <c r="AC196">
        <f>HYPERLINK("https://klasma.github.io/Logging_0760/tillsyn/A 51489-2024 tillsynsbegäran.docx", "A 51489-2024")</f>
        <v/>
      </c>
      <c r="AD196">
        <f>HYPERLINK("https://klasma.github.io/Logging_0760/tillsynsmail/A 51489-2024 tillsynsbegäran mail.docx", "A 51489-2024")</f>
        <v/>
      </c>
    </row>
    <row r="197" ht="15" customHeight="1">
      <c r="A197" t="inlineStr">
        <is>
          <t>A 6812-2024</t>
        </is>
      </c>
      <c r="B197" t="inlineStr">
        <is>
          <t>avverkningsanmälan</t>
        </is>
      </c>
      <c r="C197" t="inlineStr">
        <is>
          <t>Föryngringsavverkning</t>
        </is>
      </c>
      <c r="D197" s="1" t="n">
        <v>45342</v>
      </c>
      <c r="E197" s="1" t="n">
        <v>46316</v>
      </c>
      <c r="F197" t="inlineStr">
        <is>
          <t>KRONOBERGS LÄN</t>
        </is>
      </c>
      <c r="G197" t="inlineStr">
        <is>
          <t>ALVESTA</t>
        </is>
      </c>
      <c r="I197" t="n">
        <v>1.4</v>
      </c>
      <c r="J197" t="n">
        <v>2</v>
      </c>
      <c r="K197" t="n">
        <v>0</v>
      </c>
      <c r="L197" t="n">
        <v>0</v>
      </c>
      <c r="M197" t="n">
        <v>0</v>
      </c>
      <c r="N197" t="n">
        <v>0</v>
      </c>
      <c r="O197" t="n">
        <v>0</v>
      </c>
      <c r="P197" t="n">
        <v>0</v>
      </c>
      <c r="Q197" t="n">
        <v>0</v>
      </c>
      <c r="R197" t="n">
        <v>0</v>
      </c>
      <c r="S197" t="n">
        <v>2</v>
      </c>
      <c r="T197" t="n">
        <v>2</v>
      </c>
      <c r="U197" t="n">
        <v>0</v>
      </c>
      <c r="V197" s="2" t="inlineStr">
        <is>
          <t>Spillkråka
Trana</t>
        </is>
      </c>
      <c r="W197">
        <f>HYPERLINK("https://klasma.github.io/Logging_0764/artfynd/A 6812-2024 artfynd.xlsx", "A 6812-2024")</f>
        <v/>
      </c>
      <c r="X197">
        <f>HYPERLINK("https://klasma.github.io/Logging_0764/kartor/A 6812-2024 karta.png", "A 6812-2024")</f>
        <v/>
      </c>
      <c r="Y197">
        <f>HYPERLINK("https://klasma.github.io/Logging_0764/kartor_geotiff/A 6812-2024 georefererad karta.tif", "A 6812-2024")</f>
        <v/>
      </c>
      <c r="AA197">
        <f>HYPERLINK("https://klasma.github.io/Logging_0764/klagomål/A 6812-2024 FSC-klagomål.docx", "A 6812-2024")</f>
        <v/>
      </c>
      <c r="AB197">
        <f>HYPERLINK("https://klasma.github.io/Logging_0764/klagomålsmail/A 6812-2024 FSC-klagomål mail.docx", "A 6812-2024")</f>
        <v/>
      </c>
      <c r="AC197">
        <f>HYPERLINK("https://klasma.github.io/Logging_0764/tillsyn/A 6812-2024 tillsynsbegäran.docx", "A 6812-2024")</f>
        <v/>
      </c>
      <c r="AD197">
        <f>HYPERLINK("https://klasma.github.io/Logging_0764/tillsynsmail/A 6812-2024 tillsynsbegäran mail.docx", "A 6812-2024")</f>
        <v/>
      </c>
      <c r="AE197">
        <f>HYPERLINK("https://klasma.github.io/Logging_0764/fåglar/A 6812-2024 prioriterade fågelarter.docx", "A 6812-2024")</f>
        <v/>
      </c>
    </row>
    <row r="198" ht="15" customHeight="1">
      <c r="A198" t="inlineStr">
        <is>
          <t>A 28286-2026</t>
        </is>
      </c>
      <c r="B198" t="inlineStr">
        <is>
          <t>avverkningsanmälan</t>
        </is>
      </c>
      <c r="C198" t="inlineStr">
        <is>
          <t>Föryngringsavverkning</t>
        </is>
      </c>
      <c r="D198" s="1" t="n">
        <v>46196</v>
      </c>
      <c r="E198" s="1" t="n">
        <v>46316</v>
      </c>
      <c r="F198" t="inlineStr">
        <is>
          <t>KRONOBERGS LÄN</t>
        </is>
      </c>
      <c r="G198" t="inlineStr">
        <is>
          <t>LJUNGBY</t>
        </is>
      </c>
      <c r="I198" t="n">
        <v>0.5</v>
      </c>
      <c r="J198" t="n">
        <v>2</v>
      </c>
      <c r="K198" t="n">
        <v>2</v>
      </c>
      <c r="L198" t="n">
        <v>0</v>
      </c>
      <c r="M198" t="n">
        <v>0</v>
      </c>
      <c r="N198" t="n">
        <v>0</v>
      </c>
      <c r="O198" t="n">
        <v>0</v>
      </c>
      <c r="P198" t="n">
        <v>0</v>
      </c>
      <c r="Q198" t="n">
        <v>0</v>
      </c>
      <c r="R198" t="n">
        <v>0</v>
      </c>
      <c r="S198" t="n">
        <v>2</v>
      </c>
      <c r="T198" t="n">
        <v>2</v>
      </c>
      <c r="U198" t="n">
        <v>2</v>
      </c>
      <c r="V198" s="2" t="inlineStr">
        <is>
          <t>Korallrot
Spindelblomster</t>
        </is>
      </c>
      <c r="W198">
        <f>HYPERLINK("https://klasma.github.io/Logging_0781/artfynd/A 28286-2026 artfynd.xlsx", "A 28286-2026")</f>
        <v/>
      </c>
      <c r="X198">
        <f>HYPERLINK("https://klasma.github.io/Logging_0781/kartor/A 28286-2026 karta.png", "A 28286-2026")</f>
        <v/>
      </c>
      <c r="Y198">
        <f>HYPERLINK("https://klasma.github.io/Logging_0781/kartor_geotiff/A 28286-2026 georefererad karta.tif", "A 28286-2026")</f>
        <v/>
      </c>
      <c r="AA198">
        <f>HYPERLINK("https://klasma.github.io/Logging_0781/klagomål/A 28286-2026 FSC-klagomål.docx", "A 28286-2026")</f>
        <v/>
      </c>
      <c r="AB198">
        <f>HYPERLINK("https://klasma.github.io/Logging_0781/klagomålsmail/A 28286-2026 FSC-klagomål mail.docx", "A 28286-2026")</f>
        <v/>
      </c>
      <c r="AC198">
        <f>HYPERLINK("https://klasma.github.io/Logging_0781/tillsyn/A 28286-2026 tillsynsbegäran.docx", "A 28286-2026")</f>
        <v/>
      </c>
      <c r="AD198">
        <f>HYPERLINK("https://klasma.github.io/Logging_0781/tillsynsmail/A 28286-2026 tillsynsbegäran mail.docx", "A 28286-2026")</f>
        <v/>
      </c>
    </row>
    <row r="199" ht="15" customHeight="1">
      <c r="A199" t="inlineStr">
        <is>
          <t>A 54956-2023</t>
        </is>
      </c>
      <c r="B199" t="inlineStr">
        <is>
          <t>avverkningsanmälan</t>
        </is>
      </c>
      <c r="C199" t="inlineStr">
        <is>
          <t>Avverkning för annat ändamål</t>
        </is>
      </c>
      <c r="D199" s="1" t="n">
        <v>45236</v>
      </c>
      <c r="E199" s="1" t="n">
        <v>46316</v>
      </c>
      <c r="F199" t="inlineStr">
        <is>
          <t>KRONOBERGS LÄN</t>
        </is>
      </c>
      <c r="G199" t="inlineStr">
        <is>
          <t>LJUNGBY</t>
        </is>
      </c>
      <c r="I199" t="n">
        <v>19.8</v>
      </c>
      <c r="J199" t="n">
        <v>1</v>
      </c>
      <c r="K199" t="n">
        <v>0</v>
      </c>
      <c r="L199" t="n">
        <v>1</v>
      </c>
      <c r="M199" t="n">
        <v>1</v>
      </c>
      <c r="N199" t="n">
        <v>0</v>
      </c>
      <c r="O199" t="n">
        <v>0</v>
      </c>
      <c r="P199" t="n">
        <v>0</v>
      </c>
      <c r="Q199" t="n">
        <v>2</v>
      </c>
      <c r="R199" t="n">
        <v>1</v>
      </c>
      <c r="S199" t="n">
        <v>2</v>
      </c>
      <c r="T199" t="n">
        <v>2</v>
      </c>
      <c r="U199" t="n">
        <v>0</v>
      </c>
      <c r="V199" s="2" t="inlineStr">
        <is>
          <t>Slåttergubbe
Talltita</t>
        </is>
      </c>
      <c r="W199">
        <f>HYPERLINK("https://klasma.github.io/Logging_0781/artfynd/A 54956-2023 artfynd.xlsx", "A 54956-2023")</f>
        <v/>
      </c>
      <c r="X199">
        <f>HYPERLINK("https://klasma.github.io/Logging_0781/kartor/A 54956-2023 karta.png", "A 54956-2023")</f>
        <v/>
      </c>
      <c r="Y199">
        <f>HYPERLINK("https://klasma.github.io/Logging_0781/kartor_geotiff/A 54956-2023 georefererad karta.tif", "A 54956-2023")</f>
        <v/>
      </c>
      <c r="AA199">
        <f>HYPERLINK("https://klasma.github.io/Logging_0781/klagomål/A 54956-2023 FSC-klagomål.docx", "A 54956-2023")</f>
        <v/>
      </c>
      <c r="AB199">
        <f>HYPERLINK("https://klasma.github.io/Logging_0781/klagomålsmail/A 54956-2023 FSC-klagomål mail.docx", "A 54956-2023")</f>
        <v/>
      </c>
      <c r="AC199">
        <f>HYPERLINK("https://klasma.github.io/Logging_0781/tillsyn/A 54956-2023 tillsynsbegäran.docx", "A 54956-2023")</f>
        <v/>
      </c>
      <c r="AD199">
        <f>HYPERLINK("https://klasma.github.io/Logging_0781/tillsynsmail/A 54956-2023 tillsynsbegäran mail.docx", "A 54956-2023")</f>
        <v/>
      </c>
      <c r="AE199">
        <f>HYPERLINK("https://klasma.github.io/Logging_0781/fåglar/A 54956-2023 prioriterade fågelarter.docx", "A 54956-2023")</f>
        <v/>
      </c>
    </row>
    <row r="200" ht="15" customHeight="1">
      <c r="A200" t="inlineStr">
        <is>
          <t>A 28774-2026</t>
        </is>
      </c>
      <c r="B200" t="inlineStr">
        <is>
          <t>avverkningsanmälan</t>
        </is>
      </c>
      <c r="C200" t="inlineStr">
        <is>
          <t>Föryngringsavverkning</t>
        </is>
      </c>
      <c r="D200" s="1" t="n">
        <v>46198</v>
      </c>
      <c r="E200" s="1" t="n">
        <v>46316</v>
      </c>
      <c r="F200" t="inlineStr">
        <is>
          <t>KRONOBERGS LÄN</t>
        </is>
      </c>
      <c r="G200" t="inlineStr">
        <is>
          <t>LJUNGBY</t>
        </is>
      </c>
      <c r="I200" t="n">
        <v>4.3</v>
      </c>
      <c r="J200" t="n">
        <v>1</v>
      </c>
      <c r="K200" t="n">
        <v>1</v>
      </c>
      <c r="L200" t="n">
        <v>0</v>
      </c>
      <c r="M200" t="n">
        <v>0</v>
      </c>
      <c r="N200" t="n">
        <v>0</v>
      </c>
      <c r="O200" t="n">
        <v>0</v>
      </c>
      <c r="P200" t="n">
        <v>0</v>
      </c>
      <c r="Q200" t="n">
        <v>0</v>
      </c>
      <c r="R200" t="n">
        <v>0</v>
      </c>
      <c r="S200" t="n">
        <v>2</v>
      </c>
      <c r="T200" t="n">
        <v>2</v>
      </c>
      <c r="U200" t="n">
        <v>0</v>
      </c>
      <c r="V200" s="2" t="inlineStr">
        <is>
          <t>Skuggmossa
Fläcknycklar</t>
        </is>
      </c>
      <c r="W200">
        <f>HYPERLINK("https://klasma.github.io/Logging_0781/artfynd/A 28774-2026 artfynd.xlsx", "A 28774-2026")</f>
        <v/>
      </c>
      <c r="X200">
        <f>HYPERLINK("https://klasma.github.io/Logging_0781/kartor/A 28774-2026 karta.png", "A 28774-2026")</f>
        <v/>
      </c>
      <c r="Y200">
        <f>HYPERLINK("https://klasma.github.io/Logging_0781/kartor_geotiff/A 28774-2026 georefererad karta.tif", "A 28774-2026")</f>
        <v/>
      </c>
      <c r="AA200">
        <f>HYPERLINK("https://klasma.github.io/Logging_0781/klagomål/A 28774-2026 FSC-klagomål.docx", "A 28774-2026")</f>
        <v/>
      </c>
      <c r="AB200">
        <f>HYPERLINK("https://klasma.github.io/Logging_0781/klagomålsmail/A 28774-2026 FSC-klagomål mail.docx", "A 28774-2026")</f>
        <v/>
      </c>
      <c r="AC200">
        <f>HYPERLINK("https://klasma.github.io/Logging_0781/tillsyn/A 28774-2026 tillsynsbegäran.docx", "A 28774-2026")</f>
        <v/>
      </c>
      <c r="AD200">
        <f>HYPERLINK("https://klasma.github.io/Logging_0781/tillsynsmail/A 28774-2026 tillsynsbegäran mail.docx", "A 28774-2026")</f>
        <v/>
      </c>
    </row>
    <row r="201" ht="15" customHeight="1">
      <c r="A201" t="inlineStr">
        <is>
          <t>A 42783-2023</t>
        </is>
      </c>
      <c r="B201" t="inlineStr">
        <is>
          <t>avverkningsanmälan</t>
        </is>
      </c>
      <c r="C201" t="inlineStr">
        <is>
          <t>Föryngringsavverkning</t>
        </is>
      </c>
      <c r="D201" s="1" t="n">
        <v>45181</v>
      </c>
      <c r="E201" s="1" t="n">
        <v>46316</v>
      </c>
      <c r="F201" t="inlineStr">
        <is>
          <t>KRONOBERGS LÄN</t>
        </is>
      </c>
      <c r="G201" t="inlineStr">
        <is>
          <t>LJUNGBY</t>
        </is>
      </c>
      <c r="I201" t="n">
        <v>2.4</v>
      </c>
      <c r="J201" t="n">
        <v>1</v>
      </c>
      <c r="K201" t="n">
        <v>0</v>
      </c>
      <c r="L201" t="n">
        <v>0</v>
      </c>
      <c r="M201" t="n">
        <v>1</v>
      </c>
      <c r="N201" t="n">
        <v>0</v>
      </c>
      <c r="O201" t="n">
        <v>0</v>
      </c>
      <c r="P201" t="n">
        <v>0</v>
      </c>
      <c r="Q201" t="n">
        <v>1</v>
      </c>
      <c r="R201" t="n">
        <v>1</v>
      </c>
      <c r="S201" t="n">
        <v>2</v>
      </c>
      <c r="T201" t="n">
        <v>2</v>
      </c>
      <c r="U201" t="n">
        <v>0</v>
      </c>
      <c r="V201" s="2" t="inlineStr">
        <is>
          <t>Sjötåtel
Hårklomossa</t>
        </is>
      </c>
      <c r="W201">
        <f>HYPERLINK("https://klasma.github.io/Logging_0781/artfynd/A 42783-2023 artfynd.xlsx", "A 42783-2023")</f>
        <v/>
      </c>
      <c r="X201">
        <f>HYPERLINK("https://klasma.github.io/Logging_0781/kartor/A 42783-2023 karta.png", "A 42783-2023")</f>
        <v/>
      </c>
      <c r="Y201">
        <f>HYPERLINK("https://klasma.github.io/Logging_0781/kartor_geotiff/A 42783-2023 georefererad karta.tif", "A 42783-2023")</f>
        <v/>
      </c>
      <c r="AA201">
        <f>HYPERLINK("https://klasma.github.io/Logging_0781/klagomål/A 42783-2023 FSC-klagomål.docx", "A 42783-2023")</f>
        <v/>
      </c>
      <c r="AB201">
        <f>HYPERLINK("https://klasma.github.io/Logging_0781/klagomålsmail/A 42783-2023 FSC-klagomål mail.docx", "A 42783-2023")</f>
        <v/>
      </c>
      <c r="AC201">
        <f>HYPERLINK("https://klasma.github.io/Logging_0781/tillsyn/A 42783-2023 tillsynsbegäran.docx", "A 42783-2023")</f>
        <v/>
      </c>
      <c r="AD201">
        <f>HYPERLINK("https://klasma.github.io/Logging_0781/tillsynsmail/A 42783-2023 tillsynsbegäran mail.docx", "A 42783-2023")</f>
        <v/>
      </c>
    </row>
    <row r="202" ht="15" customHeight="1">
      <c r="A202" t="inlineStr">
        <is>
          <t>A 30709-2026</t>
        </is>
      </c>
      <c r="B202" t="inlineStr">
        <is>
          <t>avverkningsanmälan</t>
        </is>
      </c>
      <c r="C202" t="inlineStr">
        <is>
          <t>Föryngringsavverkning</t>
        </is>
      </c>
      <c r="D202" s="1" t="n">
        <v>46205</v>
      </c>
      <c r="E202" s="1" t="n">
        <v>46316</v>
      </c>
      <c r="F202" t="inlineStr">
        <is>
          <t>KRONOBERGS LÄN</t>
        </is>
      </c>
      <c r="G202" t="inlineStr">
        <is>
          <t>UPPVIDINGE</t>
        </is>
      </c>
      <c r="H202" t="inlineStr">
        <is>
          <t>Kommuner</t>
        </is>
      </c>
      <c r="I202" t="n">
        <v>5.6</v>
      </c>
      <c r="J202" t="n">
        <v>1</v>
      </c>
      <c r="K202" t="n">
        <v>0</v>
      </c>
      <c r="L202" t="n">
        <v>1</v>
      </c>
      <c r="M202" t="n">
        <v>0</v>
      </c>
      <c r="N202" t="n">
        <v>0</v>
      </c>
      <c r="O202" t="n">
        <v>0</v>
      </c>
      <c r="P202" t="n">
        <v>0</v>
      </c>
      <c r="Q202" t="n">
        <v>1</v>
      </c>
      <c r="R202" t="n">
        <v>0</v>
      </c>
      <c r="S202" t="n">
        <v>2</v>
      </c>
      <c r="T202" t="n">
        <v>2</v>
      </c>
      <c r="U202" t="n">
        <v>0</v>
      </c>
      <c r="V202" s="2" t="inlineStr">
        <is>
          <t>Ullticka
Spillkråka</t>
        </is>
      </c>
      <c r="W202">
        <f>HYPERLINK("https://klasma.github.io/Logging_0760/artfynd/A 30709-2026 artfynd.xlsx", "A 30709-2026")</f>
        <v/>
      </c>
      <c r="X202">
        <f>HYPERLINK("https://klasma.github.io/Logging_0760/kartor/A 30709-2026 karta.png", "A 30709-2026")</f>
        <v/>
      </c>
      <c r="Y202">
        <f>HYPERLINK("https://klasma.github.io/Logging_0760/kartor_geotiff/A 30709-2026 georefererad karta.tif", "A 30709-2026")</f>
        <v/>
      </c>
      <c r="AA202">
        <f>HYPERLINK("https://klasma.github.io/Logging_0760/klagomål/A 30709-2026 FSC-klagomål.docx", "A 30709-2026")</f>
        <v/>
      </c>
      <c r="AB202">
        <f>HYPERLINK("https://klasma.github.io/Logging_0760/klagomålsmail/A 30709-2026 FSC-klagomål mail.docx", "A 30709-2026")</f>
        <v/>
      </c>
      <c r="AC202">
        <f>HYPERLINK("https://klasma.github.io/Logging_0760/tillsyn/A 30709-2026 tillsynsbegäran.docx", "A 30709-2026")</f>
        <v/>
      </c>
      <c r="AD202">
        <f>HYPERLINK("https://klasma.github.io/Logging_0760/tillsynsmail/A 30709-2026 tillsynsbegäran mail.docx", "A 30709-2026")</f>
        <v/>
      </c>
      <c r="AE202">
        <f>HYPERLINK("https://klasma.github.io/Logging_0760/fåglar/A 30709-2026 prioriterade fågelarter.docx", "A 30709-2026")</f>
        <v/>
      </c>
    </row>
    <row r="203" ht="15" customHeight="1">
      <c r="A203" t="inlineStr">
        <is>
          <t>A 4684-2025</t>
        </is>
      </c>
      <c r="B203" t="inlineStr">
        <is>
          <t>avverkningsanmälan</t>
        </is>
      </c>
      <c r="C203" t="inlineStr">
        <is>
          <t>Föryngringsavverkning</t>
        </is>
      </c>
      <c r="D203" s="1" t="n">
        <v>45687</v>
      </c>
      <c r="E203" s="1" t="n">
        <v>46316</v>
      </c>
      <c r="F203" t="inlineStr">
        <is>
          <t>KRONOBERGS LÄN</t>
        </is>
      </c>
      <c r="G203" t="inlineStr">
        <is>
          <t>VÄXJÖ</t>
        </is>
      </c>
      <c r="I203" t="n">
        <v>0.9</v>
      </c>
      <c r="J203" t="n">
        <v>0</v>
      </c>
      <c r="K203" t="n">
        <v>2</v>
      </c>
      <c r="L203" t="n">
        <v>0</v>
      </c>
      <c r="M203" t="n">
        <v>0</v>
      </c>
      <c r="N203" t="n">
        <v>0</v>
      </c>
      <c r="O203" t="n">
        <v>0</v>
      </c>
      <c r="P203" t="n">
        <v>0</v>
      </c>
      <c r="Q203" t="n">
        <v>0</v>
      </c>
      <c r="R203" t="n">
        <v>0</v>
      </c>
      <c r="S203" t="n">
        <v>2</v>
      </c>
      <c r="T203" t="n">
        <v>2</v>
      </c>
      <c r="U203" t="n">
        <v>0</v>
      </c>
      <c r="V203" s="2" t="inlineStr">
        <is>
          <t>Broskvaxing
Hagfingersvamp</t>
        </is>
      </c>
      <c r="W203">
        <f>HYPERLINK("https://klasma.github.io/Logging_0780/artfynd/A 4684-2025 artfynd.xlsx", "A 4684-2025")</f>
        <v/>
      </c>
      <c r="X203">
        <f>HYPERLINK("https://klasma.github.io/Logging_0780/kartor/A 4684-2025 karta.png", "A 4684-2025")</f>
        <v/>
      </c>
      <c r="Y203">
        <f>HYPERLINK("https://klasma.github.io/Logging_0780/kartor_geotiff/A 4684-2025 georefererad karta.tif", "A 4684-2025")</f>
        <v/>
      </c>
      <c r="AA203">
        <f>HYPERLINK("https://klasma.github.io/Logging_0780/klagomål/A 4684-2025 FSC-klagomål.docx", "A 4684-2025")</f>
        <v/>
      </c>
      <c r="AB203">
        <f>HYPERLINK("https://klasma.github.io/Logging_0780/klagomålsmail/A 4684-2025 FSC-klagomål mail.docx", "A 4684-2025")</f>
        <v/>
      </c>
      <c r="AC203">
        <f>HYPERLINK("https://klasma.github.io/Logging_0780/tillsyn/A 4684-2025 tillsynsbegäran.docx", "A 4684-2025")</f>
        <v/>
      </c>
      <c r="AD203">
        <f>HYPERLINK("https://klasma.github.io/Logging_0780/tillsynsmail/A 4684-2025 tillsynsbegäran mail.docx", "A 4684-2025")</f>
        <v/>
      </c>
    </row>
    <row r="204" ht="15" customHeight="1">
      <c r="A204" t="inlineStr">
        <is>
          <t>A 31258-2026</t>
        </is>
      </c>
      <c r="B204" t="inlineStr">
        <is>
          <t>avverkningsanmälan</t>
        </is>
      </c>
      <c r="C204" t="inlineStr">
        <is>
          <t>Föryngringsavverkning</t>
        </is>
      </c>
      <c r="D204" s="1" t="n">
        <v>46218</v>
      </c>
      <c r="E204" s="1" t="n">
        <v>46316</v>
      </c>
      <c r="F204" t="inlineStr">
        <is>
          <t>KRONOBERGS LÄN</t>
        </is>
      </c>
      <c r="G204" t="inlineStr">
        <is>
          <t>UPPVIDINGE</t>
        </is>
      </c>
      <c r="I204" t="n">
        <v>1.9</v>
      </c>
      <c r="J204" t="n">
        <v>2</v>
      </c>
      <c r="K204" t="n">
        <v>0</v>
      </c>
      <c r="L204" t="n">
        <v>1</v>
      </c>
      <c r="M204" t="n">
        <v>0</v>
      </c>
      <c r="N204" t="n">
        <v>0</v>
      </c>
      <c r="O204" t="n">
        <v>0</v>
      </c>
      <c r="P204" t="n">
        <v>0</v>
      </c>
      <c r="Q204" t="n">
        <v>1</v>
      </c>
      <c r="R204" t="n">
        <v>0</v>
      </c>
      <c r="S204" t="n">
        <v>2</v>
      </c>
      <c r="T204" t="n">
        <v>2</v>
      </c>
      <c r="U204" t="n">
        <v>0</v>
      </c>
      <c r="V204" s="2" t="inlineStr">
        <is>
          <t>Järnsparv
Kungsfågel</t>
        </is>
      </c>
      <c r="W204">
        <f>HYPERLINK("https://klasma.github.io/Logging_0760/artfynd/A 31258-2026 artfynd.xlsx", "A 31258-2026")</f>
        <v/>
      </c>
      <c r="X204">
        <f>HYPERLINK("https://klasma.github.io/Logging_0760/kartor/A 31258-2026 karta.png", "A 31258-2026")</f>
        <v/>
      </c>
      <c r="Y204">
        <f>HYPERLINK("https://klasma.github.io/Logging_0760/kartor_geotiff/A 31258-2026 georefererad karta.tif", "A 31258-2026")</f>
        <v/>
      </c>
      <c r="AA204">
        <f>HYPERLINK("https://klasma.github.io/Logging_0760/klagomål/A 31258-2026 FSC-klagomål.docx", "A 31258-2026")</f>
        <v/>
      </c>
      <c r="AB204">
        <f>HYPERLINK("https://klasma.github.io/Logging_0760/klagomålsmail/A 31258-2026 FSC-klagomål mail.docx", "A 31258-2026")</f>
        <v/>
      </c>
      <c r="AC204">
        <f>HYPERLINK("https://klasma.github.io/Logging_0760/tillsyn/A 31258-2026 tillsynsbegäran.docx", "A 31258-2026")</f>
        <v/>
      </c>
      <c r="AD204">
        <f>HYPERLINK("https://klasma.github.io/Logging_0760/tillsynsmail/A 31258-2026 tillsynsbegäran mail.docx", "A 31258-2026")</f>
        <v/>
      </c>
      <c r="AE204">
        <f>HYPERLINK("https://klasma.github.io/Logging_0760/fåglar/A 31258-2026 prioriterade fågelarter.docx", "A 31258-2026")</f>
        <v/>
      </c>
    </row>
    <row r="205" ht="15" customHeight="1">
      <c r="A205" t="inlineStr">
        <is>
          <t>A 25207-2026</t>
        </is>
      </c>
      <c r="B205" t="inlineStr">
        <is>
          <t>avverkningsanmälan</t>
        </is>
      </c>
      <c r="C205" t="inlineStr">
        <is>
          <t>Avverkning för att bevara och utveckla /försöksver</t>
        </is>
      </c>
      <c r="D205" s="1" t="n">
        <v>46171</v>
      </c>
      <c r="E205" s="1" t="n">
        <v>46316</v>
      </c>
      <c r="F205" t="inlineStr">
        <is>
          <t>KRONOBERGS LÄN</t>
        </is>
      </c>
      <c r="G205" t="inlineStr">
        <is>
          <t>ÄLMHULT</t>
        </is>
      </c>
      <c r="I205" t="n">
        <v>15.7</v>
      </c>
      <c r="J205" t="n">
        <v>0</v>
      </c>
      <c r="K205" t="n">
        <v>2</v>
      </c>
      <c r="L205" t="n">
        <v>0</v>
      </c>
      <c r="M205" t="n">
        <v>0</v>
      </c>
      <c r="N205" t="n">
        <v>0</v>
      </c>
      <c r="O205" t="n">
        <v>0</v>
      </c>
      <c r="P205" t="n">
        <v>0</v>
      </c>
      <c r="Q205" t="n">
        <v>0</v>
      </c>
      <c r="R205" t="n">
        <v>0</v>
      </c>
      <c r="S205" t="n">
        <v>2</v>
      </c>
      <c r="T205" t="n">
        <v>2</v>
      </c>
      <c r="U205" t="n">
        <v>0</v>
      </c>
      <c r="V205" s="2" t="inlineStr">
        <is>
          <t>Havstulpanlav
Klippfrullania</t>
        </is>
      </c>
      <c r="W205">
        <f>HYPERLINK("https://klasma.github.io/Logging_0765/artfynd/A 25207-2026 artfynd.xlsx", "A 25207-2026")</f>
        <v/>
      </c>
      <c r="X205">
        <f>HYPERLINK("https://klasma.github.io/Logging_0765/kartor/A 25207-2026 karta.png", "A 25207-2026")</f>
        <v/>
      </c>
      <c r="Y205">
        <f>HYPERLINK("https://klasma.github.io/Logging_0765/kartor_geotiff/A 25207-2026 georefererad karta.tif", "A 25207-2026")</f>
        <v/>
      </c>
      <c r="AA205">
        <f>HYPERLINK("https://klasma.github.io/Logging_0765/klagomål/A 25207-2026 FSC-klagomål.docx", "A 25207-2026")</f>
        <v/>
      </c>
      <c r="AB205">
        <f>HYPERLINK("https://klasma.github.io/Logging_0765/klagomålsmail/A 25207-2026 FSC-klagomål mail.docx", "A 25207-2026")</f>
        <v/>
      </c>
      <c r="AC205">
        <f>HYPERLINK("https://klasma.github.io/Logging_0765/tillsyn/A 25207-2026 tillsynsbegäran.docx", "A 25207-2026")</f>
        <v/>
      </c>
      <c r="AD205">
        <f>HYPERLINK("https://klasma.github.io/Logging_0765/tillsynsmail/A 25207-2026 tillsynsbegäran mail.docx", "A 25207-2026")</f>
        <v/>
      </c>
    </row>
    <row r="206" ht="15" customHeight="1">
      <c r="A206" t="inlineStr">
        <is>
          <t>A 36305-2023</t>
        </is>
      </c>
      <c r="B206" t="inlineStr">
        <is>
          <t>avverkningsanmälan</t>
        </is>
      </c>
      <c r="C206" t="inlineStr">
        <is>
          <t>Föryngringsavverkning</t>
        </is>
      </c>
      <c r="D206" s="1" t="n">
        <v>45152</v>
      </c>
      <c r="E206" s="1" t="n">
        <v>46316</v>
      </c>
      <c r="F206" t="inlineStr">
        <is>
          <t>KRONOBERGS LÄN</t>
        </is>
      </c>
      <c r="G206" t="inlineStr">
        <is>
          <t>LJUNGBY</t>
        </is>
      </c>
      <c r="I206" t="n">
        <v>5.1</v>
      </c>
      <c r="J206" t="n">
        <v>0</v>
      </c>
      <c r="K206" t="n">
        <v>2</v>
      </c>
      <c r="L206" t="n">
        <v>0</v>
      </c>
      <c r="M206" t="n">
        <v>0</v>
      </c>
      <c r="N206" t="n">
        <v>0</v>
      </c>
      <c r="O206" t="n">
        <v>0</v>
      </c>
      <c r="P206" t="n">
        <v>0</v>
      </c>
      <c r="Q206" t="n">
        <v>0</v>
      </c>
      <c r="R206" t="n">
        <v>0</v>
      </c>
      <c r="S206" t="n">
        <v>2</v>
      </c>
      <c r="T206" t="n">
        <v>2</v>
      </c>
      <c r="U206" t="n">
        <v>2</v>
      </c>
      <c r="V206" s="2" t="inlineStr">
        <is>
          <t>Björksplintborre
Blåmossa</t>
        </is>
      </c>
      <c r="W206">
        <f>HYPERLINK("https://klasma.github.io/Logging_0781/artfynd/A 36305-2023 artfynd.xlsx", "A 36305-2023")</f>
        <v/>
      </c>
      <c r="X206">
        <f>HYPERLINK("https://klasma.github.io/Logging_0781/kartor/A 36305-2023 karta.png", "A 36305-2023")</f>
        <v/>
      </c>
      <c r="Y206">
        <f>HYPERLINK("https://klasma.github.io/Logging_0781/kartor_geotiff/A 36305-2023 georefererad karta.tif", "A 36305-2023")</f>
        <v/>
      </c>
      <c r="AA206">
        <f>HYPERLINK("https://klasma.github.io/Logging_0781/klagomål/A 36305-2023 FSC-klagomål.docx", "A 36305-2023")</f>
        <v/>
      </c>
      <c r="AB206">
        <f>HYPERLINK("https://klasma.github.io/Logging_0781/klagomålsmail/A 36305-2023 FSC-klagomål mail.docx", "A 36305-2023")</f>
        <v/>
      </c>
      <c r="AC206">
        <f>HYPERLINK("https://klasma.github.io/Logging_0781/tillsyn/A 36305-2023 tillsynsbegäran.docx", "A 36305-2023")</f>
        <v/>
      </c>
      <c r="AD206">
        <f>HYPERLINK("https://klasma.github.io/Logging_0781/tillsynsmail/A 36305-2023 tillsynsbegäran mail.docx", "A 36305-2023")</f>
        <v/>
      </c>
    </row>
    <row r="207" ht="15" customHeight="1">
      <c r="A207" t="inlineStr">
        <is>
          <t>A 32789-2026</t>
        </is>
      </c>
      <c r="B207" t="inlineStr">
        <is>
          <t>avverkningsanmälan</t>
        </is>
      </c>
      <c r="C207" t="inlineStr">
        <is>
          <t>Föryngringsavverkning</t>
        </is>
      </c>
      <c r="D207" s="1" t="n">
        <v>46241</v>
      </c>
      <c r="E207" s="1" t="n">
        <v>46316</v>
      </c>
      <c r="F207" t="inlineStr">
        <is>
          <t>KRONOBERGS LÄN</t>
        </is>
      </c>
      <c r="G207" t="inlineStr">
        <is>
          <t>ALVESTA</t>
        </is>
      </c>
      <c r="I207" t="n">
        <v>16.5</v>
      </c>
      <c r="J207" t="n">
        <v>2</v>
      </c>
      <c r="K207" t="n">
        <v>0</v>
      </c>
      <c r="L207" t="n">
        <v>0</v>
      </c>
      <c r="M207" t="n">
        <v>0</v>
      </c>
      <c r="N207" t="n">
        <v>0</v>
      </c>
      <c r="O207" t="n">
        <v>0</v>
      </c>
      <c r="P207" t="n">
        <v>0</v>
      </c>
      <c r="Q207" t="n">
        <v>0</v>
      </c>
      <c r="R207" t="n">
        <v>0</v>
      </c>
      <c r="S207" t="n">
        <v>2</v>
      </c>
      <c r="T207" t="n">
        <v>2</v>
      </c>
      <c r="U207" t="n">
        <v>0</v>
      </c>
      <c r="V207" s="2" t="inlineStr">
        <is>
          <t>Kungsfågel
Huggorm</t>
        </is>
      </c>
      <c r="W207">
        <f>HYPERLINK("https://klasma.github.io/Logging_0764/artfynd/A 32789-2026 artfynd.xlsx", "A 32789-2026")</f>
        <v/>
      </c>
      <c r="X207">
        <f>HYPERLINK("https://klasma.github.io/Logging_0764/kartor/A 32789-2026 karta.png", "A 32789-2026")</f>
        <v/>
      </c>
      <c r="Y207">
        <f>HYPERLINK("https://klasma.github.io/Logging_0764/kartor_geotiff/A 32789-2026 georefererad karta.tif", "A 32789-2026")</f>
        <v/>
      </c>
      <c r="AA207">
        <f>HYPERLINK("https://klasma.github.io/Logging_0764/klagomål/A 32789-2026 FSC-klagomål.docx", "A 32789-2026")</f>
        <v/>
      </c>
      <c r="AB207">
        <f>HYPERLINK("https://klasma.github.io/Logging_0764/klagomålsmail/A 32789-2026 FSC-klagomål mail.docx", "A 32789-2026")</f>
        <v/>
      </c>
      <c r="AC207">
        <f>HYPERLINK("https://klasma.github.io/Logging_0764/tillsyn/A 32789-2026 tillsynsbegäran.docx", "A 32789-2026")</f>
        <v/>
      </c>
      <c r="AD207">
        <f>HYPERLINK("https://klasma.github.io/Logging_0764/tillsynsmail/A 32789-2026 tillsynsbegäran mail.docx", "A 32789-2026")</f>
        <v/>
      </c>
    </row>
    <row r="208" ht="15" customHeight="1">
      <c r="A208" t="inlineStr">
        <is>
          <t>A 31565-2023</t>
        </is>
      </c>
      <c r="B208" t="inlineStr">
        <is>
          <t>avverkningsanmälan</t>
        </is>
      </c>
      <c r="C208" t="inlineStr">
        <is>
          <t>Föryngringsavverkning</t>
        </is>
      </c>
      <c r="D208" s="1" t="n">
        <v>45117</v>
      </c>
      <c r="E208" s="1" t="n">
        <v>46316</v>
      </c>
      <c r="F208" t="inlineStr">
        <is>
          <t>KRONOBERGS LÄN</t>
        </is>
      </c>
      <c r="G208" t="inlineStr">
        <is>
          <t>UPPVIDINGE</t>
        </is>
      </c>
      <c r="I208" t="n">
        <v>6.9</v>
      </c>
      <c r="J208" t="n">
        <v>0</v>
      </c>
      <c r="K208" t="n">
        <v>0</v>
      </c>
      <c r="L208" t="n">
        <v>1</v>
      </c>
      <c r="M208" t="n">
        <v>1</v>
      </c>
      <c r="N208" t="n">
        <v>0</v>
      </c>
      <c r="O208" t="n">
        <v>0</v>
      </c>
      <c r="P208" t="n">
        <v>0</v>
      </c>
      <c r="Q208" t="n">
        <v>2</v>
      </c>
      <c r="R208" t="n">
        <v>1</v>
      </c>
      <c r="S208" t="n">
        <v>2</v>
      </c>
      <c r="T208" t="n">
        <v>2</v>
      </c>
      <c r="U208" t="n">
        <v>2</v>
      </c>
      <c r="V208" s="2" t="inlineStr">
        <is>
          <t>Mindre bastardsvärmare
Ängsmetallvinge</t>
        </is>
      </c>
      <c r="W208">
        <f>HYPERLINK("https://klasma.github.io/Logging_0760/artfynd/A 31565-2023 artfynd.xlsx", "A 31565-2023")</f>
        <v/>
      </c>
      <c r="X208">
        <f>HYPERLINK("https://klasma.github.io/Logging_0760/kartor/A 31565-2023 karta.png", "A 31565-2023")</f>
        <v/>
      </c>
      <c r="Y208">
        <f>HYPERLINK("https://klasma.github.io/Logging_0760/kartor_geotiff/A 31565-2023 georefererad karta.tif", "A 31565-2023")</f>
        <v/>
      </c>
      <c r="AA208">
        <f>HYPERLINK("https://klasma.github.io/Logging_0760/klagomål/A 31565-2023 FSC-klagomål.docx", "A 31565-2023")</f>
        <v/>
      </c>
      <c r="AB208">
        <f>HYPERLINK("https://klasma.github.io/Logging_0760/klagomålsmail/A 31565-2023 FSC-klagomål mail.docx", "A 31565-2023")</f>
        <v/>
      </c>
      <c r="AC208">
        <f>HYPERLINK("https://klasma.github.io/Logging_0760/tillsyn/A 31565-2023 tillsynsbegäran.docx", "A 31565-2023")</f>
        <v/>
      </c>
      <c r="AD208">
        <f>HYPERLINK("https://klasma.github.io/Logging_0760/tillsynsmail/A 31565-2023 tillsynsbegäran mail.docx", "A 31565-2023")</f>
        <v/>
      </c>
    </row>
    <row r="209" ht="15" customHeight="1">
      <c r="A209" t="inlineStr">
        <is>
          <t>A 41957-2022</t>
        </is>
      </c>
      <c r="B209" t="inlineStr">
        <is>
          <t>avverkningsanmälan</t>
        </is>
      </c>
      <c r="C209" t="inlineStr">
        <is>
          <t>Föryngringsavverkning</t>
        </is>
      </c>
      <c r="D209" s="1" t="n">
        <v>44830</v>
      </c>
      <c r="E209" s="1" t="n">
        <v>46316</v>
      </c>
      <c r="F209" t="inlineStr">
        <is>
          <t>KRONOBERGS LÄN</t>
        </is>
      </c>
      <c r="G209" t="inlineStr">
        <is>
          <t>ÄLMHULT</t>
        </is>
      </c>
      <c r="I209" t="n">
        <v>3.2</v>
      </c>
      <c r="J209" t="n">
        <v>1</v>
      </c>
      <c r="K209" t="n">
        <v>0</v>
      </c>
      <c r="L209" t="n">
        <v>1</v>
      </c>
      <c r="M209" t="n">
        <v>0</v>
      </c>
      <c r="N209" t="n">
        <v>0</v>
      </c>
      <c r="O209" t="n">
        <v>0</v>
      </c>
      <c r="P209" t="n">
        <v>0</v>
      </c>
      <c r="Q209" t="n">
        <v>1</v>
      </c>
      <c r="R209" t="n">
        <v>0</v>
      </c>
      <c r="S209" t="n">
        <v>2</v>
      </c>
      <c r="T209" t="n">
        <v>2</v>
      </c>
      <c r="U209" t="n">
        <v>1</v>
      </c>
      <c r="V209" s="2" t="inlineStr">
        <is>
          <t>Linmåra/småsnärjmåra
Fläcknycklar</t>
        </is>
      </c>
      <c r="W209">
        <f>HYPERLINK("https://klasma.github.io/Logging_0765/artfynd/A 41957-2022 artfynd.xlsx", "A 41957-2022")</f>
        <v/>
      </c>
      <c r="X209">
        <f>HYPERLINK("https://klasma.github.io/Logging_0765/kartor/A 41957-2022 karta.png", "A 41957-2022")</f>
        <v/>
      </c>
      <c r="Y209">
        <f>HYPERLINK("https://klasma.github.io/Logging_0765/kartor_geotiff/A 41957-2022 georefererad karta.tif", "A 41957-2022")</f>
        <v/>
      </c>
      <c r="AA209">
        <f>HYPERLINK("https://klasma.github.io/Logging_0765/klagomål/A 41957-2022 FSC-klagomål.docx", "A 41957-2022")</f>
        <v/>
      </c>
      <c r="AB209">
        <f>HYPERLINK("https://klasma.github.io/Logging_0765/klagomålsmail/A 41957-2022 FSC-klagomål mail.docx", "A 41957-2022")</f>
        <v/>
      </c>
      <c r="AC209">
        <f>HYPERLINK("https://klasma.github.io/Logging_0765/tillsyn/A 41957-2022 tillsynsbegäran.docx", "A 41957-2022")</f>
        <v/>
      </c>
      <c r="AD209">
        <f>HYPERLINK("https://klasma.github.io/Logging_0765/tillsynsmail/A 41957-2022 tillsynsbegäran mail.docx", "A 41957-2022")</f>
        <v/>
      </c>
    </row>
    <row r="210" ht="15" customHeight="1">
      <c r="A210" t="inlineStr">
        <is>
          <t>A 54633-2022</t>
        </is>
      </c>
      <c r="B210" t="inlineStr">
        <is>
          <t>avverkningsanmälan</t>
        </is>
      </c>
      <c r="C210" t="inlineStr">
        <is>
          <t>Föryngringsavverkning</t>
        </is>
      </c>
      <c r="D210" s="1" t="n">
        <v>44883</v>
      </c>
      <c r="E210" s="1" t="n">
        <v>46316</v>
      </c>
      <c r="F210" t="inlineStr">
        <is>
          <t>KRONOBERGS LÄN</t>
        </is>
      </c>
      <c r="G210" t="inlineStr">
        <is>
          <t>ÄLMHULT</t>
        </is>
      </c>
      <c r="I210" t="n">
        <v>0.6</v>
      </c>
      <c r="J210" t="n">
        <v>0</v>
      </c>
      <c r="K210" t="n">
        <v>0</v>
      </c>
      <c r="L210" t="n">
        <v>0</v>
      </c>
      <c r="M210" t="n">
        <v>2</v>
      </c>
      <c r="N210" t="n">
        <v>0</v>
      </c>
      <c r="O210" t="n">
        <v>0</v>
      </c>
      <c r="P210" t="n">
        <v>0</v>
      </c>
      <c r="Q210" t="n">
        <v>2</v>
      </c>
      <c r="R210" t="n">
        <v>2</v>
      </c>
      <c r="S210" t="n">
        <v>2</v>
      </c>
      <c r="T210" t="n">
        <v>2</v>
      </c>
      <c r="U210" t="n">
        <v>1</v>
      </c>
      <c r="V210" s="2" t="inlineStr">
        <is>
          <t>Sexfläckig bastardsvärmare
Silverblåvinge</t>
        </is>
      </c>
      <c r="W210">
        <f>HYPERLINK("https://klasma.github.io/Logging_0765/artfynd/A 54633-2022 artfynd.xlsx", "A 54633-2022")</f>
        <v/>
      </c>
      <c r="X210">
        <f>HYPERLINK("https://klasma.github.io/Logging_0765/kartor/A 54633-2022 karta.png", "A 54633-2022")</f>
        <v/>
      </c>
      <c r="Y210">
        <f>HYPERLINK("https://klasma.github.io/Logging_0765/kartor_geotiff/A 54633-2022 georefererad karta.tif", "A 54633-2022")</f>
        <v/>
      </c>
      <c r="AA210">
        <f>HYPERLINK("https://klasma.github.io/Logging_0765/klagomål/A 54633-2022 FSC-klagomål.docx", "A 54633-2022")</f>
        <v/>
      </c>
      <c r="AB210">
        <f>HYPERLINK("https://klasma.github.io/Logging_0765/klagomålsmail/A 54633-2022 FSC-klagomål mail.docx", "A 54633-2022")</f>
        <v/>
      </c>
      <c r="AC210">
        <f>HYPERLINK("https://klasma.github.io/Logging_0765/tillsyn/A 54633-2022 tillsynsbegäran.docx", "A 54633-2022")</f>
        <v/>
      </c>
      <c r="AD210">
        <f>HYPERLINK("https://klasma.github.io/Logging_0765/tillsynsmail/A 54633-2022 tillsynsbegäran mail.docx", "A 54633-2022")</f>
        <v/>
      </c>
    </row>
    <row r="211" ht="15" customHeight="1">
      <c r="A211" t="inlineStr">
        <is>
          <t>A 49747-2023</t>
        </is>
      </c>
      <c r="B211" t="inlineStr">
        <is>
          <t>avverkningsanmälan</t>
        </is>
      </c>
      <c r="C211" t="inlineStr">
        <is>
          <t>Föryngringsavverkning</t>
        </is>
      </c>
      <c r="D211" s="1" t="n">
        <v>45212</v>
      </c>
      <c r="E211" s="1" t="n">
        <v>46316</v>
      </c>
      <c r="F211" t="inlineStr">
        <is>
          <t>KRONOBERGS LÄN</t>
        </is>
      </c>
      <c r="G211" t="inlineStr">
        <is>
          <t>LJUNGBY</t>
        </is>
      </c>
      <c r="I211" t="n">
        <v>6.7</v>
      </c>
      <c r="J211" t="n">
        <v>1</v>
      </c>
      <c r="K211" t="n">
        <v>0</v>
      </c>
      <c r="L211" t="n">
        <v>0</v>
      </c>
      <c r="M211" t="n">
        <v>1</v>
      </c>
      <c r="N211" t="n">
        <v>1</v>
      </c>
      <c r="O211" t="n">
        <v>0</v>
      </c>
      <c r="P211" t="n">
        <v>0</v>
      </c>
      <c r="Q211" t="n">
        <v>2</v>
      </c>
      <c r="R211" t="n">
        <v>2</v>
      </c>
      <c r="S211" t="n">
        <v>2</v>
      </c>
      <c r="T211" t="n">
        <v>2</v>
      </c>
      <c r="U211" t="n">
        <v>0</v>
      </c>
      <c r="V211" s="2" t="inlineStr">
        <is>
          <t>Klockgentiana
Sjötåtel</t>
        </is>
      </c>
      <c r="W211">
        <f>HYPERLINK("https://klasma.github.io/Logging_0781/artfynd/A 49747-2023 artfynd.xlsx", "A 49747-2023")</f>
        <v/>
      </c>
      <c r="X211">
        <f>HYPERLINK("https://klasma.github.io/Logging_0781/kartor/A 49747-2023 karta.png", "A 49747-2023")</f>
        <v/>
      </c>
      <c r="Y211">
        <f>HYPERLINK("https://klasma.github.io/Logging_0781/kartor_geotiff/A 49747-2023 georefererad karta.tif", "A 49747-2023")</f>
        <v/>
      </c>
      <c r="AA211">
        <f>HYPERLINK("https://klasma.github.io/Logging_0781/klagomål/A 49747-2023 FSC-klagomål.docx", "A 49747-2023")</f>
        <v/>
      </c>
      <c r="AB211">
        <f>HYPERLINK("https://klasma.github.io/Logging_0781/klagomålsmail/A 49747-2023 FSC-klagomål mail.docx", "A 49747-2023")</f>
        <v/>
      </c>
      <c r="AC211">
        <f>HYPERLINK("https://klasma.github.io/Logging_0781/tillsyn/A 49747-2023 tillsynsbegäran.docx", "A 49747-2023")</f>
        <v/>
      </c>
      <c r="AD211">
        <f>HYPERLINK("https://klasma.github.io/Logging_0781/tillsynsmail/A 49747-2023 tillsynsbegäran mail.docx", "A 49747-2023")</f>
        <v/>
      </c>
    </row>
    <row r="212" ht="15" customHeight="1">
      <c r="A212" t="inlineStr">
        <is>
          <t>A 33079-2023</t>
        </is>
      </c>
      <c r="B212" t="inlineStr">
        <is>
          <t>avverkningsanmälan</t>
        </is>
      </c>
      <c r="C212" t="inlineStr">
        <is>
          <t>Avverkning för annat ändamål</t>
        </is>
      </c>
      <c r="D212" s="1" t="n">
        <v>45126</v>
      </c>
      <c r="E212" s="1" t="n">
        <v>46316</v>
      </c>
      <c r="F212" t="inlineStr">
        <is>
          <t>KRONOBERGS LÄN</t>
        </is>
      </c>
      <c r="G212" t="inlineStr">
        <is>
          <t>LJUNGBY</t>
        </is>
      </c>
      <c r="I212" t="n">
        <v>2.4</v>
      </c>
      <c r="J212" t="n">
        <v>2</v>
      </c>
      <c r="K212" t="n">
        <v>0</v>
      </c>
      <c r="L212" t="n">
        <v>1</v>
      </c>
      <c r="M212" t="n">
        <v>0</v>
      </c>
      <c r="N212" t="n">
        <v>0</v>
      </c>
      <c r="O212" t="n">
        <v>0</v>
      </c>
      <c r="P212" t="n">
        <v>0</v>
      </c>
      <c r="Q212" t="n">
        <v>1</v>
      </c>
      <c r="R212" t="n">
        <v>0</v>
      </c>
      <c r="S212" t="n">
        <v>2</v>
      </c>
      <c r="T212" t="n">
        <v>2</v>
      </c>
      <c r="U212" t="n">
        <v>1</v>
      </c>
      <c r="V212" s="2" t="inlineStr">
        <is>
          <t>Gulsparv
Kungsfågel</t>
        </is>
      </c>
      <c r="W212">
        <f>HYPERLINK("https://klasma.github.io/Logging_0781/artfynd/A 33079-2023 artfynd.xlsx", "A 33079-2023")</f>
        <v/>
      </c>
      <c r="X212">
        <f>HYPERLINK("https://klasma.github.io/Logging_0781/kartor/A 33079-2023 karta.png", "A 33079-2023")</f>
        <v/>
      </c>
      <c r="Y212">
        <f>HYPERLINK("https://klasma.github.io/Logging_0781/kartor_geotiff/A 33079-2023 georefererad karta.tif", "A 33079-2023")</f>
        <v/>
      </c>
      <c r="AA212">
        <f>HYPERLINK("https://klasma.github.io/Logging_0781/klagomål/A 33079-2023 FSC-klagomål.docx", "A 33079-2023")</f>
        <v/>
      </c>
      <c r="AB212">
        <f>HYPERLINK("https://klasma.github.io/Logging_0781/klagomålsmail/A 33079-2023 FSC-klagomål mail.docx", "A 33079-2023")</f>
        <v/>
      </c>
      <c r="AC212">
        <f>HYPERLINK("https://klasma.github.io/Logging_0781/tillsyn/A 33079-2023 tillsynsbegäran.docx", "A 33079-2023")</f>
        <v/>
      </c>
      <c r="AD212">
        <f>HYPERLINK("https://klasma.github.io/Logging_0781/tillsynsmail/A 33079-2023 tillsynsbegäran mail.docx", "A 33079-2023")</f>
        <v/>
      </c>
      <c r="AE212">
        <f>HYPERLINK("https://klasma.github.io/Logging_0781/fåglar/A 33079-2023 prioriterade fågelarter.docx", "A 33079-2023")</f>
        <v/>
      </c>
    </row>
    <row r="213" ht="15" customHeight="1">
      <c r="A213" t="inlineStr">
        <is>
          <t>A 43405-2024</t>
        </is>
      </c>
      <c r="B213" t="inlineStr">
        <is>
          <t>avverkningsanmälan</t>
        </is>
      </c>
      <c r="C213" t="inlineStr">
        <is>
          <t>Föryngringsavverkning</t>
        </is>
      </c>
      <c r="D213" s="1" t="n">
        <v>45568</v>
      </c>
      <c r="E213" s="1" t="n">
        <v>46316</v>
      </c>
      <c r="F213" t="inlineStr">
        <is>
          <t>KRONOBERGS LÄN</t>
        </is>
      </c>
      <c r="G213" t="inlineStr">
        <is>
          <t>UPPVIDINGE</t>
        </is>
      </c>
      <c r="H213" t="inlineStr">
        <is>
          <t>Kyrkan</t>
        </is>
      </c>
      <c r="I213" t="n">
        <v>0.7</v>
      </c>
      <c r="J213" t="n">
        <v>2</v>
      </c>
      <c r="K213" t="n">
        <v>0</v>
      </c>
      <c r="L213" t="n">
        <v>1</v>
      </c>
      <c r="M213" t="n">
        <v>0</v>
      </c>
      <c r="N213" t="n">
        <v>0</v>
      </c>
      <c r="O213" t="n">
        <v>0</v>
      </c>
      <c r="P213" t="n">
        <v>0</v>
      </c>
      <c r="Q213" t="n">
        <v>1</v>
      </c>
      <c r="R213" t="n">
        <v>0</v>
      </c>
      <c r="S213" t="n">
        <v>2</v>
      </c>
      <c r="T213" t="n">
        <v>2</v>
      </c>
      <c r="U213" t="n">
        <v>0</v>
      </c>
      <c r="V213" s="2" t="inlineStr">
        <is>
          <t>Nordfladdermus
Mustaschfladdermus</t>
        </is>
      </c>
      <c r="W213">
        <f>HYPERLINK("https://klasma.github.io/Logging_0760/artfynd/A 43405-2024 artfynd.xlsx", "A 43405-2024")</f>
        <v/>
      </c>
      <c r="X213">
        <f>HYPERLINK("https://klasma.github.io/Logging_0760/kartor/A 43405-2024 karta.png", "A 43405-2024")</f>
        <v/>
      </c>
      <c r="Y213">
        <f>HYPERLINK("https://klasma.github.io/Logging_0760/kartor_geotiff/A 43405-2024 georefererad karta.tif", "A 43405-2024")</f>
        <v/>
      </c>
      <c r="AA213">
        <f>HYPERLINK("https://klasma.github.io/Logging_0760/klagomål/A 43405-2024 FSC-klagomål.docx", "A 43405-2024")</f>
        <v/>
      </c>
      <c r="AB213">
        <f>HYPERLINK("https://klasma.github.io/Logging_0760/klagomålsmail/A 43405-2024 FSC-klagomål mail.docx", "A 43405-2024")</f>
        <v/>
      </c>
      <c r="AC213">
        <f>HYPERLINK("https://klasma.github.io/Logging_0760/tillsyn/A 43405-2024 tillsynsbegäran.docx", "A 43405-2024")</f>
        <v/>
      </c>
      <c r="AD213">
        <f>HYPERLINK("https://klasma.github.io/Logging_0760/tillsynsmail/A 43405-2024 tillsynsbegäran mail.docx", "A 43405-2024")</f>
        <v/>
      </c>
    </row>
    <row r="214" ht="15" customHeight="1">
      <c r="A214" t="inlineStr">
        <is>
          <t>A 40739-2026</t>
        </is>
      </c>
      <c r="B214" t="inlineStr">
        <is>
          <t>avverkningsanmälan</t>
        </is>
      </c>
      <c r="C214" t="inlineStr">
        <is>
          <t>Föryngringsavverkning</t>
        </is>
      </c>
      <c r="D214" s="1" t="n">
        <v>46296</v>
      </c>
      <c r="E214" s="1" t="n">
        <v>46316</v>
      </c>
      <c r="F214" t="inlineStr">
        <is>
          <t>KRONOBERGS LÄN</t>
        </is>
      </c>
      <c r="G214" t="inlineStr">
        <is>
          <t>VÄXJÖ</t>
        </is>
      </c>
      <c r="I214" t="n">
        <v>7</v>
      </c>
      <c r="J214" t="n">
        <v>0</v>
      </c>
      <c r="K214" t="n">
        <v>0</v>
      </c>
      <c r="L214" t="n">
        <v>2</v>
      </c>
      <c r="M214" t="n">
        <v>0</v>
      </c>
      <c r="N214" t="n">
        <v>0</v>
      </c>
      <c r="O214" t="n">
        <v>0</v>
      </c>
      <c r="P214" t="n">
        <v>0</v>
      </c>
      <c r="Q214" t="n">
        <v>2</v>
      </c>
      <c r="R214" t="n">
        <v>0</v>
      </c>
      <c r="S214" t="n">
        <v>2</v>
      </c>
      <c r="T214" t="n">
        <v>2</v>
      </c>
      <c r="U214" t="n">
        <v>0</v>
      </c>
      <c r="V214" s="2" t="inlineStr">
        <is>
          <t>Borsttåg
Spindelört</t>
        </is>
      </c>
      <c r="W214">
        <f>HYPERLINK("https://klasma.github.io/Logging_0780/artfynd/A 40739-2026 artfynd.xlsx", "A 40739-2026")</f>
        <v/>
      </c>
      <c r="X214">
        <f>HYPERLINK("https://klasma.github.io/Logging_0780/kartor/A 40739-2026 karta.png", "A 40739-2026")</f>
        <v/>
      </c>
      <c r="Y214">
        <f>HYPERLINK("https://klasma.github.io/Logging_0780/kartor_geotiff/A 40739-2026 georefererad karta.tif", "A 40739-2026")</f>
        <v/>
      </c>
      <c r="AA214">
        <f>HYPERLINK("https://klasma.github.io/Logging_0780/klagomål/A 40739-2026 FSC-klagomål.docx", "A 40739-2026")</f>
        <v/>
      </c>
      <c r="AB214">
        <f>HYPERLINK("https://klasma.github.io/Logging_0780/klagomålsmail/A 40739-2026 FSC-klagomål mail.docx", "A 40739-2026")</f>
        <v/>
      </c>
      <c r="AC214">
        <f>HYPERLINK("https://klasma.github.io/Logging_0780/tillsyn/A 40739-2026 tillsynsbegäran.docx", "A 40739-2026")</f>
        <v/>
      </c>
      <c r="AD214">
        <f>HYPERLINK("https://klasma.github.io/Logging_0780/tillsynsmail/A 40739-2026 tillsynsbegäran mail.docx", "A 40739-2026")</f>
        <v/>
      </c>
    </row>
    <row r="215" ht="15" customHeight="1">
      <c r="A215" t="inlineStr">
        <is>
          <t>A 40892-2026</t>
        </is>
      </c>
      <c r="B215" t="inlineStr">
        <is>
          <t>avverkningsanmälan</t>
        </is>
      </c>
      <c r="C215" t="inlineStr">
        <is>
          <t>Föryngringsavverkning</t>
        </is>
      </c>
      <c r="D215" s="1" t="n">
        <v>46297</v>
      </c>
      <c r="E215" s="1" t="n">
        <v>46316</v>
      </c>
      <c r="F215" t="inlineStr">
        <is>
          <t>KRONOBERGS LÄN</t>
        </is>
      </c>
      <c r="G215" t="inlineStr">
        <is>
          <t>UPPVIDINGE</t>
        </is>
      </c>
      <c r="I215" t="n">
        <v>3.9</v>
      </c>
      <c r="J215" t="n">
        <v>0</v>
      </c>
      <c r="K215" t="n">
        <v>2</v>
      </c>
      <c r="L215" t="n">
        <v>0</v>
      </c>
      <c r="M215" t="n">
        <v>0</v>
      </c>
      <c r="N215" t="n">
        <v>0</v>
      </c>
      <c r="O215" t="n">
        <v>0</v>
      </c>
      <c r="P215" t="n">
        <v>0</v>
      </c>
      <c r="Q215" t="n">
        <v>0</v>
      </c>
      <c r="R215" t="n">
        <v>0</v>
      </c>
      <c r="S215" t="n">
        <v>2</v>
      </c>
      <c r="T215" t="n">
        <v>2</v>
      </c>
      <c r="U215" t="n">
        <v>0</v>
      </c>
      <c r="V215" s="2" t="inlineStr">
        <is>
          <t>Blåmossa
Källpraktmossa</t>
        </is>
      </c>
      <c r="W215">
        <f>HYPERLINK("https://klasma.github.io/Logging_0760/artfynd/A 40892-2026 artfynd.xlsx", "A 40892-2026")</f>
        <v/>
      </c>
      <c r="X215">
        <f>HYPERLINK("https://klasma.github.io/Logging_0760/kartor/A 40892-2026 karta.png", "A 40892-2026")</f>
        <v/>
      </c>
      <c r="Y215">
        <f>HYPERLINK("https://klasma.github.io/Logging_0760/kartor_geotiff/A 40892-2026 georefererad karta.tif", "A 40892-2026")</f>
        <v/>
      </c>
      <c r="AA215">
        <f>HYPERLINK("https://klasma.github.io/Logging_0760/klagomål/A 40892-2026 FSC-klagomål.docx", "A 40892-2026")</f>
        <v/>
      </c>
      <c r="AB215">
        <f>HYPERLINK("https://klasma.github.io/Logging_0760/klagomålsmail/A 40892-2026 FSC-klagomål mail.docx", "A 40892-2026")</f>
        <v/>
      </c>
      <c r="AC215">
        <f>HYPERLINK("https://klasma.github.io/Logging_0760/tillsyn/A 40892-2026 tillsynsbegäran.docx", "A 40892-2026")</f>
        <v/>
      </c>
      <c r="AD215">
        <f>HYPERLINK("https://klasma.github.io/Logging_0760/tillsynsmail/A 40892-2026 tillsynsbegäran mail.docx", "A 40892-2026")</f>
        <v/>
      </c>
    </row>
    <row r="216" ht="15" customHeight="1">
      <c r="A216" t="inlineStr">
        <is>
          <t>A 30359-2023</t>
        </is>
      </c>
      <c r="B216" t="inlineStr">
        <is>
          <t>avverkningsanmälan</t>
        </is>
      </c>
      <c r="C216" t="inlineStr">
        <is>
          <t>Föryngringsavverkning</t>
        </is>
      </c>
      <c r="D216" s="1" t="n">
        <v>45111</v>
      </c>
      <c r="E216" s="1" t="n">
        <v>46316</v>
      </c>
      <c r="F216" t="inlineStr">
        <is>
          <t>KRONOBERGS LÄN</t>
        </is>
      </c>
      <c r="G216" t="inlineStr">
        <is>
          <t>LJUNGBY</t>
        </is>
      </c>
      <c r="I216" t="n">
        <v>2.1</v>
      </c>
      <c r="J216" t="n">
        <v>1</v>
      </c>
      <c r="K216" t="n">
        <v>0</v>
      </c>
      <c r="L216" t="n">
        <v>1</v>
      </c>
      <c r="M216" t="n">
        <v>0</v>
      </c>
      <c r="N216" t="n">
        <v>0</v>
      </c>
      <c r="O216" t="n">
        <v>0</v>
      </c>
      <c r="P216" t="n">
        <v>0</v>
      </c>
      <c r="Q216" t="n">
        <v>1</v>
      </c>
      <c r="R216" t="n">
        <v>0</v>
      </c>
      <c r="S216" t="n">
        <v>2</v>
      </c>
      <c r="T216" t="n">
        <v>2</v>
      </c>
      <c r="U216" t="n">
        <v>0</v>
      </c>
      <c r="V216" s="2" t="inlineStr">
        <is>
          <t>Brunpudrad nållav
Röd glada</t>
        </is>
      </c>
      <c r="W216">
        <f>HYPERLINK("https://klasma.github.io/Logging_0781/artfynd/A 30359-2023 artfynd.xlsx", "A 30359-2023")</f>
        <v/>
      </c>
      <c r="X216">
        <f>HYPERLINK("https://klasma.github.io/Logging_0781/kartor/A 30359-2023 karta.png", "A 30359-2023")</f>
        <v/>
      </c>
      <c r="Y216">
        <f>HYPERLINK("https://klasma.github.io/Logging_0781/kartor_geotiff/A 30359-2023 georefererad karta.tif", "A 30359-2023")</f>
        <v/>
      </c>
      <c r="AA216">
        <f>HYPERLINK("https://klasma.github.io/Logging_0781/klagomål/A 30359-2023 FSC-klagomål.docx", "A 30359-2023")</f>
        <v/>
      </c>
      <c r="AB216">
        <f>HYPERLINK("https://klasma.github.io/Logging_0781/klagomålsmail/A 30359-2023 FSC-klagomål mail.docx", "A 30359-2023")</f>
        <v/>
      </c>
      <c r="AC216">
        <f>HYPERLINK("https://klasma.github.io/Logging_0781/tillsyn/A 30359-2023 tillsynsbegäran.docx", "A 30359-2023")</f>
        <v/>
      </c>
      <c r="AD216">
        <f>HYPERLINK("https://klasma.github.io/Logging_0781/tillsynsmail/A 30359-2023 tillsynsbegäran mail.docx", "A 30359-2023")</f>
        <v/>
      </c>
      <c r="AE216">
        <f>HYPERLINK("https://klasma.github.io/Logging_0781/fåglar/A 30359-2023 prioriterade fågelarter.docx", "A 30359-2023")</f>
        <v/>
      </c>
    </row>
    <row r="217" ht="15" customHeight="1">
      <c r="A217" t="inlineStr">
        <is>
          <t>A 41059-2026</t>
        </is>
      </c>
      <c r="B217" t="inlineStr">
        <is>
          <t>avverkningsanmälan</t>
        </is>
      </c>
      <c r="C217" t="inlineStr">
        <is>
          <t>Föryngringsavverkning</t>
        </is>
      </c>
      <c r="D217" s="1" t="n">
        <v>46300</v>
      </c>
      <c r="E217" s="1" t="n">
        <v>46316</v>
      </c>
      <c r="F217" t="inlineStr">
        <is>
          <t>KRONOBERGS LÄN</t>
        </is>
      </c>
      <c r="G217" t="inlineStr">
        <is>
          <t>TINGSRYD</t>
        </is>
      </c>
      <c r="I217" t="n">
        <v>7.9</v>
      </c>
      <c r="J217" t="n">
        <v>1</v>
      </c>
      <c r="K217" t="n">
        <v>0</v>
      </c>
      <c r="L217" t="n">
        <v>1</v>
      </c>
      <c r="M217" t="n">
        <v>0</v>
      </c>
      <c r="N217" t="n">
        <v>0</v>
      </c>
      <c r="O217" t="n">
        <v>0</v>
      </c>
      <c r="P217" t="n">
        <v>0</v>
      </c>
      <c r="Q217" t="n">
        <v>1</v>
      </c>
      <c r="R217" t="n">
        <v>0</v>
      </c>
      <c r="S217" t="n">
        <v>2</v>
      </c>
      <c r="T217" t="n">
        <v>2</v>
      </c>
      <c r="U217" t="n">
        <v>0</v>
      </c>
      <c r="V217" s="2" t="inlineStr">
        <is>
          <t>Brunag
Revlummer</t>
        </is>
      </c>
      <c r="W217">
        <f>HYPERLINK("https://klasma.github.io/Logging_0763/artfynd/A 41059-2026 artfynd.xlsx", "A 41059-2026")</f>
        <v/>
      </c>
      <c r="X217">
        <f>HYPERLINK("https://klasma.github.io/Logging_0763/kartor/A 41059-2026 karta.png", "A 41059-2026")</f>
        <v/>
      </c>
      <c r="Y217">
        <f>HYPERLINK("https://klasma.github.io/Logging_0763/kartor_geotiff/A 41059-2026 georefererad karta.tif", "A 41059-2026")</f>
        <v/>
      </c>
      <c r="AA217">
        <f>HYPERLINK("https://klasma.github.io/Logging_0763/klagomål/A 41059-2026 FSC-klagomål.docx", "A 41059-2026")</f>
        <v/>
      </c>
      <c r="AB217">
        <f>HYPERLINK("https://klasma.github.io/Logging_0763/klagomålsmail/A 41059-2026 FSC-klagomål mail.docx", "A 41059-2026")</f>
        <v/>
      </c>
      <c r="AC217">
        <f>HYPERLINK("https://klasma.github.io/Logging_0763/tillsyn/A 41059-2026 tillsynsbegäran.docx", "A 41059-2026")</f>
        <v/>
      </c>
      <c r="AD217">
        <f>HYPERLINK("https://klasma.github.io/Logging_0763/tillsynsmail/A 41059-2026 tillsynsbegäran mail.docx", "A 41059-2026")</f>
        <v/>
      </c>
    </row>
    <row r="218" ht="15" customHeight="1">
      <c r="A218" t="inlineStr">
        <is>
          <t>A 35257-2026</t>
        </is>
      </c>
      <c r="B218" t="inlineStr">
        <is>
          <t>avverkningsanmälan</t>
        </is>
      </c>
      <c r="C218" t="inlineStr">
        <is>
          <t>Föryngringsavverkning</t>
        </is>
      </c>
      <c r="D218" s="1" t="n">
        <v>46261</v>
      </c>
      <c r="E218" s="1" t="n">
        <v>46316</v>
      </c>
      <c r="F218" t="inlineStr">
        <is>
          <t>KRONOBERGS LÄN</t>
        </is>
      </c>
      <c r="G218" t="inlineStr">
        <is>
          <t>ALVESTA</t>
        </is>
      </c>
      <c r="I218" t="n">
        <v>3.5</v>
      </c>
      <c r="J218" t="n">
        <v>0</v>
      </c>
      <c r="K218" t="n">
        <v>1</v>
      </c>
      <c r="L218" t="n">
        <v>1</v>
      </c>
      <c r="M218" t="n">
        <v>0</v>
      </c>
      <c r="N218" t="n">
        <v>0</v>
      </c>
      <c r="O218" t="n">
        <v>0</v>
      </c>
      <c r="P218" t="n">
        <v>0</v>
      </c>
      <c r="Q218" t="n">
        <v>1</v>
      </c>
      <c r="R218" t="n">
        <v>0</v>
      </c>
      <c r="S218" t="n">
        <v>2</v>
      </c>
      <c r="T218" t="n">
        <v>2</v>
      </c>
      <c r="U218" t="n">
        <v>2</v>
      </c>
      <c r="V218" s="2" t="inlineStr">
        <is>
          <t>Sotvaxskivling
Västlig hakmossa</t>
        </is>
      </c>
      <c r="W218">
        <f>HYPERLINK("https://klasma.github.io/Logging_0764/artfynd/A 35257-2026 artfynd.xlsx", "A 35257-2026")</f>
        <v/>
      </c>
      <c r="X218">
        <f>HYPERLINK("https://klasma.github.io/Logging_0764/kartor/A 35257-2026 karta.png", "A 35257-2026")</f>
        <v/>
      </c>
      <c r="Y218">
        <f>HYPERLINK("https://klasma.github.io/Logging_0764/kartor_geotiff/A 35257-2026 georefererad karta.tif", "A 35257-2026")</f>
        <v/>
      </c>
      <c r="AA218">
        <f>HYPERLINK("https://klasma.github.io/Logging_0764/klagomål/A 35257-2026 FSC-klagomål.docx", "A 35257-2026")</f>
        <v/>
      </c>
      <c r="AB218">
        <f>HYPERLINK("https://klasma.github.io/Logging_0764/klagomålsmail/A 35257-2026 FSC-klagomål mail.docx", "A 35257-2026")</f>
        <v/>
      </c>
      <c r="AC218">
        <f>HYPERLINK("https://klasma.github.io/Logging_0764/tillsyn/A 35257-2026 tillsynsbegäran.docx", "A 35257-2026")</f>
        <v/>
      </c>
      <c r="AD218">
        <f>HYPERLINK("https://klasma.github.io/Logging_0764/tillsynsmail/A 35257-2026 tillsynsbegäran mail.docx", "A 35257-2026")</f>
        <v/>
      </c>
    </row>
    <row r="219" ht="15" customHeight="1">
      <c r="A219" t="inlineStr">
        <is>
          <t>A 42974-2026</t>
        </is>
      </c>
      <c r="B219" t="inlineStr">
        <is>
          <t>avverkningsanmälan</t>
        </is>
      </c>
      <c r="C219" t="inlineStr">
        <is>
          <t>Föryngringsavverkning</t>
        </is>
      </c>
      <c r="D219" s="1" t="n">
        <v>46310</v>
      </c>
      <c r="E219" s="1" t="n">
        <v>46316</v>
      </c>
      <c r="F219" t="inlineStr">
        <is>
          <t>KRONOBERGS LÄN</t>
        </is>
      </c>
      <c r="G219" t="inlineStr">
        <is>
          <t>UPPVIDINGE</t>
        </is>
      </c>
      <c r="I219" t="n">
        <v>1.4</v>
      </c>
      <c r="J219" t="n">
        <v>2</v>
      </c>
      <c r="K219" t="n">
        <v>0</v>
      </c>
      <c r="L219" t="n">
        <v>1</v>
      </c>
      <c r="M219" t="n">
        <v>0</v>
      </c>
      <c r="N219" t="n">
        <v>0</v>
      </c>
      <c r="O219" t="n">
        <v>0</v>
      </c>
      <c r="P219" t="n">
        <v>0</v>
      </c>
      <c r="Q219" t="n">
        <v>1</v>
      </c>
      <c r="R219" t="n">
        <v>0</v>
      </c>
      <c r="S219" t="n">
        <v>2</v>
      </c>
      <c r="T219" t="n">
        <v>2</v>
      </c>
      <c r="U219" t="n">
        <v>0</v>
      </c>
      <c r="V219" s="2" t="inlineStr">
        <is>
          <t>Mindre hackspett
Tjäder</t>
        </is>
      </c>
      <c r="W219">
        <f>HYPERLINK("https://klasma.github.io/Logging_0760/artfynd/A 42974-2026 artfynd.xlsx", "A 42974-2026")</f>
        <v/>
      </c>
      <c r="X219">
        <f>HYPERLINK("https://klasma.github.io/Logging_0760/kartor/A 42974-2026 karta.png", "A 42974-2026")</f>
        <v/>
      </c>
      <c r="Y219">
        <f>HYPERLINK("https://klasma.github.io/Logging_0760/kartor_geotiff/A 42974-2026 georefererad karta.tif", "A 42974-2026")</f>
        <v/>
      </c>
      <c r="AA219">
        <f>HYPERLINK("https://klasma.github.io/Logging_0760/klagomål/A 42974-2026 FSC-klagomål.docx", "A 42974-2026")</f>
        <v/>
      </c>
      <c r="AB219">
        <f>HYPERLINK("https://klasma.github.io/Logging_0760/klagomålsmail/A 42974-2026 FSC-klagomål mail.docx", "A 42974-2026")</f>
        <v/>
      </c>
      <c r="AC219">
        <f>HYPERLINK("https://klasma.github.io/Logging_0760/tillsyn/A 42974-2026 tillsynsbegäran.docx", "A 42974-2026")</f>
        <v/>
      </c>
      <c r="AD219">
        <f>HYPERLINK("https://klasma.github.io/Logging_0760/tillsynsmail/A 42974-2026 tillsynsbegäran mail.docx", "A 42974-2026")</f>
        <v/>
      </c>
      <c r="AE219">
        <f>HYPERLINK("https://klasma.github.io/Logging_0760/fåglar/A 42974-2026 prioriterade fågelarter.docx", "A 42974-2026")</f>
        <v/>
      </c>
    </row>
    <row r="220" ht="15" customHeight="1">
      <c r="A220" t="inlineStr">
        <is>
          <t>A 36693-2026</t>
        </is>
      </c>
      <c r="B220" t="inlineStr">
        <is>
          <t>avverkningsanmälan</t>
        </is>
      </c>
      <c r="C220" t="inlineStr">
        <is>
          <t>Föryngringsavverkning</t>
        </is>
      </c>
      <c r="D220" s="1" t="n">
        <v>46272</v>
      </c>
      <c r="E220" s="1" t="n">
        <v>46316</v>
      </c>
      <c r="F220" t="inlineStr">
        <is>
          <t>KRONOBERGS LÄN</t>
        </is>
      </c>
      <c r="G220" t="inlineStr">
        <is>
          <t>LJUNGBY</t>
        </is>
      </c>
      <c r="I220" t="n">
        <v>2.9</v>
      </c>
      <c r="J220" t="n">
        <v>1</v>
      </c>
      <c r="K220" t="n">
        <v>1</v>
      </c>
      <c r="L220" t="n">
        <v>0</v>
      </c>
      <c r="M220" t="n">
        <v>0</v>
      </c>
      <c r="N220" t="n">
        <v>0</v>
      </c>
      <c r="O220" t="n">
        <v>0</v>
      </c>
      <c r="P220" t="n">
        <v>0</v>
      </c>
      <c r="Q220" t="n">
        <v>0</v>
      </c>
      <c r="R220" t="n">
        <v>0</v>
      </c>
      <c r="S220" t="n">
        <v>2</v>
      </c>
      <c r="T220" t="n">
        <v>2</v>
      </c>
      <c r="U220" t="n">
        <v>0</v>
      </c>
      <c r="V220" s="2" t="inlineStr">
        <is>
          <t>Källmossa
Gröngöling</t>
        </is>
      </c>
      <c r="W220">
        <f>HYPERLINK("https://klasma.github.io/Logging_0781/artfynd/A 36693-2026 artfynd.xlsx", "A 36693-2026")</f>
        <v/>
      </c>
      <c r="X220">
        <f>HYPERLINK("https://klasma.github.io/Logging_0781/kartor/A 36693-2026 karta.png", "A 36693-2026")</f>
        <v/>
      </c>
      <c r="Y220">
        <f>HYPERLINK("https://klasma.github.io/Logging_0781/kartor_geotiff/A 36693-2026 georefererad karta.tif", "A 36693-2026")</f>
        <v/>
      </c>
      <c r="AA220">
        <f>HYPERLINK("https://klasma.github.io/Logging_0781/klagomål/A 36693-2026 FSC-klagomål.docx", "A 36693-2026")</f>
        <v/>
      </c>
      <c r="AB220">
        <f>HYPERLINK("https://klasma.github.io/Logging_0781/klagomålsmail/A 36693-2026 FSC-klagomål mail.docx", "A 36693-2026")</f>
        <v/>
      </c>
      <c r="AC220">
        <f>HYPERLINK("https://klasma.github.io/Logging_0781/tillsyn/A 36693-2026 tillsynsbegäran.docx", "A 36693-2026")</f>
        <v/>
      </c>
      <c r="AD220">
        <f>HYPERLINK("https://klasma.github.io/Logging_0781/tillsynsmail/A 36693-2026 tillsynsbegäran mail.docx", "A 36693-2026")</f>
        <v/>
      </c>
    </row>
    <row r="221" ht="15" customHeight="1">
      <c r="A221" t="inlineStr">
        <is>
          <t>A 26684-2023</t>
        </is>
      </c>
      <c r="B221" t="inlineStr">
        <is>
          <t>avverkningsanmälan</t>
        </is>
      </c>
      <c r="C221" t="inlineStr">
        <is>
          <t>Föryngringsavverkning</t>
        </is>
      </c>
      <c r="D221" s="1" t="n">
        <v>45093</v>
      </c>
      <c r="E221" s="1" t="n">
        <v>46316</v>
      </c>
      <c r="F221" t="inlineStr">
        <is>
          <t>KRONOBERGS LÄN</t>
        </is>
      </c>
      <c r="G221" t="inlineStr">
        <is>
          <t>VÄXJÖ</t>
        </is>
      </c>
      <c r="I221" t="n">
        <v>7</v>
      </c>
      <c r="J221" t="n">
        <v>1</v>
      </c>
      <c r="K221" t="n">
        <v>0</v>
      </c>
      <c r="L221" t="n">
        <v>1</v>
      </c>
      <c r="M221" t="n">
        <v>1</v>
      </c>
      <c r="N221" t="n">
        <v>0</v>
      </c>
      <c r="O221" t="n">
        <v>0</v>
      </c>
      <c r="P221" t="n">
        <v>0</v>
      </c>
      <c r="Q221" t="n">
        <v>2</v>
      </c>
      <c r="R221" t="n">
        <v>1</v>
      </c>
      <c r="S221" t="n">
        <v>2</v>
      </c>
      <c r="T221" t="n">
        <v>4</v>
      </c>
      <c r="U221" t="n">
        <v>4</v>
      </c>
      <c r="V221" s="2" t="inlineStr">
        <is>
          <t>Knärot
Dropptaggsvamp</t>
        </is>
      </c>
      <c r="W221">
        <f>HYPERLINK("https://klasma.github.io/Logging_0780/artfynd/A 26684-2023 artfynd.xlsx", "A 26684-2023")</f>
        <v/>
      </c>
      <c r="X221">
        <f>HYPERLINK("https://klasma.github.io/Logging_0780/kartor/A 26684-2023 karta.png", "A 26684-2023")</f>
        <v/>
      </c>
      <c r="Y221">
        <f>HYPERLINK("https://klasma.github.io/Logging_0780/kartor_geotiff/A 26684-2023 georefererad karta.tif", "A 26684-2023")</f>
        <v/>
      </c>
      <c r="Z221">
        <f>HYPERLINK("https://klasma.github.io/Logging_0780/knärot/A 26684-2023 karta knärot.png", "A 26684-2023")</f>
        <v/>
      </c>
      <c r="AA221">
        <f>HYPERLINK("https://klasma.github.io/Logging_0780/klagomål/A 26684-2023 FSC-klagomål.docx", "A 26684-2023")</f>
        <v/>
      </c>
      <c r="AB221">
        <f>HYPERLINK("https://klasma.github.io/Logging_0780/klagomålsmail/A 26684-2023 FSC-klagomål mail.docx", "A 26684-2023")</f>
        <v/>
      </c>
      <c r="AC221">
        <f>HYPERLINK("https://klasma.github.io/Logging_0780/tillsyn/A 26684-2023 tillsynsbegäran.docx", "A 26684-2023")</f>
        <v/>
      </c>
      <c r="AD221">
        <f>HYPERLINK("https://klasma.github.io/Logging_0780/tillsynsmail/A 26684-2023 tillsynsbegäran mail.docx", "A 26684-2023")</f>
        <v/>
      </c>
    </row>
    <row r="222" ht="15" customHeight="1">
      <c r="A222" t="inlineStr">
        <is>
          <t>A 47486-2024</t>
        </is>
      </c>
      <c r="B222" t="inlineStr">
        <is>
          <t>avverkningsanmälan</t>
        </is>
      </c>
      <c r="C222" t="inlineStr">
        <is>
          <t>Föryngringsavverkning</t>
        </is>
      </c>
      <c r="D222" s="1" t="n">
        <v>45587</v>
      </c>
      <c r="E222" s="1" t="n">
        <v>46316</v>
      </c>
      <c r="F222" t="inlineStr">
        <is>
          <t>KRONOBERGS LÄN</t>
        </is>
      </c>
      <c r="G222" t="inlineStr">
        <is>
          <t>VÄXJÖ</t>
        </is>
      </c>
      <c r="I222" t="n">
        <v>6</v>
      </c>
      <c r="J222" t="n">
        <v>2</v>
      </c>
      <c r="K222" t="n">
        <v>0</v>
      </c>
      <c r="L222" t="n">
        <v>0</v>
      </c>
      <c r="M222" t="n">
        <v>0</v>
      </c>
      <c r="N222" t="n">
        <v>1</v>
      </c>
      <c r="O222" t="n">
        <v>0</v>
      </c>
      <c r="P222" t="n">
        <v>0</v>
      </c>
      <c r="Q222" t="n">
        <v>1</v>
      </c>
      <c r="R222" t="n">
        <v>1</v>
      </c>
      <c r="S222" t="n">
        <v>2</v>
      </c>
      <c r="T222" t="n">
        <v>2</v>
      </c>
      <c r="U222" t="n">
        <v>1</v>
      </c>
      <c r="V222" s="2" t="inlineStr">
        <is>
          <t>Pärluggla
Nattskärra</t>
        </is>
      </c>
      <c r="W222">
        <f>HYPERLINK("https://klasma.github.io/Logging_0780/artfynd/A 47486-2024 artfynd.xlsx", "A 47486-2024")</f>
        <v/>
      </c>
      <c r="X222">
        <f>HYPERLINK("https://klasma.github.io/Logging_0780/kartor/A 47486-2024 karta.png", "A 47486-2024")</f>
        <v/>
      </c>
      <c r="Y222">
        <f>HYPERLINK("https://klasma.github.io/Logging_0780/kartor_geotiff/A 47486-2024 georefererad karta.tif", "A 47486-2024")</f>
        <v/>
      </c>
      <c r="AA222">
        <f>HYPERLINK("https://klasma.github.io/Logging_0780/klagomål/A 47486-2024 FSC-klagomål.docx", "A 47486-2024")</f>
        <v/>
      </c>
      <c r="AB222">
        <f>HYPERLINK("https://klasma.github.io/Logging_0780/klagomålsmail/A 47486-2024 FSC-klagomål mail.docx", "A 47486-2024")</f>
        <v/>
      </c>
      <c r="AC222">
        <f>HYPERLINK("https://klasma.github.io/Logging_0780/tillsyn/A 47486-2024 tillsynsbegäran.docx", "A 47486-2024")</f>
        <v/>
      </c>
      <c r="AD222">
        <f>HYPERLINK("https://klasma.github.io/Logging_0780/tillsynsmail/A 47486-2024 tillsynsbegäran mail.docx", "A 47486-2024")</f>
        <v/>
      </c>
      <c r="AE222">
        <f>HYPERLINK("https://klasma.github.io/Logging_0780/fåglar/A 47486-2024 prioriterade fågelarter.docx", "A 47486-2024")</f>
        <v/>
      </c>
    </row>
    <row r="223" ht="15" customHeight="1">
      <c r="A223" t="inlineStr">
        <is>
          <t>A 59362-2024</t>
        </is>
      </c>
      <c r="B223" t="inlineStr">
        <is>
          <t>avverkningsanmälan</t>
        </is>
      </c>
      <c r="C223" t="inlineStr">
        <is>
          <t>Avverkning för annat ändamål</t>
        </is>
      </c>
      <c r="D223" s="1" t="n">
        <v>45638</v>
      </c>
      <c r="E223" s="1" t="n">
        <v>46316</v>
      </c>
      <c r="F223" t="inlineStr">
        <is>
          <t>KRONOBERGS LÄN</t>
        </is>
      </c>
      <c r="G223" t="inlineStr">
        <is>
          <t>ALVESTA</t>
        </is>
      </c>
      <c r="I223" t="n">
        <v>0.6</v>
      </c>
      <c r="J223" t="n">
        <v>0</v>
      </c>
      <c r="K223" t="n">
        <v>2</v>
      </c>
      <c r="L223" t="n">
        <v>0</v>
      </c>
      <c r="M223" t="n">
        <v>0</v>
      </c>
      <c r="N223" t="n">
        <v>0</v>
      </c>
      <c r="O223" t="n">
        <v>0</v>
      </c>
      <c r="P223" t="n">
        <v>0</v>
      </c>
      <c r="Q223" t="n">
        <v>0</v>
      </c>
      <c r="R223" t="n">
        <v>0</v>
      </c>
      <c r="S223" t="n">
        <v>2</v>
      </c>
      <c r="T223" t="n">
        <v>2</v>
      </c>
      <c r="U223" t="n">
        <v>0</v>
      </c>
      <c r="V223" s="2" t="inlineStr">
        <is>
          <t>Brandticka
Västlig hakmossa</t>
        </is>
      </c>
      <c r="W223">
        <f>HYPERLINK("https://klasma.github.io/Logging_0764/artfynd/A 59362-2024 artfynd.xlsx", "A 59362-2024")</f>
        <v/>
      </c>
      <c r="X223">
        <f>HYPERLINK("https://klasma.github.io/Logging_0764/kartor/A 59362-2024 karta.png", "A 59362-2024")</f>
        <v/>
      </c>
      <c r="Y223">
        <f>HYPERLINK("https://klasma.github.io/Logging_0764/kartor_geotiff/A 59362-2024 georefererad karta.tif", "A 59362-2024")</f>
        <v/>
      </c>
      <c r="AA223">
        <f>HYPERLINK("https://klasma.github.io/Logging_0764/klagomål/A 59362-2024 FSC-klagomål.docx", "A 59362-2024")</f>
        <v/>
      </c>
      <c r="AB223">
        <f>HYPERLINK("https://klasma.github.io/Logging_0764/klagomålsmail/A 59362-2024 FSC-klagomål mail.docx", "A 59362-2024")</f>
        <v/>
      </c>
      <c r="AC223">
        <f>HYPERLINK("https://klasma.github.io/Logging_0764/tillsyn/A 59362-2024 tillsynsbegäran.docx", "A 59362-2024")</f>
        <v/>
      </c>
      <c r="AD223">
        <f>HYPERLINK("https://klasma.github.io/Logging_0764/tillsynsmail/A 59362-2024 tillsynsbegäran mail.docx", "A 59362-2024")</f>
        <v/>
      </c>
    </row>
    <row r="224" ht="15" customHeight="1">
      <c r="A224" t="inlineStr">
        <is>
          <t>A 39508-2022</t>
        </is>
      </c>
      <c r="B224" t="inlineStr">
        <is>
          <t>avverkningsanmälan</t>
        </is>
      </c>
      <c r="C224" t="inlineStr">
        <is>
          <t>Avverkning för annat ändamål</t>
        </is>
      </c>
      <c r="D224" s="1" t="n">
        <v>44818</v>
      </c>
      <c r="E224" s="1" t="n">
        <v>46316</v>
      </c>
      <c r="F224" t="inlineStr">
        <is>
          <t>KRONOBERGS LÄN</t>
        </is>
      </c>
      <c r="G224" t="inlineStr">
        <is>
          <t>MARKARYD</t>
        </is>
      </c>
      <c r="H224" t="inlineStr">
        <is>
          <t>Kommuner</t>
        </is>
      </c>
      <c r="I224" t="n">
        <v>45.6</v>
      </c>
      <c r="J224" t="n">
        <v>2</v>
      </c>
      <c r="K224" t="n">
        <v>0</v>
      </c>
      <c r="L224" t="n">
        <v>0</v>
      </c>
      <c r="M224" t="n">
        <v>0</v>
      </c>
      <c r="N224" t="n">
        <v>0</v>
      </c>
      <c r="O224" t="n">
        <v>0</v>
      </c>
      <c r="P224" t="n">
        <v>0</v>
      </c>
      <c r="Q224" t="n">
        <v>0</v>
      </c>
      <c r="R224" t="n">
        <v>0</v>
      </c>
      <c r="S224" t="n">
        <v>2</v>
      </c>
      <c r="T224" t="n">
        <v>2</v>
      </c>
      <c r="U224" t="n">
        <v>2</v>
      </c>
      <c r="V224" s="2" t="inlineStr">
        <is>
          <t>Kråka
Röd glada</t>
        </is>
      </c>
      <c r="W224">
        <f>HYPERLINK("https://klasma.github.io/Logging_0767/artfynd/A 39508-2022 artfynd.xlsx", "A 39508-2022")</f>
        <v/>
      </c>
      <c r="X224">
        <f>HYPERLINK("https://klasma.github.io/Logging_0767/kartor/A 39508-2022 karta.png", "A 39508-2022")</f>
        <v/>
      </c>
      <c r="Y224">
        <f>HYPERLINK("https://klasma.github.io/Logging_0767/kartor_geotiff/A 39508-2022 georefererad karta.tif", "A 39508-2022")</f>
        <v/>
      </c>
      <c r="AA224">
        <f>HYPERLINK("https://klasma.github.io/Logging_0767/klagomål/A 39508-2022 FSC-klagomål.docx", "A 39508-2022")</f>
        <v/>
      </c>
      <c r="AB224">
        <f>HYPERLINK("https://klasma.github.io/Logging_0767/klagomålsmail/A 39508-2022 FSC-klagomål mail.docx", "A 39508-2022")</f>
        <v/>
      </c>
      <c r="AC224">
        <f>HYPERLINK("https://klasma.github.io/Logging_0767/tillsyn/A 39508-2022 tillsynsbegäran.docx", "A 39508-2022")</f>
        <v/>
      </c>
      <c r="AD224">
        <f>HYPERLINK("https://klasma.github.io/Logging_0767/tillsynsmail/A 39508-2022 tillsynsbegäran mail.docx", "A 39508-2022")</f>
        <v/>
      </c>
      <c r="AE224">
        <f>HYPERLINK("https://klasma.github.io/Logging_0767/fåglar/A 39508-2022 prioriterade fågelarter.docx", "A 39508-2022")</f>
        <v/>
      </c>
    </row>
    <row r="225" ht="15" customHeight="1">
      <c r="A225" t="inlineStr">
        <is>
          <t>A 51691-2022</t>
        </is>
      </c>
      <c r="B225" t="inlineStr">
        <is>
          <t>avverkningsanmälan</t>
        </is>
      </c>
      <c r="C225" t="inlineStr">
        <is>
          <t>Föryngringsavverkning</t>
        </is>
      </c>
      <c r="D225" s="1" t="n">
        <v>44872</v>
      </c>
      <c r="E225" s="1" t="n">
        <v>46316</v>
      </c>
      <c r="F225" t="inlineStr">
        <is>
          <t>KRONOBERGS LÄN</t>
        </is>
      </c>
      <c r="G225" t="inlineStr">
        <is>
          <t>TINGSRYD</t>
        </is>
      </c>
      <c r="I225" t="n">
        <v>3.5</v>
      </c>
      <c r="J225" t="n">
        <v>1</v>
      </c>
      <c r="K225" t="n">
        <v>1</v>
      </c>
      <c r="L225" t="n">
        <v>0</v>
      </c>
      <c r="M225" t="n">
        <v>1</v>
      </c>
      <c r="N225" t="n">
        <v>0</v>
      </c>
      <c r="O225" t="n">
        <v>0</v>
      </c>
      <c r="P225" t="n">
        <v>0</v>
      </c>
      <c r="Q225" t="n">
        <v>1</v>
      </c>
      <c r="R225" t="n">
        <v>1</v>
      </c>
      <c r="S225" t="n">
        <v>2</v>
      </c>
      <c r="T225" t="n">
        <v>2</v>
      </c>
      <c r="U225" t="n">
        <v>0</v>
      </c>
      <c r="V225" s="2" t="inlineStr">
        <is>
          <t>Knärot
Blåmossa</t>
        </is>
      </c>
      <c r="W225">
        <f>HYPERLINK("https://klasma.github.io/Logging_0763/artfynd/A 51691-2022 artfynd.xlsx", "A 51691-2022")</f>
        <v/>
      </c>
      <c r="X225">
        <f>HYPERLINK("https://klasma.github.io/Logging_0763/kartor/A 51691-2022 karta.png", "A 51691-2022")</f>
        <v/>
      </c>
      <c r="Y225">
        <f>HYPERLINK("https://klasma.github.io/Logging_0763/kartor_geotiff/A 51691-2022 georefererad karta.tif", "A 51691-2022")</f>
        <v/>
      </c>
      <c r="Z225">
        <f>HYPERLINK("https://klasma.github.io/Logging_0763/knärot/A 51691-2022 karta knärot.png", "A 51691-2022")</f>
        <v/>
      </c>
      <c r="AA225">
        <f>HYPERLINK("https://klasma.github.io/Logging_0763/klagomål/A 51691-2022 FSC-klagomål.docx", "A 51691-2022")</f>
        <v/>
      </c>
      <c r="AB225">
        <f>HYPERLINK("https://klasma.github.io/Logging_0763/klagomålsmail/A 51691-2022 FSC-klagomål mail.docx", "A 51691-2022")</f>
        <v/>
      </c>
      <c r="AC225">
        <f>HYPERLINK("https://klasma.github.io/Logging_0763/tillsyn/A 51691-2022 tillsynsbegäran.docx", "A 51691-2022")</f>
        <v/>
      </c>
      <c r="AD225">
        <f>HYPERLINK("https://klasma.github.io/Logging_0763/tillsynsmail/A 51691-2022 tillsynsbegäran mail.docx", "A 51691-2022")</f>
        <v/>
      </c>
    </row>
    <row r="226" ht="15" customHeight="1">
      <c r="A226" t="inlineStr">
        <is>
          <t>A 22521-2024</t>
        </is>
      </c>
      <c r="B226" t="inlineStr">
        <is>
          <t>avverkningsanmälan</t>
        </is>
      </c>
      <c r="C226" t="inlineStr">
        <is>
          <t>Föryngringsavverkning</t>
        </is>
      </c>
      <c r="D226" s="1" t="n">
        <v>45447</v>
      </c>
      <c r="E226" s="1" t="n">
        <v>46316</v>
      </c>
      <c r="F226" t="inlineStr">
        <is>
          <t>KRONOBERGS LÄN</t>
        </is>
      </c>
      <c r="G226" t="inlineStr">
        <is>
          <t>VÄXJÖ</t>
        </is>
      </c>
      <c r="I226" t="n">
        <v>1</v>
      </c>
      <c r="J226" t="n">
        <v>1</v>
      </c>
      <c r="K226" t="n">
        <v>0</v>
      </c>
      <c r="L226" t="n">
        <v>1</v>
      </c>
      <c r="M226" t="n">
        <v>0</v>
      </c>
      <c r="N226" t="n">
        <v>0</v>
      </c>
      <c r="O226" t="n">
        <v>0</v>
      </c>
      <c r="P226" t="n">
        <v>0</v>
      </c>
      <c r="Q226" t="n">
        <v>1</v>
      </c>
      <c r="R226" t="n">
        <v>0</v>
      </c>
      <c r="S226" t="n">
        <v>2</v>
      </c>
      <c r="T226" t="n">
        <v>2</v>
      </c>
      <c r="U226" t="n">
        <v>2</v>
      </c>
      <c r="V226" s="2" t="inlineStr">
        <is>
          <t>Svinrot
Grönvit nattviol</t>
        </is>
      </c>
      <c r="W226">
        <f>HYPERLINK("https://klasma.github.io/Logging_0780/artfynd/A 22521-2024 artfynd.xlsx", "A 22521-2024")</f>
        <v/>
      </c>
      <c r="X226">
        <f>HYPERLINK("https://klasma.github.io/Logging_0780/kartor/A 22521-2024 karta.png", "A 22521-2024")</f>
        <v/>
      </c>
      <c r="Y226">
        <f>HYPERLINK("https://klasma.github.io/Logging_0780/kartor_geotiff/A 22521-2024 georefererad karta.tif", "A 22521-2024")</f>
        <v/>
      </c>
      <c r="AA226">
        <f>HYPERLINK("https://klasma.github.io/Logging_0780/klagomål/A 22521-2024 FSC-klagomål.docx", "A 22521-2024")</f>
        <v/>
      </c>
      <c r="AB226">
        <f>HYPERLINK("https://klasma.github.io/Logging_0780/klagomålsmail/A 22521-2024 FSC-klagomål mail.docx", "A 22521-2024")</f>
        <v/>
      </c>
      <c r="AC226">
        <f>HYPERLINK("https://klasma.github.io/Logging_0780/tillsyn/A 22521-2024 tillsynsbegäran.docx", "A 22521-2024")</f>
        <v/>
      </c>
      <c r="AD226">
        <f>HYPERLINK("https://klasma.github.io/Logging_0780/tillsynsmail/A 22521-2024 tillsynsbegäran mail.docx", "A 22521-2024")</f>
        <v/>
      </c>
    </row>
    <row r="227" ht="15" customHeight="1">
      <c r="A227" t="inlineStr">
        <is>
          <t>A 8314-2022</t>
        </is>
      </c>
      <c r="B227" t="inlineStr">
        <is>
          <t>avverkningsanmälan</t>
        </is>
      </c>
      <c r="C227" t="inlineStr">
        <is>
          <t>Föryngringsavverkning</t>
        </is>
      </c>
      <c r="D227" s="1" t="n">
        <v>44610</v>
      </c>
      <c r="E227" s="1" t="n">
        <v>46316</v>
      </c>
      <c r="F227" t="inlineStr">
        <is>
          <t>KRONOBERGS LÄN</t>
        </is>
      </c>
      <c r="G227" t="inlineStr">
        <is>
          <t>LJUNGBY</t>
        </is>
      </c>
      <c r="H227" t="inlineStr">
        <is>
          <t>Kommuner</t>
        </is>
      </c>
      <c r="I227" t="n">
        <v>5.5</v>
      </c>
      <c r="J227" t="n">
        <v>0</v>
      </c>
      <c r="K227" t="n">
        <v>2</v>
      </c>
      <c r="L227" t="n">
        <v>0</v>
      </c>
      <c r="M227" t="n">
        <v>0</v>
      </c>
      <c r="N227" t="n">
        <v>0</v>
      </c>
      <c r="O227" t="n">
        <v>0</v>
      </c>
      <c r="P227" t="n">
        <v>0</v>
      </c>
      <c r="Q227" t="n">
        <v>0</v>
      </c>
      <c r="R227" t="n">
        <v>0</v>
      </c>
      <c r="S227" t="n">
        <v>2</v>
      </c>
      <c r="T227" t="n">
        <v>4</v>
      </c>
      <c r="U227" t="n">
        <v>0</v>
      </c>
      <c r="V227" s="2" t="inlineStr">
        <is>
          <t>Fällmossa
Klippfrullania</t>
        </is>
      </c>
      <c r="W227">
        <f>HYPERLINK("https://klasma.github.io/Logging_0781/artfynd/A 8314-2022 artfynd.xlsx", "A 8314-2022")</f>
        <v/>
      </c>
      <c r="X227">
        <f>HYPERLINK("https://klasma.github.io/Logging_0781/kartor/A 8314-2022 karta.png", "A 8314-2022")</f>
        <v/>
      </c>
      <c r="Y227">
        <f>HYPERLINK("https://klasma.github.io/Logging_0781/kartor_geotiff/A 8314-2022 georefererad karta.tif", "A 8314-2022")</f>
        <v/>
      </c>
      <c r="AA227">
        <f>HYPERLINK("https://klasma.github.io/Logging_0781/klagomål/A 8314-2022 FSC-klagomål.docx", "A 8314-2022")</f>
        <v/>
      </c>
      <c r="AB227">
        <f>HYPERLINK("https://klasma.github.io/Logging_0781/klagomålsmail/A 8314-2022 FSC-klagomål mail.docx", "A 8314-2022")</f>
        <v/>
      </c>
      <c r="AC227">
        <f>HYPERLINK("https://klasma.github.io/Logging_0781/tillsyn/A 8314-2022 tillsynsbegäran.docx", "A 8314-2022")</f>
        <v/>
      </c>
      <c r="AD227">
        <f>HYPERLINK("https://klasma.github.io/Logging_0781/tillsynsmail/A 8314-2022 tillsynsbegäran mail.docx", "A 8314-2022")</f>
        <v/>
      </c>
    </row>
    <row r="228" ht="15" customHeight="1">
      <c r="A228" t="inlineStr">
        <is>
          <t>A 61844-2024</t>
        </is>
      </c>
      <c r="B228" t="inlineStr">
        <is>
          <t>avverkningsanmälan</t>
        </is>
      </c>
      <c r="C228" t="inlineStr">
        <is>
          <t>Föryngringsavverkning</t>
        </is>
      </c>
      <c r="D228" s="1" t="n">
        <v>45649</v>
      </c>
      <c r="E228" s="1" t="n">
        <v>46316</v>
      </c>
      <c r="F228" t="inlineStr">
        <is>
          <t>KRONOBERGS LÄN</t>
        </is>
      </c>
      <c r="G228" t="inlineStr">
        <is>
          <t>VÄXJÖ</t>
        </is>
      </c>
      <c r="I228" t="n">
        <v>1.5</v>
      </c>
      <c r="J228" t="n">
        <v>0</v>
      </c>
      <c r="K228" t="n">
        <v>1</v>
      </c>
      <c r="L228" t="n">
        <v>1</v>
      </c>
      <c r="M228" t="n">
        <v>0</v>
      </c>
      <c r="N228" t="n">
        <v>0</v>
      </c>
      <c r="O228" t="n">
        <v>0</v>
      </c>
      <c r="P228" t="n">
        <v>0</v>
      </c>
      <c r="Q228" t="n">
        <v>1</v>
      </c>
      <c r="R228" t="n">
        <v>0</v>
      </c>
      <c r="S228" t="n">
        <v>2</v>
      </c>
      <c r="T228" t="n">
        <v>2</v>
      </c>
      <c r="U228" t="n">
        <v>0</v>
      </c>
      <c r="V228" s="2" t="inlineStr">
        <is>
          <t>Lunglav
Bårdlav</t>
        </is>
      </c>
      <c r="W228">
        <f>HYPERLINK("https://klasma.github.io/Logging_0780/artfynd/A 61844-2024 artfynd.xlsx", "A 61844-2024")</f>
        <v/>
      </c>
      <c r="X228">
        <f>HYPERLINK("https://klasma.github.io/Logging_0780/kartor/A 61844-2024 karta.png", "A 61844-2024")</f>
        <v/>
      </c>
      <c r="Y228">
        <f>HYPERLINK("https://klasma.github.io/Logging_0780/kartor_geotiff/A 61844-2024 georefererad karta.tif", "A 61844-2024")</f>
        <v/>
      </c>
      <c r="AA228">
        <f>HYPERLINK("https://klasma.github.io/Logging_0780/klagomål/A 61844-2024 FSC-klagomål.docx", "A 61844-2024")</f>
        <v/>
      </c>
      <c r="AB228">
        <f>HYPERLINK("https://klasma.github.io/Logging_0780/klagomålsmail/A 61844-2024 FSC-klagomål mail.docx", "A 61844-2024")</f>
        <v/>
      </c>
      <c r="AC228">
        <f>HYPERLINK("https://klasma.github.io/Logging_0780/tillsyn/A 61844-2024 tillsynsbegäran.docx", "A 61844-2024")</f>
        <v/>
      </c>
      <c r="AD228">
        <f>HYPERLINK("https://klasma.github.io/Logging_0780/tillsynsmail/A 61844-2024 tillsynsbegäran mail.docx", "A 61844-2024")</f>
        <v/>
      </c>
    </row>
    <row r="229" ht="15" customHeight="1">
      <c r="A229" t="inlineStr">
        <is>
          <t>A 28740-2024</t>
        </is>
      </c>
      <c r="B229" t="inlineStr">
        <is>
          <t>avverkningsanmälan</t>
        </is>
      </c>
      <c r="C229" t="inlineStr">
        <is>
          <t>Föryngringsavverkning</t>
        </is>
      </c>
      <c r="D229" s="1" t="n">
        <v>45478</v>
      </c>
      <c r="E229" s="1" t="n">
        <v>46316</v>
      </c>
      <c r="F229" t="inlineStr">
        <is>
          <t>KRONOBERGS LÄN</t>
        </is>
      </c>
      <c r="G229" t="inlineStr">
        <is>
          <t>ALVESTA</t>
        </is>
      </c>
      <c r="I229" t="n">
        <v>4</v>
      </c>
      <c r="J229" t="n">
        <v>1</v>
      </c>
      <c r="K229" t="n">
        <v>1</v>
      </c>
      <c r="L229" t="n">
        <v>0</v>
      </c>
      <c r="M229" t="n">
        <v>0</v>
      </c>
      <c r="N229" t="n">
        <v>0</v>
      </c>
      <c r="O229" t="n">
        <v>0</v>
      </c>
      <c r="P229" t="n">
        <v>0</v>
      </c>
      <c r="Q229" t="n">
        <v>0</v>
      </c>
      <c r="R229" t="n">
        <v>0</v>
      </c>
      <c r="S229" t="n">
        <v>2</v>
      </c>
      <c r="T229" t="n">
        <v>2</v>
      </c>
      <c r="U229" t="n">
        <v>0</v>
      </c>
      <c r="V229" s="2" t="inlineStr">
        <is>
          <t>Västlig hakmossa
Revlummer</t>
        </is>
      </c>
      <c r="W229">
        <f>HYPERLINK("https://klasma.github.io/Logging_0764/artfynd/A 28740-2024 artfynd.xlsx", "A 28740-2024")</f>
        <v/>
      </c>
      <c r="X229">
        <f>HYPERLINK("https://klasma.github.io/Logging_0764/kartor/A 28740-2024 karta.png", "A 28740-2024")</f>
        <v/>
      </c>
      <c r="Y229">
        <f>HYPERLINK("https://klasma.github.io/Logging_0764/kartor_geotiff/A 28740-2024 georefererad karta.tif", "A 28740-2024")</f>
        <v/>
      </c>
      <c r="AA229">
        <f>HYPERLINK("https://klasma.github.io/Logging_0764/klagomål/A 28740-2024 FSC-klagomål.docx", "A 28740-2024")</f>
        <v/>
      </c>
      <c r="AB229">
        <f>HYPERLINK("https://klasma.github.io/Logging_0764/klagomålsmail/A 28740-2024 FSC-klagomål mail.docx", "A 28740-2024")</f>
        <v/>
      </c>
      <c r="AC229">
        <f>HYPERLINK("https://klasma.github.io/Logging_0764/tillsyn/A 28740-2024 tillsynsbegäran.docx", "A 28740-2024")</f>
        <v/>
      </c>
      <c r="AD229">
        <f>HYPERLINK("https://klasma.github.io/Logging_0764/tillsynsmail/A 28740-2024 tillsynsbegäran mail.docx", "A 28740-2024")</f>
        <v/>
      </c>
    </row>
    <row r="230" ht="15" customHeight="1">
      <c r="A230" t="inlineStr">
        <is>
          <t>A 38339-2024</t>
        </is>
      </c>
      <c r="B230" t="inlineStr">
        <is>
          <t>avverkningsanmälan</t>
        </is>
      </c>
      <c r="C230" t="inlineStr">
        <is>
          <t>Föryngringsavverkning</t>
        </is>
      </c>
      <c r="D230" s="1" t="n">
        <v>45545</v>
      </c>
      <c r="E230" s="1" t="n">
        <v>46316</v>
      </c>
      <c r="F230" t="inlineStr">
        <is>
          <t>KRONOBERGS LÄN</t>
        </is>
      </c>
      <c r="G230" t="inlineStr">
        <is>
          <t>VÄXJÖ</t>
        </is>
      </c>
      <c r="I230" t="n">
        <v>4.9</v>
      </c>
      <c r="J230" t="n">
        <v>0</v>
      </c>
      <c r="K230" t="n">
        <v>1</v>
      </c>
      <c r="L230" t="n">
        <v>1</v>
      </c>
      <c r="M230" t="n">
        <v>0</v>
      </c>
      <c r="N230" t="n">
        <v>0</v>
      </c>
      <c r="O230" t="n">
        <v>0</v>
      </c>
      <c r="P230" t="n">
        <v>0</v>
      </c>
      <c r="Q230" t="n">
        <v>1</v>
      </c>
      <c r="R230" t="n">
        <v>0</v>
      </c>
      <c r="S230" t="n">
        <v>2</v>
      </c>
      <c r="T230" t="n">
        <v>2</v>
      </c>
      <c r="U230" t="n">
        <v>0</v>
      </c>
      <c r="V230" s="2" t="inlineStr">
        <is>
          <t>Tallriska
Blomkålssvamp</t>
        </is>
      </c>
      <c r="W230">
        <f>HYPERLINK("https://klasma.github.io/Logging_0780/artfynd/A 38339-2024 artfynd.xlsx", "A 38339-2024")</f>
        <v/>
      </c>
      <c r="X230">
        <f>HYPERLINK("https://klasma.github.io/Logging_0780/kartor/A 38339-2024 karta.png", "A 38339-2024")</f>
        <v/>
      </c>
      <c r="Y230">
        <f>HYPERLINK("https://klasma.github.io/Logging_0780/kartor_geotiff/A 38339-2024 georefererad karta.tif", "A 38339-2024")</f>
        <v/>
      </c>
      <c r="AA230">
        <f>HYPERLINK("https://klasma.github.io/Logging_0780/klagomål/A 38339-2024 FSC-klagomål.docx", "A 38339-2024")</f>
        <v/>
      </c>
      <c r="AB230">
        <f>HYPERLINK("https://klasma.github.io/Logging_0780/klagomålsmail/A 38339-2024 FSC-klagomål mail.docx", "A 38339-2024")</f>
        <v/>
      </c>
      <c r="AC230">
        <f>HYPERLINK("https://klasma.github.io/Logging_0780/tillsyn/A 38339-2024 tillsynsbegäran.docx", "A 38339-2024")</f>
        <v/>
      </c>
      <c r="AD230">
        <f>HYPERLINK("https://klasma.github.io/Logging_0780/tillsynsmail/A 38339-2024 tillsynsbegäran mail.docx", "A 38339-2024")</f>
        <v/>
      </c>
    </row>
    <row r="231" ht="15" customHeight="1">
      <c r="A231" t="inlineStr">
        <is>
          <t>A 32346-2024</t>
        </is>
      </c>
      <c r="B231" t="inlineStr">
        <is>
          <t>avverkningsanmälan</t>
        </is>
      </c>
      <c r="C231" t="inlineStr">
        <is>
          <t>Föryngringsavverkning</t>
        </is>
      </c>
      <c r="D231" s="1" t="n">
        <v>45512</v>
      </c>
      <c r="E231" s="1" t="n">
        <v>46316</v>
      </c>
      <c r="F231" t="inlineStr">
        <is>
          <t>KRONOBERGS LÄN</t>
        </is>
      </c>
      <c r="G231" t="inlineStr">
        <is>
          <t>LJUNGBY</t>
        </is>
      </c>
      <c r="I231" t="n">
        <v>2.6</v>
      </c>
      <c r="J231" t="n">
        <v>1</v>
      </c>
      <c r="K231" t="n">
        <v>0</v>
      </c>
      <c r="L231" t="n">
        <v>0</v>
      </c>
      <c r="M231" t="n">
        <v>1</v>
      </c>
      <c r="N231" t="n">
        <v>1</v>
      </c>
      <c r="O231" t="n">
        <v>0</v>
      </c>
      <c r="P231" t="n">
        <v>0</v>
      </c>
      <c r="Q231" t="n">
        <v>2</v>
      </c>
      <c r="R231" t="n">
        <v>2</v>
      </c>
      <c r="S231" t="n">
        <v>2</v>
      </c>
      <c r="T231" t="n">
        <v>2</v>
      </c>
      <c r="U231" t="n">
        <v>0</v>
      </c>
      <c r="V231" s="2" t="inlineStr">
        <is>
          <t>Klockgentiana
Sjötåtel</t>
        </is>
      </c>
      <c r="W231">
        <f>HYPERLINK("https://klasma.github.io/Logging_0781/artfynd/A 32346-2024 artfynd.xlsx", "A 32346-2024")</f>
        <v/>
      </c>
      <c r="X231">
        <f>HYPERLINK("https://klasma.github.io/Logging_0781/kartor/A 32346-2024 karta.png", "A 32346-2024")</f>
        <v/>
      </c>
      <c r="Y231">
        <f>HYPERLINK("https://klasma.github.io/Logging_0781/kartor_geotiff/A 32346-2024 georefererad karta.tif", "A 32346-2024")</f>
        <v/>
      </c>
      <c r="AA231">
        <f>HYPERLINK("https://klasma.github.io/Logging_0781/klagomål/A 32346-2024 FSC-klagomål.docx", "A 32346-2024")</f>
        <v/>
      </c>
      <c r="AB231">
        <f>HYPERLINK("https://klasma.github.io/Logging_0781/klagomålsmail/A 32346-2024 FSC-klagomål mail.docx", "A 32346-2024")</f>
        <v/>
      </c>
      <c r="AC231">
        <f>HYPERLINK("https://klasma.github.io/Logging_0781/tillsyn/A 32346-2024 tillsynsbegäran.docx", "A 32346-2024")</f>
        <v/>
      </c>
      <c r="AD231">
        <f>HYPERLINK("https://klasma.github.io/Logging_0781/tillsynsmail/A 32346-2024 tillsynsbegäran mail.docx", "A 32346-2024")</f>
        <v/>
      </c>
    </row>
    <row r="232" ht="15" customHeight="1">
      <c r="A232" t="inlineStr">
        <is>
          <t>A 13497-2024</t>
        </is>
      </c>
      <c r="B232" t="inlineStr">
        <is>
          <t>avverkningsanmälan</t>
        </is>
      </c>
      <c r="C232" t="inlineStr">
        <is>
          <t>Föryngringsavverkning</t>
        </is>
      </c>
      <c r="D232" s="1" t="n">
        <v>45387</v>
      </c>
      <c r="E232" s="1" t="n">
        <v>46316</v>
      </c>
      <c r="F232" t="inlineStr">
        <is>
          <t>KRONOBERGS LÄN</t>
        </is>
      </c>
      <c r="G232" t="inlineStr">
        <is>
          <t>TINGSRYD</t>
        </is>
      </c>
      <c r="I232" t="n">
        <v>3.2</v>
      </c>
      <c r="J232" t="n">
        <v>2</v>
      </c>
      <c r="K232" t="n">
        <v>0</v>
      </c>
      <c r="L232" t="n">
        <v>0</v>
      </c>
      <c r="M232" t="n">
        <v>1</v>
      </c>
      <c r="N232" t="n">
        <v>0</v>
      </c>
      <c r="O232" t="n">
        <v>0</v>
      </c>
      <c r="P232" t="n">
        <v>0</v>
      </c>
      <c r="Q232" t="n">
        <v>1</v>
      </c>
      <c r="R232" t="n">
        <v>1</v>
      </c>
      <c r="S232" t="n">
        <v>2</v>
      </c>
      <c r="T232" t="n">
        <v>3</v>
      </c>
      <c r="U232" t="n">
        <v>0</v>
      </c>
      <c r="V232" s="2" t="inlineStr">
        <is>
          <t>Knärot
Kungsfågel</t>
        </is>
      </c>
      <c r="W232">
        <f>HYPERLINK("https://klasma.github.io/Logging_0763/artfynd/A 13497-2024 artfynd.xlsx", "A 13497-2024")</f>
        <v/>
      </c>
      <c r="X232">
        <f>HYPERLINK("https://klasma.github.io/Logging_0763/kartor/A 13497-2024 karta.png", "A 13497-2024")</f>
        <v/>
      </c>
      <c r="Y232">
        <f>HYPERLINK("https://klasma.github.io/Logging_0763/kartor_geotiff/A 13497-2024 georefererad karta.tif", "A 13497-2024")</f>
        <v/>
      </c>
      <c r="Z232">
        <f>HYPERLINK("https://klasma.github.io/Logging_0763/knärot/A 13497-2024 karta knärot.png", "A 13497-2024")</f>
        <v/>
      </c>
      <c r="AA232">
        <f>HYPERLINK("https://klasma.github.io/Logging_0763/klagomål/A 13497-2024 FSC-klagomål.docx", "A 13497-2024")</f>
        <v/>
      </c>
      <c r="AB232">
        <f>HYPERLINK("https://klasma.github.io/Logging_0763/klagomålsmail/A 13497-2024 FSC-klagomål mail.docx", "A 13497-2024")</f>
        <v/>
      </c>
      <c r="AC232">
        <f>HYPERLINK("https://klasma.github.io/Logging_0763/tillsyn/A 13497-2024 tillsynsbegäran.docx", "A 13497-2024")</f>
        <v/>
      </c>
      <c r="AD232">
        <f>HYPERLINK("https://klasma.github.io/Logging_0763/tillsynsmail/A 13497-2024 tillsynsbegäran mail.docx", "A 13497-2024")</f>
        <v/>
      </c>
    </row>
    <row r="233" ht="15" customHeight="1">
      <c r="A233" t="inlineStr">
        <is>
          <t>S 604-2023</t>
        </is>
      </c>
      <c r="B233" t="inlineStr">
        <is>
          <t>samrådsanmälan</t>
        </is>
      </c>
      <c r="C233" t="inlineStr">
        <is>
          <t>Askåterföring</t>
        </is>
      </c>
      <c r="D233" s="1" t="n">
        <v>44972</v>
      </c>
      <c r="E233" s="1" t="n">
        <v>46316</v>
      </c>
      <c r="F233" t="inlineStr">
        <is>
          <t>KRONOBERGS LÄN</t>
        </is>
      </c>
      <c r="G233" t="inlineStr">
        <is>
          <t>UPPVIDINGE</t>
        </is>
      </c>
      <c r="H233" t="inlineStr">
        <is>
          <t>Sveaskog</t>
        </is>
      </c>
      <c r="I233" t="n">
        <v>215.6</v>
      </c>
      <c r="J233" t="n">
        <v>0</v>
      </c>
      <c r="K233" t="n">
        <v>1</v>
      </c>
      <c r="L233" t="n">
        <v>0</v>
      </c>
      <c r="M233" t="n">
        <v>1</v>
      </c>
      <c r="N233" t="n">
        <v>0</v>
      </c>
      <c r="O233" t="n">
        <v>0</v>
      </c>
      <c r="P233" t="n">
        <v>0</v>
      </c>
      <c r="Q233" t="n">
        <v>1</v>
      </c>
      <c r="R233" t="n">
        <v>1</v>
      </c>
      <c r="S233" t="n">
        <v>2</v>
      </c>
      <c r="T233" t="n">
        <v>2</v>
      </c>
      <c r="U233" t="n">
        <v>0</v>
      </c>
      <c r="V233" s="2" t="inlineStr">
        <is>
          <t>Liten blekspik
Rävticka</t>
        </is>
      </c>
      <c r="W233">
        <f>HYPERLINK("https://klasma.github.io/Logging_0760/artfynd/S 604-2023 artfynd.xlsx", "S 604-2023")</f>
        <v/>
      </c>
      <c r="X233">
        <f>HYPERLINK("https://klasma.github.io/Logging_0760/kartor/S 604-2023 karta.png", "S 604-2023")</f>
        <v/>
      </c>
      <c r="Y233">
        <f>HYPERLINK("https://klasma.github.io/Logging_0760/kartor_geotiff/S 604-2023 georefererad karta.tif", "S 604-2023")</f>
        <v/>
      </c>
      <c r="AA233">
        <f>HYPERLINK("https://klasma.github.io/Logging_0760/klagomål/S 604-2023 FSC-klagomål.docx", "S 604-2023")</f>
        <v/>
      </c>
      <c r="AB233">
        <f>HYPERLINK("https://klasma.github.io/Logging_0760/klagomålsmail/S 604-2023 FSC-klagomål mail.docx", "S 604-2023")</f>
        <v/>
      </c>
      <c r="AC233">
        <f>HYPERLINK("https://klasma.github.io/Logging_0760/tillsyn/S 604-2023 tillsynsbegäran.docx", "S 604-2023")</f>
        <v/>
      </c>
      <c r="AD233">
        <f>HYPERLINK("https://klasma.github.io/Logging_0760/tillsynsmail/S 604-2023 tillsynsbegäran mail.docx", "S 604-2023")</f>
        <v/>
      </c>
    </row>
    <row r="234" ht="15" customHeight="1">
      <c r="A234" t="inlineStr">
        <is>
          <t>S 1575-2022</t>
        </is>
      </c>
      <c r="B234" t="inlineStr">
        <is>
          <t>samrådsanmälan</t>
        </is>
      </c>
      <c r="C234" t="inlineStr">
        <is>
          <t>Askåterföring</t>
        </is>
      </c>
      <c r="D234" s="1" t="n">
        <v>44643</v>
      </c>
      <c r="E234" s="1" t="n">
        <v>46316</v>
      </c>
      <c r="F234" t="inlineStr">
        <is>
          <t>KRONOBERGS LÄN</t>
        </is>
      </c>
      <c r="G234" t="inlineStr">
        <is>
          <t>ALVESTA</t>
        </is>
      </c>
      <c r="I234" t="n">
        <v>85.90000000000001</v>
      </c>
      <c r="J234" t="n">
        <v>1</v>
      </c>
      <c r="K234" t="n">
        <v>1</v>
      </c>
      <c r="L234" t="n">
        <v>1</v>
      </c>
      <c r="M234" t="n">
        <v>0</v>
      </c>
      <c r="N234" t="n">
        <v>0</v>
      </c>
      <c r="O234" t="n">
        <v>0</v>
      </c>
      <c r="P234" t="n">
        <v>0</v>
      </c>
      <c r="Q234" t="n">
        <v>1</v>
      </c>
      <c r="R234" t="n">
        <v>0</v>
      </c>
      <c r="S234" t="n">
        <v>2</v>
      </c>
      <c r="T234" t="n">
        <v>2</v>
      </c>
      <c r="U234" t="n">
        <v>0</v>
      </c>
      <c r="V234" s="2" t="inlineStr">
        <is>
          <t>Nordfladdermus
Sotlav</t>
        </is>
      </c>
      <c r="W234">
        <f>HYPERLINK("https://klasma.github.io/Logging_0764/artfynd/S 1575-2022 artfynd.xlsx", "S 1575-2022")</f>
        <v/>
      </c>
      <c r="X234">
        <f>HYPERLINK("https://klasma.github.io/Logging_0764/kartor/S 1575-2022 karta.png", "S 1575-2022")</f>
        <v/>
      </c>
      <c r="Y234">
        <f>HYPERLINK("https://klasma.github.io/Logging_0764/kartor_geotiff/S 1575-2022 georefererad karta.tif", "S 1575-2022")</f>
        <v/>
      </c>
      <c r="AA234">
        <f>HYPERLINK("https://klasma.github.io/Logging_0764/klagomål/S 1575-2022 FSC-klagomål.docx", "S 1575-2022")</f>
        <v/>
      </c>
      <c r="AB234">
        <f>HYPERLINK("https://klasma.github.io/Logging_0764/klagomålsmail/S 1575-2022 FSC-klagomål mail.docx", "S 1575-2022")</f>
        <v/>
      </c>
      <c r="AC234">
        <f>HYPERLINK("https://klasma.github.io/Logging_0764/tillsyn/S 1575-2022 tillsynsbegäran.docx", "S 1575-2022")</f>
        <v/>
      </c>
      <c r="AD234">
        <f>HYPERLINK("https://klasma.github.io/Logging_0764/tillsynsmail/S 1575-2022 tillsynsbegäran mail.docx", "S 1575-2022")</f>
        <v/>
      </c>
    </row>
    <row r="235" ht="15" customHeight="1">
      <c r="A235" t="inlineStr">
        <is>
          <t>S 1592-2022</t>
        </is>
      </c>
      <c r="B235" t="inlineStr">
        <is>
          <t>samrådsanmälan</t>
        </is>
      </c>
      <c r="C235" t="inlineStr">
        <is>
          <t>Askåterföring</t>
        </is>
      </c>
      <c r="D235" s="1" t="n">
        <v>44644</v>
      </c>
      <c r="E235" s="1" t="n">
        <v>46316</v>
      </c>
      <c r="F235" t="inlineStr">
        <is>
          <t>KRONOBERGS LÄN</t>
        </is>
      </c>
      <c r="G235" t="inlineStr">
        <is>
          <t>LJUNGBY</t>
        </is>
      </c>
      <c r="I235" t="n">
        <v>41.5</v>
      </c>
      <c r="J235" t="n">
        <v>1</v>
      </c>
      <c r="K235" t="n">
        <v>0</v>
      </c>
      <c r="L235" t="n">
        <v>1</v>
      </c>
      <c r="M235" t="n">
        <v>1</v>
      </c>
      <c r="N235" t="n">
        <v>0</v>
      </c>
      <c r="O235" t="n">
        <v>0</v>
      </c>
      <c r="P235" t="n">
        <v>0</v>
      </c>
      <c r="Q235" t="n">
        <v>2</v>
      </c>
      <c r="R235" t="n">
        <v>1</v>
      </c>
      <c r="S235" t="n">
        <v>2</v>
      </c>
      <c r="T235" t="n">
        <v>4</v>
      </c>
      <c r="U235" t="n">
        <v>1</v>
      </c>
      <c r="V235" s="2" t="inlineStr">
        <is>
          <t>Knärot
Borsttåg</t>
        </is>
      </c>
      <c r="W235">
        <f>HYPERLINK("https://klasma.github.io/Logging_0781/artfynd/S 1592-2022 artfynd.xlsx", "S 1592-2022")</f>
        <v/>
      </c>
      <c r="X235">
        <f>HYPERLINK("https://klasma.github.io/Logging_0781/kartor/S 1592-2022 karta.png", "S 1592-2022")</f>
        <v/>
      </c>
      <c r="Y235">
        <f>HYPERLINK("https://klasma.github.io/Logging_0781/kartor_geotiff/S 1592-2022 georefererad karta.tif", "S 1592-2022")</f>
        <v/>
      </c>
      <c r="Z235">
        <f>HYPERLINK("https://klasma.github.io/Logging_0781/knärot/S 1592-2022 karta knärot.png", "S 1592-2022")</f>
        <v/>
      </c>
      <c r="AA235">
        <f>HYPERLINK("https://klasma.github.io/Logging_0781/klagomål/S 1592-2022 FSC-klagomål.docx", "S 1592-2022")</f>
        <v/>
      </c>
      <c r="AB235">
        <f>HYPERLINK("https://klasma.github.io/Logging_0781/klagomålsmail/S 1592-2022 FSC-klagomål mail.docx", "S 1592-2022")</f>
        <v/>
      </c>
      <c r="AC235">
        <f>HYPERLINK("https://klasma.github.io/Logging_0781/tillsyn/S 1592-2022 tillsynsbegäran.docx", "S 1592-2022")</f>
        <v/>
      </c>
      <c r="AD235">
        <f>HYPERLINK("https://klasma.github.io/Logging_0781/tillsynsmail/S 1592-2022 tillsynsbegäran mail.docx", "S 1592-2022")</f>
        <v/>
      </c>
    </row>
    <row r="236" ht="15" customHeight="1">
      <c r="A236" t="inlineStr">
        <is>
          <t>S 2721-2022</t>
        </is>
      </c>
      <c r="B236" t="inlineStr">
        <is>
          <t>samrådsanmälan</t>
        </is>
      </c>
      <c r="C236" t="inlineStr">
        <is>
          <t>Askåterföring</t>
        </is>
      </c>
      <c r="D236" s="1" t="n">
        <v>44704</v>
      </c>
      <c r="E236" s="1" t="n">
        <v>46316</v>
      </c>
      <c r="F236" t="inlineStr">
        <is>
          <t>KRONOBERGS LÄN</t>
        </is>
      </c>
      <c r="G236" t="inlineStr">
        <is>
          <t>VÄXJÖ</t>
        </is>
      </c>
      <c r="I236" t="n">
        <v>62.4</v>
      </c>
      <c r="J236" t="n">
        <v>1</v>
      </c>
      <c r="K236" t="n">
        <v>0</v>
      </c>
      <c r="L236" t="n">
        <v>0</v>
      </c>
      <c r="M236" t="n">
        <v>0</v>
      </c>
      <c r="N236" t="n">
        <v>2</v>
      </c>
      <c r="O236" t="n">
        <v>0</v>
      </c>
      <c r="P236" t="n">
        <v>0</v>
      </c>
      <c r="Q236" t="n">
        <v>2</v>
      </c>
      <c r="R236" t="n">
        <v>2</v>
      </c>
      <c r="S236" t="n">
        <v>2</v>
      </c>
      <c r="T236" t="n">
        <v>3</v>
      </c>
      <c r="U236" t="n">
        <v>3</v>
      </c>
      <c r="V236" s="2" t="inlineStr">
        <is>
          <t>Dvärgjohannesört
Ljungögontröst</t>
        </is>
      </c>
      <c r="W236">
        <f>HYPERLINK("https://klasma.github.io/Logging_0780/artfynd/S 2721-2022 artfynd.xlsx", "S 2721-2022")</f>
        <v/>
      </c>
      <c r="X236">
        <f>HYPERLINK("https://klasma.github.io/Logging_0780/kartor/S 2721-2022 karta.png", "S 2721-2022")</f>
        <v/>
      </c>
      <c r="Y236">
        <f>HYPERLINK("https://klasma.github.io/Logging_0780/kartor_geotiff/S 2721-2022 georefererad karta.tif", "S 2721-2022")</f>
        <v/>
      </c>
      <c r="AA236">
        <f>HYPERLINK("https://klasma.github.io/Logging_0780/klagomål/S 2721-2022 FSC-klagomål.docx", "S 2721-2022")</f>
        <v/>
      </c>
      <c r="AB236">
        <f>HYPERLINK("https://klasma.github.io/Logging_0780/klagomålsmail/S 2721-2022 FSC-klagomål mail.docx", "S 2721-2022")</f>
        <v/>
      </c>
      <c r="AC236">
        <f>HYPERLINK("https://klasma.github.io/Logging_0780/tillsyn/S 2721-2022 tillsynsbegäran.docx", "S 2721-2022")</f>
        <v/>
      </c>
      <c r="AD236">
        <f>HYPERLINK("https://klasma.github.io/Logging_0780/tillsynsmail/S 2721-2022 tillsynsbegäran mail.docx", "S 2721-2022")</f>
        <v/>
      </c>
    </row>
    <row r="237" ht="15" customHeight="1">
      <c r="A237" t="inlineStr">
        <is>
          <t>S 616-2023</t>
        </is>
      </c>
      <c r="B237" t="inlineStr">
        <is>
          <t>samrådsanmälan</t>
        </is>
      </c>
      <c r="C237" t="inlineStr">
        <is>
          <t>Askåterföring</t>
        </is>
      </c>
      <c r="D237" s="1" t="n">
        <v>44972</v>
      </c>
      <c r="E237" s="1" t="n">
        <v>46316</v>
      </c>
      <c r="F237" t="inlineStr">
        <is>
          <t>KRONOBERGS LÄN</t>
        </is>
      </c>
      <c r="G237" t="inlineStr">
        <is>
          <t>UPPVIDINGE</t>
        </is>
      </c>
      <c r="H237" t="inlineStr">
        <is>
          <t>Sveaskog</t>
        </is>
      </c>
      <c r="I237" t="n">
        <v>131.1</v>
      </c>
      <c r="J237" t="n">
        <v>2</v>
      </c>
      <c r="K237" t="n">
        <v>1</v>
      </c>
      <c r="L237" t="n">
        <v>1</v>
      </c>
      <c r="M237" t="n">
        <v>0</v>
      </c>
      <c r="N237" t="n">
        <v>0</v>
      </c>
      <c r="O237" t="n">
        <v>0</v>
      </c>
      <c r="P237" t="n">
        <v>0</v>
      </c>
      <c r="Q237" t="n">
        <v>1</v>
      </c>
      <c r="R237" t="n">
        <v>0</v>
      </c>
      <c r="S237" t="n">
        <v>2</v>
      </c>
      <c r="T237" t="n">
        <v>3</v>
      </c>
      <c r="U237" t="n">
        <v>0</v>
      </c>
      <c r="V237" s="2" t="inlineStr">
        <is>
          <t>Talltita
Korallrot</t>
        </is>
      </c>
      <c r="W237">
        <f>HYPERLINK("https://klasma.github.io/Logging_0760/artfynd/S 616-2023 artfynd.xlsx", "S 616-2023")</f>
        <v/>
      </c>
      <c r="X237">
        <f>HYPERLINK("https://klasma.github.io/Logging_0760/kartor/S 616-2023 karta.png", "S 616-2023")</f>
        <v/>
      </c>
      <c r="Y237">
        <f>HYPERLINK("https://klasma.github.io/Logging_0760/kartor_geotiff/S 616-2023 georefererad karta.tif", "S 616-2023")</f>
        <v/>
      </c>
      <c r="AA237">
        <f>HYPERLINK("https://klasma.github.io/Logging_0760/klagomål/S 616-2023 FSC-klagomål.docx", "S 616-2023")</f>
        <v/>
      </c>
      <c r="AB237">
        <f>HYPERLINK("https://klasma.github.io/Logging_0760/klagomålsmail/S 616-2023 FSC-klagomål mail.docx", "S 616-2023")</f>
        <v/>
      </c>
      <c r="AC237">
        <f>HYPERLINK("https://klasma.github.io/Logging_0760/tillsyn/S 616-2023 tillsynsbegäran.docx", "S 616-2023")</f>
        <v/>
      </c>
      <c r="AD237">
        <f>HYPERLINK("https://klasma.github.io/Logging_0760/tillsynsmail/S 616-2023 tillsynsbegäran mail.docx", "S 616-2023")</f>
        <v/>
      </c>
      <c r="AE237">
        <f>HYPERLINK("https://klasma.github.io/Logging_0760/fåglar/S 616-2023 prioriterade fågelarter.docx", "S 616-2023")</f>
        <v/>
      </c>
    </row>
    <row r="238" ht="15" customHeight="1">
      <c r="A238" t="inlineStr">
        <is>
          <t>S 1410-2023</t>
        </is>
      </c>
      <c r="B238" t="inlineStr">
        <is>
          <t>samrådsanmälan</t>
        </is>
      </c>
      <c r="C238" t="inlineStr">
        <is>
          <t>Askåterföring</t>
        </is>
      </c>
      <c r="D238" s="1" t="n">
        <v>45042</v>
      </c>
      <c r="E238" s="1" t="n">
        <v>46316</v>
      </c>
      <c r="F238" t="inlineStr">
        <is>
          <t>KRONOBERGS LÄN</t>
        </is>
      </c>
      <c r="G238" t="inlineStr">
        <is>
          <t>LJUNGBY</t>
        </is>
      </c>
      <c r="I238" t="n">
        <v>14.5</v>
      </c>
      <c r="J238" t="n">
        <v>2</v>
      </c>
      <c r="K238" t="n">
        <v>0</v>
      </c>
      <c r="L238" t="n">
        <v>0</v>
      </c>
      <c r="M238" t="n">
        <v>0</v>
      </c>
      <c r="N238" t="n">
        <v>0</v>
      </c>
      <c r="O238" t="n">
        <v>0</v>
      </c>
      <c r="P238" t="n">
        <v>0</v>
      </c>
      <c r="Q238" t="n">
        <v>0</v>
      </c>
      <c r="R238" t="n">
        <v>0</v>
      </c>
      <c r="S238" t="n">
        <v>2</v>
      </c>
      <c r="T238" t="n">
        <v>2</v>
      </c>
      <c r="U238" t="n">
        <v>2</v>
      </c>
      <c r="V238" s="2" t="inlineStr">
        <is>
          <t>Mattlummer
Revlummer</t>
        </is>
      </c>
      <c r="W238">
        <f>HYPERLINK("https://klasma.github.io/Logging_0781/artfynd/S 1410-2023 artfynd.xlsx", "S 1410-2023")</f>
        <v/>
      </c>
      <c r="X238">
        <f>HYPERLINK("https://klasma.github.io/Logging_0781/kartor/S 1410-2023 karta.png", "S 1410-2023")</f>
        <v/>
      </c>
      <c r="Y238">
        <f>HYPERLINK("https://klasma.github.io/Logging_0781/kartor_geotiff/S 1410-2023 georefererad karta.tif", "S 1410-2023")</f>
        <v/>
      </c>
      <c r="Z238">
        <f>HYPERLINK("https://klasma.github.io/Logging_0781/knärot/S 1410-2023 karta knärot.png", "S 1410-2023")</f>
        <v/>
      </c>
      <c r="AA238">
        <f>HYPERLINK("https://klasma.github.io/Logging_0781/klagomål/S 1410-2023 FSC-klagomål.docx", "S 1410-2023")</f>
        <v/>
      </c>
      <c r="AB238">
        <f>HYPERLINK("https://klasma.github.io/Logging_0781/klagomålsmail/S 1410-2023 FSC-klagomål mail.docx", "S 1410-2023")</f>
        <v/>
      </c>
      <c r="AC238">
        <f>HYPERLINK("https://klasma.github.io/Logging_0781/tillsyn/S 1410-2023 tillsynsbegäran.docx", "S 1410-2023")</f>
        <v/>
      </c>
      <c r="AD238">
        <f>HYPERLINK("https://klasma.github.io/Logging_0781/tillsynsmail/S 1410-2023 tillsynsbegäran mail.docx", "S 1410-2023")</f>
        <v/>
      </c>
    </row>
    <row r="239" ht="15" customHeight="1">
      <c r="A239" t="inlineStr">
        <is>
          <t>S 1134-2022</t>
        </is>
      </c>
      <c r="B239" t="inlineStr">
        <is>
          <t>samrådsanmälan</t>
        </is>
      </c>
      <c r="C239" t="inlineStr">
        <is>
          <t>Askåterföring</t>
        </is>
      </c>
      <c r="D239" s="1" t="n">
        <v>44616</v>
      </c>
      <c r="E239" s="1" t="n">
        <v>46316</v>
      </c>
      <c r="F239" t="inlineStr">
        <is>
          <t>KRONOBERGS LÄN</t>
        </is>
      </c>
      <c r="G239" t="inlineStr">
        <is>
          <t>LJUNGBY</t>
        </is>
      </c>
      <c r="I239" t="n">
        <v>12</v>
      </c>
      <c r="J239" t="n">
        <v>1</v>
      </c>
      <c r="K239" t="n">
        <v>1</v>
      </c>
      <c r="L239" t="n">
        <v>1</v>
      </c>
      <c r="M239" t="n">
        <v>0</v>
      </c>
      <c r="N239" t="n">
        <v>0</v>
      </c>
      <c r="O239" t="n">
        <v>0</v>
      </c>
      <c r="P239" t="n">
        <v>0</v>
      </c>
      <c r="Q239" t="n">
        <v>1</v>
      </c>
      <c r="R239" t="n">
        <v>0</v>
      </c>
      <c r="S239" t="n">
        <v>2</v>
      </c>
      <c r="T239" t="n">
        <v>2</v>
      </c>
      <c r="U239" t="n">
        <v>1</v>
      </c>
      <c r="V239" s="2" t="inlineStr">
        <is>
          <t>Nötkråka
Rostfläck</t>
        </is>
      </c>
      <c r="W239">
        <f>HYPERLINK("https://klasma.github.io/Logging_0781/artfynd/S 1134-2022 artfynd.xlsx", "S 1134-2022")</f>
        <v/>
      </c>
      <c r="X239">
        <f>HYPERLINK("https://klasma.github.io/Logging_0781/kartor/S 1134-2022 karta.png", "S 1134-2022")</f>
        <v/>
      </c>
      <c r="Y239">
        <f>HYPERLINK("https://klasma.github.io/Logging_0781/kartor_geotiff/S 1134-2022 georefererad karta.tif", "S 1134-2022")</f>
        <v/>
      </c>
      <c r="AA239">
        <f>HYPERLINK("https://klasma.github.io/Logging_0781/klagomål/S 1134-2022 FSC-klagomål.docx", "S 1134-2022")</f>
        <v/>
      </c>
      <c r="AB239">
        <f>HYPERLINK("https://klasma.github.io/Logging_0781/klagomålsmail/S 1134-2022 FSC-klagomål mail.docx", "S 1134-2022")</f>
        <v/>
      </c>
      <c r="AC239">
        <f>HYPERLINK("https://klasma.github.io/Logging_0781/tillsyn/S 1134-2022 tillsynsbegäran.docx", "S 1134-2022")</f>
        <v/>
      </c>
      <c r="AD239">
        <f>HYPERLINK("https://klasma.github.io/Logging_0781/tillsynsmail/S 1134-2022 tillsynsbegäran mail.docx", "S 1134-2022")</f>
        <v/>
      </c>
      <c r="AE239">
        <f>HYPERLINK("https://klasma.github.io/Logging_0781/fåglar/S 1134-2022 prioriterade fågelarter.docx", "S 1134-2022")</f>
        <v/>
      </c>
    </row>
    <row r="240" ht="15" customHeight="1">
      <c r="A240" t="inlineStr">
        <is>
          <t>S 2244-2024</t>
        </is>
      </c>
      <c r="B240" t="inlineStr">
        <is>
          <t>samrådsanmälan</t>
        </is>
      </c>
      <c r="C240" t="inlineStr">
        <is>
          <t>Annan skogsbruksåtgärd</t>
        </is>
      </c>
      <c r="D240" s="1" t="n">
        <v>45460</v>
      </c>
      <c r="E240" s="1" t="n">
        <v>46316</v>
      </c>
      <c r="F240" t="inlineStr">
        <is>
          <t>KRONOBERGS LÄN</t>
        </is>
      </c>
      <c r="G240" t="inlineStr">
        <is>
          <t>VÄXJÖ</t>
        </is>
      </c>
      <c r="I240" t="n">
        <v>1.7</v>
      </c>
      <c r="J240" t="n">
        <v>0</v>
      </c>
      <c r="K240" t="n">
        <v>2</v>
      </c>
      <c r="L240" t="n">
        <v>0</v>
      </c>
      <c r="M240" t="n">
        <v>0</v>
      </c>
      <c r="N240" t="n">
        <v>0</v>
      </c>
      <c r="O240" t="n">
        <v>0</v>
      </c>
      <c r="P240" t="n">
        <v>0</v>
      </c>
      <c r="Q240" t="n">
        <v>0</v>
      </c>
      <c r="R240" t="n">
        <v>0</v>
      </c>
      <c r="S240" t="n">
        <v>2</v>
      </c>
      <c r="T240" t="n">
        <v>2</v>
      </c>
      <c r="U240" t="n">
        <v>0</v>
      </c>
      <c r="V240" s="2" t="inlineStr">
        <is>
          <t>Fällmossa
Sotlav</t>
        </is>
      </c>
      <c r="W240">
        <f>HYPERLINK("https://klasma.github.io/Logging_0780/artfynd/S 2244-2024 artfynd.xlsx", "S 2244-2024")</f>
        <v/>
      </c>
      <c r="X240">
        <f>HYPERLINK("https://klasma.github.io/Logging_0780/kartor/S 2244-2024 karta.png", "S 2244-2024")</f>
        <v/>
      </c>
      <c r="Y240">
        <f>HYPERLINK("https://klasma.github.io/Logging_0780/kartor_geotiff/S 2244-2024 georefererad karta.tif", "S 2244-2024")</f>
        <v/>
      </c>
      <c r="AA240">
        <f>HYPERLINK("https://klasma.github.io/Logging_0780/klagomål/S 2244-2024 FSC-klagomål.docx", "S 2244-2024")</f>
        <v/>
      </c>
      <c r="AB240">
        <f>HYPERLINK("https://klasma.github.io/Logging_0780/klagomålsmail/S 2244-2024 FSC-klagomål mail.docx", "S 2244-2024")</f>
        <v/>
      </c>
      <c r="AC240">
        <f>HYPERLINK("https://klasma.github.io/Logging_0780/tillsyn/S 2244-2024 tillsynsbegäran.docx", "S 2244-2024")</f>
        <v/>
      </c>
      <c r="AD240">
        <f>HYPERLINK("https://klasma.github.io/Logging_0780/tillsynsmail/S 2244-2024 tillsynsbegäran mail.docx", "S 2244-2024")</f>
        <v/>
      </c>
    </row>
    <row r="241" ht="15" customHeight="1">
      <c r="A241" t="inlineStr">
        <is>
          <t>S 1589-2024</t>
        </is>
      </c>
      <c r="B241" t="inlineStr">
        <is>
          <t>samrådsanmälan</t>
        </is>
      </c>
      <c r="C241" t="inlineStr">
        <is>
          <t>Askåterföring</t>
        </is>
      </c>
      <c r="D241" s="1" t="n">
        <v>45427</v>
      </c>
      <c r="E241" s="1" t="n">
        <v>46316</v>
      </c>
      <c r="F241" t="inlineStr">
        <is>
          <t>KRONOBERGS LÄN</t>
        </is>
      </c>
      <c r="G241" t="inlineStr">
        <is>
          <t>LJUNGBY</t>
        </is>
      </c>
      <c r="I241" t="n">
        <v>40.3</v>
      </c>
      <c r="J241" t="n">
        <v>2</v>
      </c>
      <c r="K241" t="n">
        <v>0</v>
      </c>
      <c r="L241" t="n">
        <v>1</v>
      </c>
      <c r="M241" t="n">
        <v>0</v>
      </c>
      <c r="N241" t="n">
        <v>0</v>
      </c>
      <c r="O241" t="n">
        <v>0</v>
      </c>
      <c r="P241" t="n">
        <v>0</v>
      </c>
      <c r="Q241" t="n">
        <v>1</v>
      </c>
      <c r="R241" t="n">
        <v>0</v>
      </c>
      <c r="S241" t="n">
        <v>2</v>
      </c>
      <c r="T241" t="n">
        <v>2</v>
      </c>
      <c r="U241" t="n">
        <v>0</v>
      </c>
      <c r="V241" s="2" t="inlineStr">
        <is>
          <t>Kungsörn
Spillkråka</t>
        </is>
      </c>
      <c r="W241">
        <f>HYPERLINK("https://klasma.github.io/Logging_0781/artfynd/S 1589-2024 artfynd.xlsx", "S 1589-2024")</f>
        <v/>
      </c>
      <c r="X241">
        <f>HYPERLINK("https://klasma.github.io/Logging_0781/kartor/S 1589-2024 karta.png", "S 1589-2024")</f>
        <v/>
      </c>
      <c r="Y241">
        <f>HYPERLINK("https://klasma.github.io/Logging_0781/kartor_geotiff/S 1589-2024 georefererad karta.tif", "S 1589-2024")</f>
        <v/>
      </c>
      <c r="AA241">
        <f>HYPERLINK("https://klasma.github.io/Logging_0781/klagomål/S 1589-2024 FSC-klagomål.docx", "S 1589-2024")</f>
        <v/>
      </c>
      <c r="AB241">
        <f>HYPERLINK("https://klasma.github.io/Logging_0781/klagomålsmail/S 1589-2024 FSC-klagomål mail.docx", "S 1589-2024")</f>
        <v/>
      </c>
      <c r="AC241">
        <f>HYPERLINK("https://klasma.github.io/Logging_0781/tillsyn/S 1589-2024 tillsynsbegäran.docx", "S 1589-2024")</f>
        <v/>
      </c>
      <c r="AD241">
        <f>HYPERLINK("https://klasma.github.io/Logging_0781/tillsynsmail/S 1589-2024 tillsynsbegäran mail.docx", "S 1589-2024")</f>
        <v/>
      </c>
      <c r="AE241">
        <f>HYPERLINK("https://klasma.github.io/Logging_0781/fåglar/S 1589-2024 prioriterade fågelarter.docx", "S 1589-2024")</f>
        <v/>
      </c>
    </row>
    <row r="242" ht="15" customHeight="1">
      <c r="A242" t="inlineStr">
        <is>
          <t>S 1494-2023</t>
        </is>
      </c>
      <c r="B242" t="inlineStr">
        <is>
          <t>samrådsanmälan</t>
        </is>
      </c>
      <c r="C242" t="inlineStr">
        <is>
          <t>Annan skogsbruksåtgärd</t>
        </is>
      </c>
      <c r="D242" s="1" t="n">
        <v>45050</v>
      </c>
      <c r="E242" s="1" t="n">
        <v>46316</v>
      </c>
      <c r="F242" t="inlineStr">
        <is>
          <t>KRONOBERGS LÄN</t>
        </is>
      </c>
      <c r="G242" t="inlineStr">
        <is>
          <t>ÄLMHULT</t>
        </is>
      </c>
      <c r="H242" t="inlineStr">
        <is>
          <t>Sveaskog</t>
        </is>
      </c>
      <c r="I242" t="n">
        <v>4.1</v>
      </c>
      <c r="J242" t="n">
        <v>0</v>
      </c>
      <c r="K242" t="n">
        <v>2</v>
      </c>
      <c r="L242" t="n">
        <v>0</v>
      </c>
      <c r="M242" t="n">
        <v>0</v>
      </c>
      <c r="N242" t="n">
        <v>0</v>
      </c>
      <c r="O242" t="n">
        <v>0</v>
      </c>
      <c r="P242" t="n">
        <v>0</v>
      </c>
      <c r="Q242" t="n">
        <v>0</v>
      </c>
      <c r="R242" t="n">
        <v>0</v>
      </c>
      <c r="S242" t="n">
        <v>2</v>
      </c>
      <c r="T242" t="n">
        <v>4</v>
      </c>
      <c r="U242" t="n">
        <v>0</v>
      </c>
      <c r="V242" s="2" t="inlineStr">
        <is>
          <t>Safsa
Toppvaxing</t>
        </is>
      </c>
      <c r="W242">
        <f>HYPERLINK("https://klasma.github.io/Logging_0765/artfynd/S 1494-2023 artfynd.xlsx", "S 1494-2023")</f>
        <v/>
      </c>
      <c r="X242">
        <f>HYPERLINK("https://klasma.github.io/Logging_0765/kartor/S 1494-2023 karta.png", "S 1494-2023")</f>
        <v/>
      </c>
      <c r="Y242">
        <f>HYPERLINK("https://klasma.github.io/Logging_0765/kartor_geotiff/S 1494-2023 georefererad karta.tif", "S 1494-2023")</f>
        <v/>
      </c>
      <c r="AA242">
        <f>HYPERLINK("https://klasma.github.io/Logging_0765/klagomål/S 1494-2023 FSC-klagomål.docx", "S 1494-2023")</f>
        <v/>
      </c>
      <c r="AB242">
        <f>HYPERLINK("https://klasma.github.io/Logging_0765/klagomålsmail/S 1494-2023 FSC-klagomål mail.docx", "S 1494-2023")</f>
        <v/>
      </c>
      <c r="AC242">
        <f>HYPERLINK("https://klasma.github.io/Logging_0765/tillsyn/S 1494-2023 tillsynsbegäran.docx", "S 1494-2023")</f>
        <v/>
      </c>
      <c r="AD242">
        <f>HYPERLINK("https://klasma.github.io/Logging_0765/tillsynsmail/S 1494-2023 tillsynsbegäran mail.docx", "S 1494-2023")</f>
        <v/>
      </c>
    </row>
    <row r="243" ht="15" customHeight="1">
      <c r="A243" t="inlineStr">
        <is>
          <t>S 2717-2022</t>
        </is>
      </c>
      <c r="B243" t="inlineStr">
        <is>
          <t>samrådsanmälan</t>
        </is>
      </c>
      <c r="C243" t="inlineStr">
        <is>
          <t>Askåterföring</t>
        </is>
      </c>
      <c r="D243" s="1" t="n">
        <v>44704</v>
      </c>
      <c r="E243" s="1" t="n">
        <v>46316</v>
      </c>
      <c r="F243" t="inlineStr">
        <is>
          <t>KRONOBERGS LÄN</t>
        </is>
      </c>
      <c r="G243" t="inlineStr">
        <is>
          <t>VÄXJÖ</t>
        </is>
      </c>
      <c r="I243" t="n">
        <v>7.4</v>
      </c>
      <c r="J243" t="n">
        <v>2</v>
      </c>
      <c r="K243" t="n">
        <v>0</v>
      </c>
      <c r="L243" t="n">
        <v>1</v>
      </c>
      <c r="M243" t="n">
        <v>0</v>
      </c>
      <c r="N243" t="n">
        <v>0</v>
      </c>
      <c r="O243" t="n">
        <v>0</v>
      </c>
      <c r="P243" t="n">
        <v>0</v>
      </c>
      <c r="Q243" t="n">
        <v>1</v>
      </c>
      <c r="R243" t="n">
        <v>0</v>
      </c>
      <c r="S243" t="n">
        <v>2</v>
      </c>
      <c r="T243" t="n">
        <v>2</v>
      </c>
      <c r="U243" t="n">
        <v>2</v>
      </c>
      <c r="V243" s="2" t="inlineStr">
        <is>
          <t>Sparvuggla
Havsörn</t>
        </is>
      </c>
      <c r="W243">
        <f>HYPERLINK("https://klasma.github.io/Logging_0780/artfynd/S 2717-2022 artfynd.xlsx", "S 2717-2022")</f>
        <v/>
      </c>
      <c r="X243">
        <f>HYPERLINK("https://klasma.github.io/Logging_0780/kartor/S 2717-2022 karta.png", "S 2717-2022")</f>
        <v/>
      </c>
      <c r="Y243">
        <f>HYPERLINK("https://klasma.github.io/Logging_0780/kartor_geotiff/S 2717-2022 georefererad karta.tif", "S 2717-2022")</f>
        <v/>
      </c>
      <c r="AA243">
        <f>HYPERLINK("https://klasma.github.io/Logging_0780/klagomål/S 2717-2022 FSC-klagomål.docx", "S 2717-2022")</f>
        <v/>
      </c>
      <c r="AB243">
        <f>HYPERLINK("https://klasma.github.io/Logging_0780/klagomålsmail/S 2717-2022 FSC-klagomål mail.docx", "S 2717-2022")</f>
        <v/>
      </c>
      <c r="AC243">
        <f>HYPERLINK("https://klasma.github.io/Logging_0780/tillsyn/S 2717-2022 tillsynsbegäran.docx", "S 2717-2022")</f>
        <v/>
      </c>
      <c r="AD243">
        <f>HYPERLINK("https://klasma.github.io/Logging_0780/tillsynsmail/S 2717-2022 tillsynsbegäran mail.docx", "S 2717-2022")</f>
        <v/>
      </c>
      <c r="AE243">
        <f>HYPERLINK("https://klasma.github.io/Logging_0780/fåglar/S 2717-2022 prioriterade fågelarter.docx", "S 2717-2022")</f>
        <v/>
      </c>
    </row>
    <row r="244" ht="15" customHeight="1">
      <c r="A244" t="inlineStr">
        <is>
          <t>S 522-2024</t>
        </is>
      </c>
      <c r="B244" t="inlineStr">
        <is>
          <t>samrådsanmälan</t>
        </is>
      </c>
      <c r="C244" t="inlineStr">
        <is>
          <t>Stubbskörd</t>
        </is>
      </c>
      <c r="D244" s="1" t="n">
        <v>45348</v>
      </c>
      <c r="E244" s="1" t="n">
        <v>46316</v>
      </c>
      <c r="F244" t="inlineStr">
        <is>
          <t>KRONOBERGS LÄN</t>
        </is>
      </c>
      <c r="G244" t="inlineStr">
        <is>
          <t>VÄXJÖ</t>
        </is>
      </c>
      <c r="I244" t="n">
        <v>0.3</v>
      </c>
      <c r="J244" t="n">
        <v>0</v>
      </c>
      <c r="K244" t="n">
        <v>1</v>
      </c>
      <c r="L244" t="n">
        <v>1</v>
      </c>
      <c r="M244" t="n">
        <v>0</v>
      </c>
      <c r="N244" t="n">
        <v>0</v>
      </c>
      <c r="O244" t="n">
        <v>0</v>
      </c>
      <c r="P244" t="n">
        <v>0</v>
      </c>
      <c r="Q244" t="n">
        <v>1</v>
      </c>
      <c r="R244" t="n">
        <v>0</v>
      </c>
      <c r="S244" t="n">
        <v>2</v>
      </c>
      <c r="T244" t="n">
        <v>2</v>
      </c>
      <c r="U244" t="n">
        <v>0</v>
      </c>
      <c r="V244" s="2" t="inlineStr">
        <is>
          <t>Spinnfingersvamp
Mandelriska</t>
        </is>
      </c>
      <c r="W244">
        <f>HYPERLINK("https://klasma.github.io/Logging_0780/artfynd/S 522-2024 artfynd.xlsx", "S 522-2024")</f>
        <v/>
      </c>
      <c r="X244">
        <f>HYPERLINK("https://klasma.github.io/Logging_0780/kartor/S 522-2024 karta.png", "S 522-2024")</f>
        <v/>
      </c>
      <c r="Y244">
        <f>HYPERLINK("https://klasma.github.io/Logging_0780/kartor_geotiff/S 522-2024 georefererad karta.tif", "S 522-2024")</f>
        <v/>
      </c>
      <c r="AA244">
        <f>HYPERLINK("https://klasma.github.io/Logging_0780/klagomål/S 522-2024 FSC-klagomål.docx", "S 522-2024")</f>
        <v/>
      </c>
      <c r="AB244">
        <f>HYPERLINK("https://klasma.github.io/Logging_0780/klagomålsmail/S 522-2024 FSC-klagomål mail.docx", "S 522-2024")</f>
        <v/>
      </c>
      <c r="AC244">
        <f>HYPERLINK("https://klasma.github.io/Logging_0780/tillsyn/S 522-2024 tillsynsbegäran.docx", "S 522-2024")</f>
        <v/>
      </c>
      <c r="AD244">
        <f>HYPERLINK("https://klasma.github.io/Logging_0780/tillsynsmail/S 522-2024 tillsynsbegäran mail.docx", "S 522-2024")</f>
        <v/>
      </c>
    </row>
    <row r="245" ht="15" customHeight="1">
      <c r="A245" t="inlineStr">
        <is>
          <t>S 1801-2023</t>
        </is>
      </c>
      <c r="B245" t="inlineStr">
        <is>
          <t>samrådsanmälan</t>
        </is>
      </c>
      <c r="C245" t="inlineStr">
        <is>
          <t>Askåterföring</t>
        </is>
      </c>
      <c r="D245" s="1" t="n">
        <v>45072</v>
      </c>
      <c r="E245" s="1" t="n">
        <v>46316</v>
      </c>
      <c r="F245" t="inlineStr">
        <is>
          <t>KRONOBERGS LÄN</t>
        </is>
      </c>
      <c r="G245" t="inlineStr">
        <is>
          <t>LESSEBO</t>
        </is>
      </c>
      <c r="I245" t="n">
        <v>74.2</v>
      </c>
      <c r="J245" t="n">
        <v>0</v>
      </c>
      <c r="K245" t="n">
        <v>0</v>
      </c>
      <c r="L245" t="n">
        <v>2</v>
      </c>
      <c r="M245" t="n">
        <v>0</v>
      </c>
      <c r="N245" t="n">
        <v>0</v>
      </c>
      <c r="O245" t="n">
        <v>0</v>
      </c>
      <c r="P245" t="n">
        <v>0</v>
      </c>
      <c r="Q245" t="n">
        <v>2</v>
      </c>
      <c r="R245" t="n">
        <v>0</v>
      </c>
      <c r="S245" t="n">
        <v>2</v>
      </c>
      <c r="T245" t="n">
        <v>2</v>
      </c>
      <c r="U245" t="n">
        <v>2</v>
      </c>
      <c r="V245" s="2" t="inlineStr">
        <is>
          <t>Borsttåg
Ängsstarr</t>
        </is>
      </c>
      <c r="W245">
        <f>HYPERLINK("https://klasma.github.io/Logging_0761/artfynd/S 1801-2023 artfynd.xlsx", "S 1801-2023")</f>
        <v/>
      </c>
      <c r="X245">
        <f>HYPERLINK("https://klasma.github.io/Logging_0761/kartor/S 1801-2023 karta.png", "S 1801-2023")</f>
        <v/>
      </c>
      <c r="Y245">
        <f>HYPERLINK("https://klasma.github.io/Logging_0761/kartor_geotiff/S 1801-2023 georefererad karta.tif", "S 1801-2023")</f>
        <v/>
      </c>
      <c r="AA245">
        <f>HYPERLINK("https://klasma.github.io/Logging_0761/klagomål/S 1801-2023 FSC-klagomål.docx", "S 1801-2023")</f>
        <v/>
      </c>
      <c r="AB245">
        <f>HYPERLINK("https://klasma.github.io/Logging_0761/klagomålsmail/S 1801-2023 FSC-klagomål mail.docx", "S 1801-2023")</f>
        <v/>
      </c>
      <c r="AC245">
        <f>HYPERLINK("https://klasma.github.io/Logging_0761/tillsyn/S 1801-2023 tillsynsbegäran.docx", "S 1801-2023")</f>
        <v/>
      </c>
      <c r="AD245">
        <f>HYPERLINK("https://klasma.github.io/Logging_0761/tillsynsmail/S 1801-2023 tillsynsbegäran mail.docx", "S 1801-2023")</f>
        <v/>
      </c>
    </row>
    <row r="246" ht="15" customHeight="1">
      <c r="A246" t="inlineStr">
        <is>
          <t>S 417-2022</t>
        </is>
      </c>
      <c r="B246" t="inlineStr">
        <is>
          <t>samrådsanmälan</t>
        </is>
      </c>
      <c r="C246" t="inlineStr">
        <is>
          <t>Askåterföring</t>
        </is>
      </c>
      <c r="D246" s="1" t="n">
        <v>44585</v>
      </c>
      <c r="E246" s="1" t="n">
        <v>46316</v>
      </c>
      <c r="F246" t="inlineStr">
        <is>
          <t>KRONOBERGS LÄN</t>
        </is>
      </c>
      <c r="G246" t="inlineStr">
        <is>
          <t>LJUNGBY</t>
        </is>
      </c>
      <c r="I246" t="n">
        <v>45.6</v>
      </c>
      <c r="J246" t="n">
        <v>1</v>
      </c>
      <c r="K246" t="n">
        <v>0</v>
      </c>
      <c r="L246" t="n">
        <v>1</v>
      </c>
      <c r="M246" t="n">
        <v>1</v>
      </c>
      <c r="N246" t="n">
        <v>0</v>
      </c>
      <c r="O246" t="n">
        <v>0</v>
      </c>
      <c r="P246" t="n">
        <v>0</v>
      </c>
      <c r="Q246" t="n">
        <v>2</v>
      </c>
      <c r="R246" t="n">
        <v>1</v>
      </c>
      <c r="S246" t="n">
        <v>2</v>
      </c>
      <c r="T246" t="n">
        <v>4</v>
      </c>
      <c r="U246" t="n">
        <v>3</v>
      </c>
      <c r="V246" s="2" t="inlineStr">
        <is>
          <t>Knärot
Borsttåg</t>
        </is>
      </c>
      <c r="W246">
        <f>HYPERLINK("https://klasma.github.io/Logging_0781/artfynd/S 417-2022 artfynd.xlsx", "S 417-2022")</f>
        <v/>
      </c>
      <c r="X246">
        <f>HYPERLINK("https://klasma.github.io/Logging_0781/kartor/S 417-2022 karta.png", "S 417-2022")</f>
        <v/>
      </c>
      <c r="Y246">
        <f>HYPERLINK("https://klasma.github.io/Logging_0781/kartor_geotiff/S 417-2022 georefererad karta.tif", "S 417-2022")</f>
        <v/>
      </c>
      <c r="Z246">
        <f>HYPERLINK("https://klasma.github.io/Logging_0781/knärot/S 417-2022 karta knärot.png", "S 417-2022")</f>
        <v/>
      </c>
      <c r="AA246">
        <f>HYPERLINK("https://klasma.github.io/Logging_0781/klagomål/S 417-2022 FSC-klagomål.docx", "S 417-2022")</f>
        <v/>
      </c>
      <c r="AB246">
        <f>HYPERLINK("https://klasma.github.io/Logging_0781/klagomålsmail/S 417-2022 FSC-klagomål mail.docx", "S 417-2022")</f>
        <v/>
      </c>
      <c r="AC246">
        <f>HYPERLINK("https://klasma.github.io/Logging_0781/tillsyn/S 417-2022 tillsynsbegäran.docx", "S 417-2022")</f>
        <v/>
      </c>
      <c r="AD246">
        <f>HYPERLINK("https://klasma.github.io/Logging_0781/tillsynsmail/S 417-2022 tillsynsbegäran mail.docx", "S 417-2022")</f>
        <v/>
      </c>
    </row>
    <row r="247" ht="15" customHeight="1">
      <c r="A247" t="inlineStr">
        <is>
          <t>S 2980-2024</t>
        </is>
      </c>
      <c r="B247" t="inlineStr">
        <is>
          <t>samrådsanmälan</t>
        </is>
      </c>
      <c r="C247" t="inlineStr">
        <is>
          <t>Askåterföring</t>
        </is>
      </c>
      <c r="D247" s="1" t="n">
        <v>45510</v>
      </c>
      <c r="E247" s="1" t="n">
        <v>46316</v>
      </c>
      <c r="F247" t="inlineStr">
        <is>
          <t>KRONOBERGS LÄN</t>
        </is>
      </c>
      <c r="G247" t="inlineStr">
        <is>
          <t>LJUNGBY</t>
        </is>
      </c>
      <c r="I247" t="n">
        <v>64.90000000000001</v>
      </c>
      <c r="J247" t="n">
        <v>1</v>
      </c>
      <c r="K247" t="n">
        <v>0</v>
      </c>
      <c r="L247" t="n">
        <v>2</v>
      </c>
      <c r="M247" t="n">
        <v>0</v>
      </c>
      <c r="N247" t="n">
        <v>0</v>
      </c>
      <c r="O247" t="n">
        <v>0</v>
      </c>
      <c r="P247" t="n">
        <v>0</v>
      </c>
      <c r="Q247" t="n">
        <v>2</v>
      </c>
      <c r="R247" t="n">
        <v>0</v>
      </c>
      <c r="S247" t="n">
        <v>2</v>
      </c>
      <c r="T247" t="n">
        <v>7</v>
      </c>
      <c r="U247" t="n">
        <v>1</v>
      </c>
      <c r="V247" s="2" t="inlineStr">
        <is>
          <t>Hårginst
Talltita</t>
        </is>
      </c>
      <c r="W247">
        <f>HYPERLINK("https://klasma.github.io/Logging_0781/artfynd/S 2980-2024 artfynd.xlsx", "S 2980-2024")</f>
        <v/>
      </c>
      <c r="X247">
        <f>HYPERLINK("https://klasma.github.io/Logging_0781/kartor/S 2980-2024 karta.png", "S 2980-2024")</f>
        <v/>
      </c>
      <c r="Y247">
        <f>HYPERLINK("https://klasma.github.io/Logging_0781/kartor_geotiff/S 2980-2024 georefererad karta.tif", "S 2980-2024")</f>
        <v/>
      </c>
      <c r="AA247">
        <f>HYPERLINK("https://klasma.github.io/Logging_0781/klagomål/S 2980-2024 FSC-klagomål.docx", "S 2980-2024")</f>
        <v/>
      </c>
      <c r="AB247">
        <f>HYPERLINK("https://klasma.github.io/Logging_0781/klagomålsmail/S 2980-2024 FSC-klagomål mail.docx", "S 2980-2024")</f>
        <v/>
      </c>
      <c r="AC247">
        <f>HYPERLINK("https://klasma.github.io/Logging_0781/tillsyn/S 2980-2024 tillsynsbegäran.docx", "S 2980-2024")</f>
        <v/>
      </c>
      <c r="AD247">
        <f>HYPERLINK("https://klasma.github.io/Logging_0781/tillsynsmail/S 2980-2024 tillsynsbegäran mail.docx", "S 2980-2024")</f>
        <v/>
      </c>
      <c r="AE247">
        <f>HYPERLINK("https://klasma.github.io/Logging_0781/fåglar/S 2980-2024 prioriterade fågelarter.docx", "S 2980-2024")</f>
        <v/>
      </c>
    </row>
    <row r="248" ht="15" customHeight="1">
      <c r="A248" t="inlineStr">
        <is>
          <t>S 592-2024</t>
        </is>
      </c>
      <c r="B248" t="inlineStr">
        <is>
          <t>samrådsanmälan</t>
        </is>
      </c>
      <c r="C248" t="inlineStr">
        <is>
          <t>Stubbskörd</t>
        </is>
      </c>
      <c r="D248" s="1" t="n">
        <v>45351</v>
      </c>
      <c r="E248" s="1" t="n">
        <v>46316</v>
      </c>
      <c r="F248" t="inlineStr">
        <is>
          <t>KRONOBERGS LÄN</t>
        </is>
      </c>
      <c r="G248" t="inlineStr">
        <is>
          <t>VÄXJÖ</t>
        </is>
      </c>
      <c r="I248" t="n">
        <v>0</v>
      </c>
      <c r="J248" t="n">
        <v>0</v>
      </c>
      <c r="K248" t="n">
        <v>1</v>
      </c>
      <c r="L248" t="n">
        <v>1</v>
      </c>
      <c r="M248" t="n">
        <v>0</v>
      </c>
      <c r="N248" t="n">
        <v>0</v>
      </c>
      <c r="O248" t="n">
        <v>0</v>
      </c>
      <c r="P248" t="n">
        <v>0</v>
      </c>
      <c r="Q248" t="n">
        <v>1</v>
      </c>
      <c r="R248" t="n">
        <v>0</v>
      </c>
      <c r="S248" t="n">
        <v>2</v>
      </c>
      <c r="T248" t="n">
        <v>2</v>
      </c>
      <c r="U248" t="n">
        <v>0</v>
      </c>
      <c r="V248" s="2" t="inlineStr">
        <is>
          <t>Svartvit taggsvamp
Lömsk flugsvamp</t>
        </is>
      </c>
      <c r="W248">
        <f>HYPERLINK("https://klasma.github.io/Logging_0780/artfynd/S 592-2024 artfynd.xlsx", "S 592-2024")</f>
        <v/>
      </c>
      <c r="X248">
        <f>HYPERLINK("https://klasma.github.io/Logging_0780/kartor/S 592-2024 karta.png", "S 592-2024")</f>
        <v/>
      </c>
      <c r="Y248">
        <f>HYPERLINK("https://klasma.github.io/Logging_0780/kartor_geotiff/S 592-2024 georefererad karta.tif", "S 592-2024")</f>
        <v/>
      </c>
      <c r="AA248">
        <f>HYPERLINK("https://klasma.github.io/Logging_0780/klagomål/S 592-2024 FSC-klagomål.docx", "S 592-2024")</f>
        <v/>
      </c>
      <c r="AB248">
        <f>HYPERLINK("https://klasma.github.io/Logging_0780/klagomålsmail/S 592-2024 FSC-klagomål mail.docx", "S 592-2024")</f>
        <v/>
      </c>
      <c r="AC248">
        <f>HYPERLINK("https://klasma.github.io/Logging_0780/tillsyn/S 592-2024 tillsynsbegäran.docx", "S 592-2024")</f>
        <v/>
      </c>
      <c r="AD248">
        <f>HYPERLINK("https://klasma.github.io/Logging_0780/tillsynsmail/S 592-2024 tillsynsbegäran mail.docx", "S 592-2024")</f>
        <v/>
      </c>
    </row>
    <row r="249" ht="15" customHeight="1">
      <c r="A249" t="inlineStr">
        <is>
          <t>S 938-2024</t>
        </is>
      </c>
      <c r="B249" t="inlineStr">
        <is>
          <t>samrådsanmälan</t>
        </is>
      </c>
      <c r="C249" t="inlineStr">
        <is>
          <t>Skogsgödsling</t>
        </is>
      </c>
      <c r="D249" s="1" t="n">
        <v>45378</v>
      </c>
      <c r="E249" s="1" t="n">
        <v>46316</v>
      </c>
      <c r="F249" t="inlineStr">
        <is>
          <t>KRONOBERGS LÄN</t>
        </is>
      </c>
      <c r="G249" t="inlineStr">
        <is>
          <t>LJUNGBY</t>
        </is>
      </c>
      <c r="I249" t="n">
        <v>24.6</v>
      </c>
      <c r="J249" t="n">
        <v>0</v>
      </c>
      <c r="K249" t="n">
        <v>2</v>
      </c>
      <c r="L249" t="n">
        <v>0</v>
      </c>
      <c r="M249" t="n">
        <v>0</v>
      </c>
      <c r="N249" t="n">
        <v>0</v>
      </c>
      <c r="O249" t="n">
        <v>0</v>
      </c>
      <c r="P249" t="n">
        <v>0</v>
      </c>
      <c r="Q249" t="n">
        <v>0</v>
      </c>
      <c r="R249" t="n">
        <v>0</v>
      </c>
      <c r="S249" t="n">
        <v>2</v>
      </c>
      <c r="T249" t="n">
        <v>2</v>
      </c>
      <c r="U249" t="n">
        <v>0</v>
      </c>
      <c r="V249" s="2" t="inlineStr">
        <is>
          <t>Barkkornlav
Bårdlav</t>
        </is>
      </c>
      <c r="W249">
        <f>HYPERLINK("https://klasma.github.io/Logging_0781/artfynd/S 938-2024 artfynd.xlsx", "S 938-2024")</f>
        <v/>
      </c>
      <c r="X249">
        <f>HYPERLINK("https://klasma.github.io/Logging_0781/kartor/S 938-2024 karta.png", "S 938-2024")</f>
        <v/>
      </c>
      <c r="Y249">
        <f>HYPERLINK("https://klasma.github.io/Logging_0781/kartor_geotiff/S 938-2024 georefererad karta.tif", "S 938-2024")</f>
        <v/>
      </c>
      <c r="AA249">
        <f>HYPERLINK("https://klasma.github.io/Logging_0781/klagomål/S 938-2024 FSC-klagomål.docx", "S 938-2024")</f>
        <v/>
      </c>
      <c r="AB249">
        <f>HYPERLINK("https://klasma.github.io/Logging_0781/klagomålsmail/S 938-2024 FSC-klagomål mail.docx", "S 938-2024")</f>
        <v/>
      </c>
      <c r="AC249">
        <f>HYPERLINK("https://klasma.github.io/Logging_0781/tillsyn/S 938-2024 tillsynsbegäran.docx", "S 938-2024")</f>
        <v/>
      </c>
      <c r="AD249">
        <f>HYPERLINK("https://klasma.github.io/Logging_0781/tillsynsmail/S 938-2024 tillsynsbegäran mail.docx", "S 938-2024")</f>
        <v/>
      </c>
    </row>
    <row r="250" ht="15" customHeight="1">
      <c r="A250" t="inlineStr">
        <is>
          <t>S 8477-2021</t>
        </is>
      </c>
      <c r="B250" t="inlineStr">
        <is>
          <t>samrådsanmälan</t>
        </is>
      </c>
      <c r="C250" t="inlineStr">
        <is>
          <t>Askåterföring</t>
        </is>
      </c>
      <c r="D250" s="1" t="n">
        <v>44496</v>
      </c>
      <c r="E250" s="1" t="n">
        <v>46316</v>
      </c>
      <c r="F250" t="inlineStr">
        <is>
          <t>KRONOBERGS LÄN</t>
        </is>
      </c>
      <c r="G250" t="inlineStr">
        <is>
          <t>LJUNGBY</t>
        </is>
      </c>
      <c r="I250" t="n">
        <v>31.8</v>
      </c>
      <c r="J250" t="n">
        <v>0</v>
      </c>
      <c r="K250" t="n">
        <v>2</v>
      </c>
      <c r="L250" t="n">
        <v>0</v>
      </c>
      <c r="M250" t="n">
        <v>0</v>
      </c>
      <c r="N250" t="n">
        <v>0</v>
      </c>
      <c r="O250" t="n">
        <v>0</v>
      </c>
      <c r="P250" t="n">
        <v>0</v>
      </c>
      <c r="Q250" t="n">
        <v>0</v>
      </c>
      <c r="R250" t="n">
        <v>0</v>
      </c>
      <c r="S250" t="n">
        <v>2</v>
      </c>
      <c r="T250" t="n">
        <v>3</v>
      </c>
      <c r="U250" t="n">
        <v>0</v>
      </c>
      <c r="V250" s="2" t="inlineStr">
        <is>
          <t>Klippfrullania
Tibast</t>
        </is>
      </c>
      <c r="W250">
        <f>HYPERLINK("https://klasma.github.io/Logging_0781/artfynd/S 8477-2021 artfynd.xlsx", "S 8477-2021")</f>
        <v/>
      </c>
      <c r="X250">
        <f>HYPERLINK("https://klasma.github.io/Logging_0781/kartor/S 8477-2021 karta.png", "S 8477-2021")</f>
        <v/>
      </c>
      <c r="Y250">
        <f>HYPERLINK("https://klasma.github.io/Logging_0781/kartor_geotiff/S 8477-2021 georefererad karta.tif", "S 8477-2021")</f>
        <v/>
      </c>
      <c r="AA250">
        <f>HYPERLINK("https://klasma.github.io/Logging_0781/klagomål/S 8477-2021 FSC-klagomål.docx", "S 8477-2021")</f>
        <v/>
      </c>
      <c r="AB250">
        <f>HYPERLINK("https://klasma.github.io/Logging_0781/klagomålsmail/S 8477-2021 FSC-klagomål mail.docx", "S 8477-2021")</f>
        <v/>
      </c>
      <c r="AC250">
        <f>HYPERLINK("https://klasma.github.io/Logging_0781/tillsyn/S 8477-2021 tillsynsbegäran.docx", "S 8477-2021")</f>
        <v/>
      </c>
      <c r="AD250">
        <f>HYPERLINK("https://klasma.github.io/Logging_0781/tillsynsmail/S 8477-2021 tillsynsbegäran mail.docx", "S 8477-2021")</f>
        <v/>
      </c>
    </row>
    <row r="251" ht="15" customHeight="1">
      <c r="A251" t="inlineStr">
        <is>
          <t>S 151-2025</t>
        </is>
      </c>
      <c r="B251" t="inlineStr">
        <is>
          <t>samrådsanmälan</t>
        </is>
      </c>
      <c r="C251" t="inlineStr">
        <is>
          <t>Askåterföring</t>
        </is>
      </c>
      <c r="D251" s="1" t="n">
        <v>45674</v>
      </c>
      <c r="E251" s="1" t="n">
        <v>46316</v>
      </c>
      <c r="F251" t="inlineStr">
        <is>
          <t>KRONOBERGS LÄN</t>
        </is>
      </c>
      <c r="G251" t="inlineStr">
        <is>
          <t>VÄXJÖ</t>
        </is>
      </c>
      <c r="H251" t="inlineStr">
        <is>
          <t>Sveaskog</t>
        </is>
      </c>
      <c r="I251" t="n">
        <v>15.3</v>
      </c>
      <c r="J251" t="n">
        <v>2</v>
      </c>
      <c r="K251" t="n">
        <v>0</v>
      </c>
      <c r="L251" t="n">
        <v>0</v>
      </c>
      <c r="M251" t="n">
        <v>0</v>
      </c>
      <c r="N251" t="n">
        <v>0</v>
      </c>
      <c r="O251" t="n">
        <v>0</v>
      </c>
      <c r="P251" t="n">
        <v>0</v>
      </c>
      <c r="Q251" t="n">
        <v>0</v>
      </c>
      <c r="R251" t="n">
        <v>0</v>
      </c>
      <c r="S251" t="n">
        <v>2</v>
      </c>
      <c r="T251" t="n">
        <v>2</v>
      </c>
      <c r="U251" t="n">
        <v>0</v>
      </c>
      <c r="V251" s="2" t="inlineStr">
        <is>
          <t>Kungsfågel
Vanlig snok</t>
        </is>
      </c>
      <c r="W251">
        <f>HYPERLINK("https://klasma.github.io/Logging_0780/artfynd/S 151-2025 artfynd.xlsx", "S 151-2025")</f>
        <v/>
      </c>
      <c r="X251">
        <f>HYPERLINK("https://klasma.github.io/Logging_0780/kartor/S 151-2025 karta.png", "S 151-2025")</f>
        <v/>
      </c>
      <c r="Y251">
        <f>HYPERLINK("https://klasma.github.io/Logging_0780/kartor_geotiff/S 151-2025 georefererad karta.tif", "S 151-2025")</f>
        <v/>
      </c>
      <c r="AA251">
        <f>HYPERLINK("https://klasma.github.io/Logging_0780/klagomål/S 151-2025 FSC-klagomål.docx", "S 151-2025")</f>
        <v/>
      </c>
      <c r="AB251">
        <f>HYPERLINK("https://klasma.github.io/Logging_0780/klagomålsmail/S 151-2025 FSC-klagomål mail.docx", "S 151-2025")</f>
        <v/>
      </c>
      <c r="AC251">
        <f>HYPERLINK("https://klasma.github.io/Logging_0780/tillsyn/S 151-2025 tillsynsbegäran.docx", "S 151-2025")</f>
        <v/>
      </c>
      <c r="AD251">
        <f>HYPERLINK("https://klasma.github.io/Logging_0780/tillsynsmail/S 151-2025 tillsynsbegäran mail.docx", "S 151-2025")</f>
        <v/>
      </c>
    </row>
    <row r="252" ht="15" customHeight="1">
      <c r="A252" t="inlineStr">
        <is>
          <t>S 1485-2025</t>
        </is>
      </c>
      <c r="B252" t="inlineStr">
        <is>
          <t>samrådsanmälan</t>
        </is>
      </c>
      <c r="C252" t="inlineStr">
        <is>
          <t>Askåterföring</t>
        </is>
      </c>
      <c r="D252" s="1" t="n">
        <v>45789</v>
      </c>
      <c r="E252" s="1" t="n">
        <v>46316</v>
      </c>
      <c r="F252" t="inlineStr">
        <is>
          <t>KRONOBERGS LÄN</t>
        </is>
      </c>
      <c r="G252" t="inlineStr">
        <is>
          <t>UPPVIDINGE</t>
        </is>
      </c>
      <c r="H252" t="inlineStr">
        <is>
          <t>Sveaskog</t>
        </is>
      </c>
      <c r="I252" t="n">
        <v>273.9</v>
      </c>
      <c r="J252" t="n">
        <v>2</v>
      </c>
      <c r="K252" t="n">
        <v>0</v>
      </c>
      <c r="L252" t="n">
        <v>0</v>
      </c>
      <c r="M252" t="n">
        <v>1</v>
      </c>
      <c r="N252" t="n">
        <v>0</v>
      </c>
      <c r="O252" t="n">
        <v>0</v>
      </c>
      <c r="P252" t="n">
        <v>0</v>
      </c>
      <c r="Q252" t="n">
        <v>1</v>
      </c>
      <c r="R252" t="n">
        <v>1</v>
      </c>
      <c r="S252" t="n">
        <v>2</v>
      </c>
      <c r="T252" t="n">
        <v>2</v>
      </c>
      <c r="U252" t="n">
        <v>1</v>
      </c>
      <c r="V252" s="2" t="inlineStr">
        <is>
          <t>Knärot
Revlummer</t>
        </is>
      </c>
      <c r="W252">
        <f>HYPERLINK("https://klasma.github.io/Logging_0760/artfynd/S 1485-2025 artfynd.xlsx", "S 1485-2025")</f>
        <v/>
      </c>
      <c r="X252">
        <f>HYPERLINK("https://klasma.github.io/Logging_0760/kartor/S 1485-2025 karta.png", "S 1485-2025")</f>
        <v/>
      </c>
      <c r="Y252">
        <f>HYPERLINK("https://klasma.github.io/Logging_0760/kartor_geotiff/S 1485-2025 georefererad karta.tif", "S 1485-2025")</f>
        <v/>
      </c>
      <c r="Z252">
        <f>HYPERLINK("https://klasma.github.io/Logging_0760/knärot/S 1485-2025 karta knärot.png", "S 1485-2025")</f>
        <v/>
      </c>
      <c r="AA252">
        <f>HYPERLINK("https://klasma.github.io/Logging_0760/klagomål/S 1485-2025 FSC-klagomål.docx", "S 1485-2025")</f>
        <v/>
      </c>
      <c r="AB252">
        <f>HYPERLINK("https://klasma.github.io/Logging_0760/klagomålsmail/S 1485-2025 FSC-klagomål mail.docx", "S 1485-2025")</f>
        <v/>
      </c>
      <c r="AC252">
        <f>HYPERLINK("https://klasma.github.io/Logging_0760/tillsyn/S 1485-2025 tillsynsbegäran.docx", "S 1485-2025")</f>
        <v/>
      </c>
      <c r="AD252">
        <f>HYPERLINK("https://klasma.github.io/Logging_0760/tillsynsmail/S 1485-2025 tillsynsbegäran mail.docx", "S 1485-2025")</f>
        <v/>
      </c>
    </row>
    <row r="253" ht="15" customHeight="1">
      <c r="A253" t="inlineStr">
        <is>
          <t>S 2517-2025</t>
        </is>
      </c>
      <c r="B253" t="inlineStr">
        <is>
          <t>samrådsanmälan</t>
        </is>
      </c>
      <c r="C253" t="inlineStr">
        <is>
          <t>Annan skogsbruksåtgärd</t>
        </is>
      </c>
      <c r="D253" s="1" t="n">
        <v>45908</v>
      </c>
      <c r="E253" s="1" t="n">
        <v>46316</v>
      </c>
      <c r="F253" t="inlineStr">
        <is>
          <t>KRONOBERGS LÄN</t>
        </is>
      </c>
      <c r="G253" t="inlineStr">
        <is>
          <t>ÄLMHULT</t>
        </is>
      </c>
      <c r="I253" t="n">
        <v>1.6</v>
      </c>
      <c r="J253" t="n">
        <v>2</v>
      </c>
      <c r="K253" t="n">
        <v>1</v>
      </c>
      <c r="L253" t="n">
        <v>0</v>
      </c>
      <c r="M253" t="n">
        <v>0</v>
      </c>
      <c r="N253" t="n">
        <v>1</v>
      </c>
      <c r="O253" t="n">
        <v>0</v>
      </c>
      <c r="P253" t="n">
        <v>0</v>
      </c>
      <c r="Q253" t="n">
        <v>1</v>
      </c>
      <c r="R253" t="n">
        <v>1</v>
      </c>
      <c r="S253" t="n">
        <v>2</v>
      </c>
      <c r="T253" t="n">
        <v>4</v>
      </c>
      <c r="U253" t="n">
        <v>2</v>
      </c>
      <c r="V253" s="2" t="inlineStr">
        <is>
          <t>Klockgentiana
Plattlummer</t>
        </is>
      </c>
      <c r="W253">
        <f>HYPERLINK("https://klasma.github.io/Logging_0765/artfynd/S 2517-2025 artfynd.xlsx", "S 2517-2025")</f>
        <v/>
      </c>
      <c r="X253">
        <f>HYPERLINK("https://klasma.github.io/Logging_0765/kartor/S 2517-2025 karta.png", "S 2517-2025")</f>
        <v/>
      </c>
      <c r="Y253">
        <f>HYPERLINK("https://klasma.github.io/Logging_0765/kartor_geotiff/S 2517-2025 georefererad karta.tif", "S 2517-2025")</f>
        <v/>
      </c>
      <c r="AA253">
        <f>HYPERLINK("https://klasma.github.io/Logging_0765/klagomål/S 2517-2025 FSC-klagomål.docx", "S 2517-2025")</f>
        <v/>
      </c>
      <c r="AB253">
        <f>HYPERLINK("https://klasma.github.io/Logging_0765/klagomålsmail/S 2517-2025 FSC-klagomål mail.docx", "S 2517-2025")</f>
        <v/>
      </c>
      <c r="AC253">
        <f>HYPERLINK("https://klasma.github.io/Logging_0765/tillsyn/S 2517-2025 tillsynsbegäran.docx", "S 2517-2025")</f>
        <v/>
      </c>
      <c r="AD253">
        <f>HYPERLINK("https://klasma.github.io/Logging_0765/tillsynsmail/S 2517-2025 tillsynsbegäran mail.docx", "S 2517-2025")</f>
        <v/>
      </c>
    </row>
    <row r="254" ht="15" customHeight="1">
      <c r="A254" t="inlineStr">
        <is>
          <t>S 2864-2025</t>
        </is>
      </c>
      <c r="B254" t="inlineStr">
        <is>
          <t>samrådsanmälan</t>
        </is>
      </c>
      <c r="C254" t="inlineStr">
        <is>
          <t>Annan skogsbruksåtgärd</t>
        </is>
      </c>
      <c r="D254" s="1" t="n">
        <v>45944</v>
      </c>
      <c r="E254" s="1" t="n">
        <v>46316</v>
      </c>
      <c r="F254" t="inlineStr">
        <is>
          <t>KRONOBERGS LÄN</t>
        </is>
      </c>
      <c r="G254" t="inlineStr">
        <is>
          <t>LESSEBO</t>
        </is>
      </c>
      <c r="H254" t="inlineStr">
        <is>
          <t>Kommuner</t>
        </is>
      </c>
      <c r="I254" t="n">
        <v>0.9</v>
      </c>
      <c r="J254" t="n">
        <v>0</v>
      </c>
      <c r="K254" t="n">
        <v>0</v>
      </c>
      <c r="L254" t="n">
        <v>0</v>
      </c>
      <c r="M254" t="n">
        <v>2</v>
      </c>
      <c r="N254" t="n">
        <v>0</v>
      </c>
      <c r="O254" t="n">
        <v>0</v>
      </c>
      <c r="P254" t="n">
        <v>0</v>
      </c>
      <c r="Q254" t="n">
        <v>2</v>
      </c>
      <c r="R254" t="n">
        <v>2</v>
      </c>
      <c r="S254" t="n">
        <v>2</v>
      </c>
      <c r="T254" t="n">
        <v>2</v>
      </c>
      <c r="U254" t="n">
        <v>1</v>
      </c>
      <c r="V254" s="2" t="inlineStr">
        <is>
          <t>Nabbmaskros
Slåttergubbe</t>
        </is>
      </c>
      <c r="W254">
        <f>HYPERLINK("https://klasma.github.io/Logging_0761/artfynd/S 2864-2025 artfynd.xlsx", "S 2864-2025")</f>
        <v/>
      </c>
      <c r="X254">
        <f>HYPERLINK("https://klasma.github.io/Logging_0761/kartor/S 2864-2025 karta.png", "S 2864-2025")</f>
        <v/>
      </c>
      <c r="Y254">
        <f>HYPERLINK("https://klasma.github.io/Logging_0761/kartor_geotiff/S 2864-2025 georefererad karta.tif", "S 2864-2025")</f>
        <v/>
      </c>
      <c r="AA254">
        <f>HYPERLINK("https://klasma.github.io/Logging_0761/klagomål/S 2864-2025 FSC-klagomål.docx", "S 2864-2025")</f>
        <v/>
      </c>
      <c r="AB254">
        <f>HYPERLINK("https://klasma.github.io/Logging_0761/klagomålsmail/S 2864-2025 FSC-klagomål mail.docx", "S 2864-2025")</f>
        <v/>
      </c>
      <c r="AC254">
        <f>HYPERLINK("https://klasma.github.io/Logging_0761/tillsyn/S 2864-2025 tillsynsbegäran.docx", "S 2864-2025")</f>
        <v/>
      </c>
      <c r="AD254">
        <f>HYPERLINK("https://klasma.github.io/Logging_0761/tillsynsmail/S 2864-2025 tillsynsbegäran mail.docx", "S 2864-2025")</f>
        <v/>
      </c>
    </row>
    <row r="255" ht="15" customHeight="1">
      <c r="A255" t="inlineStr">
        <is>
          <t>S 17-2026</t>
        </is>
      </c>
      <c r="B255" t="inlineStr">
        <is>
          <t>samrådsanmälan</t>
        </is>
      </c>
      <c r="C255" t="inlineStr">
        <is>
          <t>Askåterföring</t>
        </is>
      </c>
      <c r="D255" s="1" t="n">
        <v>46024</v>
      </c>
      <c r="E255" s="1" t="n">
        <v>46316</v>
      </c>
      <c r="F255" t="inlineStr">
        <is>
          <t>KRONOBERGS LÄN</t>
        </is>
      </c>
      <c r="G255" t="inlineStr">
        <is>
          <t>LJUNGBY</t>
        </is>
      </c>
      <c r="I255" t="n">
        <v>14.3</v>
      </c>
      <c r="J255" t="n">
        <v>0</v>
      </c>
      <c r="K255" t="n">
        <v>0</v>
      </c>
      <c r="L255" t="n">
        <v>1</v>
      </c>
      <c r="M255" t="n">
        <v>1</v>
      </c>
      <c r="N255" t="n">
        <v>0</v>
      </c>
      <c r="O255" t="n">
        <v>0</v>
      </c>
      <c r="P255" t="n">
        <v>0</v>
      </c>
      <c r="Q255" t="n">
        <v>2</v>
      </c>
      <c r="R255" t="n">
        <v>1</v>
      </c>
      <c r="S255" t="n">
        <v>2</v>
      </c>
      <c r="T255" t="n">
        <v>2</v>
      </c>
      <c r="U255" t="n">
        <v>0</v>
      </c>
      <c r="V255" s="2" t="inlineStr">
        <is>
          <t>Slåttergubbe
Backtimjan</t>
        </is>
      </c>
      <c r="W255">
        <f>HYPERLINK("https://klasma.github.io/Logging_0781/artfynd/S 17-2026 artfynd.xlsx", "S 17-2026")</f>
        <v/>
      </c>
      <c r="X255">
        <f>HYPERLINK("https://klasma.github.io/Logging_0781/kartor/S 17-2026 karta.png", "S 17-2026")</f>
        <v/>
      </c>
      <c r="Y255">
        <f>HYPERLINK("https://klasma.github.io/Logging_0781/kartor_geotiff/S 17-2026 georefererad karta.tif", "S 17-2026")</f>
        <v/>
      </c>
      <c r="AA255">
        <f>HYPERLINK("https://klasma.github.io/Logging_0781/klagomål/S 17-2026 FSC-klagomål.docx", "S 17-2026")</f>
        <v/>
      </c>
      <c r="AB255">
        <f>HYPERLINK("https://klasma.github.io/Logging_0781/klagomålsmail/S 17-2026 FSC-klagomål mail.docx", "S 17-2026")</f>
        <v/>
      </c>
      <c r="AC255">
        <f>HYPERLINK("https://klasma.github.io/Logging_0781/tillsyn/S 17-2026 tillsynsbegäran.docx", "S 17-2026")</f>
        <v/>
      </c>
      <c r="AD255">
        <f>HYPERLINK("https://klasma.github.io/Logging_0781/tillsynsmail/S 17-2026 tillsynsbegäran mail.docx", "S 17-2026")</f>
        <v/>
      </c>
    </row>
    <row r="256" ht="15" customHeight="1">
      <c r="A256" t="inlineStr">
        <is>
          <t>S 39-2026</t>
        </is>
      </c>
      <c r="B256" t="inlineStr">
        <is>
          <t>samrådsanmälan</t>
        </is>
      </c>
      <c r="C256" t="inlineStr">
        <is>
          <t>Annan skogsbruksåtgärd</t>
        </is>
      </c>
      <c r="D256" s="1" t="n">
        <v>46029</v>
      </c>
      <c r="E256" s="1" t="n">
        <v>46316</v>
      </c>
      <c r="F256" t="inlineStr">
        <is>
          <t>KRONOBERGS LÄN</t>
        </is>
      </c>
      <c r="G256" t="inlineStr">
        <is>
          <t>LJUNGBY</t>
        </is>
      </c>
      <c r="H256" t="inlineStr">
        <is>
          <t>Sveaskog</t>
        </is>
      </c>
      <c r="I256" t="n">
        <v>5</v>
      </c>
      <c r="J256" t="n">
        <v>0</v>
      </c>
      <c r="K256" t="n">
        <v>2</v>
      </c>
      <c r="L256" t="n">
        <v>0</v>
      </c>
      <c r="M256" t="n">
        <v>0</v>
      </c>
      <c r="N256" t="n">
        <v>0</v>
      </c>
      <c r="O256" t="n">
        <v>0</v>
      </c>
      <c r="P256" t="n">
        <v>0</v>
      </c>
      <c r="Q256" t="n">
        <v>0</v>
      </c>
      <c r="R256" t="n">
        <v>0</v>
      </c>
      <c r="S256" t="n">
        <v>2</v>
      </c>
      <c r="T256" t="n">
        <v>9</v>
      </c>
      <c r="U256" t="n">
        <v>0</v>
      </c>
      <c r="V256" s="2" t="inlineStr">
        <is>
          <t>Fällmossa
Klippfrullania</t>
        </is>
      </c>
      <c r="W256">
        <f>HYPERLINK("https://klasma.github.io/Logging_0781/artfynd/S 39-2026 artfynd.xlsx", "S 39-2026")</f>
        <v/>
      </c>
      <c r="X256">
        <f>HYPERLINK("https://klasma.github.io/Logging_0781/kartor/S 39-2026 karta.png", "S 39-2026")</f>
        <v/>
      </c>
      <c r="Y256">
        <f>HYPERLINK("https://klasma.github.io/Logging_0781/kartor_geotiff/S 39-2026 georefererad karta.tif", "S 39-2026")</f>
        <v/>
      </c>
      <c r="AA256">
        <f>HYPERLINK("https://klasma.github.io/Logging_0781/klagomål/S 39-2026 FSC-klagomål.docx", "S 39-2026")</f>
        <v/>
      </c>
      <c r="AB256">
        <f>HYPERLINK("https://klasma.github.io/Logging_0781/klagomålsmail/S 39-2026 FSC-klagomål mail.docx", "S 39-2026")</f>
        <v/>
      </c>
      <c r="AC256">
        <f>HYPERLINK("https://klasma.github.io/Logging_0781/tillsyn/S 39-2026 tillsynsbegäran.docx", "S 39-2026")</f>
        <v/>
      </c>
      <c r="AD256">
        <f>HYPERLINK("https://klasma.github.io/Logging_0781/tillsynsmail/S 39-2026 tillsynsbegäran mail.docx", "S 39-2026")</f>
        <v/>
      </c>
    </row>
    <row r="257" ht="15" customHeight="1">
      <c r="A257" t="inlineStr">
        <is>
          <t>S 810-2026</t>
        </is>
      </c>
      <c r="B257" t="inlineStr">
        <is>
          <t>samrådsanmälan</t>
        </is>
      </c>
      <c r="C257" t="inlineStr">
        <is>
          <t>Skogsgödsling</t>
        </is>
      </c>
      <c r="D257" s="1" t="n">
        <v>46100</v>
      </c>
      <c r="E257" s="1" t="n">
        <v>46316</v>
      </c>
      <c r="F257" t="inlineStr">
        <is>
          <t>KRONOBERGS LÄN</t>
        </is>
      </c>
      <c r="G257" t="inlineStr">
        <is>
          <t>VÄXJÖ</t>
        </is>
      </c>
      <c r="I257" t="n">
        <v>37.6</v>
      </c>
      <c r="J257" t="n">
        <v>2</v>
      </c>
      <c r="K257" t="n">
        <v>0</v>
      </c>
      <c r="L257" t="n">
        <v>1</v>
      </c>
      <c r="M257" t="n">
        <v>0</v>
      </c>
      <c r="N257" t="n">
        <v>0</v>
      </c>
      <c r="O257" t="n">
        <v>0</v>
      </c>
      <c r="P257" t="n">
        <v>0</v>
      </c>
      <c r="Q257" t="n">
        <v>1</v>
      </c>
      <c r="R257" t="n">
        <v>0</v>
      </c>
      <c r="S257" t="n">
        <v>2</v>
      </c>
      <c r="T257" t="n">
        <v>2</v>
      </c>
      <c r="U257" t="n">
        <v>0</v>
      </c>
      <c r="V257" s="2" t="inlineStr">
        <is>
          <t>Nordfladdermus
Vattenfladdermus</t>
        </is>
      </c>
      <c r="W257">
        <f>HYPERLINK("https://klasma.github.io/Logging_0780/artfynd/S 810-2026 artfynd.xlsx", "S 810-2026")</f>
        <v/>
      </c>
      <c r="X257">
        <f>HYPERLINK("https://klasma.github.io/Logging_0780/kartor/S 810-2026 karta.png", "S 810-2026")</f>
        <v/>
      </c>
      <c r="Y257">
        <f>HYPERLINK("https://klasma.github.io/Logging_0780/kartor_geotiff/S 810-2026 georefererad karta.tif", "S 810-2026")</f>
        <v/>
      </c>
      <c r="AA257">
        <f>HYPERLINK("https://klasma.github.io/Logging_0780/klagomål/S 810-2026 FSC-klagomål.docx", "S 810-2026")</f>
        <v/>
      </c>
      <c r="AB257">
        <f>HYPERLINK("https://klasma.github.io/Logging_0780/klagomålsmail/S 810-2026 FSC-klagomål mail.docx", "S 810-2026")</f>
        <v/>
      </c>
      <c r="AC257">
        <f>HYPERLINK("https://klasma.github.io/Logging_0780/tillsyn/S 810-2026 tillsynsbegäran.docx", "S 810-2026")</f>
        <v/>
      </c>
      <c r="AD257">
        <f>HYPERLINK("https://klasma.github.io/Logging_0780/tillsynsmail/S 810-2026 tillsynsbegäran mail.docx", "S 810-2026")</f>
        <v/>
      </c>
    </row>
    <row r="258" ht="15" customHeight="1">
      <c r="A258" t="inlineStr">
        <is>
          <t>S 1121-2026</t>
        </is>
      </c>
      <c r="B258" t="inlineStr">
        <is>
          <t>samrådsanmälan</t>
        </is>
      </c>
      <c r="C258" t="inlineStr">
        <is>
          <t>Askåterföring</t>
        </is>
      </c>
      <c r="D258" s="1" t="n">
        <v>46134</v>
      </c>
      <c r="E258" s="1" t="n">
        <v>46316</v>
      </c>
      <c r="F258" t="inlineStr">
        <is>
          <t>KRONOBERGS LÄN</t>
        </is>
      </c>
      <c r="G258" t="inlineStr">
        <is>
          <t>LJUNGBY</t>
        </is>
      </c>
      <c r="I258" t="n">
        <v>14.4</v>
      </c>
      <c r="J258" t="n">
        <v>0</v>
      </c>
      <c r="K258" t="n">
        <v>0</v>
      </c>
      <c r="L258" t="n">
        <v>1</v>
      </c>
      <c r="M258" t="n">
        <v>1</v>
      </c>
      <c r="N258" t="n">
        <v>0</v>
      </c>
      <c r="O258" t="n">
        <v>0</v>
      </c>
      <c r="P258" t="n">
        <v>0</v>
      </c>
      <c r="Q258" t="n">
        <v>2</v>
      </c>
      <c r="R258" t="n">
        <v>1</v>
      </c>
      <c r="S258" t="n">
        <v>2</v>
      </c>
      <c r="T258" t="n">
        <v>2</v>
      </c>
      <c r="U258" t="n">
        <v>0</v>
      </c>
      <c r="V258" s="2" t="inlineStr">
        <is>
          <t>Slåttergubbe
Backtimjan</t>
        </is>
      </c>
      <c r="W258">
        <f>HYPERLINK("https://klasma.github.io/Logging_0781/artfynd/S 1121-2026 artfynd.xlsx", "S 1121-2026")</f>
        <v/>
      </c>
      <c r="X258">
        <f>HYPERLINK("https://klasma.github.io/Logging_0781/kartor/S 1121-2026 karta.png", "S 1121-2026")</f>
        <v/>
      </c>
      <c r="Y258">
        <f>HYPERLINK("https://klasma.github.io/Logging_0781/kartor_geotiff/S 1121-2026 georefererad karta.tif", "S 1121-2026")</f>
        <v/>
      </c>
      <c r="AA258">
        <f>HYPERLINK("https://klasma.github.io/Logging_0781/klagomål/S 1121-2026 FSC-klagomål.docx", "S 1121-2026")</f>
        <v/>
      </c>
      <c r="AB258">
        <f>HYPERLINK("https://klasma.github.io/Logging_0781/klagomålsmail/S 1121-2026 FSC-klagomål mail.docx", "S 1121-2026")</f>
        <v/>
      </c>
      <c r="AC258">
        <f>HYPERLINK("https://klasma.github.io/Logging_0781/tillsyn/S 1121-2026 tillsynsbegäran.docx", "S 1121-2026")</f>
        <v/>
      </c>
      <c r="AD258">
        <f>HYPERLINK("https://klasma.github.io/Logging_0781/tillsynsmail/S 1121-2026 tillsynsbegäran mail.docx", "S 1121-2026")</f>
        <v/>
      </c>
    </row>
    <row r="259" ht="15" customHeight="1">
      <c r="A259" t="inlineStr">
        <is>
          <t>S 1249-2026</t>
        </is>
      </c>
      <c r="B259" t="inlineStr">
        <is>
          <t>samrådsanmälan</t>
        </is>
      </c>
      <c r="C259" t="inlineStr">
        <is>
          <t>Askåterföring</t>
        </is>
      </c>
      <c r="D259" s="1" t="n">
        <v>46146</v>
      </c>
      <c r="E259" s="1" t="n">
        <v>46316</v>
      </c>
      <c r="F259" t="inlineStr">
        <is>
          <t>KRONOBERGS LÄN</t>
        </is>
      </c>
      <c r="G259" t="inlineStr">
        <is>
          <t>LJUNGBY</t>
        </is>
      </c>
      <c r="I259" t="n">
        <v>40.8</v>
      </c>
      <c r="J259" t="n">
        <v>1</v>
      </c>
      <c r="K259" t="n">
        <v>1</v>
      </c>
      <c r="L259" t="n">
        <v>0</v>
      </c>
      <c r="M259" t="n">
        <v>0</v>
      </c>
      <c r="N259" t="n">
        <v>0</v>
      </c>
      <c r="O259" t="n">
        <v>0</v>
      </c>
      <c r="P259" t="n">
        <v>0</v>
      </c>
      <c r="Q259" t="n">
        <v>0</v>
      </c>
      <c r="R259" t="n">
        <v>0</v>
      </c>
      <c r="S259" t="n">
        <v>2</v>
      </c>
      <c r="T259" t="n">
        <v>3</v>
      </c>
      <c r="U259" t="n">
        <v>0</v>
      </c>
      <c r="V259" s="2" t="inlineStr">
        <is>
          <t>Klippfrullania
Mattlummer</t>
        </is>
      </c>
      <c r="W259">
        <f>HYPERLINK("https://klasma.github.io/Logging_0781/artfynd/S 1249-2026 artfynd.xlsx", "S 1249-2026")</f>
        <v/>
      </c>
      <c r="X259">
        <f>HYPERLINK("https://klasma.github.io/Logging_0781/kartor/S 1249-2026 karta.png", "S 1249-2026")</f>
        <v/>
      </c>
      <c r="Y259">
        <f>HYPERLINK("https://klasma.github.io/Logging_0781/kartor_geotiff/S 1249-2026 georefererad karta.tif", "S 1249-2026")</f>
        <v/>
      </c>
      <c r="AA259">
        <f>HYPERLINK("https://klasma.github.io/Logging_0781/klagomål/S 1249-2026 FSC-klagomål.docx", "S 1249-2026")</f>
        <v/>
      </c>
      <c r="AB259">
        <f>HYPERLINK("https://klasma.github.io/Logging_0781/klagomålsmail/S 1249-2026 FSC-klagomål mail.docx", "S 1249-2026")</f>
        <v/>
      </c>
      <c r="AC259">
        <f>HYPERLINK("https://klasma.github.io/Logging_0781/tillsyn/S 1249-2026 tillsynsbegäran.docx", "S 1249-2026")</f>
        <v/>
      </c>
      <c r="AD259">
        <f>HYPERLINK("https://klasma.github.io/Logging_0781/tillsynsmail/S 1249-2026 tillsynsbegäran mail.docx", "S 1249-2026")</f>
        <v/>
      </c>
    </row>
    <row r="260" ht="15" customHeight="1">
      <c r="A260" t="inlineStr">
        <is>
          <t>S 1457-2026</t>
        </is>
      </c>
      <c r="B260" t="inlineStr">
        <is>
          <t>samrådsanmälan</t>
        </is>
      </c>
      <c r="C260" t="inlineStr">
        <is>
          <t>Askåterföring</t>
        </is>
      </c>
      <c r="D260" s="1" t="n">
        <v>46161</v>
      </c>
      <c r="E260" s="1" t="n">
        <v>46316</v>
      </c>
      <c r="F260" t="inlineStr">
        <is>
          <t>KRONOBERGS LÄN</t>
        </is>
      </c>
      <c r="G260" t="inlineStr">
        <is>
          <t>LJUNGBY</t>
        </is>
      </c>
      <c r="I260" t="n">
        <v>75.3</v>
      </c>
      <c r="J260" t="n">
        <v>2</v>
      </c>
      <c r="K260" t="n">
        <v>0</v>
      </c>
      <c r="L260" t="n">
        <v>1</v>
      </c>
      <c r="M260" t="n">
        <v>0</v>
      </c>
      <c r="N260" t="n">
        <v>0</v>
      </c>
      <c r="O260" t="n">
        <v>0</v>
      </c>
      <c r="P260" t="n">
        <v>0</v>
      </c>
      <c r="Q260" t="n">
        <v>1</v>
      </c>
      <c r="R260" t="n">
        <v>0</v>
      </c>
      <c r="S260" t="n">
        <v>2</v>
      </c>
      <c r="T260" t="n">
        <v>2</v>
      </c>
      <c r="U260" t="n">
        <v>0</v>
      </c>
      <c r="V260" s="2" t="inlineStr">
        <is>
          <t>Gulsparv
Kungsfågel</t>
        </is>
      </c>
      <c r="W260">
        <f>HYPERLINK("https://klasma.github.io/Logging_0781/artfynd/S 1457-2026 artfynd.xlsx", "S 1457-2026")</f>
        <v/>
      </c>
      <c r="X260">
        <f>HYPERLINK("https://klasma.github.io/Logging_0781/kartor/S 1457-2026 karta.png", "S 1457-2026")</f>
        <v/>
      </c>
      <c r="Y260">
        <f>HYPERLINK("https://klasma.github.io/Logging_0781/kartor_geotiff/S 1457-2026 georefererad karta.tif", "S 1457-2026")</f>
        <v/>
      </c>
      <c r="AA260">
        <f>HYPERLINK("https://klasma.github.io/Logging_0781/klagomål/S 1457-2026 FSC-klagomål.docx", "S 1457-2026")</f>
        <v/>
      </c>
      <c r="AB260">
        <f>HYPERLINK("https://klasma.github.io/Logging_0781/klagomålsmail/S 1457-2026 FSC-klagomål mail.docx", "S 1457-2026")</f>
        <v/>
      </c>
      <c r="AC260">
        <f>HYPERLINK("https://klasma.github.io/Logging_0781/tillsyn/S 1457-2026 tillsynsbegäran.docx", "S 1457-2026")</f>
        <v/>
      </c>
      <c r="AD260">
        <f>HYPERLINK("https://klasma.github.io/Logging_0781/tillsynsmail/S 1457-2026 tillsynsbegäran mail.docx", "S 1457-2026")</f>
        <v/>
      </c>
      <c r="AE260">
        <f>HYPERLINK("https://klasma.github.io/Logging_0781/fåglar/S 1457-2026 prioriterade fågelarter.docx", "S 1457-2026")</f>
        <v/>
      </c>
    </row>
    <row r="261" ht="15" customHeight="1">
      <c r="A261" t="inlineStr">
        <is>
          <t>S 2434-2026</t>
        </is>
      </c>
      <c r="B261" t="inlineStr">
        <is>
          <t>samrådsanmälan</t>
        </is>
      </c>
      <c r="C261" t="inlineStr">
        <is>
          <t>Askåterföring</t>
        </is>
      </c>
      <c r="D261" s="1" t="n">
        <v>46280</v>
      </c>
      <c r="E261" s="1" t="n">
        <v>46316</v>
      </c>
      <c r="F261" t="inlineStr">
        <is>
          <t>KRONOBERGS LÄN</t>
        </is>
      </c>
      <c r="G261" t="inlineStr">
        <is>
          <t>ALVESTA</t>
        </is>
      </c>
      <c r="I261" t="n">
        <v>78.8</v>
      </c>
      <c r="J261" t="n">
        <v>1</v>
      </c>
      <c r="K261" t="n">
        <v>1</v>
      </c>
      <c r="L261" t="n">
        <v>0</v>
      </c>
      <c r="M261" t="n">
        <v>0</v>
      </c>
      <c r="N261" t="n">
        <v>0</v>
      </c>
      <c r="O261" t="n">
        <v>0</v>
      </c>
      <c r="P261" t="n">
        <v>0</v>
      </c>
      <c r="Q261" t="n">
        <v>0</v>
      </c>
      <c r="R261" t="n">
        <v>0</v>
      </c>
      <c r="S261" t="n">
        <v>2</v>
      </c>
      <c r="T261" t="n">
        <v>2</v>
      </c>
      <c r="U261" t="n">
        <v>0</v>
      </c>
      <c r="V261" s="2" t="inlineStr">
        <is>
          <t>Blåmossa
Tjäder</t>
        </is>
      </c>
      <c r="W261">
        <f>HYPERLINK("https://klasma.github.io/Logging_0764/artfynd/S 2434-2026 artfynd.xlsx", "S 2434-2026")</f>
        <v/>
      </c>
      <c r="X261">
        <f>HYPERLINK("https://klasma.github.io/Logging_0764/kartor/S 2434-2026 karta.png", "S 2434-2026")</f>
        <v/>
      </c>
      <c r="Y261">
        <f>HYPERLINK("https://klasma.github.io/Logging_0764/kartor_geotiff/S 2434-2026 georefererad karta.tif", "S 2434-2026")</f>
        <v/>
      </c>
      <c r="AA261">
        <f>HYPERLINK("https://klasma.github.io/Logging_0764/klagomål/S 2434-2026 FSC-klagomål.docx", "S 2434-2026")</f>
        <v/>
      </c>
      <c r="AB261">
        <f>HYPERLINK("https://klasma.github.io/Logging_0764/klagomålsmail/S 2434-2026 FSC-klagomål mail.docx", "S 2434-2026")</f>
        <v/>
      </c>
      <c r="AC261">
        <f>HYPERLINK("https://klasma.github.io/Logging_0764/tillsyn/S 2434-2026 tillsynsbegäran.docx", "S 2434-2026")</f>
        <v/>
      </c>
      <c r="AD261">
        <f>HYPERLINK("https://klasma.github.io/Logging_0764/tillsynsmail/S 2434-2026 tillsynsbegäran mail.docx", "S 2434-2026")</f>
        <v/>
      </c>
      <c r="AE261">
        <f>HYPERLINK("https://klasma.github.io/Logging_0764/fåglar/S 2434-2026 prioriterade fågelarter.docx", "S 2434-2026")</f>
        <v/>
      </c>
    </row>
    <row r="262" ht="15" customHeight="1">
      <c r="A262" t="inlineStr">
        <is>
          <t>A 69006-2021</t>
        </is>
      </c>
      <c r="B262" t="inlineStr">
        <is>
          <t>avverkningsanmälan</t>
        </is>
      </c>
      <c r="C262" t="inlineStr">
        <is>
          <t>Föryngringsavverkning</t>
        </is>
      </c>
      <c r="D262" s="1" t="n">
        <v>44530</v>
      </c>
      <c r="E262" s="1" t="n">
        <v>46316</v>
      </c>
      <c r="F262" t="inlineStr">
        <is>
          <t>KRONOBERGS LÄN</t>
        </is>
      </c>
      <c r="G262" t="inlineStr">
        <is>
          <t>ALVESTA</t>
        </is>
      </c>
      <c r="I262" t="n">
        <v>1.4</v>
      </c>
      <c r="J262" t="n">
        <v>0</v>
      </c>
      <c r="K262" t="n">
        <v>0</v>
      </c>
      <c r="L262" t="n">
        <v>1</v>
      </c>
      <c r="M262" t="n">
        <v>0</v>
      </c>
      <c r="N262" t="n">
        <v>0</v>
      </c>
      <c r="O262" t="n">
        <v>0</v>
      </c>
      <c r="P262" t="n">
        <v>0</v>
      </c>
      <c r="Q262" t="n">
        <v>1</v>
      </c>
      <c r="R262" t="n">
        <v>0</v>
      </c>
      <c r="S262" t="n">
        <v>1</v>
      </c>
      <c r="T262" t="n">
        <v>1</v>
      </c>
      <c r="U262" t="n">
        <v>0</v>
      </c>
      <c r="V262" s="2" t="inlineStr">
        <is>
          <t>Dunmossa</t>
        </is>
      </c>
      <c r="W262">
        <f>HYPERLINK("https://klasma.github.io/Logging_0764/artfynd/A 69006-2021 artfynd.xlsx", "A 69006-2021")</f>
        <v/>
      </c>
      <c r="X262">
        <f>HYPERLINK("https://klasma.github.io/Logging_0764/kartor/A 69006-2021 karta.png", "A 69006-2021")</f>
        <v/>
      </c>
      <c r="Y262">
        <f>HYPERLINK("https://klasma.github.io/Logging_0764/kartor_geotiff/A 69006-2021 georefererad karta.tif", "A 69006-2021")</f>
        <v/>
      </c>
      <c r="AA262">
        <f>HYPERLINK("https://klasma.github.io/Logging_0764/klagomål/A 69006-2021 FSC-klagomål.docx", "A 69006-2021")</f>
        <v/>
      </c>
      <c r="AB262">
        <f>HYPERLINK("https://klasma.github.io/Logging_0764/klagomålsmail/A 69006-2021 FSC-klagomål mail.docx", "A 69006-2021")</f>
        <v/>
      </c>
      <c r="AC262">
        <f>HYPERLINK("https://klasma.github.io/Logging_0764/tillsyn/A 69006-2021 tillsynsbegäran.docx", "A 69006-2021")</f>
        <v/>
      </c>
      <c r="AD262">
        <f>HYPERLINK("https://klasma.github.io/Logging_0764/tillsynsmail/A 69006-2021 tillsynsbegäran mail.docx", "A 69006-2021")</f>
        <v/>
      </c>
    </row>
    <row r="263" ht="15" customHeight="1">
      <c r="A263" t="inlineStr">
        <is>
          <t>A 25926-2022</t>
        </is>
      </c>
      <c r="B263" t="inlineStr">
        <is>
          <t>avverkningsanmälan</t>
        </is>
      </c>
      <c r="C263" t="inlineStr">
        <is>
          <t>Föryngringsavverkning</t>
        </is>
      </c>
      <c r="D263" s="1" t="n">
        <v>44734</v>
      </c>
      <c r="E263" s="1" t="n">
        <v>46316</v>
      </c>
      <c r="F263" t="inlineStr">
        <is>
          <t>KRONOBERGS LÄN</t>
        </is>
      </c>
      <c r="G263" t="inlineStr">
        <is>
          <t>UPPVIDINGE</t>
        </is>
      </c>
      <c r="H263" t="inlineStr">
        <is>
          <t>Sveaskog</t>
        </is>
      </c>
      <c r="I263" t="n">
        <v>1.3</v>
      </c>
      <c r="J263" t="n">
        <v>0</v>
      </c>
      <c r="K263" t="n">
        <v>0</v>
      </c>
      <c r="L263" t="n">
        <v>1</v>
      </c>
      <c r="M263" t="n">
        <v>0</v>
      </c>
      <c r="N263" t="n">
        <v>0</v>
      </c>
      <c r="O263" t="n">
        <v>0</v>
      </c>
      <c r="P263" t="n">
        <v>0</v>
      </c>
      <c r="Q263" t="n">
        <v>1</v>
      </c>
      <c r="R263" t="n">
        <v>0</v>
      </c>
      <c r="S263" t="n">
        <v>1</v>
      </c>
      <c r="T263" t="n">
        <v>1</v>
      </c>
      <c r="U263" t="n">
        <v>1</v>
      </c>
      <c r="V263" s="2" t="inlineStr">
        <is>
          <t>Dropptaggsvamp</t>
        </is>
      </c>
      <c r="W263">
        <f>HYPERLINK("https://klasma.github.io/Logging_0760/artfynd/A 25926-2022 artfynd.xlsx", "A 25926-2022")</f>
        <v/>
      </c>
      <c r="X263">
        <f>HYPERLINK("https://klasma.github.io/Logging_0760/kartor/A 25926-2022 karta.png", "A 25926-2022")</f>
        <v/>
      </c>
      <c r="Y263">
        <f>HYPERLINK("https://klasma.github.io/Logging_0760/kartor_geotiff/A 25926-2022 georefererad karta.tif", "A 25926-2022")</f>
        <v/>
      </c>
      <c r="AA263">
        <f>HYPERLINK("https://klasma.github.io/Logging_0760/klagomål/A 25926-2022 FSC-klagomål.docx", "A 25926-2022")</f>
        <v/>
      </c>
      <c r="AB263">
        <f>HYPERLINK("https://klasma.github.io/Logging_0760/klagomålsmail/A 25926-2022 FSC-klagomål mail.docx", "A 25926-2022")</f>
        <v/>
      </c>
      <c r="AC263">
        <f>HYPERLINK("https://klasma.github.io/Logging_0760/tillsyn/A 25926-2022 tillsynsbegäran.docx", "A 25926-2022")</f>
        <v/>
      </c>
      <c r="AD263">
        <f>HYPERLINK("https://klasma.github.io/Logging_0760/tillsynsmail/A 25926-2022 tillsynsbegäran mail.docx", "A 25926-2022")</f>
        <v/>
      </c>
    </row>
    <row r="264" ht="15" customHeight="1">
      <c r="A264" t="inlineStr">
        <is>
          <t>A 12378-2022</t>
        </is>
      </c>
      <c r="B264" t="inlineStr">
        <is>
          <t>avverkningsanmälan</t>
        </is>
      </c>
      <c r="C264" t="inlineStr">
        <is>
          <t>Föryngringsavverkning</t>
        </is>
      </c>
      <c r="D264" s="1" t="n">
        <v>44637</v>
      </c>
      <c r="E264" s="1" t="n">
        <v>46316</v>
      </c>
      <c r="F264" t="inlineStr">
        <is>
          <t>KRONOBERGS LÄN</t>
        </is>
      </c>
      <c r="G264" t="inlineStr">
        <is>
          <t>LESSEBO</t>
        </is>
      </c>
      <c r="I264" t="n">
        <v>1.2</v>
      </c>
      <c r="J264" t="n">
        <v>1</v>
      </c>
      <c r="K264" t="n">
        <v>0</v>
      </c>
      <c r="L264" t="n">
        <v>0</v>
      </c>
      <c r="M264" t="n">
        <v>0</v>
      </c>
      <c r="N264" t="n">
        <v>0</v>
      </c>
      <c r="O264" t="n">
        <v>0</v>
      </c>
      <c r="P264" t="n">
        <v>0</v>
      </c>
      <c r="Q264" t="n">
        <v>0</v>
      </c>
      <c r="R264" t="n">
        <v>0</v>
      </c>
      <c r="S264" t="n">
        <v>1</v>
      </c>
      <c r="T264" t="n">
        <v>1</v>
      </c>
      <c r="U264" t="n">
        <v>1</v>
      </c>
      <c r="V264" s="2" t="inlineStr">
        <is>
          <t>Lopplummer (aggregat)</t>
        </is>
      </c>
      <c r="W264">
        <f>HYPERLINK("https://klasma.github.io/Logging_0761/artfynd/A 12378-2022 artfynd.xlsx", "A 12378-2022")</f>
        <v/>
      </c>
      <c r="X264">
        <f>HYPERLINK("https://klasma.github.io/Logging_0761/kartor/A 12378-2022 karta.png", "A 12378-2022")</f>
        <v/>
      </c>
      <c r="Y264">
        <f>HYPERLINK("https://klasma.github.io/Logging_0761/kartor_geotiff/A 12378-2022 georefererad karta.tif", "A 12378-2022")</f>
        <v/>
      </c>
      <c r="AA264">
        <f>HYPERLINK("https://klasma.github.io/Logging_0761/klagomål/A 12378-2022 FSC-klagomål.docx", "A 12378-2022")</f>
        <v/>
      </c>
      <c r="AB264">
        <f>HYPERLINK("https://klasma.github.io/Logging_0761/klagomålsmail/A 12378-2022 FSC-klagomål mail.docx", "A 12378-2022")</f>
        <v/>
      </c>
      <c r="AC264">
        <f>HYPERLINK("https://klasma.github.io/Logging_0761/tillsyn/A 12378-2022 tillsynsbegäran.docx", "A 12378-2022")</f>
        <v/>
      </c>
      <c r="AD264">
        <f>HYPERLINK("https://klasma.github.io/Logging_0761/tillsynsmail/A 12378-2022 tillsynsbegäran mail.docx", "A 12378-2022")</f>
        <v/>
      </c>
    </row>
    <row r="265" ht="15" customHeight="1">
      <c r="A265" t="inlineStr">
        <is>
          <t>A 17570-2022</t>
        </is>
      </c>
      <c r="B265" t="inlineStr">
        <is>
          <t>avverkningsanmälan</t>
        </is>
      </c>
      <c r="C265" t="inlineStr">
        <is>
          <t>Avverkning för annat ändamål</t>
        </is>
      </c>
      <c r="D265" s="1" t="n">
        <v>44679</v>
      </c>
      <c r="E265" s="1" t="n">
        <v>46316</v>
      </c>
      <c r="F265" t="inlineStr">
        <is>
          <t>KRONOBERGS LÄN</t>
        </is>
      </c>
      <c r="G265" t="inlineStr">
        <is>
          <t>LJUNGBY</t>
        </is>
      </c>
      <c r="I265" t="n">
        <v>0.5</v>
      </c>
      <c r="J265" t="n">
        <v>0</v>
      </c>
      <c r="K265" t="n">
        <v>0</v>
      </c>
      <c r="L265" t="n">
        <v>1</v>
      </c>
      <c r="M265" t="n">
        <v>0</v>
      </c>
      <c r="N265" t="n">
        <v>0</v>
      </c>
      <c r="O265" t="n">
        <v>0</v>
      </c>
      <c r="P265" t="n">
        <v>0</v>
      </c>
      <c r="Q265" t="n">
        <v>1</v>
      </c>
      <c r="R265" t="n">
        <v>0</v>
      </c>
      <c r="S265" t="n">
        <v>1</v>
      </c>
      <c r="T265" t="n">
        <v>1</v>
      </c>
      <c r="U265" t="n">
        <v>1</v>
      </c>
      <c r="V265" s="2" t="inlineStr">
        <is>
          <t>Borsttåg</t>
        </is>
      </c>
      <c r="W265">
        <f>HYPERLINK("https://klasma.github.io/Logging_0781/artfynd/A 17570-2022 artfynd.xlsx", "A 17570-2022")</f>
        <v/>
      </c>
      <c r="X265">
        <f>HYPERLINK("https://klasma.github.io/Logging_0781/kartor/A 17570-2022 karta.png", "A 17570-2022")</f>
        <v/>
      </c>
      <c r="Y265">
        <f>HYPERLINK("https://klasma.github.io/Logging_0781/kartor_geotiff/A 17570-2022 georefererad karta.tif", "A 17570-2022")</f>
        <v/>
      </c>
      <c r="AA265">
        <f>HYPERLINK("https://klasma.github.io/Logging_0781/klagomål/A 17570-2022 FSC-klagomål.docx", "A 17570-2022")</f>
        <v/>
      </c>
      <c r="AB265">
        <f>HYPERLINK("https://klasma.github.io/Logging_0781/klagomålsmail/A 17570-2022 FSC-klagomål mail.docx", "A 17570-2022")</f>
        <v/>
      </c>
      <c r="AC265">
        <f>HYPERLINK("https://klasma.github.io/Logging_0781/tillsyn/A 17570-2022 tillsynsbegäran.docx", "A 17570-2022")</f>
        <v/>
      </c>
      <c r="AD265">
        <f>HYPERLINK("https://klasma.github.io/Logging_0781/tillsynsmail/A 17570-2022 tillsynsbegäran mail.docx", "A 17570-2022")</f>
        <v/>
      </c>
    </row>
    <row r="266" ht="15" customHeight="1">
      <c r="A266" t="inlineStr">
        <is>
          <t>A 41124-2022</t>
        </is>
      </c>
      <c r="B266" t="inlineStr">
        <is>
          <t>avverkningsanmälan</t>
        </is>
      </c>
      <c r="C266" t="inlineStr">
        <is>
          <t>Föryngringsavverkning</t>
        </is>
      </c>
      <c r="D266" s="1" t="n">
        <v>44825</v>
      </c>
      <c r="E266" s="1" t="n">
        <v>46316</v>
      </c>
      <c r="F266" t="inlineStr">
        <is>
          <t>KRONOBERGS LÄN</t>
        </is>
      </c>
      <c r="G266" t="inlineStr">
        <is>
          <t>LJUNGBY</t>
        </is>
      </c>
      <c r="I266" t="n">
        <v>1.3</v>
      </c>
      <c r="J266" t="n">
        <v>1</v>
      </c>
      <c r="K266" t="n">
        <v>0</v>
      </c>
      <c r="L266" t="n">
        <v>1</v>
      </c>
      <c r="M266" t="n">
        <v>0</v>
      </c>
      <c r="N266" t="n">
        <v>0</v>
      </c>
      <c r="O266" t="n">
        <v>0</v>
      </c>
      <c r="P266" t="n">
        <v>0</v>
      </c>
      <c r="Q266" t="n">
        <v>1</v>
      </c>
      <c r="R266" t="n">
        <v>0</v>
      </c>
      <c r="S266" t="n">
        <v>1</v>
      </c>
      <c r="T266" t="n">
        <v>1</v>
      </c>
      <c r="U266" t="n">
        <v>1</v>
      </c>
      <c r="V266" s="2" t="inlineStr">
        <is>
          <t>Göktyta</t>
        </is>
      </c>
      <c r="W266">
        <f>HYPERLINK("https://klasma.github.io/Logging_0781/artfynd/A 41124-2022 artfynd.xlsx", "A 41124-2022")</f>
        <v/>
      </c>
      <c r="X266">
        <f>HYPERLINK("https://klasma.github.io/Logging_0781/kartor/A 41124-2022 karta.png", "A 41124-2022")</f>
        <v/>
      </c>
      <c r="Y266">
        <f>HYPERLINK("https://klasma.github.io/Logging_0781/kartor_geotiff/A 41124-2022 georefererad karta.tif", "A 41124-2022")</f>
        <v/>
      </c>
      <c r="AA266">
        <f>HYPERLINK("https://klasma.github.io/Logging_0781/klagomål/A 41124-2022 FSC-klagomål.docx", "A 41124-2022")</f>
        <v/>
      </c>
      <c r="AB266">
        <f>HYPERLINK("https://klasma.github.io/Logging_0781/klagomålsmail/A 41124-2022 FSC-klagomål mail.docx", "A 41124-2022")</f>
        <v/>
      </c>
      <c r="AC266">
        <f>HYPERLINK("https://klasma.github.io/Logging_0781/tillsyn/A 41124-2022 tillsynsbegäran.docx", "A 41124-2022")</f>
        <v/>
      </c>
      <c r="AD266">
        <f>HYPERLINK("https://klasma.github.io/Logging_0781/tillsynsmail/A 41124-2022 tillsynsbegäran mail.docx", "A 41124-2022")</f>
        <v/>
      </c>
      <c r="AE266">
        <f>HYPERLINK("https://klasma.github.io/Logging_0781/fåglar/A 41124-2022 prioriterade fågelarter.docx", "A 41124-2022")</f>
        <v/>
      </c>
    </row>
    <row r="267" ht="15" customHeight="1">
      <c r="A267" t="inlineStr">
        <is>
          <t>A 23510-2022</t>
        </is>
      </c>
      <c r="B267" t="inlineStr">
        <is>
          <t>avverkningsanmälan</t>
        </is>
      </c>
      <c r="C267" t="inlineStr">
        <is>
          <t>Föryngringsavverkning</t>
        </is>
      </c>
      <c r="D267" s="1" t="n">
        <v>44721</v>
      </c>
      <c r="E267" s="1" t="n">
        <v>46316</v>
      </c>
      <c r="F267" t="inlineStr">
        <is>
          <t>KRONOBERGS LÄN</t>
        </is>
      </c>
      <c r="G267" t="inlineStr">
        <is>
          <t>VÄXJÖ</t>
        </is>
      </c>
      <c r="I267" t="n">
        <v>1.1</v>
      </c>
      <c r="J267" t="n">
        <v>0</v>
      </c>
      <c r="K267" t="n">
        <v>1</v>
      </c>
      <c r="L267" t="n">
        <v>0</v>
      </c>
      <c r="M267" t="n">
        <v>0</v>
      </c>
      <c r="N267" t="n">
        <v>0</v>
      </c>
      <c r="O267" t="n">
        <v>0</v>
      </c>
      <c r="P267" t="n">
        <v>0</v>
      </c>
      <c r="Q267" t="n">
        <v>0</v>
      </c>
      <c r="R267" t="n">
        <v>0</v>
      </c>
      <c r="S267" t="n">
        <v>1</v>
      </c>
      <c r="T267" t="n">
        <v>1</v>
      </c>
      <c r="U267" t="n">
        <v>0</v>
      </c>
      <c r="V267" s="2" t="inlineStr">
        <is>
          <t>Robust tickgnagare</t>
        </is>
      </c>
      <c r="W267">
        <f>HYPERLINK("https://klasma.github.io/Logging_0780/artfynd/A 23510-2022 artfynd.xlsx", "A 23510-2022")</f>
        <v/>
      </c>
      <c r="X267">
        <f>HYPERLINK("https://klasma.github.io/Logging_0780/kartor/A 23510-2022 karta.png", "A 23510-2022")</f>
        <v/>
      </c>
      <c r="Y267">
        <f>HYPERLINK("https://klasma.github.io/Logging_0780/kartor_geotiff/A 23510-2022 georefererad karta.tif", "A 23510-2022")</f>
        <v/>
      </c>
      <c r="AA267">
        <f>HYPERLINK("https://klasma.github.io/Logging_0780/klagomål/A 23510-2022 FSC-klagomål.docx", "A 23510-2022")</f>
        <v/>
      </c>
      <c r="AB267">
        <f>HYPERLINK("https://klasma.github.io/Logging_0780/klagomålsmail/A 23510-2022 FSC-klagomål mail.docx", "A 23510-2022")</f>
        <v/>
      </c>
      <c r="AC267">
        <f>HYPERLINK("https://klasma.github.io/Logging_0780/tillsyn/A 23510-2022 tillsynsbegäran.docx", "A 23510-2022")</f>
        <v/>
      </c>
      <c r="AD267">
        <f>HYPERLINK("https://klasma.github.io/Logging_0780/tillsynsmail/A 23510-2022 tillsynsbegäran mail.docx", "A 23510-2022")</f>
        <v/>
      </c>
    </row>
    <row r="268" ht="15" customHeight="1">
      <c r="A268" t="inlineStr">
        <is>
          <t>A 21042-2022</t>
        </is>
      </c>
      <c r="B268" t="inlineStr">
        <is>
          <t>avverkningsanmälan</t>
        </is>
      </c>
      <c r="C268" t="inlineStr">
        <is>
          <t>Föryngringsavverkning</t>
        </is>
      </c>
      <c r="D268" s="1" t="n">
        <v>44704</v>
      </c>
      <c r="E268" s="1" t="n">
        <v>46316</v>
      </c>
      <c r="F268" t="inlineStr">
        <is>
          <t>KRONOBERGS LÄN</t>
        </is>
      </c>
      <c r="G268" t="inlineStr">
        <is>
          <t>VÄXJÖ</t>
        </is>
      </c>
      <c r="I268" t="n">
        <v>2</v>
      </c>
      <c r="J268" t="n">
        <v>1</v>
      </c>
      <c r="K268" t="n">
        <v>0</v>
      </c>
      <c r="L268" t="n">
        <v>1</v>
      </c>
      <c r="M268" t="n">
        <v>0</v>
      </c>
      <c r="N268" t="n">
        <v>0</v>
      </c>
      <c r="O268" t="n">
        <v>0</v>
      </c>
      <c r="P268" t="n">
        <v>0</v>
      </c>
      <c r="Q268" t="n">
        <v>1</v>
      </c>
      <c r="R268" t="n">
        <v>0</v>
      </c>
      <c r="S268" t="n">
        <v>1</v>
      </c>
      <c r="T268" t="n">
        <v>1</v>
      </c>
      <c r="U268" t="n">
        <v>1</v>
      </c>
      <c r="V268" s="2" t="inlineStr">
        <is>
          <t>Ladusvala</t>
        </is>
      </c>
      <c r="W268">
        <f>HYPERLINK("https://klasma.github.io/Logging_0780/artfynd/A 21042-2022 artfynd.xlsx", "A 21042-2022")</f>
        <v/>
      </c>
      <c r="X268">
        <f>HYPERLINK("https://klasma.github.io/Logging_0780/kartor/A 21042-2022 karta.png", "A 21042-2022")</f>
        <v/>
      </c>
      <c r="Y268">
        <f>HYPERLINK("https://klasma.github.io/Logging_0780/kartor_geotiff/A 21042-2022 georefererad karta.tif", "A 21042-2022")</f>
        <v/>
      </c>
      <c r="AA268">
        <f>HYPERLINK("https://klasma.github.io/Logging_0780/klagomål/A 21042-2022 FSC-klagomål.docx", "A 21042-2022")</f>
        <v/>
      </c>
      <c r="AB268">
        <f>HYPERLINK("https://klasma.github.io/Logging_0780/klagomålsmail/A 21042-2022 FSC-klagomål mail.docx", "A 21042-2022")</f>
        <v/>
      </c>
      <c r="AC268">
        <f>HYPERLINK("https://klasma.github.io/Logging_0780/tillsyn/A 21042-2022 tillsynsbegäran.docx", "A 21042-2022")</f>
        <v/>
      </c>
      <c r="AD268">
        <f>HYPERLINK("https://klasma.github.io/Logging_0780/tillsynsmail/A 21042-2022 tillsynsbegäran mail.docx", "A 21042-2022")</f>
        <v/>
      </c>
    </row>
    <row r="269" ht="15" customHeight="1">
      <c r="A269" t="inlineStr">
        <is>
          <t>A 60235-2021</t>
        </is>
      </c>
      <c r="B269" t="inlineStr">
        <is>
          <t>avverkningsanmälan</t>
        </is>
      </c>
      <c r="C269" t="inlineStr">
        <is>
          <t>Föryngringsavverkning</t>
        </is>
      </c>
      <c r="D269" s="1" t="n">
        <v>44495</v>
      </c>
      <c r="E269" s="1" t="n">
        <v>46316</v>
      </c>
      <c r="F269" t="inlineStr">
        <is>
          <t>KRONOBERGS LÄN</t>
        </is>
      </c>
      <c r="G269" t="inlineStr">
        <is>
          <t>LJUNGBY</t>
        </is>
      </c>
      <c r="I269" t="n">
        <v>9.4</v>
      </c>
      <c r="J269" t="n">
        <v>1</v>
      </c>
      <c r="K269" t="n">
        <v>0</v>
      </c>
      <c r="L269" t="n">
        <v>0</v>
      </c>
      <c r="M269" t="n">
        <v>1</v>
      </c>
      <c r="N269" t="n">
        <v>0</v>
      </c>
      <c r="O269" t="n">
        <v>0</v>
      </c>
      <c r="P269" t="n">
        <v>0</v>
      </c>
      <c r="Q269" t="n">
        <v>1</v>
      </c>
      <c r="R269" t="n">
        <v>1</v>
      </c>
      <c r="S269" t="n">
        <v>1</v>
      </c>
      <c r="T269" t="n">
        <v>1</v>
      </c>
      <c r="U269" t="n">
        <v>1</v>
      </c>
      <c r="V269" s="2" t="inlineStr">
        <is>
          <t>Knärot</t>
        </is>
      </c>
      <c r="W269">
        <f>HYPERLINK("https://klasma.github.io/Logging_0781/artfynd/A 60235-2021 artfynd.xlsx", "A 60235-2021")</f>
        <v/>
      </c>
      <c r="X269">
        <f>HYPERLINK("https://klasma.github.io/Logging_0781/kartor/A 60235-2021 karta.png", "A 60235-2021")</f>
        <v/>
      </c>
      <c r="Y269">
        <f>HYPERLINK("https://klasma.github.io/Logging_0781/kartor_geotiff/A 60235-2021 georefererad karta.tif", "A 60235-2021")</f>
        <v/>
      </c>
      <c r="Z269">
        <f>HYPERLINK("https://klasma.github.io/Logging_0781/knärot/A 60235-2021 karta knärot.png", "A 60235-2021")</f>
        <v/>
      </c>
      <c r="AA269">
        <f>HYPERLINK("https://klasma.github.io/Logging_0781/klagomål/A 60235-2021 FSC-klagomål.docx", "A 60235-2021")</f>
        <v/>
      </c>
      <c r="AB269">
        <f>HYPERLINK("https://klasma.github.io/Logging_0781/klagomålsmail/A 60235-2021 FSC-klagomål mail.docx", "A 60235-2021")</f>
        <v/>
      </c>
      <c r="AC269">
        <f>HYPERLINK("https://klasma.github.io/Logging_0781/tillsyn/A 60235-2021 tillsynsbegäran.docx", "A 60235-2021")</f>
        <v/>
      </c>
      <c r="AD269">
        <f>HYPERLINK("https://klasma.github.io/Logging_0781/tillsynsmail/A 60235-2021 tillsynsbegäran mail.docx", "A 60235-2021")</f>
        <v/>
      </c>
    </row>
    <row r="270" ht="15" customHeight="1">
      <c r="A270" t="inlineStr">
        <is>
          <t>A 29922-2022</t>
        </is>
      </c>
      <c r="B270" t="inlineStr">
        <is>
          <t>avverkningsanmälan</t>
        </is>
      </c>
      <c r="C270" t="inlineStr">
        <is>
          <t>Föryngringsavverkning</t>
        </is>
      </c>
      <c r="D270" s="1" t="n">
        <v>44756</v>
      </c>
      <c r="E270" s="1" t="n">
        <v>46316</v>
      </c>
      <c r="F270" t="inlineStr">
        <is>
          <t>KRONOBERGS LÄN</t>
        </is>
      </c>
      <c r="G270" t="inlineStr">
        <is>
          <t>TINGSRYD</t>
        </is>
      </c>
      <c r="I270" t="n">
        <v>3.2</v>
      </c>
      <c r="J270" t="n">
        <v>0</v>
      </c>
      <c r="K270" t="n">
        <v>0</v>
      </c>
      <c r="L270" t="n">
        <v>1</v>
      </c>
      <c r="M270" t="n">
        <v>0</v>
      </c>
      <c r="N270" t="n">
        <v>0</v>
      </c>
      <c r="O270" t="n">
        <v>0</v>
      </c>
      <c r="P270" t="n">
        <v>0</v>
      </c>
      <c r="Q270" t="n">
        <v>1</v>
      </c>
      <c r="R270" t="n">
        <v>0</v>
      </c>
      <c r="S270" t="n">
        <v>1</v>
      </c>
      <c r="T270" t="n">
        <v>1</v>
      </c>
      <c r="U270" t="n">
        <v>1</v>
      </c>
      <c r="V270" s="2" t="inlineStr">
        <is>
          <t>Kandelabersvamp</t>
        </is>
      </c>
      <c r="W270">
        <f>HYPERLINK("https://klasma.github.io/Logging_0763/artfynd/A 29922-2022 artfynd.xlsx", "A 29922-2022")</f>
        <v/>
      </c>
      <c r="X270">
        <f>HYPERLINK("https://klasma.github.io/Logging_0763/kartor/A 29922-2022 karta.png", "A 29922-2022")</f>
        <v/>
      </c>
      <c r="Y270">
        <f>HYPERLINK("https://klasma.github.io/Logging_0763/kartor_geotiff/A 29922-2022 georefererad karta.tif", "A 29922-2022")</f>
        <v/>
      </c>
      <c r="AA270">
        <f>HYPERLINK("https://klasma.github.io/Logging_0763/klagomål/A 29922-2022 FSC-klagomål.docx", "A 29922-2022")</f>
        <v/>
      </c>
      <c r="AB270">
        <f>HYPERLINK("https://klasma.github.io/Logging_0763/klagomålsmail/A 29922-2022 FSC-klagomål mail.docx", "A 29922-2022")</f>
        <v/>
      </c>
      <c r="AC270">
        <f>HYPERLINK("https://klasma.github.io/Logging_0763/tillsyn/A 29922-2022 tillsynsbegäran.docx", "A 29922-2022")</f>
        <v/>
      </c>
      <c r="AD270">
        <f>HYPERLINK("https://klasma.github.io/Logging_0763/tillsynsmail/A 29922-2022 tillsynsbegäran mail.docx", "A 29922-2022")</f>
        <v/>
      </c>
    </row>
    <row r="271" ht="15" customHeight="1">
      <c r="A271" t="inlineStr">
        <is>
          <t>A 37212-2022</t>
        </is>
      </c>
      <c r="B271" t="inlineStr">
        <is>
          <t>avverkningsanmälan</t>
        </is>
      </c>
      <c r="C271" t="inlineStr">
        <is>
          <t>Föryngringsavverkning</t>
        </is>
      </c>
      <c r="D271" s="1" t="n">
        <v>44806</v>
      </c>
      <c r="E271" s="1" t="n">
        <v>46316</v>
      </c>
      <c r="F271" t="inlineStr">
        <is>
          <t>KRONOBERGS LÄN</t>
        </is>
      </c>
      <c r="G271" t="inlineStr">
        <is>
          <t>LJUNGBY</t>
        </is>
      </c>
      <c r="I271" t="n">
        <v>0.5</v>
      </c>
      <c r="J271" t="n">
        <v>1</v>
      </c>
      <c r="K271" t="n">
        <v>0</v>
      </c>
      <c r="L271" t="n">
        <v>0</v>
      </c>
      <c r="M271" t="n">
        <v>1</v>
      </c>
      <c r="N271" t="n">
        <v>0</v>
      </c>
      <c r="O271" t="n">
        <v>0</v>
      </c>
      <c r="P271" t="n">
        <v>0</v>
      </c>
      <c r="Q271" t="n">
        <v>1</v>
      </c>
      <c r="R271" t="n">
        <v>1</v>
      </c>
      <c r="S271" t="n">
        <v>1</v>
      </c>
      <c r="T271" t="n">
        <v>2</v>
      </c>
      <c r="U271" t="n">
        <v>2</v>
      </c>
      <c r="V271" s="2" t="inlineStr">
        <is>
          <t>Knärot</t>
        </is>
      </c>
      <c r="W271">
        <f>HYPERLINK("https://klasma.github.io/Logging_0781/artfynd/A 37212-2022 artfynd.xlsx", "A 37212-2022")</f>
        <v/>
      </c>
      <c r="X271">
        <f>HYPERLINK("https://klasma.github.io/Logging_0781/kartor/A 37212-2022 karta.png", "A 37212-2022")</f>
        <v/>
      </c>
      <c r="Y271">
        <f>HYPERLINK("https://klasma.github.io/Logging_0781/kartor_geotiff/A 37212-2022 georefererad karta.tif", "A 37212-2022")</f>
        <v/>
      </c>
      <c r="Z271">
        <f>HYPERLINK("https://klasma.github.io/Logging_0781/knärot/A 37212-2022 karta knärot.png", "A 37212-2022")</f>
        <v/>
      </c>
      <c r="AA271">
        <f>HYPERLINK("https://klasma.github.io/Logging_0781/klagomål/A 37212-2022 FSC-klagomål.docx", "A 37212-2022")</f>
        <v/>
      </c>
      <c r="AB271">
        <f>HYPERLINK("https://klasma.github.io/Logging_0781/klagomålsmail/A 37212-2022 FSC-klagomål mail.docx", "A 37212-2022")</f>
        <v/>
      </c>
      <c r="AC271">
        <f>HYPERLINK("https://klasma.github.io/Logging_0781/tillsyn/A 37212-2022 tillsynsbegäran.docx", "A 37212-2022")</f>
        <v/>
      </c>
      <c r="AD271">
        <f>HYPERLINK("https://klasma.github.io/Logging_0781/tillsynsmail/A 37212-2022 tillsynsbegäran mail.docx", "A 37212-2022")</f>
        <v/>
      </c>
    </row>
    <row r="272" ht="15" customHeight="1">
      <c r="A272" t="inlineStr">
        <is>
          <t>A 37378-2022</t>
        </is>
      </c>
      <c r="B272" t="inlineStr">
        <is>
          <t>avverkningsanmälan</t>
        </is>
      </c>
      <c r="C272" t="inlineStr">
        <is>
          <t>Föryngringsavverkning</t>
        </is>
      </c>
      <c r="D272" s="1" t="n">
        <v>44809</v>
      </c>
      <c r="E272" s="1" t="n">
        <v>46316</v>
      </c>
      <c r="F272" t="inlineStr">
        <is>
          <t>KRONOBERGS LÄN</t>
        </is>
      </c>
      <c r="G272" t="inlineStr">
        <is>
          <t>LJUNGBY</t>
        </is>
      </c>
      <c r="I272" t="n">
        <v>2</v>
      </c>
      <c r="J272" t="n">
        <v>1</v>
      </c>
      <c r="K272" t="n">
        <v>0</v>
      </c>
      <c r="L272" t="n">
        <v>1</v>
      </c>
      <c r="M272" t="n">
        <v>0</v>
      </c>
      <c r="N272" t="n">
        <v>0</v>
      </c>
      <c r="O272" t="n">
        <v>0</v>
      </c>
      <c r="P272" t="n">
        <v>0</v>
      </c>
      <c r="Q272" t="n">
        <v>1</v>
      </c>
      <c r="R272" t="n">
        <v>0</v>
      </c>
      <c r="S272" t="n">
        <v>1</v>
      </c>
      <c r="T272" t="n">
        <v>1</v>
      </c>
      <c r="U272" t="n">
        <v>0</v>
      </c>
      <c r="V272" s="2" t="inlineStr">
        <is>
          <t>Talltita</t>
        </is>
      </c>
      <c r="W272">
        <f>HYPERLINK("https://klasma.github.io/Logging_0781/artfynd/A 37378-2022 artfynd.xlsx", "A 37378-2022")</f>
        <v/>
      </c>
      <c r="X272">
        <f>HYPERLINK("https://klasma.github.io/Logging_0781/kartor/A 37378-2022 karta.png", "A 37378-2022")</f>
        <v/>
      </c>
      <c r="Y272">
        <f>HYPERLINK("https://klasma.github.io/Logging_0781/kartor_geotiff/A 37378-2022 georefererad karta.tif", "A 37378-2022")</f>
        <v/>
      </c>
      <c r="AA272">
        <f>HYPERLINK("https://klasma.github.io/Logging_0781/klagomål/A 37378-2022 FSC-klagomål.docx", "A 37378-2022")</f>
        <v/>
      </c>
      <c r="AB272">
        <f>HYPERLINK("https://klasma.github.io/Logging_0781/klagomålsmail/A 37378-2022 FSC-klagomål mail.docx", "A 37378-2022")</f>
        <v/>
      </c>
      <c r="AC272">
        <f>HYPERLINK("https://klasma.github.io/Logging_0781/tillsyn/A 37378-2022 tillsynsbegäran.docx", "A 37378-2022")</f>
        <v/>
      </c>
      <c r="AD272">
        <f>HYPERLINK("https://klasma.github.io/Logging_0781/tillsynsmail/A 37378-2022 tillsynsbegäran mail.docx", "A 37378-2022")</f>
        <v/>
      </c>
      <c r="AE272">
        <f>HYPERLINK("https://klasma.github.io/Logging_0781/fåglar/A 37378-2022 prioriterade fågelarter.docx", "A 37378-2022")</f>
        <v/>
      </c>
    </row>
    <row r="273" ht="15" customHeight="1">
      <c r="A273" t="inlineStr">
        <is>
          <t>A 6134-2022</t>
        </is>
      </c>
      <c r="B273" t="inlineStr">
        <is>
          <t>avverkningsanmälan</t>
        </is>
      </c>
      <c r="C273" t="inlineStr">
        <is>
          <t>Föryngringsavverkning</t>
        </is>
      </c>
      <c r="D273" s="1" t="n">
        <v>44599</v>
      </c>
      <c r="E273" s="1" t="n">
        <v>46316</v>
      </c>
      <c r="F273" t="inlineStr">
        <is>
          <t>KRONOBERGS LÄN</t>
        </is>
      </c>
      <c r="G273" t="inlineStr">
        <is>
          <t>TINGSRYD</t>
        </is>
      </c>
      <c r="I273" t="n">
        <v>0.7</v>
      </c>
      <c r="J273" t="n">
        <v>1</v>
      </c>
      <c r="K273" t="n">
        <v>0</v>
      </c>
      <c r="L273" t="n">
        <v>0</v>
      </c>
      <c r="M273" t="n">
        <v>1</v>
      </c>
      <c r="N273" t="n">
        <v>0</v>
      </c>
      <c r="O273" t="n">
        <v>0</v>
      </c>
      <c r="P273" t="n">
        <v>0</v>
      </c>
      <c r="Q273" t="n">
        <v>1</v>
      </c>
      <c r="R273" t="n">
        <v>1</v>
      </c>
      <c r="S273" t="n">
        <v>1</v>
      </c>
      <c r="T273" t="n">
        <v>1</v>
      </c>
      <c r="U273" t="n">
        <v>1</v>
      </c>
      <c r="V273" s="2" t="inlineStr">
        <is>
          <t>Knärot</t>
        </is>
      </c>
      <c r="W273">
        <f>HYPERLINK("https://klasma.github.io/Logging_0763/artfynd/A 6134-2022 artfynd.xlsx", "A 6134-2022")</f>
        <v/>
      </c>
      <c r="X273">
        <f>HYPERLINK("https://klasma.github.io/Logging_0763/kartor/A 6134-2022 karta.png", "A 6134-2022")</f>
        <v/>
      </c>
      <c r="Y273">
        <f>HYPERLINK("https://klasma.github.io/Logging_0763/kartor_geotiff/A 6134-2022 georefererad karta.tif", "A 6134-2022")</f>
        <v/>
      </c>
      <c r="Z273">
        <f>HYPERLINK("https://klasma.github.io/Logging_0763/knärot/A 6134-2022 karta knärot.png", "A 6134-2022")</f>
        <v/>
      </c>
      <c r="AA273">
        <f>HYPERLINK("https://klasma.github.io/Logging_0763/klagomål/A 6134-2022 FSC-klagomål.docx", "A 6134-2022")</f>
        <v/>
      </c>
      <c r="AB273">
        <f>HYPERLINK("https://klasma.github.io/Logging_0763/klagomålsmail/A 6134-2022 FSC-klagomål mail.docx", "A 6134-2022")</f>
        <v/>
      </c>
      <c r="AC273">
        <f>HYPERLINK("https://klasma.github.io/Logging_0763/tillsyn/A 6134-2022 tillsynsbegäran.docx", "A 6134-2022")</f>
        <v/>
      </c>
      <c r="AD273">
        <f>HYPERLINK("https://klasma.github.io/Logging_0763/tillsynsmail/A 6134-2022 tillsynsbegäran mail.docx", "A 6134-2022")</f>
        <v/>
      </c>
    </row>
    <row r="274" ht="15" customHeight="1">
      <c r="A274" t="inlineStr">
        <is>
          <t>A 39766-2022</t>
        </is>
      </c>
      <c r="B274" t="inlineStr">
        <is>
          <t>avverkningsanmälan</t>
        </is>
      </c>
      <c r="C274" t="inlineStr">
        <is>
          <t>Föryngringsavverkning</t>
        </is>
      </c>
      <c r="D274" s="1" t="n">
        <v>44819</v>
      </c>
      <c r="E274" s="1" t="n">
        <v>46316</v>
      </c>
      <c r="F274" t="inlineStr">
        <is>
          <t>KRONOBERGS LÄN</t>
        </is>
      </c>
      <c r="G274" t="inlineStr">
        <is>
          <t>ALVESTA</t>
        </is>
      </c>
      <c r="I274" t="n">
        <v>0.8</v>
      </c>
      <c r="J274" t="n">
        <v>0</v>
      </c>
      <c r="K274" t="n">
        <v>1</v>
      </c>
      <c r="L274" t="n">
        <v>0</v>
      </c>
      <c r="M274" t="n">
        <v>0</v>
      </c>
      <c r="N274" t="n">
        <v>0</v>
      </c>
      <c r="O274" t="n">
        <v>0</v>
      </c>
      <c r="P274" t="n">
        <v>0</v>
      </c>
      <c r="Q274" t="n">
        <v>0</v>
      </c>
      <c r="R274" t="n">
        <v>0</v>
      </c>
      <c r="S274" t="n">
        <v>1</v>
      </c>
      <c r="T274" t="n">
        <v>1</v>
      </c>
      <c r="U274" t="n">
        <v>0</v>
      </c>
      <c r="V274" s="2" t="inlineStr">
        <is>
          <t>Brandticka</t>
        </is>
      </c>
      <c r="W274">
        <f>HYPERLINK("https://klasma.github.io/Logging_0764/artfynd/A 39766-2022 artfynd.xlsx", "A 39766-2022")</f>
        <v/>
      </c>
      <c r="X274">
        <f>HYPERLINK("https://klasma.github.io/Logging_0764/kartor/A 39766-2022 karta.png", "A 39766-2022")</f>
        <v/>
      </c>
      <c r="Y274">
        <f>HYPERLINK("https://klasma.github.io/Logging_0764/kartor_geotiff/A 39766-2022 georefererad karta.tif", "A 39766-2022")</f>
        <v/>
      </c>
      <c r="AA274">
        <f>HYPERLINK("https://klasma.github.io/Logging_0764/klagomål/A 39766-2022 FSC-klagomål.docx", "A 39766-2022")</f>
        <v/>
      </c>
      <c r="AB274">
        <f>HYPERLINK("https://klasma.github.io/Logging_0764/klagomålsmail/A 39766-2022 FSC-klagomål mail.docx", "A 39766-2022")</f>
        <v/>
      </c>
      <c r="AC274">
        <f>HYPERLINK("https://klasma.github.io/Logging_0764/tillsyn/A 39766-2022 tillsynsbegäran.docx", "A 39766-2022")</f>
        <v/>
      </c>
      <c r="AD274">
        <f>HYPERLINK("https://klasma.github.io/Logging_0764/tillsynsmail/A 39766-2022 tillsynsbegäran mail.docx", "A 39766-2022")</f>
        <v/>
      </c>
    </row>
    <row r="275" ht="15" customHeight="1">
      <c r="A275" t="inlineStr">
        <is>
          <t>A 13426-2022</t>
        </is>
      </c>
      <c r="B275" t="inlineStr">
        <is>
          <t>avverkningsanmälan</t>
        </is>
      </c>
      <c r="C275" t="inlineStr">
        <is>
          <t>Föryngringsavverkning</t>
        </is>
      </c>
      <c r="D275" s="1" t="n">
        <v>44645</v>
      </c>
      <c r="E275" s="1" t="n">
        <v>46316</v>
      </c>
      <c r="F275" t="inlineStr">
        <is>
          <t>KRONOBERGS LÄN</t>
        </is>
      </c>
      <c r="G275" t="inlineStr">
        <is>
          <t>VÄXJÖ</t>
        </is>
      </c>
      <c r="I275" t="n">
        <v>0.9</v>
      </c>
      <c r="J275" t="n">
        <v>0</v>
      </c>
      <c r="K275" t="n">
        <v>0</v>
      </c>
      <c r="L275" t="n">
        <v>1</v>
      </c>
      <c r="M275" t="n">
        <v>0</v>
      </c>
      <c r="N275" t="n">
        <v>0</v>
      </c>
      <c r="O275" t="n">
        <v>0</v>
      </c>
      <c r="P275" t="n">
        <v>0</v>
      </c>
      <c r="Q275" t="n">
        <v>1</v>
      </c>
      <c r="R275" t="n">
        <v>0</v>
      </c>
      <c r="S275" t="n">
        <v>1</v>
      </c>
      <c r="T275" t="n">
        <v>1</v>
      </c>
      <c r="U275" t="n">
        <v>1</v>
      </c>
      <c r="V275" s="2" t="inlineStr">
        <is>
          <t>Älg</t>
        </is>
      </c>
      <c r="W275">
        <f>HYPERLINK("https://klasma.github.io/Logging_0780/artfynd/A 13426-2022 artfynd.xlsx", "A 13426-2022")</f>
        <v/>
      </c>
      <c r="X275">
        <f>HYPERLINK("https://klasma.github.io/Logging_0780/kartor/A 13426-2022 karta.png", "A 13426-2022")</f>
        <v/>
      </c>
      <c r="Y275">
        <f>HYPERLINK("https://klasma.github.io/Logging_0780/kartor_geotiff/A 13426-2022 georefererad karta.tif", "A 13426-2022")</f>
        <v/>
      </c>
      <c r="AA275">
        <f>HYPERLINK("https://klasma.github.io/Logging_0780/klagomål/A 13426-2022 FSC-klagomål.docx", "A 13426-2022")</f>
        <v/>
      </c>
      <c r="AB275">
        <f>HYPERLINK("https://klasma.github.io/Logging_0780/klagomålsmail/A 13426-2022 FSC-klagomål mail.docx", "A 13426-2022")</f>
        <v/>
      </c>
      <c r="AC275">
        <f>HYPERLINK("https://klasma.github.io/Logging_0780/tillsyn/A 13426-2022 tillsynsbegäran.docx", "A 13426-2022")</f>
        <v/>
      </c>
      <c r="AD275">
        <f>HYPERLINK("https://klasma.github.io/Logging_0780/tillsynsmail/A 13426-2022 tillsynsbegäran mail.docx", "A 13426-2022")</f>
        <v/>
      </c>
    </row>
    <row r="276" ht="15" customHeight="1">
      <c r="A276" t="inlineStr">
        <is>
          <t>A 41652-2022</t>
        </is>
      </c>
      <c r="B276" t="inlineStr">
        <is>
          <t>avverkningsanmälan</t>
        </is>
      </c>
      <c r="C276" t="inlineStr">
        <is>
          <t>Föryngringsavverkning</t>
        </is>
      </c>
      <c r="D276" s="1" t="n">
        <v>44827</v>
      </c>
      <c r="E276" s="1" t="n">
        <v>46316</v>
      </c>
      <c r="F276" t="inlineStr">
        <is>
          <t>KRONOBERGS LÄN</t>
        </is>
      </c>
      <c r="G276" t="inlineStr">
        <is>
          <t>UPPVIDINGE</t>
        </is>
      </c>
      <c r="I276" t="n">
        <v>1.1</v>
      </c>
      <c r="J276" t="n">
        <v>1</v>
      </c>
      <c r="K276" t="n">
        <v>0</v>
      </c>
      <c r="L276" t="n">
        <v>0</v>
      </c>
      <c r="M276" t="n">
        <v>0</v>
      </c>
      <c r="N276" t="n">
        <v>0</v>
      </c>
      <c r="O276" t="n">
        <v>0</v>
      </c>
      <c r="P276" t="n">
        <v>0</v>
      </c>
      <c r="Q276" t="n">
        <v>0</v>
      </c>
      <c r="R276" t="n">
        <v>0</v>
      </c>
      <c r="S276" t="n">
        <v>1</v>
      </c>
      <c r="T276" t="n">
        <v>1</v>
      </c>
      <c r="U276" t="n">
        <v>1</v>
      </c>
      <c r="V276" s="2" t="inlineStr">
        <is>
          <t>Sankt pers nycklar</t>
        </is>
      </c>
      <c r="W276">
        <f>HYPERLINK("https://klasma.github.io/Logging_0760/artfynd/A 41652-2022 artfynd.xlsx", "A 41652-2022")</f>
        <v/>
      </c>
      <c r="X276">
        <f>HYPERLINK("https://klasma.github.io/Logging_0760/kartor/A 41652-2022 karta.png", "A 41652-2022")</f>
        <v/>
      </c>
      <c r="Y276">
        <f>HYPERLINK("https://klasma.github.io/Logging_0760/kartor_geotiff/A 41652-2022 georefererad karta.tif", "A 41652-2022")</f>
        <v/>
      </c>
      <c r="AA276">
        <f>HYPERLINK("https://klasma.github.io/Logging_0760/klagomål/A 41652-2022 FSC-klagomål.docx", "A 41652-2022")</f>
        <v/>
      </c>
      <c r="AB276">
        <f>HYPERLINK("https://klasma.github.io/Logging_0760/klagomålsmail/A 41652-2022 FSC-klagomål mail.docx", "A 41652-2022")</f>
        <v/>
      </c>
      <c r="AC276">
        <f>HYPERLINK("https://klasma.github.io/Logging_0760/tillsyn/A 41652-2022 tillsynsbegäran.docx", "A 41652-2022")</f>
        <v/>
      </c>
      <c r="AD276">
        <f>HYPERLINK("https://klasma.github.io/Logging_0760/tillsynsmail/A 41652-2022 tillsynsbegäran mail.docx", "A 41652-2022")</f>
        <v/>
      </c>
    </row>
    <row r="277" ht="15" customHeight="1">
      <c r="A277" t="inlineStr">
        <is>
          <t>A 29918-2022</t>
        </is>
      </c>
      <c r="B277" t="inlineStr">
        <is>
          <t>avverkningsanmälan</t>
        </is>
      </c>
      <c r="C277" t="inlineStr">
        <is>
          <t>Föryngringsavverkning</t>
        </is>
      </c>
      <c r="D277" s="1" t="n">
        <v>44756</v>
      </c>
      <c r="E277" s="1" t="n">
        <v>46316</v>
      </c>
      <c r="F277" t="inlineStr">
        <is>
          <t>KRONOBERGS LÄN</t>
        </is>
      </c>
      <c r="G277" t="inlineStr">
        <is>
          <t>TINGSRYD</t>
        </is>
      </c>
      <c r="I277" t="n">
        <v>1.7</v>
      </c>
      <c r="J277" t="n">
        <v>1</v>
      </c>
      <c r="K277" t="n">
        <v>0</v>
      </c>
      <c r="L277" t="n">
        <v>1</v>
      </c>
      <c r="M277" t="n">
        <v>0</v>
      </c>
      <c r="N277" t="n">
        <v>0</v>
      </c>
      <c r="O277" t="n">
        <v>0</v>
      </c>
      <c r="P277" t="n">
        <v>0</v>
      </c>
      <c r="Q277" t="n">
        <v>1</v>
      </c>
      <c r="R277" t="n">
        <v>0</v>
      </c>
      <c r="S277" t="n">
        <v>1</v>
      </c>
      <c r="T277" t="n">
        <v>1</v>
      </c>
      <c r="U277" t="n">
        <v>1</v>
      </c>
      <c r="V277" s="2" t="inlineStr">
        <is>
          <t>Talltita</t>
        </is>
      </c>
      <c r="W277">
        <f>HYPERLINK("https://klasma.github.io/Logging_0763/artfynd/A 29918-2022 artfynd.xlsx", "A 29918-2022")</f>
        <v/>
      </c>
      <c r="X277">
        <f>HYPERLINK("https://klasma.github.io/Logging_0763/kartor/A 29918-2022 karta.png", "A 29918-2022")</f>
        <v/>
      </c>
      <c r="Y277">
        <f>HYPERLINK("https://klasma.github.io/Logging_0763/kartor_geotiff/A 29918-2022 georefererad karta.tif", "A 29918-2022")</f>
        <v/>
      </c>
      <c r="AA277">
        <f>HYPERLINK("https://klasma.github.io/Logging_0763/klagomål/A 29918-2022 FSC-klagomål.docx", "A 29918-2022")</f>
        <v/>
      </c>
      <c r="AB277">
        <f>HYPERLINK("https://klasma.github.io/Logging_0763/klagomålsmail/A 29918-2022 FSC-klagomål mail.docx", "A 29918-2022")</f>
        <v/>
      </c>
      <c r="AC277">
        <f>HYPERLINK("https://klasma.github.io/Logging_0763/tillsyn/A 29918-2022 tillsynsbegäran.docx", "A 29918-2022")</f>
        <v/>
      </c>
      <c r="AD277">
        <f>HYPERLINK("https://klasma.github.io/Logging_0763/tillsynsmail/A 29918-2022 tillsynsbegäran mail.docx", "A 29918-2022")</f>
        <v/>
      </c>
      <c r="AE277">
        <f>HYPERLINK("https://klasma.github.io/Logging_0763/fåglar/A 29918-2022 prioriterade fågelarter.docx", "A 29918-2022")</f>
        <v/>
      </c>
    </row>
    <row r="278" ht="15" customHeight="1">
      <c r="A278" t="inlineStr">
        <is>
          <t>A 40087-2022</t>
        </is>
      </c>
      <c r="B278" t="inlineStr">
        <is>
          <t>avverkningsanmälan</t>
        </is>
      </c>
      <c r="C278" t="inlineStr">
        <is>
          <t>Föryngringsavverkning</t>
        </is>
      </c>
      <c r="D278" s="1" t="n">
        <v>44820</v>
      </c>
      <c r="E278" s="1" t="n">
        <v>46316</v>
      </c>
      <c r="F278" t="inlineStr">
        <is>
          <t>KRONOBERGS LÄN</t>
        </is>
      </c>
      <c r="G278" t="inlineStr">
        <is>
          <t>LJUNGBY</t>
        </is>
      </c>
      <c r="I278" t="n">
        <v>2.2</v>
      </c>
      <c r="J278" t="n">
        <v>0</v>
      </c>
      <c r="K278" t="n">
        <v>0</v>
      </c>
      <c r="L278" t="n">
        <v>1</v>
      </c>
      <c r="M278" t="n">
        <v>0</v>
      </c>
      <c r="N278" t="n">
        <v>0</v>
      </c>
      <c r="O278" t="n">
        <v>0</v>
      </c>
      <c r="P278" t="n">
        <v>0</v>
      </c>
      <c r="Q278" t="n">
        <v>1</v>
      </c>
      <c r="R278" t="n">
        <v>0</v>
      </c>
      <c r="S278" t="n">
        <v>1</v>
      </c>
      <c r="T278" t="n">
        <v>1</v>
      </c>
      <c r="U278" t="n">
        <v>0</v>
      </c>
      <c r="V278" s="2" t="inlineStr">
        <is>
          <t>Svart skogssnigel</t>
        </is>
      </c>
      <c r="W278">
        <f>HYPERLINK("https://klasma.github.io/Logging_0781/artfynd/A 40087-2022 artfynd.xlsx", "A 40087-2022")</f>
        <v/>
      </c>
      <c r="X278">
        <f>HYPERLINK("https://klasma.github.io/Logging_0781/kartor/A 40087-2022 karta.png", "A 40087-2022")</f>
        <v/>
      </c>
      <c r="Y278">
        <f>HYPERLINK("https://klasma.github.io/Logging_0781/kartor_geotiff/A 40087-2022 georefererad karta.tif", "A 40087-2022")</f>
        <v/>
      </c>
      <c r="AA278">
        <f>HYPERLINK("https://klasma.github.io/Logging_0781/klagomål/A 40087-2022 FSC-klagomål.docx", "A 40087-2022")</f>
        <v/>
      </c>
      <c r="AB278">
        <f>HYPERLINK("https://klasma.github.io/Logging_0781/klagomålsmail/A 40087-2022 FSC-klagomål mail.docx", "A 40087-2022")</f>
        <v/>
      </c>
      <c r="AC278">
        <f>HYPERLINK("https://klasma.github.io/Logging_0781/tillsyn/A 40087-2022 tillsynsbegäran.docx", "A 40087-2022")</f>
        <v/>
      </c>
      <c r="AD278">
        <f>HYPERLINK("https://klasma.github.io/Logging_0781/tillsynsmail/A 40087-2022 tillsynsbegäran mail.docx", "A 40087-2022")</f>
        <v/>
      </c>
    </row>
    <row r="279" ht="15" customHeight="1">
      <c r="A279" t="inlineStr">
        <is>
          <t>A 18896-2022</t>
        </is>
      </c>
      <c r="B279" t="inlineStr">
        <is>
          <t>avverkningsanmälan</t>
        </is>
      </c>
      <c r="C279" t="inlineStr">
        <is>
          <t>Föryngringsavverkning</t>
        </is>
      </c>
      <c r="D279" s="1" t="n">
        <v>44690</v>
      </c>
      <c r="E279" s="1" t="n">
        <v>46316</v>
      </c>
      <c r="F279" t="inlineStr">
        <is>
          <t>KRONOBERGS LÄN</t>
        </is>
      </c>
      <c r="G279" t="inlineStr">
        <is>
          <t>UPPVIDINGE</t>
        </is>
      </c>
      <c r="I279" t="n">
        <v>1</v>
      </c>
      <c r="J279" t="n">
        <v>1</v>
      </c>
      <c r="K279" t="n">
        <v>0</v>
      </c>
      <c r="L279" t="n">
        <v>0</v>
      </c>
      <c r="M279" t="n">
        <v>0</v>
      </c>
      <c r="N279" t="n">
        <v>0</v>
      </c>
      <c r="O279" t="n">
        <v>0</v>
      </c>
      <c r="P279" t="n">
        <v>0</v>
      </c>
      <c r="Q279" t="n">
        <v>0</v>
      </c>
      <c r="R279" t="n">
        <v>0</v>
      </c>
      <c r="S279" t="n">
        <v>1</v>
      </c>
      <c r="T279" t="n">
        <v>1</v>
      </c>
      <c r="U279" t="n">
        <v>0</v>
      </c>
      <c r="V279" s="2" t="inlineStr">
        <is>
          <t>Kungsfågel</t>
        </is>
      </c>
      <c r="W279">
        <f>HYPERLINK("https://klasma.github.io/Logging_0760/artfynd/A 18896-2022 artfynd.xlsx", "A 18896-2022")</f>
        <v/>
      </c>
      <c r="X279">
        <f>HYPERLINK("https://klasma.github.io/Logging_0760/kartor/A 18896-2022 karta.png", "A 18896-2022")</f>
        <v/>
      </c>
      <c r="Y279">
        <f>HYPERLINK("https://klasma.github.io/Logging_0760/kartor_geotiff/A 18896-2022 georefererad karta.tif", "A 18896-2022")</f>
        <v/>
      </c>
      <c r="AA279">
        <f>HYPERLINK("https://klasma.github.io/Logging_0760/klagomål/A 18896-2022 FSC-klagomål.docx", "A 18896-2022")</f>
        <v/>
      </c>
      <c r="AB279">
        <f>HYPERLINK("https://klasma.github.io/Logging_0760/klagomålsmail/A 18896-2022 FSC-klagomål mail.docx", "A 18896-2022")</f>
        <v/>
      </c>
      <c r="AC279">
        <f>HYPERLINK("https://klasma.github.io/Logging_0760/tillsyn/A 18896-2022 tillsynsbegäran.docx", "A 18896-2022")</f>
        <v/>
      </c>
      <c r="AD279">
        <f>HYPERLINK("https://klasma.github.io/Logging_0760/tillsynsmail/A 18896-2022 tillsynsbegäran mail.docx", "A 18896-2022")</f>
        <v/>
      </c>
    </row>
    <row r="280" ht="15" customHeight="1">
      <c r="A280" t="inlineStr">
        <is>
          <t>A 59237-2021</t>
        </is>
      </c>
      <c r="B280" t="inlineStr">
        <is>
          <t>avverkningsanmälan</t>
        </is>
      </c>
      <c r="C280" t="inlineStr">
        <is>
          <t>Föryngringsavverkning</t>
        </is>
      </c>
      <c r="D280" s="1" t="n">
        <v>44490</v>
      </c>
      <c r="E280" s="1" t="n">
        <v>46316</v>
      </c>
      <c r="F280" t="inlineStr">
        <is>
          <t>KRONOBERGS LÄN</t>
        </is>
      </c>
      <c r="G280" t="inlineStr">
        <is>
          <t>VÄXJÖ</t>
        </is>
      </c>
      <c r="I280" t="n">
        <v>0.9</v>
      </c>
      <c r="J280" t="n">
        <v>1</v>
      </c>
      <c r="K280" t="n">
        <v>0</v>
      </c>
      <c r="L280" t="n">
        <v>0</v>
      </c>
      <c r="M280" t="n">
        <v>0</v>
      </c>
      <c r="N280" t="n">
        <v>0</v>
      </c>
      <c r="O280" t="n">
        <v>0</v>
      </c>
      <c r="P280" t="n">
        <v>0</v>
      </c>
      <c r="Q280" t="n">
        <v>0</v>
      </c>
      <c r="R280" t="n">
        <v>0</v>
      </c>
      <c r="S280" t="n">
        <v>1</v>
      </c>
      <c r="T280" t="n">
        <v>1</v>
      </c>
      <c r="U280" t="n">
        <v>1</v>
      </c>
      <c r="V280" s="2" t="inlineStr">
        <is>
          <t>Kungsfågel</t>
        </is>
      </c>
      <c r="W280">
        <f>HYPERLINK("https://klasma.github.io/Logging_0780/artfynd/A 59237-2021 artfynd.xlsx", "A 59237-2021")</f>
        <v/>
      </c>
      <c r="X280">
        <f>HYPERLINK("https://klasma.github.io/Logging_0780/kartor/A 59237-2021 karta.png", "A 59237-2021")</f>
        <v/>
      </c>
      <c r="Y280">
        <f>HYPERLINK("https://klasma.github.io/Logging_0780/kartor_geotiff/A 59237-2021 georefererad karta.tif", "A 59237-2021")</f>
        <v/>
      </c>
      <c r="AA280">
        <f>HYPERLINK("https://klasma.github.io/Logging_0780/klagomål/A 59237-2021 FSC-klagomål.docx", "A 59237-2021")</f>
        <v/>
      </c>
      <c r="AB280">
        <f>HYPERLINK("https://klasma.github.io/Logging_0780/klagomålsmail/A 59237-2021 FSC-klagomål mail.docx", "A 59237-2021")</f>
        <v/>
      </c>
      <c r="AC280">
        <f>HYPERLINK("https://klasma.github.io/Logging_0780/tillsyn/A 59237-2021 tillsynsbegäran.docx", "A 59237-2021")</f>
        <v/>
      </c>
      <c r="AD280">
        <f>HYPERLINK("https://klasma.github.io/Logging_0780/tillsynsmail/A 59237-2021 tillsynsbegäran mail.docx", "A 59237-2021")</f>
        <v/>
      </c>
    </row>
    <row r="281" ht="15" customHeight="1">
      <c r="A281" t="inlineStr">
        <is>
          <t>A 3220-2022</t>
        </is>
      </c>
      <c r="B281" t="inlineStr">
        <is>
          <t>avverkningsanmälan</t>
        </is>
      </c>
      <c r="C281" t="inlineStr">
        <is>
          <t>Föryngringsavverkning</t>
        </is>
      </c>
      <c r="D281" s="1" t="n">
        <v>44582</v>
      </c>
      <c r="E281" s="1" t="n">
        <v>46316</v>
      </c>
      <c r="F281" t="inlineStr">
        <is>
          <t>KRONOBERGS LÄN</t>
        </is>
      </c>
      <c r="G281" t="inlineStr">
        <is>
          <t>LJUNGBY</t>
        </is>
      </c>
      <c r="I281" t="n">
        <v>0.6</v>
      </c>
      <c r="J281" t="n">
        <v>1</v>
      </c>
      <c r="K281" t="n">
        <v>0</v>
      </c>
      <c r="L281" t="n">
        <v>1</v>
      </c>
      <c r="M281" t="n">
        <v>0</v>
      </c>
      <c r="N281" t="n">
        <v>0</v>
      </c>
      <c r="O281" t="n">
        <v>0</v>
      </c>
      <c r="P281" t="n">
        <v>0</v>
      </c>
      <c r="Q281" t="n">
        <v>1</v>
      </c>
      <c r="R281" t="n">
        <v>0</v>
      </c>
      <c r="S281" t="n">
        <v>1</v>
      </c>
      <c r="T281" t="n">
        <v>1</v>
      </c>
      <c r="U281" t="n">
        <v>0</v>
      </c>
      <c r="V281" s="2" t="inlineStr">
        <is>
          <t>Talltita</t>
        </is>
      </c>
      <c r="W281">
        <f>HYPERLINK("https://klasma.github.io/Logging_0781/artfynd/A 3220-2022 artfynd.xlsx", "A 3220-2022")</f>
        <v/>
      </c>
      <c r="X281">
        <f>HYPERLINK("https://klasma.github.io/Logging_0781/kartor/A 3220-2022 karta.png", "A 3220-2022")</f>
        <v/>
      </c>
      <c r="Y281">
        <f>HYPERLINK("https://klasma.github.io/Logging_0781/kartor_geotiff/A 3220-2022 georefererad karta.tif", "A 3220-2022")</f>
        <v/>
      </c>
      <c r="AA281">
        <f>HYPERLINK("https://klasma.github.io/Logging_0781/klagomål/A 3220-2022 FSC-klagomål.docx", "A 3220-2022")</f>
        <v/>
      </c>
      <c r="AB281">
        <f>HYPERLINK("https://klasma.github.io/Logging_0781/klagomålsmail/A 3220-2022 FSC-klagomål mail.docx", "A 3220-2022")</f>
        <v/>
      </c>
      <c r="AC281">
        <f>HYPERLINK("https://klasma.github.io/Logging_0781/tillsyn/A 3220-2022 tillsynsbegäran.docx", "A 3220-2022")</f>
        <v/>
      </c>
      <c r="AD281">
        <f>HYPERLINK("https://klasma.github.io/Logging_0781/tillsynsmail/A 3220-2022 tillsynsbegäran mail.docx", "A 3220-2022")</f>
        <v/>
      </c>
      <c r="AE281">
        <f>HYPERLINK("https://klasma.github.io/Logging_0781/fåglar/A 3220-2022 prioriterade fågelarter.docx", "A 3220-2022")</f>
        <v/>
      </c>
    </row>
    <row r="282" ht="15" customHeight="1">
      <c r="A282" t="inlineStr">
        <is>
          <t>A 33348-2022</t>
        </is>
      </c>
      <c r="B282" t="inlineStr">
        <is>
          <t>avverkningsanmälan</t>
        </is>
      </c>
      <c r="C282" t="inlineStr">
        <is>
          <t>Föryngringsavverkning</t>
        </is>
      </c>
      <c r="D282" s="1" t="n">
        <v>44788</v>
      </c>
      <c r="E282" s="1" t="n">
        <v>46316</v>
      </c>
      <c r="F282" t="inlineStr">
        <is>
          <t>KRONOBERGS LÄN</t>
        </is>
      </c>
      <c r="G282" t="inlineStr">
        <is>
          <t>UPPVIDINGE</t>
        </is>
      </c>
      <c r="I282" t="n">
        <v>2.3</v>
      </c>
      <c r="J282" t="n">
        <v>0</v>
      </c>
      <c r="K282" t="n">
        <v>1</v>
      </c>
      <c r="L282" t="n">
        <v>0</v>
      </c>
      <c r="M282" t="n">
        <v>0</v>
      </c>
      <c r="N282" t="n">
        <v>0</v>
      </c>
      <c r="O282" t="n">
        <v>0</v>
      </c>
      <c r="P282" t="n">
        <v>0</v>
      </c>
      <c r="Q282" t="n">
        <v>0</v>
      </c>
      <c r="R282" t="n">
        <v>0</v>
      </c>
      <c r="S282" t="n">
        <v>1</v>
      </c>
      <c r="T282" t="n">
        <v>1</v>
      </c>
      <c r="U282" t="n">
        <v>1</v>
      </c>
      <c r="V282" s="2" t="inlineStr">
        <is>
          <t>Blåmossa</t>
        </is>
      </c>
      <c r="W282">
        <f>HYPERLINK("https://klasma.github.io/Logging_0760/artfynd/A 33348-2022 artfynd.xlsx", "A 33348-2022")</f>
        <v/>
      </c>
      <c r="X282">
        <f>HYPERLINK("https://klasma.github.io/Logging_0760/kartor/A 33348-2022 karta.png", "A 33348-2022")</f>
        <v/>
      </c>
      <c r="Y282">
        <f>HYPERLINK("https://klasma.github.io/Logging_0760/kartor_geotiff/A 33348-2022 georefererad karta.tif", "A 33348-2022")</f>
        <v/>
      </c>
      <c r="AA282">
        <f>HYPERLINK("https://klasma.github.io/Logging_0760/klagomål/A 33348-2022 FSC-klagomål.docx", "A 33348-2022")</f>
        <v/>
      </c>
      <c r="AB282">
        <f>HYPERLINK("https://klasma.github.io/Logging_0760/klagomålsmail/A 33348-2022 FSC-klagomål mail.docx", "A 33348-2022")</f>
        <v/>
      </c>
      <c r="AC282">
        <f>HYPERLINK("https://klasma.github.io/Logging_0760/tillsyn/A 33348-2022 tillsynsbegäran.docx", "A 33348-2022")</f>
        <v/>
      </c>
      <c r="AD282">
        <f>HYPERLINK("https://klasma.github.io/Logging_0760/tillsynsmail/A 33348-2022 tillsynsbegäran mail.docx", "A 33348-2022")</f>
        <v/>
      </c>
    </row>
    <row r="283" ht="15" customHeight="1">
      <c r="A283" t="inlineStr">
        <is>
          <t>A 2132-2022</t>
        </is>
      </c>
      <c r="B283" t="inlineStr">
        <is>
          <t>avverkningsanmälan</t>
        </is>
      </c>
      <c r="C283" t="inlineStr">
        <is>
          <t>Föryngringsavverkning</t>
        </is>
      </c>
      <c r="D283" s="1" t="n">
        <v>44578</v>
      </c>
      <c r="E283" s="1" t="n">
        <v>46316</v>
      </c>
      <c r="F283" t="inlineStr">
        <is>
          <t>KRONOBERGS LÄN</t>
        </is>
      </c>
      <c r="G283" t="inlineStr">
        <is>
          <t>TINGSRYD</t>
        </is>
      </c>
      <c r="H283" t="inlineStr">
        <is>
          <t>Övriga Aktiebolag</t>
        </is>
      </c>
      <c r="I283" t="n">
        <v>0.7</v>
      </c>
      <c r="J283" t="n">
        <v>1</v>
      </c>
      <c r="K283" t="n">
        <v>0</v>
      </c>
      <c r="L283" t="n">
        <v>1</v>
      </c>
      <c r="M283" t="n">
        <v>0</v>
      </c>
      <c r="N283" t="n">
        <v>0</v>
      </c>
      <c r="O283" t="n">
        <v>0</v>
      </c>
      <c r="P283" t="n">
        <v>0</v>
      </c>
      <c r="Q283" t="n">
        <v>1</v>
      </c>
      <c r="R283" t="n">
        <v>0</v>
      </c>
      <c r="S283" t="n">
        <v>1</v>
      </c>
      <c r="T283" t="n">
        <v>1</v>
      </c>
      <c r="U283" t="n">
        <v>1</v>
      </c>
      <c r="V283" s="2" t="inlineStr">
        <is>
          <t>Drillsnäppa</t>
        </is>
      </c>
      <c r="W283">
        <f>HYPERLINK("https://klasma.github.io/Logging_0763/artfynd/A 2132-2022 artfynd.xlsx", "A 2132-2022")</f>
        <v/>
      </c>
      <c r="X283">
        <f>HYPERLINK("https://klasma.github.io/Logging_0763/kartor/A 2132-2022 karta.png", "A 2132-2022")</f>
        <v/>
      </c>
      <c r="Y283">
        <f>HYPERLINK("https://klasma.github.io/Logging_0763/kartor_geotiff/A 2132-2022 georefererad karta.tif", "A 2132-2022")</f>
        <v/>
      </c>
      <c r="AA283">
        <f>HYPERLINK("https://klasma.github.io/Logging_0763/klagomål/A 2132-2022 FSC-klagomål.docx", "A 2132-2022")</f>
        <v/>
      </c>
      <c r="AB283">
        <f>HYPERLINK("https://klasma.github.io/Logging_0763/klagomålsmail/A 2132-2022 FSC-klagomål mail.docx", "A 2132-2022")</f>
        <v/>
      </c>
      <c r="AC283">
        <f>HYPERLINK("https://klasma.github.io/Logging_0763/tillsyn/A 2132-2022 tillsynsbegäran.docx", "A 2132-2022")</f>
        <v/>
      </c>
      <c r="AD283">
        <f>HYPERLINK("https://klasma.github.io/Logging_0763/tillsynsmail/A 2132-2022 tillsynsbegäran mail.docx", "A 2132-2022")</f>
        <v/>
      </c>
      <c r="AE283">
        <f>HYPERLINK("https://klasma.github.io/Logging_0763/fåglar/A 2132-2022 prioriterade fågelarter.docx", "A 2132-2022")</f>
        <v/>
      </c>
    </row>
    <row r="284" ht="15" customHeight="1">
      <c r="A284" t="inlineStr">
        <is>
          <t>A 47242-2022</t>
        </is>
      </c>
      <c r="B284" t="inlineStr">
        <is>
          <t>avverkningsanmälan</t>
        </is>
      </c>
      <c r="C284" t="inlineStr">
        <is>
          <t>Föryngringsavverkning</t>
        </is>
      </c>
      <c r="D284" s="1" t="n">
        <v>44852</v>
      </c>
      <c r="E284" s="1" t="n">
        <v>46316</v>
      </c>
      <c r="F284" t="inlineStr">
        <is>
          <t>KRONOBERGS LÄN</t>
        </is>
      </c>
      <c r="G284" t="inlineStr">
        <is>
          <t>LJUNGBY</t>
        </is>
      </c>
      <c r="I284" t="n">
        <v>2.1</v>
      </c>
      <c r="J284" t="n">
        <v>1</v>
      </c>
      <c r="K284" t="n">
        <v>0</v>
      </c>
      <c r="L284" t="n">
        <v>0</v>
      </c>
      <c r="M284" t="n">
        <v>0</v>
      </c>
      <c r="N284" t="n">
        <v>0</v>
      </c>
      <c r="O284" t="n">
        <v>0</v>
      </c>
      <c r="P284" t="n">
        <v>0</v>
      </c>
      <c r="Q284" t="n">
        <v>0</v>
      </c>
      <c r="R284" t="n">
        <v>0</v>
      </c>
      <c r="S284" t="n">
        <v>1</v>
      </c>
      <c r="T284" t="n">
        <v>1</v>
      </c>
      <c r="U284" t="n">
        <v>0</v>
      </c>
      <c r="V284" s="2" t="inlineStr">
        <is>
          <t>Spillkråka</t>
        </is>
      </c>
      <c r="W284">
        <f>HYPERLINK("https://klasma.github.io/Logging_0781/artfynd/A 47242-2022 artfynd.xlsx", "A 47242-2022")</f>
        <v/>
      </c>
      <c r="X284">
        <f>HYPERLINK("https://klasma.github.io/Logging_0781/kartor/A 47242-2022 karta.png", "A 47242-2022")</f>
        <v/>
      </c>
      <c r="Y284">
        <f>HYPERLINK("https://klasma.github.io/Logging_0781/kartor_geotiff/A 47242-2022 georefererad karta.tif", "A 47242-2022")</f>
        <v/>
      </c>
      <c r="AA284">
        <f>HYPERLINK("https://klasma.github.io/Logging_0781/klagomål/A 47242-2022 FSC-klagomål.docx", "A 47242-2022")</f>
        <v/>
      </c>
      <c r="AB284">
        <f>HYPERLINK("https://klasma.github.io/Logging_0781/klagomålsmail/A 47242-2022 FSC-klagomål mail.docx", "A 47242-2022")</f>
        <v/>
      </c>
      <c r="AC284">
        <f>HYPERLINK("https://klasma.github.io/Logging_0781/tillsyn/A 47242-2022 tillsynsbegäran.docx", "A 47242-2022")</f>
        <v/>
      </c>
      <c r="AD284">
        <f>HYPERLINK("https://klasma.github.io/Logging_0781/tillsynsmail/A 47242-2022 tillsynsbegäran mail.docx", "A 47242-2022")</f>
        <v/>
      </c>
      <c r="AE284">
        <f>HYPERLINK("https://klasma.github.io/Logging_0781/fåglar/A 47242-2022 prioriterade fågelarter.docx", "A 47242-2022")</f>
        <v/>
      </c>
    </row>
    <row r="285" ht="15" customHeight="1">
      <c r="A285" t="inlineStr">
        <is>
          <t>A 49010-2024</t>
        </is>
      </c>
      <c r="B285" t="inlineStr">
        <is>
          <t>avverkningsanmälan</t>
        </is>
      </c>
      <c r="C285" t="inlineStr">
        <is>
          <t>Föryngringsavverkning</t>
        </is>
      </c>
      <c r="D285" s="1" t="n">
        <v>45594</v>
      </c>
      <c r="E285" s="1" t="n">
        <v>46316</v>
      </c>
      <c r="F285" t="inlineStr">
        <is>
          <t>KRONOBERGS LÄN</t>
        </is>
      </c>
      <c r="G285" t="inlineStr">
        <is>
          <t>VÄXJÖ</t>
        </is>
      </c>
      <c r="H285" t="inlineStr">
        <is>
          <t>Sveaskog</t>
        </is>
      </c>
      <c r="I285" t="n">
        <v>0.8</v>
      </c>
      <c r="J285" t="n">
        <v>0</v>
      </c>
      <c r="K285" t="n">
        <v>0</v>
      </c>
      <c r="L285" t="n">
        <v>0</v>
      </c>
      <c r="M285" t="n">
        <v>1</v>
      </c>
      <c r="N285" t="n">
        <v>0</v>
      </c>
      <c r="O285" t="n">
        <v>0</v>
      </c>
      <c r="P285" t="n">
        <v>0</v>
      </c>
      <c r="Q285" t="n">
        <v>1</v>
      </c>
      <c r="R285" t="n">
        <v>1</v>
      </c>
      <c r="S285" t="n">
        <v>1</v>
      </c>
      <c r="T285" t="n">
        <v>1</v>
      </c>
      <c r="U285" t="n">
        <v>0</v>
      </c>
      <c r="V285" s="2" t="inlineStr">
        <is>
          <t>Slåttergubbe</t>
        </is>
      </c>
      <c r="W285">
        <f>HYPERLINK("https://klasma.github.io/Logging_0780/artfynd/A 49010-2024 artfynd.xlsx", "A 49010-2024")</f>
        <v/>
      </c>
      <c r="X285">
        <f>HYPERLINK("https://klasma.github.io/Logging_0780/kartor/A 49010-2024 karta.png", "A 49010-2024")</f>
        <v/>
      </c>
      <c r="Y285">
        <f>HYPERLINK("https://klasma.github.io/Logging_0780/kartor_geotiff/A 49010-2024 georefererad karta.tif", "A 49010-2024")</f>
        <v/>
      </c>
      <c r="AA285">
        <f>HYPERLINK("https://klasma.github.io/Logging_0780/klagomål/A 49010-2024 FSC-klagomål.docx", "A 49010-2024")</f>
        <v/>
      </c>
      <c r="AB285">
        <f>HYPERLINK("https://klasma.github.io/Logging_0780/klagomålsmail/A 49010-2024 FSC-klagomål mail.docx", "A 49010-2024")</f>
        <v/>
      </c>
      <c r="AC285">
        <f>HYPERLINK("https://klasma.github.io/Logging_0780/tillsyn/A 49010-2024 tillsynsbegäran.docx", "A 49010-2024")</f>
        <v/>
      </c>
      <c r="AD285">
        <f>HYPERLINK("https://klasma.github.io/Logging_0780/tillsynsmail/A 49010-2024 tillsynsbegäran mail.docx", "A 49010-2024")</f>
        <v/>
      </c>
    </row>
    <row r="286" ht="15" customHeight="1">
      <c r="A286" t="inlineStr">
        <is>
          <t>A 49013-2024</t>
        </is>
      </c>
      <c r="B286" t="inlineStr">
        <is>
          <t>avverkningsanmälan</t>
        </is>
      </c>
      <c r="C286" t="inlineStr">
        <is>
          <t>Föryngringsavverkning</t>
        </is>
      </c>
      <c r="D286" s="1" t="n">
        <v>45594</v>
      </c>
      <c r="E286" s="1" t="n">
        <v>46316</v>
      </c>
      <c r="F286" t="inlineStr">
        <is>
          <t>KRONOBERGS LÄN</t>
        </is>
      </c>
      <c r="G286" t="inlineStr">
        <is>
          <t>VÄXJÖ</t>
        </is>
      </c>
      <c r="H286" t="inlineStr">
        <is>
          <t>Sveaskog</t>
        </is>
      </c>
      <c r="I286" t="n">
        <v>0.8</v>
      </c>
      <c r="J286" t="n">
        <v>0</v>
      </c>
      <c r="K286" t="n">
        <v>0</v>
      </c>
      <c r="L286" t="n">
        <v>0</v>
      </c>
      <c r="M286" t="n">
        <v>1</v>
      </c>
      <c r="N286" t="n">
        <v>0</v>
      </c>
      <c r="O286" t="n">
        <v>0</v>
      </c>
      <c r="P286" t="n">
        <v>0</v>
      </c>
      <c r="Q286" t="n">
        <v>1</v>
      </c>
      <c r="R286" t="n">
        <v>1</v>
      </c>
      <c r="S286" t="n">
        <v>1</v>
      </c>
      <c r="T286" t="n">
        <v>1</v>
      </c>
      <c r="U286" t="n">
        <v>0</v>
      </c>
      <c r="V286" s="2" t="inlineStr">
        <is>
          <t>Slåttergubbe</t>
        </is>
      </c>
      <c r="W286">
        <f>HYPERLINK("https://klasma.github.io/Logging_0780/artfynd/A 49013-2024 artfynd.xlsx", "A 49013-2024")</f>
        <v/>
      </c>
      <c r="X286">
        <f>HYPERLINK("https://klasma.github.io/Logging_0780/kartor/A 49013-2024 karta.png", "A 49013-2024")</f>
        <v/>
      </c>
      <c r="Y286">
        <f>HYPERLINK("https://klasma.github.io/Logging_0780/kartor_geotiff/A 49013-2024 georefererad karta.tif", "A 49013-2024")</f>
        <v/>
      </c>
      <c r="AA286">
        <f>HYPERLINK("https://klasma.github.io/Logging_0780/klagomål/A 49013-2024 FSC-klagomål.docx", "A 49013-2024")</f>
        <v/>
      </c>
      <c r="AB286">
        <f>HYPERLINK("https://klasma.github.io/Logging_0780/klagomålsmail/A 49013-2024 FSC-klagomål mail.docx", "A 49013-2024")</f>
        <v/>
      </c>
      <c r="AC286">
        <f>HYPERLINK("https://klasma.github.io/Logging_0780/tillsyn/A 49013-2024 tillsynsbegäran.docx", "A 49013-2024")</f>
        <v/>
      </c>
      <c r="AD286">
        <f>HYPERLINK("https://klasma.github.io/Logging_0780/tillsynsmail/A 49013-2024 tillsynsbegäran mail.docx", "A 49013-2024")</f>
        <v/>
      </c>
    </row>
    <row r="287" ht="15" customHeight="1">
      <c r="A287" t="inlineStr">
        <is>
          <t>A 14022-2024</t>
        </is>
      </c>
      <c r="B287" t="inlineStr">
        <is>
          <t>avverkningsanmälan</t>
        </is>
      </c>
      <c r="C287" t="inlineStr">
        <is>
          <t>Föryngringsavverkning</t>
        </is>
      </c>
      <c r="D287" s="1" t="n">
        <v>45392</v>
      </c>
      <c r="E287" s="1" t="n">
        <v>46316</v>
      </c>
      <c r="F287" t="inlineStr">
        <is>
          <t>KRONOBERGS LÄN</t>
        </is>
      </c>
      <c r="G287" t="inlineStr">
        <is>
          <t>VÄXJÖ</t>
        </is>
      </c>
      <c r="H287" t="inlineStr">
        <is>
          <t>Sveaskog</t>
        </is>
      </c>
      <c r="I287" t="n">
        <v>1.4</v>
      </c>
      <c r="J287" t="n">
        <v>0</v>
      </c>
      <c r="K287" t="n">
        <v>0</v>
      </c>
      <c r="L287" t="n">
        <v>1</v>
      </c>
      <c r="M287" t="n">
        <v>0</v>
      </c>
      <c r="N287" t="n">
        <v>0</v>
      </c>
      <c r="O287" t="n">
        <v>0</v>
      </c>
      <c r="P287" t="n">
        <v>0</v>
      </c>
      <c r="Q287" t="n">
        <v>1</v>
      </c>
      <c r="R287" t="n">
        <v>0</v>
      </c>
      <c r="S287" t="n">
        <v>1</v>
      </c>
      <c r="T287" t="n">
        <v>1</v>
      </c>
      <c r="U287" t="n">
        <v>1</v>
      </c>
      <c r="V287" s="2" t="inlineStr">
        <is>
          <t>Borsttåg</t>
        </is>
      </c>
      <c r="W287">
        <f>HYPERLINK("https://klasma.github.io/Logging_0780/artfynd/A 14022-2024 artfynd.xlsx", "A 14022-2024")</f>
        <v/>
      </c>
      <c r="X287">
        <f>HYPERLINK("https://klasma.github.io/Logging_0780/kartor/A 14022-2024 karta.png", "A 14022-2024")</f>
        <v/>
      </c>
      <c r="Y287">
        <f>HYPERLINK("https://klasma.github.io/Logging_0780/kartor_geotiff/A 14022-2024 georefererad karta.tif", "A 14022-2024")</f>
        <v/>
      </c>
      <c r="AA287">
        <f>HYPERLINK("https://klasma.github.io/Logging_0780/klagomål/A 14022-2024 FSC-klagomål.docx", "A 14022-2024")</f>
        <v/>
      </c>
      <c r="AB287">
        <f>HYPERLINK("https://klasma.github.io/Logging_0780/klagomålsmail/A 14022-2024 FSC-klagomål mail.docx", "A 14022-2024")</f>
        <v/>
      </c>
      <c r="AC287">
        <f>HYPERLINK("https://klasma.github.io/Logging_0780/tillsyn/A 14022-2024 tillsynsbegäran.docx", "A 14022-2024")</f>
        <v/>
      </c>
      <c r="AD287">
        <f>HYPERLINK("https://klasma.github.io/Logging_0780/tillsynsmail/A 14022-2024 tillsynsbegäran mail.docx", "A 14022-2024")</f>
        <v/>
      </c>
    </row>
    <row r="288" ht="15" customHeight="1">
      <c r="A288" t="inlineStr">
        <is>
          <t>A 20075-2023</t>
        </is>
      </c>
      <c r="B288" t="inlineStr">
        <is>
          <t>avverkningsanmälan</t>
        </is>
      </c>
      <c r="C288" t="inlineStr">
        <is>
          <t>Föryngringsavverkning</t>
        </is>
      </c>
      <c r="D288" s="1" t="n">
        <v>45054</v>
      </c>
      <c r="E288" s="1" t="n">
        <v>46316</v>
      </c>
      <c r="F288" t="inlineStr">
        <is>
          <t>KRONOBERGS LÄN</t>
        </is>
      </c>
      <c r="G288" t="inlineStr">
        <is>
          <t>LJUNGBY</t>
        </is>
      </c>
      <c r="I288" t="n">
        <v>0.9</v>
      </c>
      <c r="J288" t="n">
        <v>1</v>
      </c>
      <c r="K288" t="n">
        <v>0</v>
      </c>
      <c r="L288" t="n">
        <v>0</v>
      </c>
      <c r="M288" t="n">
        <v>0</v>
      </c>
      <c r="N288" t="n">
        <v>0</v>
      </c>
      <c r="O288" t="n">
        <v>0</v>
      </c>
      <c r="P288" t="n">
        <v>0</v>
      </c>
      <c r="Q288" t="n">
        <v>0</v>
      </c>
      <c r="R288" t="n">
        <v>0</v>
      </c>
      <c r="S288" t="n">
        <v>1</v>
      </c>
      <c r="T288" t="n">
        <v>1</v>
      </c>
      <c r="U288" t="n">
        <v>1</v>
      </c>
      <c r="V288" s="2" t="inlineStr">
        <is>
          <t>Vanlig groda</t>
        </is>
      </c>
      <c r="W288">
        <f>HYPERLINK("https://klasma.github.io/Logging_0781/artfynd/A 20075-2023 artfynd.xlsx", "A 20075-2023")</f>
        <v/>
      </c>
      <c r="X288">
        <f>HYPERLINK("https://klasma.github.io/Logging_0781/kartor/A 20075-2023 karta.png", "A 20075-2023")</f>
        <v/>
      </c>
      <c r="Y288">
        <f>HYPERLINK("https://klasma.github.io/Logging_0781/kartor_geotiff/A 20075-2023 georefererad karta.tif", "A 20075-2023")</f>
        <v/>
      </c>
      <c r="AA288">
        <f>HYPERLINK("https://klasma.github.io/Logging_0781/klagomål/A 20075-2023 FSC-klagomål.docx", "A 20075-2023")</f>
        <v/>
      </c>
      <c r="AB288">
        <f>HYPERLINK("https://klasma.github.io/Logging_0781/klagomålsmail/A 20075-2023 FSC-klagomål mail.docx", "A 20075-2023")</f>
        <v/>
      </c>
      <c r="AC288">
        <f>HYPERLINK("https://klasma.github.io/Logging_0781/tillsyn/A 20075-2023 tillsynsbegäran.docx", "A 20075-2023")</f>
        <v/>
      </c>
      <c r="AD288">
        <f>HYPERLINK("https://klasma.github.io/Logging_0781/tillsynsmail/A 20075-2023 tillsynsbegäran mail.docx", "A 20075-2023")</f>
        <v/>
      </c>
    </row>
    <row r="289" ht="15" customHeight="1">
      <c r="A289" t="inlineStr">
        <is>
          <t>A 9825-2023</t>
        </is>
      </c>
      <c r="B289" t="inlineStr">
        <is>
          <t>avverkningsanmälan</t>
        </is>
      </c>
      <c r="C289" t="inlineStr">
        <is>
          <t>Föryngringsavverkning</t>
        </is>
      </c>
      <c r="D289" s="1" t="n">
        <v>44984</v>
      </c>
      <c r="E289" s="1" t="n">
        <v>46316</v>
      </c>
      <c r="F289" t="inlineStr">
        <is>
          <t>KRONOBERGS LÄN</t>
        </is>
      </c>
      <c r="G289" t="inlineStr">
        <is>
          <t>TINGSRYD</t>
        </is>
      </c>
      <c r="I289" t="n">
        <v>3.5</v>
      </c>
      <c r="J289" t="n">
        <v>1</v>
      </c>
      <c r="K289" t="n">
        <v>0</v>
      </c>
      <c r="L289" t="n">
        <v>0</v>
      </c>
      <c r="M289" t="n">
        <v>0</v>
      </c>
      <c r="N289" t="n">
        <v>0</v>
      </c>
      <c r="O289" t="n">
        <v>0</v>
      </c>
      <c r="P289" t="n">
        <v>0</v>
      </c>
      <c r="Q289" t="n">
        <v>0</v>
      </c>
      <c r="R289" t="n">
        <v>0</v>
      </c>
      <c r="S289" t="n">
        <v>1</v>
      </c>
      <c r="T289" t="n">
        <v>1</v>
      </c>
      <c r="U289" t="n">
        <v>0</v>
      </c>
      <c r="V289" s="2" t="inlineStr">
        <is>
          <t>Huggorm</t>
        </is>
      </c>
      <c r="W289">
        <f>HYPERLINK("https://klasma.github.io/Logging_0763/artfynd/A 9825-2023 artfynd.xlsx", "A 9825-2023")</f>
        <v/>
      </c>
      <c r="X289">
        <f>HYPERLINK("https://klasma.github.io/Logging_0763/kartor/A 9825-2023 karta.png", "A 9825-2023")</f>
        <v/>
      </c>
      <c r="Y289">
        <f>HYPERLINK("https://klasma.github.io/Logging_0763/kartor_geotiff/A 9825-2023 georefererad karta.tif", "A 9825-2023")</f>
        <v/>
      </c>
      <c r="AA289">
        <f>HYPERLINK("https://klasma.github.io/Logging_0763/klagomål/A 9825-2023 FSC-klagomål.docx", "A 9825-2023")</f>
        <v/>
      </c>
      <c r="AB289">
        <f>HYPERLINK("https://klasma.github.io/Logging_0763/klagomålsmail/A 9825-2023 FSC-klagomål mail.docx", "A 9825-2023")</f>
        <v/>
      </c>
      <c r="AC289">
        <f>HYPERLINK("https://klasma.github.io/Logging_0763/tillsyn/A 9825-2023 tillsynsbegäran.docx", "A 9825-2023")</f>
        <v/>
      </c>
      <c r="AD289">
        <f>HYPERLINK("https://klasma.github.io/Logging_0763/tillsynsmail/A 9825-2023 tillsynsbegäran mail.docx", "A 9825-2023")</f>
        <v/>
      </c>
    </row>
    <row r="290" ht="15" customHeight="1">
      <c r="A290" t="inlineStr">
        <is>
          <t>A 4473-2023</t>
        </is>
      </c>
      <c r="B290" t="inlineStr">
        <is>
          <t>avverkningsanmälan</t>
        </is>
      </c>
      <c r="C290" t="inlineStr">
        <is>
          <t>Föryngringsavverkning</t>
        </is>
      </c>
      <c r="D290" s="1" t="n">
        <v>44956</v>
      </c>
      <c r="E290" s="1" t="n">
        <v>46316</v>
      </c>
      <c r="F290" t="inlineStr">
        <is>
          <t>KRONOBERGS LÄN</t>
        </is>
      </c>
      <c r="G290" t="inlineStr">
        <is>
          <t>MARKARYD</t>
        </is>
      </c>
      <c r="I290" t="n">
        <v>1.2</v>
      </c>
      <c r="J290" t="n">
        <v>0</v>
      </c>
      <c r="K290" t="n">
        <v>0</v>
      </c>
      <c r="L290" t="n">
        <v>0</v>
      </c>
      <c r="M290" t="n">
        <v>1</v>
      </c>
      <c r="N290" t="n">
        <v>0</v>
      </c>
      <c r="O290" t="n">
        <v>0</v>
      </c>
      <c r="P290" t="n">
        <v>0</v>
      </c>
      <c r="Q290" t="n">
        <v>1</v>
      </c>
      <c r="R290" t="n">
        <v>1</v>
      </c>
      <c r="S290" t="n">
        <v>1</v>
      </c>
      <c r="T290" t="n">
        <v>1</v>
      </c>
      <c r="U290" t="n">
        <v>0</v>
      </c>
      <c r="V290" s="2" t="inlineStr">
        <is>
          <t>Slåttergubbe</t>
        </is>
      </c>
      <c r="W290">
        <f>HYPERLINK("https://klasma.github.io/Logging_0767/artfynd/A 4473-2023 artfynd.xlsx", "A 4473-2023")</f>
        <v/>
      </c>
      <c r="X290">
        <f>HYPERLINK("https://klasma.github.io/Logging_0767/kartor/A 4473-2023 karta.png", "A 4473-2023")</f>
        <v/>
      </c>
      <c r="Y290">
        <f>HYPERLINK("https://klasma.github.io/Logging_0767/kartor_geotiff/A 4473-2023 georefererad karta.tif", "A 4473-2023")</f>
        <v/>
      </c>
      <c r="AA290">
        <f>HYPERLINK("https://klasma.github.io/Logging_0767/klagomål/A 4473-2023 FSC-klagomål.docx", "A 4473-2023")</f>
        <v/>
      </c>
      <c r="AB290">
        <f>HYPERLINK("https://klasma.github.io/Logging_0767/klagomålsmail/A 4473-2023 FSC-klagomål mail.docx", "A 4473-2023")</f>
        <v/>
      </c>
      <c r="AC290">
        <f>HYPERLINK("https://klasma.github.io/Logging_0767/tillsyn/A 4473-2023 tillsynsbegäran.docx", "A 4473-2023")</f>
        <v/>
      </c>
      <c r="AD290">
        <f>HYPERLINK("https://klasma.github.io/Logging_0767/tillsynsmail/A 4473-2023 tillsynsbegäran mail.docx", "A 4473-2023")</f>
        <v/>
      </c>
    </row>
    <row r="291" ht="15" customHeight="1">
      <c r="A291" t="inlineStr">
        <is>
          <t>A 49077-2024</t>
        </is>
      </c>
      <c r="B291" t="inlineStr">
        <is>
          <t>avverkningsanmälan</t>
        </is>
      </c>
      <c r="C291" t="inlineStr">
        <is>
          <t>Föryngringsavverkning</t>
        </is>
      </c>
      <c r="D291" s="1" t="n">
        <v>45594</v>
      </c>
      <c r="E291" s="1" t="n">
        <v>46316</v>
      </c>
      <c r="F291" t="inlineStr">
        <is>
          <t>KRONOBERGS LÄN</t>
        </is>
      </c>
      <c r="G291" t="inlineStr">
        <is>
          <t>LJUNGBY</t>
        </is>
      </c>
      <c r="I291" t="n">
        <v>1.7</v>
      </c>
      <c r="J291" t="n">
        <v>1</v>
      </c>
      <c r="K291" t="n">
        <v>0</v>
      </c>
      <c r="L291" t="n">
        <v>0</v>
      </c>
      <c r="M291" t="n">
        <v>0</v>
      </c>
      <c r="N291" t="n">
        <v>0</v>
      </c>
      <c r="O291" t="n">
        <v>0</v>
      </c>
      <c r="P291" t="n">
        <v>0</v>
      </c>
      <c r="Q291" t="n">
        <v>0</v>
      </c>
      <c r="R291" t="n">
        <v>0</v>
      </c>
      <c r="S291" t="n">
        <v>1</v>
      </c>
      <c r="T291" t="n">
        <v>1</v>
      </c>
      <c r="U291" t="n">
        <v>1</v>
      </c>
      <c r="V291" s="2" t="inlineStr">
        <is>
          <t>Gröngöling</t>
        </is>
      </c>
      <c r="W291">
        <f>HYPERLINK("https://klasma.github.io/Logging_0781/artfynd/A 49077-2024 artfynd.xlsx", "A 49077-2024")</f>
        <v/>
      </c>
      <c r="X291">
        <f>HYPERLINK("https://klasma.github.io/Logging_0781/kartor/A 49077-2024 karta.png", "A 49077-2024")</f>
        <v/>
      </c>
      <c r="Y291">
        <f>HYPERLINK("https://klasma.github.io/Logging_0781/kartor_geotiff/A 49077-2024 georefererad karta.tif", "A 49077-2024")</f>
        <v/>
      </c>
      <c r="AA291">
        <f>HYPERLINK("https://klasma.github.io/Logging_0781/klagomål/A 49077-2024 FSC-klagomål.docx", "A 49077-2024")</f>
        <v/>
      </c>
      <c r="AB291">
        <f>HYPERLINK("https://klasma.github.io/Logging_0781/klagomålsmail/A 49077-2024 FSC-klagomål mail.docx", "A 49077-2024")</f>
        <v/>
      </c>
      <c r="AC291">
        <f>HYPERLINK("https://klasma.github.io/Logging_0781/tillsyn/A 49077-2024 tillsynsbegäran.docx", "A 49077-2024")</f>
        <v/>
      </c>
      <c r="AD291">
        <f>HYPERLINK("https://klasma.github.io/Logging_0781/tillsynsmail/A 49077-2024 tillsynsbegäran mail.docx", "A 49077-2024")</f>
        <v/>
      </c>
    </row>
    <row r="292" ht="15" customHeight="1">
      <c r="A292" t="inlineStr">
        <is>
          <t>A 62153-2025</t>
        </is>
      </c>
      <c r="B292" t="inlineStr">
        <is>
          <t>avverkningsanmälan</t>
        </is>
      </c>
      <c r="C292" t="inlineStr">
        <is>
          <t>Föryngringsavverkning</t>
        </is>
      </c>
      <c r="D292" s="1" t="n">
        <v>46006</v>
      </c>
      <c r="E292" s="1" t="n">
        <v>46316</v>
      </c>
      <c r="F292" t="inlineStr">
        <is>
          <t>KRONOBERGS LÄN</t>
        </is>
      </c>
      <c r="G292" t="inlineStr">
        <is>
          <t>LJUNGBY</t>
        </is>
      </c>
      <c r="I292" t="n">
        <v>0.5</v>
      </c>
      <c r="J292" t="n">
        <v>1</v>
      </c>
      <c r="K292" t="n">
        <v>0</v>
      </c>
      <c r="L292" t="n">
        <v>0</v>
      </c>
      <c r="M292" t="n">
        <v>0</v>
      </c>
      <c r="N292" t="n">
        <v>0</v>
      </c>
      <c r="O292" t="n">
        <v>0</v>
      </c>
      <c r="P292" t="n">
        <v>0</v>
      </c>
      <c r="Q292" t="n">
        <v>0</v>
      </c>
      <c r="R292" t="n">
        <v>0</v>
      </c>
      <c r="S292" t="n">
        <v>1</v>
      </c>
      <c r="T292" t="n">
        <v>1</v>
      </c>
      <c r="U292" t="n">
        <v>0</v>
      </c>
      <c r="V292" s="2" t="inlineStr">
        <is>
          <t>Havsörn</t>
        </is>
      </c>
      <c r="W292">
        <f>HYPERLINK("https://klasma.github.io/Logging_0781/artfynd/A 62153-2025 artfynd.xlsx", "A 62153-2025")</f>
        <v/>
      </c>
      <c r="X292">
        <f>HYPERLINK("https://klasma.github.io/Logging_0781/kartor/A 62153-2025 karta.png", "A 62153-2025")</f>
        <v/>
      </c>
      <c r="Y292">
        <f>HYPERLINK("https://klasma.github.io/Logging_0781/kartor_geotiff/A 62153-2025 georefererad karta.tif", "A 62153-2025")</f>
        <v/>
      </c>
      <c r="AA292">
        <f>HYPERLINK("https://klasma.github.io/Logging_0781/klagomål/A 62153-2025 FSC-klagomål.docx", "A 62153-2025")</f>
        <v/>
      </c>
      <c r="AB292">
        <f>HYPERLINK("https://klasma.github.io/Logging_0781/klagomålsmail/A 62153-2025 FSC-klagomål mail.docx", "A 62153-2025")</f>
        <v/>
      </c>
      <c r="AC292">
        <f>HYPERLINK("https://klasma.github.io/Logging_0781/tillsyn/A 62153-2025 tillsynsbegäran.docx", "A 62153-2025")</f>
        <v/>
      </c>
      <c r="AD292">
        <f>HYPERLINK("https://klasma.github.io/Logging_0781/tillsynsmail/A 62153-2025 tillsynsbegäran mail.docx", "A 62153-2025")</f>
        <v/>
      </c>
      <c r="AE292">
        <f>HYPERLINK("https://klasma.github.io/Logging_0781/fåglar/A 62153-2025 prioriterade fågelarter.docx", "A 62153-2025")</f>
        <v/>
      </c>
    </row>
    <row r="293" ht="15" customHeight="1">
      <c r="A293" t="inlineStr">
        <is>
          <t>A 54410-2024</t>
        </is>
      </c>
      <c r="B293" t="inlineStr">
        <is>
          <t>avverkningsanmälan</t>
        </is>
      </c>
      <c r="C293" t="inlineStr">
        <is>
          <t>Avverkning för annat ändamål</t>
        </is>
      </c>
      <c r="D293" s="1" t="n">
        <v>45617</v>
      </c>
      <c r="E293" s="1" t="n">
        <v>46316</v>
      </c>
      <c r="F293" t="inlineStr">
        <is>
          <t>KRONOBERGS LÄN</t>
        </is>
      </c>
      <c r="G293" t="inlineStr">
        <is>
          <t>VÄXJÖ</t>
        </is>
      </c>
      <c r="H293" t="inlineStr">
        <is>
          <t>Kommuner</t>
        </is>
      </c>
      <c r="I293" t="n">
        <v>7.2</v>
      </c>
      <c r="J293" t="n">
        <v>1</v>
      </c>
      <c r="K293" t="n">
        <v>0</v>
      </c>
      <c r="L293" t="n">
        <v>0</v>
      </c>
      <c r="M293" t="n">
        <v>0</v>
      </c>
      <c r="N293" t="n">
        <v>0</v>
      </c>
      <c r="O293" t="n">
        <v>0</v>
      </c>
      <c r="P293" t="n">
        <v>0</v>
      </c>
      <c r="Q293" t="n">
        <v>0</v>
      </c>
      <c r="R293" t="n">
        <v>0</v>
      </c>
      <c r="S293" t="n">
        <v>1</v>
      </c>
      <c r="T293" t="n">
        <v>1</v>
      </c>
      <c r="U293" t="n">
        <v>1</v>
      </c>
      <c r="V293" s="2" t="inlineStr">
        <is>
          <t>Vanlig groda</t>
        </is>
      </c>
      <c r="W293">
        <f>HYPERLINK("https://klasma.github.io/Logging_0780/artfynd/A 54410-2024 artfynd.xlsx", "A 54410-2024")</f>
        <v/>
      </c>
      <c r="X293">
        <f>HYPERLINK("https://klasma.github.io/Logging_0780/kartor/A 54410-2024 karta.png", "A 54410-2024")</f>
        <v/>
      </c>
      <c r="Y293">
        <f>HYPERLINK("https://klasma.github.io/Logging_0780/kartor_geotiff/A 54410-2024 georefererad karta.tif", "A 54410-2024")</f>
        <v/>
      </c>
      <c r="AA293">
        <f>HYPERLINK("https://klasma.github.io/Logging_0780/klagomål/A 54410-2024 FSC-klagomål.docx", "A 54410-2024")</f>
        <v/>
      </c>
      <c r="AB293">
        <f>HYPERLINK("https://klasma.github.io/Logging_0780/klagomålsmail/A 54410-2024 FSC-klagomål mail.docx", "A 54410-2024")</f>
        <v/>
      </c>
      <c r="AC293">
        <f>HYPERLINK("https://klasma.github.io/Logging_0780/tillsyn/A 54410-2024 tillsynsbegäran.docx", "A 54410-2024")</f>
        <v/>
      </c>
      <c r="AD293">
        <f>HYPERLINK("https://klasma.github.io/Logging_0780/tillsynsmail/A 54410-2024 tillsynsbegäran mail.docx", "A 54410-2024")</f>
        <v/>
      </c>
    </row>
    <row r="294" ht="15" customHeight="1">
      <c r="A294" t="inlineStr">
        <is>
          <t>A 41717-2024</t>
        </is>
      </c>
      <c r="B294" t="inlineStr">
        <is>
          <t>avverkningsanmälan</t>
        </is>
      </c>
      <c r="C294" t="inlineStr">
        <is>
          <t>Föryngringsavverkning</t>
        </is>
      </c>
      <c r="D294" s="1" t="n">
        <v>45560</v>
      </c>
      <c r="E294" s="1" t="n">
        <v>46316</v>
      </c>
      <c r="F294" t="inlineStr">
        <is>
          <t>KRONOBERGS LÄN</t>
        </is>
      </c>
      <c r="G294" t="inlineStr">
        <is>
          <t>ÄLMHULT</t>
        </is>
      </c>
      <c r="I294" t="n">
        <v>1.3</v>
      </c>
      <c r="J294" t="n">
        <v>1</v>
      </c>
      <c r="K294" t="n">
        <v>0</v>
      </c>
      <c r="L294" t="n">
        <v>0</v>
      </c>
      <c r="M294" t="n">
        <v>0</v>
      </c>
      <c r="N294" t="n">
        <v>0</v>
      </c>
      <c r="O294" t="n">
        <v>0</v>
      </c>
      <c r="P294" t="n">
        <v>0</v>
      </c>
      <c r="Q294" t="n">
        <v>0</v>
      </c>
      <c r="R294" t="n">
        <v>0</v>
      </c>
      <c r="S294" t="n">
        <v>1</v>
      </c>
      <c r="T294" t="n">
        <v>1</v>
      </c>
      <c r="U294" t="n">
        <v>0</v>
      </c>
      <c r="V294" s="2" t="inlineStr">
        <is>
          <t>Tjäder</t>
        </is>
      </c>
      <c r="W294">
        <f>HYPERLINK("https://klasma.github.io/Logging_0765/artfynd/A 41717-2024 artfynd.xlsx", "A 41717-2024")</f>
        <v/>
      </c>
      <c r="X294">
        <f>HYPERLINK("https://klasma.github.io/Logging_0765/kartor/A 41717-2024 karta.png", "A 41717-2024")</f>
        <v/>
      </c>
      <c r="Y294">
        <f>HYPERLINK("https://klasma.github.io/Logging_0765/kartor_geotiff/A 41717-2024 georefererad karta.tif", "A 41717-2024")</f>
        <v/>
      </c>
      <c r="AA294">
        <f>HYPERLINK("https://klasma.github.io/Logging_0765/klagomål/A 41717-2024 FSC-klagomål.docx", "A 41717-2024")</f>
        <v/>
      </c>
      <c r="AB294">
        <f>HYPERLINK("https://klasma.github.io/Logging_0765/klagomålsmail/A 41717-2024 FSC-klagomål mail.docx", "A 41717-2024")</f>
        <v/>
      </c>
      <c r="AC294">
        <f>HYPERLINK("https://klasma.github.io/Logging_0765/tillsyn/A 41717-2024 tillsynsbegäran.docx", "A 41717-2024")</f>
        <v/>
      </c>
      <c r="AD294">
        <f>HYPERLINK("https://klasma.github.io/Logging_0765/tillsynsmail/A 41717-2024 tillsynsbegäran mail.docx", "A 41717-2024")</f>
        <v/>
      </c>
      <c r="AE294">
        <f>HYPERLINK("https://klasma.github.io/Logging_0765/fåglar/A 41717-2024 prioriterade fågelarter.docx", "A 41717-2024")</f>
        <v/>
      </c>
    </row>
    <row r="295" ht="15" customHeight="1">
      <c r="A295" t="inlineStr">
        <is>
          <t>A 44406-2024</t>
        </is>
      </c>
      <c r="B295" t="inlineStr">
        <is>
          <t>avverkningsanmälan</t>
        </is>
      </c>
      <c r="C295" t="inlineStr">
        <is>
          <t>Föryngringsavverkning</t>
        </is>
      </c>
      <c r="D295" s="1" t="n">
        <v>45573</v>
      </c>
      <c r="E295" s="1" t="n">
        <v>46316</v>
      </c>
      <c r="F295" t="inlineStr">
        <is>
          <t>KRONOBERGS LÄN</t>
        </is>
      </c>
      <c r="G295" t="inlineStr">
        <is>
          <t>ALVESTA</t>
        </is>
      </c>
      <c r="I295" t="n">
        <v>1.1</v>
      </c>
      <c r="J295" t="n">
        <v>0</v>
      </c>
      <c r="K295" t="n">
        <v>1</v>
      </c>
      <c r="L295" t="n">
        <v>0</v>
      </c>
      <c r="M295" t="n">
        <v>0</v>
      </c>
      <c r="N295" t="n">
        <v>0</v>
      </c>
      <c r="O295" t="n">
        <v>0</v>
      </c>
      <c r="P295" t="n">
        <v>0</v>
      </c>
      <c r="Q295" t="n">
        <v>0</v>
      </c>
      <c r="R295" t="n">
        <v>0</v>
      </c>
      <c r="S295" t="n">
        <v>1</v>
      </c>
      <c r="T295" t="n">
        <v>1</v>
      </c>
      <c r="U295" t="n">
        <v>0</v>
      </c>
      <c r="V295" s="2" t="inlineStr">
        <is>
          <t>Brandticka</t>
        </is>
      </c>
      <c r="W295">
        <f>HYPERLINK("https://klasma.github.io/Logging_0764/artfynd/A 44406-2024 artfynd.xlsx", "A 44406-2024")</f>
        <v/>
      </c>
      <c r="X295">
        <f>HYPERLINK("https://klasma.github.io/Logging_0764/kartor/A 44406-2024 karta.png", "A 44406-2024")</f>
        <v/>
      </c>
      <c r="Y295">
        <f>HYPERLINK("https://klasma.github.io/Logging_0764/kartor_geotiff/A 44406-2024 georefererad karta.tif", "A 44406-2024")</f>
        <v/>
      </c>
      <c r="AA295">
        <f>HYPERLINK("https://klasma.github.io/Logging_0764/klagomål/A 44406-2024 FSC-klagomål.docx", "A 44406-2024")</f>
        <v/>
      </c>
      <c r="AB295">
        <f>HYPERLINK("https://klasma.github.io/Logging_0764/klagomålsmail/A 44406-2024 FSC-klagomål mail.docx", "A 44406-2024")</f>
        <v/>
      </c>
      <c r="AC295">
        <f>HYPERLINK("https://klasma.github.io/Logging_0764/tillsyn/A 44406-2024 tillsynsbegäran.docx", "A 44406-2024")</f>
        <v/>
      </c>
      <c r="AD295">
        <f>HYPERLINK("https://klasma.github.io/Logging_0764/tillsynsmail/A 44406-2024 tillsynsbegäran mail.docx", "A 44406-2024")</f>
        <v/>
      </c>
    </row>
    <row r="296" ht="15" customHeight="1">
      <c r="A296" t="inlineStr">
        <is>
          <t>A 36242-2024</t>
        </is>
      </c>
      <c r="B296" t="inlineStr">
        <is>
          <t>avverkningsanmälan</t>
        </is>
      </c>
      <c r="C296" t="inlineStr">
        <is>
          <t>Avverkning för annat ändamål</t>
        </is>
      </c>
      <c r="D296" s="1" t="n">
        <v>45534</v>
      </c>
      <c r="E296" s="1" t="n">
        <v>46316</v>
      </c>
      <c r="F296" t="inlineStr">
        <is>
          <t>KRONOBERGS LÄN</t>
        </is>
      </c>
      <c r="G296" t="inlineStr">
        <is>
          <t>UPPVIDINGE</t>
        </is>
      </c>
      <c r="I296" t="n">
        <v>0.8</v>
      </c>
      <c r="J296" t="n">
        <v>0</v>
      </c>
      <c r="K296" t="n">
        <v>1</v>
      </c>
      <c r="L296" t="n">
        <v>0</v>
      </c>
      <c r="M296" t="n">
        <v>0</v>
      </c>
      <c r="N296" t="n">
        <v>0</v>
      </c>
      <c r="O296" t="n">
        <v>0</v>
      </c>
      <c r="P296" t="n">
        <v>0</v>
      </c>
      <c r="Q296" t="n">
        <v>0</v>
      </c>
      <c r="R296" t="n">
        <v>0</v>
      </c>
      <c r="S296" t="n">
        <v>1</v>
      </c>
      <c r="T296" t="n">
        <v>3</v>
      </c>
      <c r="U296" t="n">
        <v>3</v>
      </c>
      <c r="V296" s="2" t="inlineStr">
        <is>
          <t>Sotlav</t>
        </is>
      </c>
      <c r="W296">
        <f>HYPERLINK("https://klasma.github.io/Logging_0760/artfynd/A 36242-2024 artfynd.xlsx", "A 36242-2024")</f>
        <v/>
      </c>
      <c r="X296">
        <f>HYPERLINK("https://klasma.github.io/Logging_0760/kartor/A 36242-2024 karta.png", "A 36242-2024")</f>
        <v/>
      </c>
      <c r="Y296">
        <f>HYPERLINK("https://klasma.github.io/Logging_0760/kartor_geotiff/A 36242-2024 georefererad karta.tif", "A 36242-2024")</f>
        <v/>
      </c>
      <c r="AA296">
        <f>HYPERLINK("https://klasma.github.io/Logging_0760/klagomål/A 36242-2024 FSC-klagomål.docx", "A 36242-2024")</f>
        <v/>
      </c>
      <c r="AB296">
        <f>HYPERLINK("https://klasma.github.io/Logging_0760/klagomålsmail/A 36242-2024 FSC-klagomål mail.docx", "A 36242-2024")</f>
        <v/>
      </c>
      <c r="AC296">
        <f>HYPERLINK("https://klasma.github.io/Logging_0760/tillsyn/A 36242-2024 tillsynsbegäran.docx", "A 36242-2024")</f>
        <v/>
      </c>
      <c r="AD296">
        <f>HYPERLINK("https://klasma.github.io/Logging_0760/tillsynsmail/A 36242-2024 tillsynsbegäran mail.docx", "A 36242-2024")</f>
        <v/>
      </c>
    </row>
    <row r="297" ht="15" customHeight="1">
      <c r="A297" t="inlineStr">
        <is>
          <t>A 51647-2024</t>
        </is>
      </c>
      <c r="B297" t="inlineStr">
        <is>
          <t>avverkningsanmälan</t>
        </is>
      </c>
      <c r="C297" t="inlineStr">
        <is>
          <t>Föryngringsavverkning</t>
        </is>
      </c>
      <c r="D297" s="1" t="n">
        <v>45606</v>
      </c>
      <c r="E297" s="1" t="n">
        <v>46316</v>
      </c>
      <c r="F297" t="inlineStr">
        <is>
          <t>KRONOBERGS LÄN</t>
        </is>
      </c>
      <c r="G297" t="inlineStr">
        <is>
          <t>VÄXJÖ</t>
        </is>
      </c>
      <c r="I297" t="n">
        <v>0.9</v>
      </c>
      <c r="J297" t="n">
        <v>0</v>
      </c>
      <c r="K297" t="n">
        <v>0</v>
      </c>
      <c r="L297" t="n">
        <v>1</v>
      </c>
      <c r="M297" t="n">
        <v>0</v>
      </c>
      <c r="N297" t="n">
        <v>0</v>
      </c>
      <c r="O297" t="n">
        <v>0</v>
      </c>
      <c r="P297" t="n">
        <v>0</v>
      </c>
      <c r="Q297" t="n">
        <v>1</v>
      </c>
      <c r="R297" t="n">
        <v>0</v>
      </c>
      <c r="S297" t="n">
        <v>1</v>
      </c>
      <c r="T297" t="n">
        <v>1</v>
      </c>
      <c r="U297" t="n">
        <v>1</v>
      </c>
      <c r="V297" s="2" t="inlineStr">
        <is>
          <t>Granspira</t>
        </is>
      </c>
      <c r="W297">
        <f>HYPERLINK("https://klasma.github.io/Logging_0780/artfynd/A 51647-2024 artfynd.xlsx", "A 51647-2024")</f>
        <v/>
      </c>
      <c r="X297">
        <f>HYPERLINK("https://klasma.github.io/Logging_0780/kartor/A 51647-2024 karta.png", "A 51647-2024")</f>
        <v/>
      </c>
      <c r="Y297">
        <f>HYPERLINK("https://klasma.github.io/Logging_0780/kartor_geotiff/A 51647-2024 georefererad karta.tif", "A 51647-2024")</f>
        <v/>
      </c>
      <c r="AA297">
        <f>HYPERLINK("https://klasma.github.io/Logging_0780/klagomål/A 51647-2024 FSC-klagomål.docx", "A 51647-2024")</f>
        <v/>
      </c>
      <c r="AB297">
        <f>HYPERLINK("https://klasma.github.io/Logging_0780/klagomålsmail/A 51647-2024 FSC-klagomål mail.docx", "A 51647-2024")</f>
        <v/>
      </c>
      <c r="AC297">
        <f>HYPERLINK("https://klasma.github.io/Logging_0780/tillsyn/A 51647-2024 tillsynsbegäran.docx", "A 51647-2024")</f>
        <v/>
      </c>
      <c r="AD297">
        <f>HYPERLINK("https://klasma.github.io/Logging_0780/tillsynsmail/A 51647-2024 tillsynsbegäran mail.docx", "A 51647-2024")</f>
        <v/>
      </c>
    </row>
    <row r="298" ht="15" customHeight="1">
      <c r="A298" t="inlineStr">
        <is>
          <t>A 29335-2024</t>
        </is>
      </c>
      <c r="B298" t="inlineStr">
        <is>
          <t>avverkningsanmälan</t>
        </is>
      </c>
      <c r="C298" t="inlineStr">
        <is>
          <t>Föryngringsavverkning</t>
        </is>
      </c>
      <c r="D298" s="1" t="n">
        <v>45483</v>
      </c>
      <c r="E298" s="1" t="n">
        <v>46316</v>
      </c>
      <c r="F298" t="inlineStr">
        <is>
          <t>KRONOBERGS LÄN</t>
        </is>
      </c>
      <c r="G298" t="inlineStr">
        <is>
          <t>LJUNGBY</t>
        </is>
      </c>
      <c r="I298" t="n">
        <v>3.8</v>
      </c>
      <c r="J298" t="n">
        <v>1</v>
      </c>
      <c r="K298" t="n">
        <v>0</v>
      </c>
      <c r="L298" t="n">
        <v>0</v>
      </c>
      <c r="M298" t="n">
        <v>0</v>
      </c>
      <c r="N298" t="n">
        <v>0</v>
      </c>
      <c r="O298" t="n">
        <v>0</v>
      </c>
      <c r="P298" t="n">
        <v>0</v>
      </c>
      <c r="Q298" t="n">
        <v>0</v>
      </c>
      <c r="R298" t="n">
        <v>0</v>
      </c>
      <c r="S298" t="n">
        <v>1</v>
      </c>
      <c r="T298" t="n">
        <v>1</v>
      </c>
      <c r="U298" t="n">
        <v>0</v>
      </c>
      <c r="V298" s="2" t="inlineStr">
        <is>
          <t>Orre</t>
        </is>
      </c>
      <c r="W298">
        <f>HYPERLINK("https://klasma.github.io/Logging_0781/artfynd/A 29335-2024 artfynd.xlsx", "A 29335-2024")</f>
        <v/>
      </c>
      <c r="X298">
        <f>HYPERLINK("https://klasma.github.io/Logging_0781/kartor/A 29335-2024 karta.png", "A 29335-2024")</f>
        <v/>
      </c>
      <c r="Y298">
        <f>HYPERLINK("https://klasma.github.io/Logging_0781/kartor_geotiff/A 29335-2024 georefererad karta.tif", "A 29335-2024")</f>
        <v/>
      </c>
      <c r="AA298">
        <f>HYPERLINK("https://klasma.github.io/Logging_0781/klagomål/A 29335-2024 FSC-klagomål.docx", "A 29335-2024")</f>
        <v/>
      </c>
      <c r="AB298">
        <f>HYPERLINK("https://klasma.github.io/Logging_0781/klagomålsmail/A 29335-2024 FSC-klagomål mail.docx", "A 29335-2024")</f>
        <v/>
      </c>
      <c r="AC298">
        <f>HYPERLINK("https://klasma.github.io/Logging_0781/tillsyn/A 29335-2024 tillsynsbegäran.docx", "A 29335-2024")</f>
        <v/>
      </c>
      <c r="AD298">
        <f>HYPERLINK("https://klasma.github.io/Logging_0781/tillsynsmail/A 29335-2024 tillsynsbegäran mail.docx", "A 29335-2024")</f>
        <v/>
      </c>
      <c r="AE298">
        <f>HYPERLINK("https://klasma.github.io/Logging_0781/fåglar/A 29335-2024 prioriterade fågelarter.docx", "A 29335-2024")</f>
        <v/>
      </c>
    </row>
    <row r="299" ht="15" customHeight="1">
      <c r="A299" t="inlineStr">
        <is>
          <t>A 16796-2022</t>
        </is>
      </c>
      <c r="B299" t="inlineStr">
        <is>
          <t>avverkningsanmälan</t>
        </is>
      </c>
      <c r="C299" t="inlineStr">
        <is>
          <t>Föryngringsavverkning</t>
        </is>
      </c>
      <c r="D299" s="1" t="n">
        <v>44673</v>
      </c>
      <c r="E299" s="1" t="n">
        <v>46316</v>
      </c>
      <c r="F299" t="inlineStr">
        <is>
          <t>KRONOBERGS LÄN</t>
        </is>
      </c>
      <c r="G299" t="inlineStr">
        <is>
          <t>VÄXJÖ</t>
        </is>
      </c>
      <c r="I299" t="n">
        <v>2</v>
      </c>
      <c r="J299" t="n">
        <v>0</v>
      </c>
      <c r="K299" t="n">
        <v>0</v>
      </c>
      <c r="L299" t="n">
        <v>0</v>
      </c>
      <c r="M299" t="n">
        <v>0</v>
      </c>
      <c r="N299" t="n">
        <v>1</v>
      </c>
      <c r="O299" t="n">
        <v>0</v>
      </c>
      <c r="P299" t="n">
        <v>0</v>
      </c>
      <c r="Q299" t="n">
        <v>1</v>
      </c>
      <c r="R299" t="n">
        <v>1</v>
      </c>
      <c r="S299" t="n">
        <v>1</v>
      </c>
      <c r="T299" t="n">
        <v>2</v>
      </c>
      <c r="U299" t="n">
        <v>0</v>
      </c>
      <c r="V299" s="2" t="inlineStr">
        <is>
          <t>Ask</t>
        </is>
      </c>
      <c r="W299">
        <f>HYPERLINK("https://klasma.github.io/Logging_0780/artfynd/A 16796-2022 artfynd.xlsx", "A 16796-2022")</f>
        <v/>
      </c>
      <c r="X299">
        <f>HYPERLINK("https://klasma.github.io/Logging_0780/kartor/A 16796-2022 karta.png", "A 16796-2022")</f>
        <v/>
      </c>
      <c r="Y299">
        <f>HYPERLINK("https://klasma.github.io/Logging_0780/kartor_geotiff/A 16796-2022 georefererad karta.tif", "A 16796-2022")</f>
        <v/>
      </c>
      <c r="AA299">
        <f>HYPERLINK("https://klasma.github.io/Logging_0780/klagomål/A 16796-2022 FSC-klagomål.docx", "A 16796-2022")</f>
        <v/>
      </c>
      <c r="AB299">
        <f>HYPERLINK("https://klasma.github.io/Logging_0780/klagomålsmail/A 16796-2022 FSC-klagomål mail.docx", "A 16796-2022")</f>
        <v/>
      </c>
      <c r="AC299">
        <f>HYPERLINK("https://klasma.github.io/Logging_0780/tillsyn/A 16796-2022 tillsynsbegäran.docx", "A 16796-2022")</f>
        <v/>
      </c>
      <c r="AD299">
        <f>HYPERLINK("https://klasma.github.io/Logging_0780/tillsynsmail/A 16796-2022 tillsynsbegäran mail.docx", "A 16796-2022")</f>
        <v/>
      </c>
    </row>
    <row r="300" ht="15" customHeight="1">
      <c r="A300" t="inlineStr">
        <is>
          <t>A 21266-2022</t>
        </is>
      </c>
      <c r="B300" t="inlineStr">
        <is>
          <t>avverkningsanmälan</t>
        </is>
      </c>
      <c r="C300" t="inlineStr">
        <is>
          <t>Föryngringsavverkning</t>
        </is>
      </c>
      <c r="D300" s="1" t="n">
        <v>44705</v>
      </c>
      <c r="E300" s="1" t="n">
        <v>46316</v>
      </c>
      <c r="F300" t="inlineStr">
        <is>
          <t>KRONOBERGS LÄN</t>
        </is>
      </c>
      <c r="G300" t="inlineStr">
        <is>
          <t>VÄXJÖ</t>
        </is>
      </c>
      <c r="I300" t="n">
        <v>1.5</v>
      </c>
      <c r="J300" t="n">
        <v>1</v>
      </c>
      <c r="K300" t="n">
        <v>0</v>
      </c>
      <c r="L300" t="n">
        <v>1</v>
      </c>
      <c r="M300" t="n">
        <v>0</v>
      </c>
      <c r="N300" t="n">
        <v>0</v>
      </c>
      <c r="O300" t="n">
        <v>0</v>
      </c>
      <c r="P300" t="n">
        <v>0</v>
      </c>
      <c r="Q300" t="n">
        <v>1</v>
      </c>
      <c r="R300" t="n">
        <v>0</v>
      </c>
      <c r="S300" t="n">
        <v>1</v>
      </c>
      <c r="T300" t="n">
        <v>1</v>
      </c>
      <c r="U300" t="n">
        <v>1</v>
      </c>
      <c r="V300" s="2" t="inlineStr">
        <is>
          <t>Talltita</t>
        </is>
      </c>
      <c r="W300">
        <f>HYPERLINK("https://klasma.github.io/Logging_0780/artfynd/A 21266-2022 artfynd.xlsx", "A 21266-2022")</f>
        <v/>
      </c>
      <c r="X300">
        <f>HYPERLINK("https://klasma.github.io/Logging_0780/kartor/A 21266-2022 karta.png", "A 21266-2022")</f>
        <v/>
      </c>
      <c r="Y300">
        <f>HYPERLINK("https://klasma.github.io/Logging_0780/kartor_geotiff/A 21266-2022 georefererad karta.tif", "A 21266-2022")</f>
        <v/>
      </c>
      <c r="AA300">
        <f>HYPERLINK("https://klasma.github.io/Logging_0780/klagomål/A 21266-2022 FSC-klagomål.docx", "A 21266-2022")</f>
        <v/>
      </c>
      <c r="AB300">
        <f>HYPERLINK("https://klasma.github.io/Logging_0780/klagomålsmail/A 21266-2022 FSC-klagomål mail.docx", "A 21266-2022")</f>
        <v/>
      </c>
      <c r="AC300">
        <f>HYPERLINK("https://klasma.github.io/Logging_0780/tillsyn/A 21266-2022 tillsynsbegäran.docx", "A 21266-2022")</f>
        <v/>
      </c>
      <c r="AD300">
        <f>HYPERLINK("https://klasma.github.io/Logging_0780/tillsynsmail/A 21266-2022 tillsynsbegäran mail.docx", "A 21266-2022")</f>
        <v/>
      </c>
      <c r="AE300">
        <f>HYPERLINK("https://klasma.github.io/Logging_0780/fåglar/A 21266-2022 prioriterade fågelarter.docx", "A 21266-2022")</f>
        <v/>
      </c>
    </row>
    <row r="301" ht="15" customHeight="1">
      <c r="A301" t="inlineStr">
        <is>
          <t>A 28547-2023</t>
        </is>
      </c>
      <c r="B301" t="inlineStr">
        <is>
          <t>avverkningsanmälan</t>
        </is>
      </c>
      <c r="C301" t="inlineStr">
        <is>
          <t>Avverkning för annat ändamål</t>
        </is>
      </c>
      <c r="D301" s="1" t="n">
        <v>45103</v>
      </c>
      <c r="E301" s="1" t="n">
        <v>46316</v>
      </c>
      <c r="F301" t="inlineStr">
        <is>
          <t>KRONOBERGS LÄN</t>
        </is>
      </c>
      <c r="G301" t="inlineStr">
        <is>
          <t>TINGSRYD</t>
        </is>
      </c>
      <c r="H301" t="inlineStr">
        <is>
          <t>Kommuner</t>
        </is>
      </c>
      <c r="I301" t="n">
        <v>2.6</v>
      </c>
      <c r="J301" t="n">
        <v>0</v>
      </c>
      <c r="K301" t="n">
        <v>0</v>
      </c>
      <c r="L301" t="n">
        <v>0</v>
      </c>
      <c r="M301" t="n">
        <v>1</v>
      </c>
      <c r="N301" t="n">
        <v>0</v>
      </c>
      <c r="O301" t="n">
        <v>0</v>
      </c>
      <c r="P301" t="n">
        <v>0</v>
      </c>
      <c r="Q301" t="n">
        <v>1</v>
      </c>
      <c r="R301" t="n">
        <v>1</v>
      </c>
      <c r="S301" t="n">
        <v>1</v>
      </c>
      <c r="T301" t="n">
        <v>1</v>
      </c>
      <c r="U301" t="n">
        <v>1</v>
      </c>
      <c r="V301" s="2" t="inlineStr">
        <is>
          <t>Igelkott</t>
        </is>
      </c>
      <c r="W301">
        <f>HYPERLINK("https://klasma.github.io/Logging_0763/artfynd/A 28547-2023 artfynd.xlsx", "A 28547-2023")</f>
        <v/>
      </c>
      <c r="X301">
        <f>HYPERLINK("https://klasma.github.io/Logging_0763/kartor/A 28547-2023 karta.png", "A 28547-2023")</f>
        <v/>
      </c>
      <c r="Y301">
        <f>HYPERLINK("https://klasma.github.io/Logging_0763/kartor_geotiff/A 28547-2023 georefererad karta.tif", "A 28547-2023")</f>
        <v/>
      </c>
      <c r="AA301">
        <f>HYPERLINK("https://klasma.github.io/Logging_0763/klagomål/A 28547-2023 FSC-klagomål.docx", "A 28547-2023")</f>
        <v/>
      </c>
      <c r="AB301">
        <f>HYPERLINK("https://klasma.github.io/Logging_0763/klagomålsmail/A 28547-2023 FSC-klagomål mail.docx", "A 28547-2023")</f>
        <v/>
      </c>
      <c r="AC301">
        <f>HYPERLINK("https://klasma.github.io/Logging_0763/tillsyn/A 28547-2023 tillsynsbegäran.docx", "A 28547-2023")</f>
        <v/>
      </c>
      <c r="AD301">
        <f>HYPERLINK("https://klasma.github.io/Logging_0763/tillsynsmail/A 28547-2023 tillsynsbegäran mail.docx", "A 28547-2023")</f>
        <v/>
      </c>
    </row>
    <row r="302" ht="15" customHeight="1">
      <c r="A302" t="inlineStr">
        <is>
          <t>A 61657-2024</t>
        </is>
      </c>
      <c r="B302" t="inlineStr">
        <is>
          <t>avverkningsanmälan</t>
        </is>
      </c>
      <c r="C302" t="inlineStr">
        <is>
          <t>Föryngringsavverkning</t>
        </is>
      </c>
      <c r="D302" s="1" t="n">
        <v>45646</v>
      </c>
      <c r="E302" s="1" t="n">
        <v>46316</v>
      </c>
      <c r="F302" t="inlineStr">
        <is>
          <t>KRONOBERGS LÄN</t>
        </is>
      </c>
      <c r="G302" t="inlineStr">
        <is>
          <t>TINGSRYD</t>
        </is>
      </c>
      <c r="I302" t="n">
        <v>2.5</v>
      </c>
      <c r="J302" t="n">
        <v>0</v>
      </c>
      <c r="K302" t="n">
        <v>0</v>
      </c>
      <c r="L302" t="n">
        <v>0</v>
      </c>
      <c r="M302" t="n">
        <v>1</v>
      </c>
      <c r="N302" t="n">
        <v>0</v>
      </c>
      <c r="O302" t="n">
        <v>0</v>
      </c>
      <c r="P302" t="n">
        <v>0</v>
      </c>
      <c r="Q302" t="n">
        <v>1</v>
      </c>
      <c r="R302" t="n">
        <v>1</v>
      </c>
      <c r="S302" t="n">
        <v>1</v>
      </c>
      <c r="T302" t="n">
        <v>2</v>
      </c>
      <c r="U302" t="n">
        <v>0</v>
      </c>
      <c r="V302" s="2" t="inlineStr">
        <is>
          <t>Slåttergubbemal</t>
        </is>
      </c>
      <c r="W302">
        <f>HYPERLINK("https://klasma.github.io/Logging_0763/artfynd/A 61657-2024 artfynd.xlsx", "A 61657-2024")</f>
        <v/>
      </c>
      <c r="X302">
        <f>HYPERLINK("https://klasma.github.io/Logging_0763/kartor/A 61657-2024 karta.png", "A 61657-2024")</f>
        <v/>
      </c>
      <c r="Y302">
        <f>HYPERLINK("https://klasma.github.io/Logging_0763/kartor_geotiff/A 61657-2024 georefererad karta.tif", "A 61657-2024")</f>
        <v/>
      </c>
      <c r="AA302">
        <f>HYPERLINK("https://klasma.github.io/Logging_0763/klagomål/A 61657-2024 FSC-klagomål.docx", "A 61657-2024")</f>
        <v/>
      </c>
      <c r="AB302">
        <f>HYPERLINK("https://klasma.github.io/Logging_0763/klagomålsmail/A 61657-2024 FSC-klagomål mail.docx", "A 61657-2024")</f>
        <v/>
      </c>
      <c r="AC302">
        <f>HYPERLINK("https://klasma.github.io/Logging_0763/tillsyn/A 61657-2024 tillsynsbegäran.docx", "A 61657-2024")</f>
        <v/>
      </c>
      <c r="AD302">
        <f>HYPERLINK("https://klasma.github.io/Logging_0763/tillsynsmail/A 61657-2024 tillsynsbegäran mail.docx", "A 61657-2024")</f>
        <v/>
      </c>
    </row>
    <row r="303" ht="15" customHeight="1">
      <c r="A303" t="inlineStr">
        <is>
          <t>A 28798-2025</t>
        </is>
      </c>
      <c r="B303" t="inlineStr">
        <is>
          <t>avverkningsanmälan</t>
        </is>
      </c>
      <c r="C303" t="inlineStr">
        <is>
          <t>Föryngringsavverkning</t>
        </is>
      </c>
      <c r="D303" s="1" t="n">
        <v>45820</v>
      </c>
      <c r="E303" s="1" t="n">
        <v>46316</v>
      </c>
      <c r="F303" t="inlineStr">
        <is>
          <t>KRONOBERGS LÄN</t>
        </is>
      </c>
      <c r="G303" t="inlineStr">
        <is>
          <t>UPPVIDINGE</t>
        </is>
      </c>
      <c r="I303" t="n">
        <v>1.2</v>
      </c>
      <c r="J303" t="n">
        <v>0</v>
      </c>
      <c r="K303" t="n">
        <v>0</v>
      </c>
      <c r="L303" t="n">
        <v>0</v>
      </c>
      <c r="M303" t="n">
        <v>1</v>
      </c>
      <c r="N303" t="n">
        <v>0</v>
      </c>
      <c r="O303" t="n">
        <v>0</v>
      </c>
      <c r="P303" t="n">
        <v>0</v>
      </c>
      <c r="Q303" t="n">
        <v>1</v>
      </c>
      <c r="R303" t="n">
        <v>1</v>
      </c>
      <c r="S303" t="n">
        <v>1</v>
      </c>
      <c r="T303" t="n">
        <v>1</v>
      </c>
      <c r="U303" t="n">
        <v>0</v>
      </c>
      <c r="V303" s="2" t="inlineStr">
        <is>
          <t>Igelkott</t>
        </is>
      </c>
      <c r="W303">
        <f>HYPERLINK("https://klasma.github.io/Logging_0760/artfynd/A 28798-2025 artfynd.xlsx", "A 28798-2025")</f>
        <v/>
      </c>
      <c r="X303">
        <f>HYPERLINK("https://klasma.github.io/Logging_0760/kartor/A 28798-2025 karta.png", "A 28798-2025")</f>
        <v/>
      </c>
      <c r="Y303">
        <f>HYPERLINK("https://klasma.github.io/Logging_0760/kartor_geotiff/A 28798-2025 georefererad karta.tif", "A 28798-2025")</f>
        <v/>
      </c>
      <c r="AA303">
        <f>HYPERLINK("https://klasma.github.io/Logging_0760/klagomål/A 28798-2025 FSC-klagomål.docx", "A 28798-2025")</f>
        <v/>
      </c>
      <c r="AB303">
        <f>HYPERLINK("https://klasma.github.io/Logging_0760/klagomålsmail/A 28798-2025 FSC-klagomål mail.docx", "A 28798-2025")</f>
        <v/>
      </c>
      <c r="AC303">
        <f>HYPERLINK("https://klasma.github.io/Logging_0760/tillsyn/A 28798-2025 tillsynsbegäran.docx", "A 28798-2025")</f>
        <v/>
      </c>
      <c r="AD303">
        <f>HYPERLINK("https://klasma.github.io/Logging_0760/tillsynsmail/A 28798-2025 tillsynsbegäran mail.docx", "A 28798-2025")</f>
        <v/>
      </c>
    </row>
    <row r="304" ht="15" customHeight="1">
      <c r="A304" t="inlineStr">
        <is>
          <t>A 37608-2022</t>
        </is>
      </c>
      <c r="B304" t="inlineStr">
        <is>
          <t>avverkningsanmälan</t>
        </is>
      </c>
      <c r="C304" t="inlineStr">
        <is>
          <t>Föryngringsavverkning</t>
        </is>
      </c>
      <c r="D304" s="1" t="n">
        <v>44810</v>
      </c>
      <c r="E304" s="1" t="n">
        <v>46316</v>
      </c>
      <c r="F304" t="inlineStr">
        <is>
          <t>KRONOBERGS LÄN</t>
        </is>
      </c>
      <c r="G304" t="inlineStr">
        <is>
          <t>ALVESTA</t>
        </is>
      </c>
      <c r="I304" t="n">
        <v>5.3</v>
      </c>
      <c r="J304" t="n">
        <v>0</v>
      </c>
      <c r="K304" t="n">
        <v>0</v>
      </c>
      <c r="L304" t="n">
        <v>1</v>
      </c>
      <c r="M304" t="n">
        <v>0</v>
      </c>
      <c r="N304" t="n">
        <v>0</v>
      </c>
      <c r="O304" t="n">
        <v>0</v>
      </c>
      <c r="P304" t="n">
        <v>0</v>
      </c>
      <c r="Q304" t="n">
        <v>1</v>
      </c>
      <c r="R304" t="n">
        <v>0</v>
      </c>
      <c r="S304" t="n">
        <v>1</v>
      </c>
      <c r="T304" t="n">
        <v>1</v>
      </c>
      <c r="U304" t="n">
        <v>0</v>
      </c>
      <c r="V304" s="2" t="inlineStr">
        <is>
          <t>Gropticka</t>
        </is>
      </c>
      <c r="W304">
        <f>HYPERLINK("https://klasma.github.io/Logging_0764/artfynd/A 37608-2022 artfynd.xlsx", "A 37608-2022")</f>
        <v/>
      </c>
      <c r="X304">
        <f>HYPERLINK("https://klasma.github.io/Logging_0764/kartor/A 37608-2022 karta.png", "A 37608-2022")</f>
        <v/>
      </c>
      <c r="Y304">
        <f>HYPERLINK("https://klasma.github.io/Logging_0764/kartor_geotiff/A 37608-2022 georefererad karta.tif", "A 37608-2022")</f>
        <v/>
      </c>
      <c r="AA304">
        <f>HYPERLINK("https://klasma.github.io/Logging_0764/klagomål/A 37608-2022 FSC-klagomål.docx", "A 37608-2022")</f>
        <v/>
      </c>
      <c r="AB304">
        <f>HYPERLINK("https://klasma.github.io/Logging_0764/klagomålsmail/A 37608-2022 FSC-klagomål mail.docx", "A 37608-2022")</f>
        <v/>
      </c>
      <c r="AC304">
        <f>HYPERLINK("https://klasma.github.io/Logging_0764/tillsyn/A 37608-2022 tillsynsbegäran.docx", "A 37608-2022")</f>
        <v/>
      </c>
      <c r="AD304">
        <f>HYPERLINK("https://klasma.github.io/Logging_0764/tillsynsmail/A 37608-2022 tillsynsbegäran mail.docx", "A 37608-2022")</f>
        <v/>
      </c>
    </row>
    <row r="305" ht="15" customHeight="1">
      <c r="A305" t="inlineStr">
        <is>
          <t>A 4380-2026</t>
        </is>
      </c>
      <c r="B305" t="inlineStr">
        <is>
          <t>avverkningsanmälan</t>
        </is>
      </c>
      <c r="C305" t="inlineStr">
        <is>
          <t>Föryngringsavverkning</t>
        </is>
      </c>
      <c r="D305" s="1" t="n">
        <v>46045</v>
      </c>
      <c r="E305" s="1" t="n">
        <v>46316</v>
      </c>
      <c r="F305" t="inlineStr">
        <is>
          <t>KRONOBERGS LÄN</t>
        </is>
      </c>
      <c r="G305" t="inlineStr">
        <is>
          <t>VÄXJÖ</t>
        </is>
      </c>
      <c r="I305" t="n">
        <v>3.9</v>
      </c>
      <c r="J305" t="n">
        <v>1</v>
      </c>
      <c r="K305" t="n">
        <v>0</v>
      </c>
      <c r="L305" t="n">
        <v>0</v>
      </c>
      <c r="M305" t="n">
        <v>0</v>
      </c>
      <c r="N305" t="n">
        <v>0</v>
      </c>
      <c r="O305" t="n">
        <v>0</v>
      </c>
      <c r="P305" t="n">
        <v>0</v>
      </c>
      <c r="Q305" t="n">
        <v>0</v>
      </c>
      <c r="R305" t="n">
        <v>0</v>
      </c>
      <c r="S305" t="n">
        <v>1</v>
      </c>
      <c r="T305" t="n">
        <v>1</v>
      </c>
      <c r="U305" t="n">
        <v>0</v>
      </c>
      <c r="V305" s="2" t="inlineStr">
        <is>
          <t>Mattlummer</t>
        </is>
      </c>
      <c r="W305">
        <f>HYPERLINK("https://klasma.github.io/Logging_0780/artfynd/A 4380-2026 artfynd.xlsx", "A 4380-2026")</f>
        <v/>
      </c>
      <c r="X305">
        <f>HYPERLINK("https://klasma.github.io/Logging_0780/kartor/A 4380-2026 karta.png", "A 4380-2026")</f>
        <v/>
      </c>
      <c r="Y305">
        <f>HYPERLINK("https://klasma.github.io/Logging_0780/kartor_geotiff/A 4380-2026 georefererad karta.tif", "A 4380-2026")</f>
        <v/>
      </c>
      <c r="AA305">
        <f>HYPERLINK("https://klasma.github.io/Logging_0780/klagomål/A 4380-2026 FSC-klagomål.docx", "A 4380-2026")</f>
        <v/>
      </c>
      <c r="AB305">
        <f>HYPERLINK("https://klasma.github.io/Logging_0780/klagomålsmail/A 4380-2026 FSC-klagomål mail.docx", "A 4380-2026")</f>
        <v/>
      </c>
      <c r="AC305">
        <f>HYPERLINK("https://klasma.github.io/Logging_0780/tillsyn/A 4380-2026 tillsynsbegäran.docx", "A 4380-2026")</f>
        <v/>
      </c>
      <c r="AD305">
        <f>HYPERLINK("https://klasma.github.io/Logging_0780/tillsynsmail/A 4380-2026 tillsynsbegäran mail.docx", "A 4380-2026")</f>
        <v/>
      </c>
    </row>
    <row r="306" ht="15" customHeight="1">
      <c r="A306" t="inlineStr">
        <is>
          <t>A 32047-2024</t>
        </is>
      </c>
      <c r="B306" t="inlineStr">
        <is>
          <t>avverkningsanmälan</t>
        </is>
      </c>
      <c r="C306" t="inlineStr">
        <is>
          <t>Föryngringsavverkning</t>
        </is>
      </c>
      <c r="D306" s="1" t="n">
        <v>45510</v>
      </c>
      <c r="E306" s="1" t="n">
        <v>46316</v>
      </c>
      <c r="F306" t="inlineStr">
        <is>
          <t>KRONOBERGS LÄN</t>
        </is>
      </c>
      <c r="G306" t="inlineStr">
        <is>
          <t>LJUNGBY</t>
        </is>
      </c>
      <c r="I306" t="n">
        <v>1.9</v>
      </c>
      <c r="J306" t="n">
        <v>1</v>
      </c>
      <c r="K306" t="n">
        <v>0</v>
      </c>
      <c r="L306" t="n">
        <v>0</v>
      </c>
      <c r="M306" t="n">
        <v>1</v>
      </c>
      <c r="N306" t="n">
        <v>0</v>
      </c>
      <c r="O306" t="n">
        <v>0</v>
      </c>
      <c r="P306" t="n">
        <v>0</v>
      </c>
      <c r="Q306" t="n">
        <v>1</v>
      </c>
      <c r="R306" t="n">
        <v>1</v>
      </c>
      <c r="S306" t="n">
        <v>1</v>
      </c>
      <c r="T306" t="n">
        <v>1</v>
      </c>
      <c r="U306" t="n">
        <v>0</v>
      </c>
      <c r="V306" s="2" t="inlineStr">
        <is>
          <t>Knärot</t>
        </is>
      </c>
      <c r="W306">
        <f>HYPERLINK("https://klasma.github.io/Logging_0781/artfynd/A 32047-2024 artfynd.xlsx", "A 32047-2024")</f>
        <v/>
      </c>
      <c r="X306">
        <f>HYPERLINK("https://klasma.github.io/Logging_0781/kartor/A 32047-2024 karta.png", "A 32047-2024")</f>
        <v/>
      </c>
      <c r="Y306">
        <f>HYPERLINK("https://klasma.github.io/Logging_0781/kartor_geotiff/A 32047-2024 georefererad karta.tif", "A 32047-2024")</f>
        <v/>
      </c>
      <c r="Z306">
        <f>HYPERLINK("https://klasma.github.io/Logging_0781/knärot/A 32047-2024 karta knärot.png", "A 32047-2024")</f>
        <v/>
      </c>
      <c r="AA306">
        <f>HYPERLINK("https://klasma.github.io/Logging_0781/klagomål/A 32047-2024 FSC-klagomål.docx", "A 32047-2024")</f>
        <v/>
      </c>
      <c r="AB306">
        <f>HYPERLINK("https://klasma.github.io/Logging_0781/klagomålsmail/A 32047-2024 FSC-klagomål mail.docx", "A 32047-2024")</f>
        <v/>
      </c>
      <c r="AC306">
        <f>HYPERLINK("https://klasma.github.io/Logging_0781/tillsyn/A 32047-2024 tillsynsbegäran.docx", "A 32047-2024")</f>
        <v/>
      </c>
      <c r="AD306">
        <f>HYPERLINK("https://klasma.github.io/Logging_0781/tillsynsmail/A 32047-2024 tillsynsbegäran mail.docx", "A 32047-2024")</f>
        <v/>
      </c>
    </row>
    <row r="307" ht="15" customHeight="1">
      <c r="A307" t="inlineStr">
        <is>
          <t>A 46020-2024</t>
        </is>
      </c>
      <c r="B307" t="inlineStr">
        <is>
          <t>avverkningsanmälan</t>
        </is>
      </c>
      <c r="C307" t="inlineStr">
        <is>
          <t>Föryngringsavverkning</t>
        </is>
      </c>
      <c r="D307" s="1" t="n">
        <v>45580</v>
      </c>
      <c r="E307" s="1" t="n">
        <v>46316</v>
      </c>
      <c r="F307" t="inlineStr">
        <is>
          <t>KRONOBERGS LÄN</t>
        </is>
      </c>
      <c r="G307" t="inlineStr">
        <is>
          <t>TINGSRYD</t>
        </is>
      </c>
      <c r="I307" t="n">
        <v>6</v>
      </c>
      <c r="J307" t="n">
        <v>0</v>
      </c>
      <c r="K307" t="n">
        <v>1</v>
      </c>
      <c r="L307" t="n">
        <v>0</v>
      </c>
      <c r="M307" t="n">
        <v>0</v>
      </c>
      <c r="N307" t="n">
        <v>0</v>
      </c>
      <c r="O307" t="n">
        <v>0</v>
      </c>
      <c r="P307" t="n">
        <v>0</v>
      </c>
      <c r="Q307" t="n">
        <v>0</v>
      </c>
      <c r="R307" t="n">
        <v>0</v>
      </c>
      <c r="S307" t="n">
        <v>1</v>
      </c>
      <c r="T307" t="n">
        <v>1</v>
      </c>
      <c r="U307" t="n">
        <v>0</v>
      </c>
      <c r="V307" s="2" t="inlineStr">
        <is>
          <t>Blåmossa</t>
        </is>
      </c>
      <c r="W307">
        <f>HYPERLINK("https://klasma.github.io/Logging_0763/artfynd/A 46020-2024 artfynd.xlsx", "A 46020-2024")</f>
        <v/>
      </c>
      <c r="X307">
        <f>HYPERLINK("https://klasma.github.io/Logging_0763/kartor/A 46020-2024 karta.png", "A 46020-2024")</f>
        <v/>
      </c>
      <c r="Y307">
        <f>HYPERLINK("https://klasma.github.io/Logging_0763/kartor_geotiff/A 46020-2024 georefererad karta.tif", "A 46020-2024")</f>
        <v/>
      </c>
      <c r="AA307">
        <f>HYPERLINK("https://klasma.github.io/Logging_0763/klagomål/A 46020-2024 FSC-klagomål.docx", "A 46020-2024")</f>
        <v/>
      </c>
      <c r="AB307">
        <f>HYPERLINK("https://klasma.github.io/Logging_0763/klagomålsmail/A 46020-2024 FSC-klagomål mail.docx", "A 46020-2024")</f>
        <v/>
      </c>
      <c r="AC307">
        <f>HYPERLINK("https://klasma.github.io/Logging_0763/tillsyn/A 46020-2024 tillsynsbegäran.docx", "A 46020-2024")</f>
        <v/>
      </c>
      <c r="AD307">
        <f>HYPERLINK("https://klasma.github.io/Logging_0763/tillsynsmail/A 46020-2024 tillsynsbegäran mail.docx", "A 46020-2024")</f>
        <v/>
      </c>
    </row>
    <row r="308" ht="15" customHeight="1">
      <c r="A308" t="inlineStr">
        <is>
          <t>A 11669-2024</t>
        </is>
      </c>
      <c r="B308" t="inlineStr">
        <is>
          <t>avverkningsanmälan</t>
        </is>
      </c>
      <c r="C308" t="inlineStr">
        <is>
          <t>Föryngringsavverkning</t>
        </is>
      </c>
      <c r="D308" s="1" t="n">
        <v>45373</v>
      </c>
      <c r="E308" s="1" t="n">
        <v>46316</v>
      </c>
      <c r="F308" t="inlineStr">
        <is>
          <t>KRONOBERGS LÄN</t>
        </is>
      </c>
      <c r="G308" t="inlineStr">
        <is>
          <t>ALVESTA</t>
        </is>
      </c>
      <c r="I308" t="n">
        <v>2.4</v>
      </c>
      <c r="J308" t="n">
        <v>0</v>
      </c>
      <c r="K308" t="n">
        <v>1</v>
      </c>
      <c r="L308" t="n">
        <v>0</v>
      </c>
      <c r="M308" t="n">
        <v>0</v>
      </c>
      <c r="N308" t="n">
        <v>0</v>
      </c>
      <c r="O308" t="n">
        <v>0</v>
      </c>
      <c r="P308" t="n">
        <v>0</v>
      </c>
      <c r="Q308" t="n">
        <v>0</v>
      </c>
      <c r="R308" t="n">
        <v>0</v>
      </c>
      <c r="S308" t="n">
        <v>1</v>
      </c>
      <c r="T308" t="n">
        <v>1</v>
      </c>
      <c r="U308" t="n">
        <v>0</v>
      </c>
      <c r="V308" s="2" t="inlineStr">
        <is>
          <t>Skuggmossa</t>
        </is>
      </c>
      <c r="W308">
        <f>HYPERLINK("https://klasma.github.io/Logging_0764/artfynd/A 11669-2024 artfynd.xlsx", "A 11669-2024")</f>
        <v/>
      </c>
      <c r="X308">
        <f>HYPERLINK("https://klasma.github.io/Logging_0764/kartor/A 11669-2024 karta.png", "A 11669-2024")</f>
        <v/>
      </c>
      <c r="Y308">
        <f>HYPERLINK("https://klasma.github.io/Logging_0764/kartor_geotiff/A 11669-2024 georefererad karta.tif", "A 11669-2024")</f>
        <v/>
      </c>
      <c r="AA308">
        <f>HYPERLINK("https://klasma.github.io/Logging_0764/klagomål/A 11669-2024 FSC-klagomål.docx", "A 11669-2024")</f>
        <v/>
      </c>
      <c r="AB308">
        <f>HYPERLINK("https://klasma.github.io/Logging_0764/klagomålsmail/A 11669-2024 FSC-klagomål mail.docx", "A 11669-2024")</f>
        <v/>
      </c>
      <c r="AC308">
        <f>HYPERLINK("https://klasma.github.io/Logging_0764/tillsyn/A 11669-2024 tillsynsbegäran.docx", "A 11669-2024")</f>
        <v/>
      </c>
      <c r="AD308">
        <f>HYPERLINK("https://klasma.github.io/Logging_0764/tillsynsmail/A 11669-2024 tillsynsbegäran mail.docx", "A 11669-2024")</f>
        <v/>
      </c>
    </row>
    <row r="309" ht="15" customHeight="1">
      <c r="A309" t="inlineStr">
        <is>
          <t>A 29643-2025</t>
        </is>
      </c>
      <c r="B309" t="inlineStr">
        <is>
          <t>avverkningsanmälan</t>
        </is>
      </c>
      <c r="C309" t="inlineStr">
        <is>
          <t>Föryngringsavverkning</t>
        </is>
      </c>
      <c r="D309" s="1" t="n">
        <v>45825</v>
      </c>
      <c r="E309" s="1" t="n">
        <v>46316</v>
      </c>
      <c r="F309" t="inlineStr">
        <is>
          <t>KRONOBERGS LÄN</t>
        </is>
      </c>
      <c r="G309" t="inlineStr">
        <is>
          <t>UPPVIDINGE</t>
        </is>
      </c>
      <c r="I309" t="n">
        <v>3.8</v>
      </c>
      <c r="J309" t="n">
        <v>1</v>
      </c>
      <c r="K309" t="n">
        <v>0</v>
      </c>
      <c r="L309" t="n">
        <v>1</v>
      </c>
      <c r="M309" t="n">
        <v>0</v>
      </c>
      <c r="N309" t="n">
        <v>0</v>
      </c>
      <c r="O309" t="n">
        <v>0</v>
      </c>
      <c r="P309" t="n">
        <v>0</v>
      </c>
      <c r="Q309" t="n">
        <v>1</v>
      </c>
      <c r="R309" t="n">
        <v>0</v>
      </c>
      <c r="S309" t="n">
        <v>1</v>
      </c>
      <c r="T309" t="n">
        <v>1</v>
      </c>
      <c r="U309" t="n">
        <v>0</v>
      </c>
      <c r="V309" s="2" t="inlineStr">
        <is>
          <t>Nordfladdermus</t>
        </is>
      </c>
      <c r="W309">
        <f>HYPERLINK("https://klasma.github.io/Logging_0760/artfynd/A 29643-2025 artfynd.xlsx", "A 29643-2025")</f>
        <v/>
      </c>
      <c r="X309">
        <f>HYPERLINK("https://klasma.github.io/Logging_0760/kartor/A 29643-2025 karta.png", "A 29643-2025")</f>
        <v/>
      </c>
      <c r="Y309">
        <f>HYPERLINK("https://klasma.github.io/Logging_0760/kartor_geotiff/A 29643-2025 georefererad karta.tif", "A 29643-2025")</f>
        <v/>
      </c>
      <c r="AA309">
        <f>HYPERLINK("https://klasma.github.io/Logging_0760/klagomål/A 29643-2025 FSC-klagomål.docx", "A 29643-2025")</f>
        <v/>
      </c>
      <c r="AB309">
        <f>HYPERLINK("https://klasma.github.io/Logging_0760/klagomålsmail/A 29643-2025 FSC-klagomål mail.docx", "A 29643-2025")</f>
        <v/>
      </c>
      <c r="AC309">
        <f>HYPERLINK("https://klasma.github.io/Logging_0760/tillsyn/A 29643-2025 tillsynsbegäran.docx", "A 29643-2025")</f>
        <v/>
      </c>
      <c r="AD309">
        <f>HYPERLINK("https://klasma.github.io/Logging_0760/tillsynsmail/A 29643-2025 tillsynsbegäran mail.docx", "A 29643-2025")</f>
        <v/>
      </c>
    </row>
    <row r="310" ht="15" customHeight="1">
      <c r="A310" t="inlineStr">
        <is>
          <t>A 7501-2024</t>
        </is>
      </c>
      <c r="B310" t="inlineStr">
        <is>
          <t>avverkningsanmälan</t>
        </is>
      </c>
      <c r="C310" t="inlineStr">
        <is>
          <t>Avverkning för annat ändamål</t>
        </is>
      </c>
      <c r="D310" s="1" t="n">
        <v>45347</v>
      </c>
      <c r="E310" s="1" t="n">
        <v>46316</v>
      </c>
      <c r="F310" t="inlineStr">
        <is>
          <t>KRONOBERGS LÄN</t>
        </is>
      </c>
      <c r="G310" t="inlineStr">
        <is>
          <t>MARKARYD</t>
        </is>
      </c>
      <c r="I310" t="n">
        <v>15.1</v>
      </c>
      <c r="J310" t="n">
        <v>0</v>
      </c>
      <c r="K310" t="n">
        <v>1</v>
      </c>
      <c r="L310" t="n">
        <v>0</v>
      </c>
      <c r="M310" t="n">
        <v>0</v>
      </c>
      <c r="N310" t="n">
        <v>0</v>
      </c>
      <c r="O310" t="n">
        <v>0</v>
      </c>
      <c r="P310" t="n">
        <v>0</v>
      </c>
      <c r="Q310" t="n">
        <v>0</v>
      </c>
      <c r="R310" t="n">
        <v>0</v>
      </c>
      <c r="S310" t="n">
        <v>1</v>
      </c>
      <c r="T310" t="n">
        <v>1</v>
      </c>
      <c r="U310" t="n">
        <v>0</v>
      </c>
      <c r="V310" s="2" t="inlineStr">
        <is>
          <t>Västlig hakmossa</t>
        </is>
      </c>
      <c r="W310">
        <f>HYPERLINK("https://klasma.github.io/Logging_0767/artfynd/A 7501-2024 artfynd.xlsx", "A 7501-2024")</f>
        <v/>
      </c>
      <c r="X310">
        <f>HYPERLINK("https://klasma.github.io/Logging_0767/kartor/A 7501-2024 karta.png", "A 7501-2024")</f>
        <v/>
      </c>
      <c r="Y310">
        <f>HYPERLINK("https://klasma.github.io/Logging_0767/kartor_geotiff/A 7501-2024 georefererad karta.tif", "A 7501-2024")</f>
        <v/>
      </c>
      <c r="AA310">
        <f>HYPERLINK("https://klasma.github.io/Logging_0767/klagomål/A 7501-2024 FSC-klagomål.docx", "A 7501-2024")</f>
        <v/>
      </c>
      <c r="AB310">
        <f>HYPERLINK("https://klasma.github.io/Logging_0767/klagomålsmail/A 7501-2024 FSC-klagomål mail.docx", "A 7501-2024")</f>
        <v/>
      </c>
      <c r="AC310">
        <f>HYPERLINK("https://klasma.github.io/Logging_0767/tillsyn/A 7501-2024 tillsynsbegäran.docx", "A 7501-2024")</f>
        <v/>
      </c>
      <c r="AD310">
        <f>HYPERLINK("https://klasma.github.io/Logging_0767/tillsynsmail/A 7501-2024 tillsynsbegäran mail.docx", "A 7501-2024")</f>
        <v/>
      </c>
    </row>
    <row r="311" ht="15" customHeight="1">
      <c r="A311" t="inlineStr">
        <is>
          <t>A 48196-2025</t>
        </is>
      </c>
      <c r="B311" t="inlineStr">
        <is>
          <t>avverkningsanmälan</t>
        </is>
      </c>
      <c r="C311" t="inlineStr">
        <is>
          <t>Föryngringsavverkning</t>
        </is>
      </c>
      <c r="D311" s="1" t="n">
        <v>45932</v>
      </c>
      <c r="E311" s="1" t="n">
        <v>46316</v>
      </c>
      <c r="F311" t="inlineStr">
        <is>
          <t>KRONOBERGS LÄN</t>
        </is>
      </c>
      <c r="G311" t="inlineStr">
        <is>
          <t>ÄLMHULT</t>
        </is>
      </c>
      <c r="I311" t="n">
        <v>20.1</v>
      </c>
      <c r="J311" t="n">
        <v>1</v>
      </c>
      <c r="K311" t="n">
        <v>0</v>
      </c>
      <c r="L311" t="n">
        <v>1</v>
      </c>
      <c r="M311" t="n">
        <v>0</v>
      </c>
      <c r="N311" t="n">
        <v>0</v>
      </c>
      <c r="O311" t="n">
        <v>0</v>
      </c>
      <c r="P311" t="n">
        <v>0</v>
      </c>
      <c r="Q311" t="n">
        <v>1</v>
      </c>
      <c r="R311" t="n">
        <v>0</v>
      </c>
      <c r="S311" t="n">
        <v>1</v>
      </c>
      <c r="T311" t="n">
        <v>1</v>
      </c>
      <c r="U311" t="n">
        <v>0</v>
      </c>
      <c r="V311" s="2" t="inlineStr">
        <is>
          <t>Sparvuggla</t>
        </is>
      </c>
      <c r="W311">
        <f>HYPERLINK("https://klasma.github.io/Logging_0765/artfynd/A 48196-2025 artfynd.xlsx", "A 48196-2025")</f>
        <v/>
      </c>
      <c r="X311">
        <f>HYPERLINK("https://klasma.github.io/Logging_0765/kartor/A 48196-2025 karta.png", "A 48196-2025")</f>
        <v/>
      </c>
      <c r="Y311">
        <f>HYPERLINK("https://klasma.github.io/Logging_0765/kartor_geotiff/A 48196-2025 georefererad karta.tif", "A 48196-2025")</f>
        <v/>
      </c>
      <c r="AA311">
        <f>HYPERLINK("https://klasma.github.io/Logging_0765/klagomål/A 48196-2025 FSC-klagomål.docx", "A 48196-2025")</f>
        <v/>
      </c>
      <c r="AB311">
        <f>HYPERLINK("https://klasma.github.io/Logging_0765/klagomålsmail/A 48196-2025 FSC-klagomål mail.docx", "A 48196-2025")</f>
        <v/>
      </c>
      <c r="AC311">
        <f>HYPERLINK("https://klasma.github.io/Logging_0765/tillsyn/A 48196-2025 tillsynsbegäran.docx", "A 48196-2025")</f>
        <v/>
      </c>
      <c r="AD311">
        <f>HYPERLINK("https://klasma.github.io/Logging_0765/tillsynsmail/A 48196-2025 tillsynsbegäran mail.docx", "A 48196-2025")</f>
        <v/>
      </c>
      <c r="AE311">
        <f>HYPERLINK("https://klasma.github.io/Logging_0765/fåglar/A 48196-2025 prioriterade fågelarter.docx", "A 48196-2025")</f>
        <v/>
      </c>
    </row>
    <row r="312" ht="15" customHeight="1">
      <c r="A312" t="inlineStr">
        <is>
          <t>A 60370-2024</t>
        </is>
      </c>
      <c r="B312" t="inlineStr">
        <is>
          <t>avverkningsanmälan</t>
        </is>
      </c>
      <c r="C312" t="inlineStr">
        <is>
          <t>Avverkning för annat ändamål</t>
        </is>
      </c>
      <c r="D312" s="1" t="n">
        <v>45643</v>
      </c>
      <c r="E312" s="1" t="n">
        <v>46316</v>
      </c>
      <c r="F312" t="inlineStr">
        <is>
          <t>KRONOBERGS LÄN</t>
        </is>
      </c>
      <c r="G312" t="inlineStr">
        <is>
          <t>VÄXJÖ</t>
        </is>
      </c>
      <c r="I312" t="n">
        <v>0.6</v>
      </c>
      <c r="J312" t="n">
        <v>0</v>
      </c>
      <c r="K312" t="n">
        <v>0</v>
      </c>
      <c r="L312" t="n">
        <v>1</v>
      </c>
      <c r="M312" t="n">
        <v>0</v>
      </c>
      <c r="N312" t="n">
        <v>0</v>
      </c>
      <c r="O312" t="n">
        <v>0</v>
      </c>
      <c r="P312" t="n">
        <v>0</v>
      </c>
      <c r="Q312" t="n">
        <v>1</v>
      </c>
      <c r="R312" t="n">
        <v>0</v>
      </c>
      <c r="S312" t="n">
        <v>1</v>
      </c>
      <c r="T312" t="n">
        <v>1</v>
      </c>
      <c r="U312" t="n">
        <v>1</v>
      </c>
      <c r="V312" s="2" t="inlineStr">
        <is>
          <t>Borsttåg</t>
        </is>
      </c>
      <c r="W312">
        <f>HYPERLINK("https://klasma.github.io/Logging_0780/artfynd/A 60370-2024 artfynd.xlsx", "A 60370-2024")</f>
        <v/>
      </c>
      <c r="X312">
        <f>HYPERLINK("https://klasma.github.io/Logging_0780/kartor/A 60370-2024 karta.png", "A 60370-2024")</f>
        <v/>
      </c>
      <c r="Y312">
        <f>HYPERLINK("https://klasma.github.io/Logging_0780/kartor_geotiff/A 60370-2024 georefererad karta.tif", "A 60370-2024")</f>
        <v/>
      </c>
      <c r="AA312">
        <f>HYPERLINK("https://klasma.github.io/Logging_0780/klagomål/A 60370-2024 FSC-klagomål.docx", "A 60370-2024")</f>
        <v/>
      </c>
      <c r="AB312">
        <f>HYPERLINK("https://klasma.github.io/Logging_0780/klagomålsmail/A 60370-2024 FSC-klagomål mail.docx", "A 60370-2024")</f>
        <v/>
      </c>
      <c r="AC312">
        <f>HYPERLINK("https://klasma.github.io/Logging_0780/tillsyn/A 60370-2024 tillsynsbegäran.docx", "A 60370-2024")</f>
        <v/>
      </c>
      <c r="AD312">
        <f>HYPERLINK("https://klasma.github.io/Logging_0780/tillsynsmail/A 60370-2024 tillsynsbegäran mail.docx", "A 60370-2024")</f>
        <v/>
      </c>
    </row>
    <row r="313" ht="15" customHeight="1">
      <c r="A313" t="inlineStr">
        <is>
          <t>A 55799-2024</t>
        </is>
      </c>
      <c r="B313" t="inlineStr">
        <is>
          <t>avverkningsanmälan</t>
        </is>
      </c>
      <c r="C313" t="inlineStr">
        <is>
          <t>Avverkning för att bevara och utveckla /försöksver</t>
        </is>
      </c>
      <c r="D313" s="1" t="n">
        <v>45623</v>
      </c>
      <c r="E313" s="1" t="n">
        <v>46316</v>
      </c>
      <c r="F313" t="inlineStr">
        <is>
          <t>KRONOBERGS LÄN</t>
        </is>
      </c>
      <c r="G313" t="inlineStr">
        <is>
          <t>UPPVIDINGE</t>
        </is>
      </c>
      <c r="I313" t="n">
        <v>0.7</v>
      </c>
      <c r="J313" t="n">
        <v>0</v>
      </c>
      <c r="K313" t="n">
        <v>0</v>
      </c>
      <c r="L313" t="n">
        <v>0</v>
      </c>
      <c r="M313" t="n">
        <v>1</v>
      </c>
      <c r="N313" t="n">
        <v>0</v>
      </c>
      <c r="O313" t="n">
        <v>0</v>
      </c>
      <c r="P313" t="n">
        <v>0</v>
      </c>
      <c r="Q313" t="n">
        <v>1</v>
      </c>
      <c r="R313" t="n">
        <v>1</v>
      </c>
      <c r="S313" t="n">
        <v>1</v>
      </c>
      <c r="T313" t="n">
        <v>1</v>
      </c>
      <c r="U313" t="n">
        <v>0</v>
      </c>
      <c r="V313" s="2" t="inlineStr">
        <is>
          <t>Slåttergubbe</t>
        </is>
      </c>
      <c r="W313">
        <f>HYPERLINK("https://klasma.github.io/Logging_0760/artfynd/A 55799-2024 artfynd.xlsx", "A 55799-2024")</f>
        <v/>
      </c>
      <c r="X313">
        <f>HYPERLINK("https://klasma.github.io/Logging_0760/kartor/A 55799-2024 karta.png", "A 55799-2024")</f>
        <v/>
      </c>
      <c r="Y313">
        <f>HYPERLINK("https://klasma.github.io/Logging_0760/kartor_geotiff/A 55799-2024 georefererad karta.tif", "A 55799-2024")</f>
        <v/>
      </c>
      <c r="AA313">
        <f>HYPERLINK("https://klasma.github.io/Logging_0760/klagomål/A 55799-2024 FSC-klagomål.docx", "A 55799-2024")</f>
        <v/>
      </c>
      <c r="AB313">
        <f>HYPERLINK("https://klasma.github.io/Logging_0760/klagomålsmail/A 55799-2024 FSC-klagomål mail.docx", "A 55799-2024")</f>
        <v/>
      </c>
      <c r="AC313">
        <f>HYPERLINK("https://klasma.github.io/Logging_0760/tillsyn/A 55799-2024 tillsynsbegäran.docx", "A 55799-2024")</f>
        <v/>
      </c>
      <c r="AD313">
        <f>HYPERLINK("https://klasma.github.io/Logging_0760/tillsynsmail/A 55799-2024 tillsynsbegäran mail.docx", "A 55799-2024")</f>
        <v/>
      </c>
    </row>
    <row r="314" ht="15" customHeight="1">
      <c r="A314" t="inlineStr">
        <is>
          <t>A 42054-2024</t>
        </is>
      </c>
      <c r="B314" t="inlineStr">
        <is>
          <t>avverkningsanmälan</t>
        </is>
      </c>
      <c r="C314" t="inlineStr">
        <is>
          <t>Föryngringsavverkning</t>
        </is>
      </c>
      <c r="D314" s="1" t="n">
        <v>45561</v>
      </c>
      <c r="E314" s="1" t="n">
        <v>46316</v>
      </c>
      <c r="F314" t="inlineStr">
        <is>
          <t>KRONOBERGS LÄN</t>
        </is>
      </c>
      <c r="G314" t="inlineStr">
        <is>
          <t>LJUNGBY</t>
        </is>
      </c>
      <c r="I314" t="n">
        <v>2</v>
      </c>
      <c r="J314" t="n">
        <v>1</v>
      </c>
      <c r="K314" t="n">
        <v>0</v>
      </c>
      <c r="L314" t="n">
        <v>0</v>
      </c>
      <c r="M314" t="n">
        <v>0</v>
      </c>
      <c r="N314" t="n">
        <v>0</v>
      </c>
      <c r="O314" t="n">
        <v>0</v>
      </c>
      <c r="P314" t="n">
        <v>0</v>
      </c>
      <c r="Q314" t="n">
        <v>0</v>
      </c>
      <c r="R314" t="n">
        <v>0</v>
      </c>
      <c r="S314" t="n">
        <v>1</v>
      </c>
      <c r="T314" t="n">
        <v>1</v>
      </c>
      <c r="U314" t="n">
        <v>0</v>
      </c>
      <c r="V314" s="2" t="inlineStr">
        <is>
          <t>Mattlummer</t>
        </is>
      </c>
      <c r="W314">
        <f>HYPERLINK("https://klasma.github.io/Logging_0781/artfynd/A 42054-2024 artfynd.xlsx", "A 42054-2024")</f>
        <v/>
      </c>
      <c r="X314">
        <f>HYPERLINK("https://klasma.github.io/Logging_0781/kartor/A 42054-2024 karta.png", "A 42054-2024")</f>
        <v/>
      </c>
      <c r="Y314">
        <f>HYPERLINK("https://klasma.github.io/Logging_0781/kartor_geotiff/A 42054-2024 georefererad karta.tif", "A 42054-2024")</f>
        <v/>
      </c>
      <c r="AA314">
        <f>HYPERLINK("https://klasma.github.io/Logging_0781/klagomål/A 42054-2024 FSC-klagomål.docx", "A 42054-2024")</f>
        <v/>
      </c>
      <c r="AB314">
        <f>HYPERLINK("https://klasma.github.io/Logging_0781/klagomålsmail/A 42054-2024 FSC-klagomål mail.docx", "A 42054-2024")</f>
        <v/>
      </c>
      <c r="AC314">
        <f>HYPERLINK("https://klasma.github.io/Logging_0781/tillsyn/A 42054-2024 tillsynsbegäran.docx", "A 42054-2024")</f>
        <v/>
      </c>
      <c r="AD314">
        <f>HYPERLINK("https://klasma.github.io/Logging_0781/tillsynsmail/A 42054-2024 tillsynsbegäran mail.docx", "A 42054-2024")</f>
        <v/>
      </c>
    </row>
    <row r="315" ht="15" customHeight="1">
      <c r="A315" t="inlineStr">
        <is>
          <t>A 49577-2025</t>
        </is>
      </c>
      <c r="B315" t="inlineStr">
        <is>
          <t>avverkningsanmälan</t>
        </is>
      </c>
      <c r="C315" t="inlineStr">
        <is>
          <t>Föryngringsavverkning</t>
        </is>
      </c>
      <c r="D315" s="1" t="n">
        <v>45939</v>
      </c>
      <c r="E315" s="1" t="n">
        <v>46316</v>
      </c>
      <c r="F315" t="inlineStr">
        <is>
          <t>KRONOBERGS LÄN</t>
        </is>
      </c>
      <c r="G315" t="inlineStr">
        <is>
          <t>UPPVIDINGE</t>
        </is>
      </c>
      <c r="I315" t="n">
        <v>0.5</v>
      </c>
      <c r="J315" t="n">
        <v>0</v>
      </c>
      <c r="K315" t="n">
        <v>0</v>
      </c>
      <c r="L315" t="n">
        <v>0</v>
      </c>
      <c r="M315" t="n">
        <v>1</v>
      </c>
      <c r="N315" t="n">
        <v>0</v>
      </c>
      <c r="O315" t="n">
        <v>0</v>
      </c>
      <c r="P315" t="n">
        <v>0</v>
      </c>
      <c r="Q315" t="n">
        <v>1</v>
      </c>
      <c r="R315" t="n">
        <v>1</v>
      </c>
      <c r="S315" t="n">
        <v>1</v>
      </c>
      <c r="T315" t="n">
        <v>1</v>
      </c>
      <c r="U315" t="n">
        <v>0</v>
      </c>
      <c r="V315" s="2" t="inlineStr">
        <is>
          <t>Slåttergubbe</t>
        </is>
      </c>
      <c r="W315">
        <f>HYPERLINK("https://klasma.github.io/Logging_0760/artfynd/A 49577-2025 artfynd.xlsx", "A 49577-2025")</f>
        <v/>
      </c>
      <c r="X315">
        <f>HYPERLINK("https://klasma.github.io/Logging_0760/kartor/A 49577-2025 karta.png", "A 49577-2025")</f>
        <v/>
      </c>
      <c r="Y315">
        <f>HYPERLINK("https://klasma.github.io/Logging_0760/kartor_geotiff/A 49577-2025 georefererad karta.tif", "A 49577-2025")</f>
        <v/>
      </c>
      <c r="AA315">
        <f>HYPERLINK("https://klasma.github.io/Logging_0760/klagomål/A 49577-2025 FSC-klagomål.docx", "A 49577-2025")</f>
        <v/>
      </c>
      <c r="AB315">
        <f>HYPERLINK("https://klasma.github.io/Logging_0760/klagomålsmail/A 49577-2025 FSC-klagomål mail.docx", "A 49577-2025")</f>
        <v/>
      </c>
      <c r="AC315">
        <f>HYPERLINK("https://klasma.github.io/Logging_0760/tillsyn/A 49577-2025 tillsynsbegäran.docx", "A 49577-2025")</f>
        <v/>
      </c>
      <c r="AD315">
        <f>HYPERLINK("https://klasma.github.io/Logging_0760/tillsynsmail/A 49577-2025 tillsynsbegäran mail.docx", "A 49577-2025")</f>
        <v/>
      </c>
    </row>
    <row r="316" ht="15" customHeight="1">
      <c r="A316" t="inlineStr">
        <is>
          <t>A 38427-2023</t>
        </is>
      </c>
      <c r="B316" t="inlineStr">
        <is>
          <t>avverkningsanmälan</t>
        </is>
      </c>
      <c r="C316" t="inlineStr">
        <is>
          <t>Föryngringsavverkning</t>
        </is>
      </c>
      <c r="D316" s="1" t="n">
        <v>45162</v>
      </c>
      <c r="E316" s="1" t="n">
        <v>46316</v>
      </c>
      <c r="F316" t="inlineStr">
        <is>
          <t>KRONOBERGS LÄN</t>
        </is>
      </c>
      <c r="G316" t="inlineStr">
        <is>
          <t>LJUNGBY</t>
        </is>
      </c>
      <c r="I316" t="n">
        <v>3</v>
      </c>
      <c r="J316" t="n">
        <v>1</v>
      </c>
      <c r="K316" t="n">
        <v>0</v>
      </c>
      <c r="L316" t="n">
        <v>0</v>
      </c>
      <c r="M316" t="n">
        <v>0</v>
      </c>
      <c r="N316" t="n">
        <v>0</v>
      </c>
      <c r="O316" t="n">
        <v>0</v>
      </c>
      <c r="P316" t="n">
        <v>0</v>
      </c>
      <c r="Q316" t="n">
        <v>0</v>
      </c>
      <c r="R316" t="n">
        <v>0</v>
      </c>
      <c r="S316" t="n">
        <v>1</v>
      </c>
      <c r="T316" t="n">
        <v>1</v>
      </c>
      <c r="U316" t="n">
        <v>0</v>
      </c>
      <c r="V316" s="2" t="inlineStr">
        <is>
          <t>Vanlig snok</t>
        </is>
      </c>
      <c r="W316">
        <f>HYPERLINK("https://klasma.github.io/Logging_0781/artfynd/A 38427-2023 artfynd.xlsx", "A 38427-2023")</f>
        <v/>
      </c>
      <c r="X316">
        <f>HYPERLINK("https://klasma.github.io/Logging_0781/kartor/A 38427-2023 karta.png", "A 38427-2023")</f>
        <v/>
      </c>
      <c r="Y316">
        <f>HYPERLINK("https://klasma.github.io/Logging_0781/kartor_geotiff/A 38427-2023 georefererad karta.tif", "A 38427-2023")</f>
        <v/>
      </c>
      <c r="AA316">
        <f>HYPERLINK("https://klasma.github.io/Logging_0781/klagomål/A 38427-2023 FSC-klagomål.docx", "A 38427-2023")</f>
        <v/>
      </c>
      <c r="AB316">
        <f>HYPERLINK("https://klasma.github.io/Logging_0781/klagomålsmail/A 38427-2023 FSC-klagomål mail.docx", "A 38427-2023")</f>
        <v/>
      </c>
      <c r="AC316">
        <f>HYPERLINK("https://klasma.github.io/Logging_0781/tillsyn/A 38427-2023 tillsynsbegäran.docx", "A 38427-2023")</f>
        <v/>
      </c>
      <c r="AD316">
        <f>HYPERLINK("https://klasma.github.io/Logging_0781/tillsynsmail/A 38427-2023 tillsynsbegäran mail.docx", "A 38427-2023")</f>
        <v/>
      </c>
    </row>
    <row r="317" ht="15" customHeight="1">
      <c r="A317" t="inlineStr">
        <is>
          <t>A 27158-2022</t>
        </is>
      </c>
      <c r="B317" t="inlineStr">
        <is>
          <t>avverkningsanmälan</t>
        </is>
      </c>
      <c r="C317" t="inlineStr">
        <is>
          <t>Avverkning för annat ändamål</t>
        </is>
      </c>
      <c r="D317" s="1" t="n">
        <v>44741</v>
      </c>
      <c r="E317" s="1" t="n">
        <v>46316</v>
      </c>
      <c r="F317" t="inlineStr">
        <is>
          <t>KRONOBERGS LÄN</t>
        </is>
      </c>
      <c r="G317" t="inlineStr">
        <is>
          <t>VÄXJÖ</t>
        </is>
      </c>
      <c r="I317" t="n">
        <v>1.8</v>
      </c>
      <c r="J317" t="n">
        <v>0</v>
      </c>
      <c r="K317" t="n">
        <v>0</v>
      </c>
      <c r="L317" t="n">
        <v>0</v>
      </c>
      <c r="M317" t="n">
        <v>1</v>
      </c>
      <c r="N317" t="n">
        <v>0</v>
      </c>
      <c r="O317" t="n">
        <v>0</v>
      </c>
      <c r="P317" t="n">
        <v>0</v>
      </c>
      <c r="Q317" t="n">
        <v>1</v>
      </c>
      <c r="R317" t="n">
        <v>1</v>
      </c>
      <c r="S317" t="n">
        <v>1</v>
      </c>
      <c r="T317" t="n">
        <v>1</v>
      </c>
      <c r="U317" t="n">
        <v>0</v>
      </c>
      <c r="V317" s="2" t="inlineStr">
        <is>
          <t>Slåttergubbemal</t>
        </is>
      </c>
      <c r="W317">
        <f>HYPERLINK("https://klasma.github.io/Logging_0780/artfynd/A 27158-2022 artfynd.xlsx", "A 27158-2022")</f>
        <v/>
      </c>
      <c r="X317">
        <f>HYPERLINK("https://klasma.github.io/Logging_0780/kartor/A 27158-2022 karta.png", "A 27158-2022")</f>
        <v/>
      </c>
      <c r="Y317">
        <f>HYPERLINK("https://klasma.github.io/Logging_0780/kartor_geotiff/A 27158-2022 georefererad karta.tif", "A 27158-2022")</f>
        <v/>
      </c>
      <c r="AA317">
        <f>HYPERLINK("https://klasma.github.io/Logging_0780/klagomål/A 27158-2022 FSC-klagomål.docx", "A 27158-2022")</f>
        <v/>
      </c>
      <c r="AB317">
        <f>HYPERLINK("https://klasma.github.io/Logging_0780/klagomålsmail/A 27158-2022 FSC-klagomål mail.docx", "A 27158-2022")</f>
        <v/>
      </c>
      <c r="AC317">
        <f>HYPERLINK("https://klasma.github.io/Logging_0780/tillsyn/A 27158-2022 tillsynsbegäran.docx", "A 27158-2022")</f>
        <v/>
      </c>
      <c r="AD317">
        <f>HYPERLINK("https://klasma.github.io/Logging_0780/tillsynsmail/A 27158-2022 tillsynsbegäran mail.docx", "A 27158-2022")</f>
        <v/>
      </c>
    </row>
    <row r="318" ht="15" customHeight="1">
      <c r="A318" t="inlineStr">
        <is>
          <t>A 12137-2026</t>
        </is>
      </c>
      <c r="B318" t="inlineStr">
        <is>
          <t>avverkningsanmälan</t>
        </is>
      </c>
      <c r="C318" t="inlineStr">
        <is>
          <t>Föryngringsavverkning</t>
        </is>
      </c>
      <c r="D318" s="1" t="n">
        <v>46086</v>
      </c>
      <c r="E318" s="1" t="n">
        <v>46316</v>
      </c>
      <c r="F318" t="inlineStr">
        <is>
          <t>KRONOBERGS LÄN</t>
        </is>
      </c>
      <c r="G318" t="inlineStr">
        <is>
          <t>TINGSRYD</t>
        </is>
      </c>
      <c r="I318" t="n">
        <v>1.9</v>
      </c>
      <c r="J318" t="n">
        <v>1</v>
      </c>
      <c r="K318" t="n">
        <v>0</v>
      </c>
      <c r="L318" t="n">
        <v>0</v>
      </c>
      <c r="M318" t="n">
        <v>1</v>
      </c>
      <c r="N318" t="n">
        <v>0</v>
      </c>
      <c r="O318" t="n">
        <v>0</v>
      </c>
      <c r="P318" t="n">
        <v>0</v>
      </c>
      <c r="Q318" t="n">
        <v>1</v>
      </c>
      <c r="R318" t="n">
        <v>1</v>
      </c>
      <c r="S318" t="n">
        <v>1</v>
      </c>
      <c r="T318" t="n">
        <v>1</v>
      </c>
      <c r="U318" t="n">
        <v>0</v>
      </c>
      <c r="V318" s="2" t="inlineStr">
        <is>
          <t>Backsippa</t>
        </is>
      </c>
      <c r="W318">
        <f>HYPERLINK("https://klasma.github.io/Logging_0763/artfynd/A 12137-2026 artfynd.xlsx", "A 12137-2026")</f>
        <v/>
      </c>
      <c r="X318">
        <f>HYPERLINK("https://klasma.github.io/Logging_0763/kartor/A 12137-2026 karta.png", "A 12137-2026")</f>
        <v/>
      </c>
      <c r="Y318">
        <f>HYPERLINK("https://klasma.github.io/Logging_0763/kartor_geotiff/A 12137-2026 georefererad karta.tif", "A 12137-2026")</f>
        <v/>
      </c>
      <c r="AA318">
        <f>HYPERLINK("https://klasma.github.io/Logging_0763/klagomål/A 12137-2026 FSC-klagomål.docx", "A 12137-2026")</f>
        <v/>
      </c>
      <c r="AB318">
        <f>HYPERLINK("https://klasma.github.io/Logging_0763/klagomålsmail/A 12137-2026 FSC-klagomål mail.docx", "A 12137-2026")</f>
        <v/>
      </c>
      <c r="AC318">
        <f>HYPERLINK("https://klasma.github.io/Logging_0763/tillsyn/A 12137-2026 tillsynsbegäran.docx", "A 12137-2026")</f>
        <v/>
      </c>
      <c r="AD318">
        <f>HYPERLINK("https://klasma.github.io/Logging_0763/tillsynsmail/A 12137-2026 tillsynsbegäran mail.docx", "A 12137-2026")</f>
        <v/>
      </c>
    </row>
    <row r="319" ht="15" customHeight="1">
      <c r="A319" t="inlineStr">
        <is>
          <t>A 48175-2022</t>
        </is>
      </c>
      <c r="B319" t="inlineStr">
        <is>
          <t>avverkningsanmälan</t>
        </is>
      </c>
      <c r="C319" t="inlineStr">
        <is>
          <t>Föryngringsavverkning</t>
        </is>
      </c>
      <c r="D319" s="1" t="n">
        <v>44858</v>
      </c>
      <c r="E319" s="1" t="n">
        <v>46316</v>
      </c>
      <c r="F319" t="inlineStr">
        <is>
          <t>KRONOBERGS LÄN</t>
        </is>
      </c>
      <c r="G319" t="inlineStr">
        <is>
          <t>UPPVIDINGE</t>
        </is>
      </c>
      <c r="I319" t="n">
        <v>0.6</v>
      </c>
      <c r="J319" t="n">
        <v>0</v>
      </c>
      <c r="K319" t="n">
        <v>0</v>
      </c>
      <c r="L319" t="n">
        <v>0</v>
      </c>
      <c r="M319" t="n">
        <v>1</v>
      </c>
      <c r="N319" t="n">
        <v>0</v>
      </c>
      <c r="O319" t="n">
        <v>0</v>
      </c>
      <c r="P319" t="n">
        <v>0</v>
      </c>
      <c r="Q319" t="n">
        <v>1</v>
      </c>
      <c r="R319" t="n">
        <v>1</v>
      </c>
      <c r="S319" t="n">
        <v>1</v>
      </c>
      <c r="T319" t="n">
        <v>1</v>
      </c>
      <c r="U319" t="n">
        <v>0</v>
      </c>
      <c r="V319" s="2" t="inlineStr">
        <is>
          <t>Slåttergubbe</t>
        </is>
      </c>
      <c r="W319">
        <f>HYPERLINK("https://klasma.github.io/Logging_0760/artfynd/A 48175-2022 artfynd.xlsx", "A 48175-2022")</f>
        <v/>
      </c>
      <c r="X319">
        <f>HYPERLINK("https://klasma.github.io/Logging_0760/kartor/A 48175-2022 karta.png", "A 48175-2022")</f>
        <v/>
      </c>
      <c r="Y319">
        <f>HYPERLINK("https://klasma.github.io/Logging_0760/kartor_geotiff/A 48175-2022 georefererad karta.tif", "A 48175-2022")</f>
        <v/>
      </c>
      <c r="AA319">
        <f>HYPERLINK("https://klasma.github.io/Logging_0760/klagomål/A 48175-2022 FSC-klagomål.docx", "A 48175-2022")</f>
        <v/>
      </c>
      <c r="AB319">
        <f>HYPERLINK("https://klasma.github.io/Logging_0760/klagomålsmail/A 48175-2022 FSC-klagomål mail.docx", "A 48175-2022")</f>
        <v/>
      </c>
      <c r="AC319">
        <f>HYPERLINK("https://klasma.github.io/Logging_0760/tillsyn/A 48175-2022 tillsynsbegäran.docx", "A 48175-2022")</f>
        <v/>
      </c>
      <c r="AD319">
        <f>HYPERLINK("https://klasma.github.io/Logging_0760/tillsynsmail/A 48175-2022 tillsynsbegäran mail.docx", "A 48175-2022")</f>
        <v/>
      </c>
    </row>
    <row r="320" ht="15" customHeight="1">
      <c r="A320" t="inlineStr">
        <is>
          <t>A 12528-2026</t>
        </is>
      </c>
      <c r="B320" t="inlineStr">
        <is>
          <t>avverkningsanmälan</t>
        </is>
      </c>
      <c r="C320" t="inlineStr">
        <is>
          <t>Föryngringsavverkning</t>
        </is>
      </c>
      <c r="D320" s="1" t="n">
        <v>46090</v>
      </c>
      <c r="E320" s="1" t="n">
        <v>46316</v>
      </c>
      <c r="F320" t="inlineStr">
        <is>
          <t>KRONOBERGS LÄN</t>
        </is>
      </c>
      <c r="G320" t="inlineStr">
        <is>
          <t>MARKARYD</t>
        </is>
      </c>
      <c r="H320" t="inlineStr">
        <is>
          <t>Sveaskog</t>
        </is>
      </c>
      <c r="I320" t="n">
        <v>5.4</v>
      </c>
      <c r="J320" t="n">
        <v>0</v>
      </c>
      <c r="K320" t="n">
        <v>0</v>
      </c>
      <c r="L320" t="n">
        <v>1</v>
      </c>
      <c r="M320" t="n">
        <v>0</v>
      </c>
      <c r="N320" t="n">
        <v>0</v>
      </c>
      <c r="O320" t="n">
        <v>0</v>
      </c>
      <c r="P320" t="n">
        <v>0</v>
      </c>
      <c r="Q320" t="n">
        <v>1</v>
      </c>
      <c r="R320" t="n">
        <v>0</v>
      </c>
      <c r="S320" t="n">
        <v>1</v>
      </c>
      <c r="T320" t="n">
        <v>1</v>
      </c>
      <c r="U320" t="n">
        <v>0</v>
      </c>
      <c r="V320" s="2" t="inlineStr">
        <is>
          <t>Borsttåg</t>
        </is>
      </c>
      <c r="W320">
        <f>HYPERLINK("https://klasma.github.io/Logging_0767/artfynd/A 12528-2026 artfynd.xlsx", "A 12528-2026")</f>
        <v/>
      </c>
      <c r="X320">
        <f>HYPERLINK("https://klasma.github.io/Logging_0767/kartor/A 12528-2026 karta.png", "A 12528-2026")</f>
        <v/>
      </c>
      <c r="Y320">
        <f>HYPERLINK("https://klasma.github.io/Logging_0767/kartor_geotiff/A 12528-2026 georefererad karta.tif", "A 12528-2026")</f>
        <v/>
      </c>
      <c r="AA320">
        <f>HYPERLINK("https://klasma.github.io/Logging_0767/klagomål/A 12528-2026 FSC-klagomål.docx", "A 12528-2026")</f>
        <v/>
      </c>
      <c r="AB320">
        <f>HYPERLINK("https://klasma.github.io/Logging_0767/klagomålsmail/A 12528-2026 FSC-klagomål mail.docx", "A 12528-2026")</f>
        <v/>
      </c>
      <c r="AC320">
        <f>HYPERLINK("https://klasma.github.io/Logging_0767/tillsyn/A 12528-2026 tillsynsbegäran.docx", "A 12528-2026")</f>
        <v/>
      </c>
      <c r="AD320">
        <f>HYPERLINK("https://klasma.github.io/Logging_0767/tillsynsmail/A 12528-2026 tillsynsbegäran mail.docx", "A 12528-2026")</f>
        <v/>
      </c>
    </row>
    <row r="321" ht="15" customHeight="1">
      <c r="A321" t="inlineStr">
        <is>
          <t>A 9714-2023</t>
        </is>
      </c>
      <c r="B321" t="inlineStr">
        <is>
          <t>avverkningsanmälan</t>
        </is>
      </c>
      <c r="C321" t="inlineStr">
        <is>
          <t>Föryngringsavverkning</t>
        </is>
      </c>
      <c r="D321" s="1" t="n">
        <v>44984</v>
      </c>
      <c r="E321" s="1" t="n">
        <v>46316</v>
      </c>
      <c r="F321" t="inlineStr">
        <is>
          <t>KRONOBERGS LÄN</t>
        </is>
      </c>
      <c r="G321" t="inlineStr">
        <is>
          <t>UPPVIDINGE</t>
        </is>
      </c>
      <c r="I321" t="n">
        <v>0.6</v>
      </c>
      <c r="J321" t="n">
        <v>1</v>
      </c>
      <c r="K321" t="n">
        <v>0</v>
      </c>
      <c r="L321" t="n">
        <v>0</v>
      </c>
      <c r="M321" t="n">
        <v>0</v>
      </c>
      <c r="N321" t="n">
        <v>0</v>
      </c>
      <c r="O321" t="n">
        <v>0</v>
      </c>
      <c r="P321" t="n">
        <v>0</v>
      </c>
      <c r="Q321" t="n">
        <v>0</v>
      </c>
      <c r="R321" t="n">
        <v>0</v>
      </c>
      <c r="S321" t="n">
        <v>1</v>
      </c>
      <c r="T321" t="n">
        <v>1</v>
      </c>
      <c r="U321" t="n">
        <v>1</v>
      </c>
      <c r="V321" s="2" t="inlineStr">
        <is>
          <t>Grönsiska</t>
        </is>
      </c>
      <c r="W321">
        <f>HYPERLINK("https://klasma.github.io/Logging_0760/artfynd/A 9714-2023 artfynd.xlsx", "A 9714-2023")</f>
        <v/>
      </c>
      <c r="X321">
        <f>HYPERLINK("https://klasma.github.io/Logging_0760/kartor/A 9714-2023 karta.png", "A 9714-2023")</f>
        <v/>
      </c>
      <c r="Y321">
        <f>HYPERLINK("https://klasma.github.io/Logging_0760/kartor_geotiff/A 9714-2023 georefererad karta.tif", "A 9714-2023")</f>
        <v/>
      </c>
      <c r="AA321">
        <f>HYPERLINK("https://klasma.github.io/Logging_0760/klagomål/A 9714-2023 FSC-klagomål.docx", "A 9714-2023")</f>
        <v/>
      </c>
      <c r="AB321">
        <f>HYPERLINK("https://klasma.github.io/Logging_0760/klagomålsmail/A 9714-2023 FSC-klagomål mail.docx", "A 9714-2023")</f>
        <v/>
      </c>
      <c r="AC321">
        <f>HYPERLINK("https://klasma.github.io/Logging_0760/tillsyn/A 9714-2023 tillsynsbegäran.docx", "A 9714-2023")</f>
        <v/>
      </c>
      <c r="AD321">
        <f>HYPERLINK("https://klasma.github.io/Logging_0760/tillsynsmail/A 9714-2023 tillsynsbegäran mail.docx", "A 9714-2023")</f>
        <v/>
      </c>
    </row>
    <row r="322" ht="15" customHeight="1">
      <c r="A322" t="inlineStr">
        <is>
          <t>A 52540-2025</t>
        </is>
      </c>
      <c r="B322" t="inlineStr">
        <is>
          <t>avverkningsanmälan</t>
        </is>
      </c>
      <c r="C322" t="inlineStr">
        <is>
          <t>Föryngringsavverkning</t>
        </is>
      </c>
      <c r="D322" s="1" t="n">
        <v>45954</v>
      </c>
      <c r="E322" s="1" t="n">
        <v>46316</v>
      </c>
      <c r="F322" t="inlineStr">
        <is>
          <t>KRONOBERGS LÄN</t>
        </is>
      </c>
      <c r="G322" t="inlineStr">
        <is>
          <t>LESSEBO</t>
        </is>
      </c>
      <c r="H322" t="inlineStr">
        <is>
          <t>Sveaskog</t>
        </is>
      </c>
      <c r="I322" t="n">
        <v>1.5</v>
      </c>
      <c r="J322" t="n">
        <v>1</v>
      </c>
      <c r="K322" t="n">
        <v>0</v>
      </c>
      <c r="L322" t="n">
        <v>0</v>
      </c>
      <c r="M322" t="n">
        <v>0</v>
      </c>
      <c r="N322" t="n">
        <v>0</v>
      </c>
      <c r="O322" t="n">
        <v>0</v>
      </c>
      <c r="P322" t="n">
        <v>0</v>
      </c>
      <c r="Q322" t="n">
        <v>0</v>
      </c>
      <c r="R322" t="n">
        <v>0</v>
      </c>
      <c r="S322" t="n">
        <v>1</v>
      </c>
      <c r="T322" t="n">
        <v>4</v>
      </c>
      <c r="U322" t="n">
        <v>4</v>
      </c>
      <c r="V322" s="2" t="inlineStr">
        <is>
          <t>Kungsfågel</t>
        </is>
      </c>
      <c r="W322">
        <f>HYPERLINK("https://klasma.github.io/Logging_0761/artfynd/A 52540-2025 artfynd.xlsx", "A 52540-2025")</f>
        <v/>
      </c>
      <c r="X322">
        <f>HYPERLINK("https://klasma.github.io/Logging_0761/kartor/A 52540-2025 karta.png", "A 52540-2025")</f>
        <v/>
      </c>
      <c r="Y322">
        <f>HYPERLINK("https://klasma.github.io/Logging_0761/kartor_geotiff/A 52540-2025 georefererad karta.tif", "A 52540-2025")</f>
        <v/>
      </c>
      <c r="AA322">
        <f>HYPERLINK("https://klasma.github.io/Logging_0761/klagomål/A 52540-2025 FSC-klagomål.docx", "A 52540-2025")</f>
        <v/>
      </c>
      <c r="AB322">
        <f>HYPERLINK("https://klasma.github.io/Logging_0761/klagomålsmail/A 52540-2025 FSC-klagomål mail.docx", "A 52540-2025")</f>
        <v/>
      </c>
      <c r="AC322">
        <f>HYPERLINK("https://klasma.github.io/Logging_0761/tillsyn/A 52540-2025 tillsynsbegäran.docx", "A 52540-2025")</f>
        <v/>
      </c>
      <c r="AD322">
        <f>HYPERLINK("https://klasma.github.io/Logging_0761/tillsynsmail/A 52540-2025 tillsynsbegäran mail.docx", "A 52540-2025")</f>
        <v/>
      </c>
    </row>
    <row r="323" ht="15" customHeight="1">
      <c r="A323" t="inlineStr">
        <is>
          <t>A 29988-2025</t>
        </is>
      </c>
      <c r="B323" t="inlineStr">
        <is>
          <t>avverkningsanmälan</t>
        </is>
      </c>
      <c r="C323" t="inlineStr">
        <is>
          <t>Föryngringsavverkning</t>
        </is>
      </c>
      <c r="D323" s="1" t="n">
        <v>45826</v>
      </c>
      <c r="E323" s="1" t="n">
        <v>46316</v>
      </c>
      <c r="F323" t="inlineStr">
        <is>
          <t>KRONOBERGS LÄN</t>
        </is>
      </c>
      <c r="G323" t="inlineStr">
        <is>
          <t>UPPVIDINGE</t>
        </is>
      </c>
      <c r="I323" t="n">
        <v>1.1</v>
      </c>
      <c r="J323" t="n">
        <v>0</v>
      </c>
      <c r="K323" t="n">
        <v>0</v>
      </c>
      <c r="L323" t="n">
        <v>0</v>
      </c>
      <c r="M323" t="n">
        <v>1</v>
      </c>
      <c r="N323" t="n">
        <v>0</v>
      </c>
      <c r="O323" t="n">
        <v>0</v>
      </c>
      <c r="P323" t="n">
        <v>0</v>
      </c>
      <c r="Q323" t="n">
        <v>1</v>
      </c>
      <c r="R323" t="n">
        <v>1</v>
      </c>
      <c r="S323" t="n">
        <v>1</v>
      </c>
      <c r="T323" t="n">
        <v>3</v>
      </c>
      <c r="U323" t="n">
        <v>0</v>
      </c>
      <c r="V323" s="2" t="inlineStr">
        <is>
          <t>Slåttergubbe</t>
        </is>
      </c>
      <c r="W323">
        <f>HYPERLINK("https://klasma.github.io/Logging_0760/artfynd/A 29988-2025 artfynd.xlsx", "A 29988-2025")</f>
        <v/>
      </c>
      <c r="X323">
        <f>HYPERLINK("https://klasma.github.io/Logging_0760/kartor/A 29988-2025 karta.png", "A 29988-2025")</f>
        <v/>
      </c>
      <c r="Y323">
        <f>HYPERLINK("https://klasma.github.io/Logging_0760/kartor_geotiff/A 29988-2025 georefererad karta.tif", "A 29988-2025")</f>
        <v/>
      </c>
      <c r="AA323">
        <f>HYPERLINK("https://klasma.github.io/Logging_0760/klagomål/A 29988-2025 FSC-klagomål.docx", "A 29988-2025")</f>
        <v/>
      </c>
      <c r="AB323">
        <f>HYPERLINK("https://klasma.github.io/Logging_0760/klagomålsmail/A 29988-2025 FSC-klagomål mail.docx", "A 29988-2025")</f>
        <v/>
      </c>
      <c r="AC323">
        <f>HYPERLINK("https://klasma.github.io/Logging_0760/tillsyn/A 29988-2025 tillsynsbegäran.docx", "A 29988-2025")</f>
        <v/>
      </c>
      <c r="AD323">
        <f>HYPERLINK("https://klasma.github.io/Logging_0760/tillsynsmail/A 29988-2025 tillsynsbegäran mail.docx", "A 29988-2025")</f>
        <v/>
      </c>
    </row>
    <row r="324" ht="15" customHeight="1">
      <c r="A324" t="inlineStr">
        <is>
          <t>A 14565-2026</t>
        </is>
      </c>
      <c r="B324" t="inlineStr">
        <is>
          <t>avverkningsanmälan</t>
        </is>
      </c>
      <c r="C324" t="inlineStr">
        <is>
          <t>Föryngringsavverkning</t>
        </is>
      </c>
      <c r="D324" s="1" t="n">
        <v>46100</v>
      </c>
      <c r="E324" s="1" t="n">
        <v>46316</v>
      </c>
      <c r="F324" t="inlineStr">
        <is>
          <t>KRONOBERGS LÄN</t>
        </is>
      </c>
      <c r="G324" t="inlineStr">
        <is>
          <t>UPPVIDINGE</t>
        </is>
      </c>
      <c r="I324" t="n">
        <v>8.699999999999999</v>
      </c>
      <c r="J324" t="n">
        <v>0</v>
      </c>
      <c r="K324" t="n">
        <v>1</v>
      </c>
      <c r="L324" t="n">
        <v>0</v>
      </c>
      <c r="M324" t="n">
        <v>0</v>
      </c>
      <c r="N324" t="n">
        <v>0</v>
      </c>
      <c r="O324" t="n">
        <v>0</v>
      </c>
      <c r="P324" t="n">
        <v>0</v>
      </c>
      <c r="Q324" t="n">
        <v>0</v>
      </c>
      <c r="R324" t="n">
        <v>0</v>
      </c>
      <c r="S324" t="n">
        <v>1</v>
      </c>
      <c r="T324" t="n">
        <v>1</v>
      </c>
      <c r="U324" t="n">
        <v>0</v>
      </c>
      <c r="V324" s="2" t="inlineStr">
        <is>
          <t>Flagellkvastmossa</t>
        </is>
      </c>
      <c r="W324">
        <f>HYPERLINK("https://klasma.github.io/Logging_0760/artfynd/A 14565-2026 artfynd.xlsx", "A 14565-2026")</f>
        <v/>
      </c>
      <c r="X324">
        <f>HYPERLINK("https://klasma.github.io/Logging_0760/kartor/A 14565-2026 karta.png", "A 14565-2026")</f>
        <v/>
      </c>
      <c r="Y324">
        <f>HYPERLINK("https://klasma.github.io/Logging_0760/kartor_geotiff/A 14565-2026 georefererad karta.tif", "A 14565-2026")</f>
        <v/>
      </c>
      <c r="AA324">
        <f>HYPERLINK("https://klasma.github.io/Logging_0760/klagomål/A 14565-2026 FSC-klagomål.docx", "A 14565-2026")</f>
        <v/>
      </c>
      <c r="AB324">
        <f>HYPERLINK("https://klasma.github.io/Logging_0760/klagomålsmail/A 14565-2026 FSC-klagomål mail.docx", "A 14565-2026")</f>
        <v/>
      </c>
      <c r="AC324">
        <f>HYPERLINK("https://klasma.github.io/Logging_0760/tillsyn/A 14565-2026 tillsynsbegäran.docx", "A 14565-2026")</f>
        <v/>
      </c>
      <c r="AD324">
        <f>HYPERLINK("https://klasma.github.io/Logging_0760/tillsynsmail/A 14565-2026 tillsynsbegäran mail.docx", "A 14565-2026")</f>
        <v/>
      </c>
    </row>
    <row r="325" ht="15" customHeight="1">
      <c r="A325" t="inlineStr">
        <is>
          <t>A 29382-2023</t>
        </is>
      </c>
      <c r="B325" t="inlineStr">
        <is>
          <t>avverkningsanmälan</t>
        </is>
      </c>
      <c r="C325" t="inlineStr">
        <is>
          <t>Föryngringsavverkning</t>
        </is>
      </c>
      <c r="D325" s="1" t="n">
        <v>45106</v>
      </c>
      <c r="E325" s="1" t="n">
        <v>46316</v>
      </c>
      <c r="F325" t="inlineStr">
        <is>
          <t>KRONOBERGS LÄN</t>
        </is>
      </c>
      <c r="G325" t="inlineStr">
        <is>
          <t>ALVESTA</t>
        </is>
      </c>
      <c r="I325" t="n">
        <v>1</v>
      </c>
      <c r="J325" t="n">
        <v>0</v>
      </c>
      <c r="K325" t="n">
        <v>1</v>
      </c>
      <c r="L325" t="n">
        <v>0</v>
      </c>
      <c r="M325" t="n">
        <v>0</v>
      </c>
      <c r="N325" t="n">
        <v>0</v>
      </c>
      <c r="O325" t="n">
        <v>0</v>
      </c>
      <c r="P325" t="n">
        <v>0</v>
      </c>
      <c r="Q325" t="n">
        <v>0</v>
      </c>
      <c r="R325" t="n">
        <v>0</v>
      </c>
      <c r="S325" t="n">
        <v>1</v>
      </c>
      <c r="T325" t="n">
        <v>1</v>
      </c>
      <c r="U325" t="n">
        <v>0</v>
      </c>
      <c r="V325" s="2" t="inlineStr">
        <is>
          <t>Brandticka</t>
        </is>
      </c>
      <c r="W325">
        <f>HYPERLINK("https://klasma.github.io/Logging_0764/artfynd/A 29382-2023 artfynd.xlsx", "A 29382-2023")</f>
        <v/>
      </c>
      <c r="X325">
        <f>HYPERLINK("https://klasma.github.io/Logging_0764/kartor/A 29382-2023 karta.png", "A 29382-2023")</f>
        <v/>
      </c>
      <c r="Y325">
        <f>HYPERLINK("https://klasma.github.io/Logging_0764/kartor_geotiff/A 29382-2023 georefererad karta.tif", "A 29382-2023")</f>
        <v/>
      </c>
      <c r="AA325">
        <f>HYPERLINK("https://klasma.github.io/Logging_0764/klagomål/A 29382-2023 FSC-klagomål.docx", "A 29382-2023")</f>
        <v/>
      </c>
      <c r="AB325">
        <f>HYPERLINK("https://klasma.github.io/Logging_0764/klagomålsmail/A 29382-2023 FSC-klagomål mail.docx", "A 29382-2023")</f>
        <v/>
      </c>
      <c r="AC325">
        <f>HYPERLINK("https://klasma.github.io/Logging_0764/tillsyn/A 29382-2023 tillsynsbegäran.docx", "A 29382-2023")</f>
        <v/>
      </c>
      <c r="AD325">
        <f>HYPERLINK("https://klasma.github.io/Logging_0764/tillsynsmail/A 29382-2023 tillsynsbegäran mail.docx", "A 29382-2023")</f>
        <v/>
      </c>
    </row>
    <row r="326" ht="15" customHeight="1">
      <c r="A326" t="inlineStr">
        <is>
          <t>A 15671-2026</t>
        </is>
      </c>
      <c r="B326" t="inlineStr">
        <is>
          <t>avverkningsanmälan</t>
        </is>
      </c>
      <c r="C326" t="inlineStr">
        <is>
          <t>Föryngringsavverkning</t>
        </is>
      </c>
      <c r="D326" s="1" t="n">
        <v>46106</v>
      </c>
      <c r="E326" s="1" t="n">
        <v>46316</v>
      </c>
      <c r="F326" t="inlineStr">
        <is>
          <t>KRONOBERGS LÄN</t>
        </is>
      </c>
      <c r="G326" t="inlineStr">
        <is>
          <t>LJUNGBY</t>
        </is>
      </c>
      <c r="I326" t="n">
        <v>3.4</v>
      </c>
      <c r="J326" t="n">
        <v>1</v>
      </c>
      <c r="K326" t="n">
        <v>0</v>
      </c>
      <c r="L326" t="n">
        <v>0</v>
      </c>
      <c r="M326" t="n">
        <v>0</v>
      </c>
      <c r="N326" t="n">
        <v>0</v>
      </c>
      <c r="O326" t="n">
        <v>0</v>
      </c>
      <c r="P326" t="n">
        <v>0</v>
      </c>
      <c r="Q326" t="n">
        <v>0</v>
      </c>
      <c r="R326" t="n">
        <v>0</v>
      </c>
      <c r="S326" t="n">
        <v>1</v>
      </c>
      <c r="T326" t="n">
        <v>1</v>
      </c>
      <c r="U326" t="n">
        <v>1</v>
      </c>
      <c r="V326" s="2" t="inlineStr">
        <is>
          <t>Tofsmes</t>
        </is>
      </c>
      <c r="W326">
        <f>HYPERLINK("https://klasma.github.io/Logging_0781/artfynd/A 15671-2026 artfynd.xlsx", "A 15671-2026")</f>
        <v/>
      </c>
      <c r="X326">
        <f>HYPERLINK("https://klasma.github.io/Logging_0781/kartor/A 15671-2026 karta.png", "A 15671-2026")</f>
        <v/>
      </c>
      <c r="Y326">
        <f>HYPERLINK("https://klasma.github.io/Logging_0781/kartor_geotiff/A 15671-2026 georefererad karta.tif", "A 15671-2026")</f>
        <v/>
      </c>
      <c r="AA326">
        <f>HYPERLINK("https://klasma.github.io/Logging_0781/klagomål/A 15671-2026 FSC-klagomål.docx", "A 15671-2026")</f>
        <v/>
      </c>
      <c r="AB326">
        <f>HYPERLINK("https://klasma.github.io/Logging_0781/klagomålsmail/A 15671-2026 FSC-klagomål mail.docx", "A 15671-2026")</f>
        <v/>
      </c>
      <c r="AC326">
        <f>HYPERLINK("https://klasma.github.io/Logging_0781/tillsyn/A 15671-2026 tillsynsbegäran.docx", "A 15671-2026")</f>
        <v/>
      </c>
      <c r="AD326">
        <f>HYPERLINK("https://klasma.github.io/Logging_0781/tillsynsmail/A 15671-2026 tillsynsbegäran mail.docx", "A 15671-2026")</f>
        <v/>
      </c>
    </row>
    <row r="327" ht="15" customHeight="1">
      <c r="A327" t="inlineStr">
        <is>
          <t>A 30862-2025</t>
        </is>
      </c>
      <c r="B327" t="inlineStr">
        <is>
          <t>avverkningsanmälan</t>
        </is>
      </c>
      <c r="C327" t="inlineStr">
        <is>
          <t>Föryngringsavverkning</t>
        </is>
      </c>
      <c r="D327" s="1" t="n">
        <v>45832</v>
      </c>
      <c r="E327" s="1" t="n">
        <v>46316</v>
      </c>
      <c r="F327" t="inlineStr">
        <is>
          <t>KRONOBERGS LÄN</t>
        </is>
      </c>
      <c r="G327" t="inlineStr">
        <is>
          <t>LJUNGBY</t>
        </is>
      </c>
      <c r="I327" t="n">
        <v>13.7</v>
      </c>
      <c r="J327" t="n">
        <v>0</v>
      </c>
      <c r="K327" t="n">
        <v>0</v>
      </c>
      <c r="L327" t="n">
        <v>0</v>
      </c>
      <c r="M327" t="n">
        <v>1</v>
      </c>
      <c r="N327" t="n">
        <v>0</v>
      </c>
      <c r="O327" t="n">
        <v>0</v>
      </c>
      <c r="P327" t="n">
        <v>0</v>
      </c>
      <c r="Q327" t="n">
        <v>1</v>
      </c>
      <c r="R327" t="n">
        <v>1</v>
      </c>
      <c r="S327" t="n">
        <v>1</v>
      </c>
      <c r="T327" t="n">
        <v>1</v>
      </c>
      <c r="U327" t="n">
        <v>0</v>
      </c>
      <c r="V327" s="2" t="inlineStr">
        <is>
          <t>Slåttergubbe</t>
        </is>
      </c>
      <c r="W327">
        <f>HYPERLINK("https://klasma.github.io/Logging_0781/artfynd/A 30862-2025 artfynd.xlsx", "A 30862-2025")</f>
        <v/>
      </c>
      <c r="X327">
        <f>HYPERLINK("https://klasma.github.io/Logging_0781/kartor/A 30862-2025 karta.png", "A 30862-2025")</f>
        <v/>
      </c>
      <c r="Y327">
        <f>HYPERLINK("https://klasma.github.io/Logging_0781/kartor_geotiff/A 30862-2025 georefererad karta.tif", "A 30862-2025")</f>
        <v/>
      </c>
      <c r="AA327">
        <f>HYPERLINK("https://klasma.github.io/Logging_0781/klagomål/A 30862-2025 FSC-klagomål.docx", "A 30862-2025")</f>
        <v/>
      </c>
      <c r="AB327">
        <f>HYPERLINK("https://klasma.github.io/Logging_0781/klagomålsmail/A 30862-2025 FSC-klagomål mail.docx", "A 30862-2025")</f>
        <v/>
      </c>
      <c r="AC327">
        <f>HYPERLINK("https://klasma.github.io/Logging_0781/tillsyn/A 30862-2025 tillsynsbegäran.docx", "A 30862-2025")</f>
        <v/>
      </c>
      <c r="AD327">
        <f>HYPERLINK("https://klasma.github.io/Logging_0781/tillsynsmail/A 30862-2025 tillsynsbegäran mail.docx", "A 30862-2025")</f>
        <v/>
      </c>
    </row>
    <row r="328" ht="15" customHeight="1">
      <c r="A328" t="inlineStr">
        <is>
          <t>A 64150-2023</t>
        </is>
      </c>
      <c r="B328" t="inlineStr">
        <is>
          <t>avverkningsanmälan</t>
        </is>
      </c>
      <c r="C328" t="inlineStr">
        <is>
          <t>Föryngringsavverkning</t>
        </is>
      </c>
      <c r="D328" s="1" t="n">
        <v>45279</v>
      </c>
      <c r="E328" s="1" t="n">
        <v>46316</v>
      </c>
      <c r="F328" t="inlineStr">
        <is>
          <t>KRONOBERGS LÄN</t>
        </is>
      </c>
      <c r="G328" t="inlineStr">
        <is>
          <t>VÄXJÖ</t>
        </is>
      </c>
      <c r="I328" t="n">
        <v>7</v>
      </c>
      <c r="J328" t="n">
        <v>0</v>
      </c>
      <c r="K328" t="n">
        <v>1</v>
      </c>
      <c r="L328" t="n">
        <v>0</v>
      </c>
      <c r="M328" t="n">
        <v>0</v>
      </c>
      <c r="N328" t="n">
        <v>0</v>
      </c>
      <c r="O328" t="n">
        <v>0</v>
      </c>
      <c r="P328" t="n">
        <v>0</v>
      </c>
      <c r="Q328" t="n">
        <v>0</v>
      </c>
      <c r="R328" t="n">
        <v>0</v>
      </c>
      <c r="S328" t="n">
        <v>1</v>
      </c>
      <c r="T328" t="n">
        <v>3</v>
      </c>
      <c r="U328" t="n">
        <v>0</v>
      </c>
      <c r="V328" s="2" t="inlineStr">
        <is>
          <t>Blåmossa</t>
        </is>
      </c>
      <c r="W328">
        <f>HYPERLINK("https://klasma.github.io/Logging_0780/artfynd/A 64150-2023 artfynd.xlsx", "A 64150-2023")</f>
        <v/>
      </c>
      <c r="X328">
        <f>HYPERLINK("https://klasma.github.io/Logging_0780/kartor/A 64150-2023 karta.png", "A 64150-2023")</f>
        <v/>
      </c>
      <c r="Y328">
        <f>HYPERLINK("https://klasma.github.io/Logging_0780/kartor_geotiff/A 64150-2023 georefererad karta.tif", "A 64150-2023")</f>
        <v/>
      </c>
      <c r="AA328">
        <f>HYPERLINK("https://klasma.github.io/Logging_0780/klagomål/A 64150-2023 FSC-klagomål.docx", "A 64150-2023")</f>
        <v/>
      </c>
      <c r="AB328">
        <f>HYPERLINK("https://klasma.github.io/Logging_0780/klagomålsmail/A 64150-2023 FSC-klagomål mail.docx", "A 64150-2023")</f>
        <v/>
      </c>
      <c r="AC328">
        <f>HYPERLINK("https://klasma.github.io/Logging_0780/tillsyn/A 64150-2023 tillsynsbegäran.docx", "A 64150-2023")</f>
        <v/>
      </c>
      <c r="AD328">
        <f>HYPERLINK("https://klasma.github.io/Logging_0780/tillsynsmail/A 64150-2023 tillsynsbegäran mail.docx", "A 64150-2023")</f>
        <v/>
      </c>
    </row>
    <row r="329" ht="15" customHeight="1">
      <c r="A329" t="inlineStr">
        <is>
          <t>A 54112-2025</t>
        </is>
      </c>
      <c r="B329" t="inlineStr">
        <is>
          <t>avverkningsanmälan</t>
        </is>
      </c>
      <c r="C329" t="inlineStr">
        <is>
          <t>Föryngringsavverkning</t>
        </is>
      </c>
      <c r="D329" s="1" t="n">
        <v>45964</v>
      </c>
      <c r="E329" s="1" t="n">
        <v>46316</v>
      </c>
      <c r="F329" t="inlineStr">
        <is>
          <t>KRONOBERGS LÄN</t>
        </is>
      </c>
      <c r="G329" t="inlineStr">
        <is>
          <t>VÄXJÖ</t>
        </is>
      </c>
      <c r="I329" t="n">
        <v>0.9</v>
      </c>
      <c r="J329" t="n">
        <v>1</v>
      </c>
      <c r="K329" t="n">
        <v>0</v>
      </c>
      <c r="L329" t="n">
        <v>0</v>
      </c>
      <c r="M329" t="n">
        <v>0</v>
      </c>
      <c r="N329" t="n">
        <v>0</v>
      </c>
      <c r="O329" t="n">
        <v>0</v>
      </c>
      <c r="P329" t="n">
        <v>0</v>
      </c>
      <c r="Q329" t="n">
        <v>0</v>
      </c>
      <c r="R329" t="n">
        <v>0</v>
      </c>
      <c r="S329" t="n">
        <v>1</v>
      </c>
      <c r="T329" t="n">
        <v>1</v>
      </c>
      <c r="U329" t="n">
        <v>1</v>
      </c>
      <c r="V329" s="2" t="inlineStr">
        <is>
          <t>Sångsvan</t>
        </is>
      </c>
      <c r="W329">
        <f>HYPERLINK("https://klasma.github.io/Logging_0780/artfynd/A 54112-2025 artfynd.xlsx", "A 54112-2025")</f>
        <v/>
      </c>
      <c r="X329">
        <f>HYPERLINK("https://klasma.github.io/Logging_0780/kartor/A 54112-2025 karta.png", "A 54112-2025")</f>
        <v/>
      </c>
      <c r="Y329">
        <f>HYPERLINK("https://klasma.github.io/Logging_0780/kartor_geotiff/A 54112-2025 georefererad karta.tif", "A 54112-2025")</f>
        <v/>
      </c>
      <c r="AA329">
        <f>HYPERLINK("https://klasma.github.io/Logging_0780/klagomål/A 54112-2025 FSC-klagomål.docx", "A 54112-2025")</f>
        <v/>
      </c>
      <c r="AB329">
        <f>HYPERLINK("https://klasma.github.io/Logging_0780/klagomålsmail/A 54112-2025 FSC-klagomål mail.docx", "A 54112-2025")</f>
        <v/>
      </c>
      <c r="AC329">
        <f>HYPERLINK("https://klasma.github.io/Logging_0780/tillsyn/A 54112-2025 tillsynsbegäran.docx", "A 54112-2025")</f>
        <v/>
      </c>
      <c r="AD329">
        <f>HYPERLINK("https://klasma.github.io/Logging_0780/tillsynsmail/A 54112-2025 tillsynsbegäran mail.docx", "A 54112-2025")</f>
        <v/>
      </c>
      <c r="AE329">
        <f>HYPERLINK("https://klasma.github.io/Logging_0780/fåglar/A 54112-2025 prioriterade fågelarter.docx", "A 54112-2025")</f>
        <v/>
      </c>
    </row>
    <row r="330" ht="15" customHeight="1">
      <c r="A330" t="inlineStr">
        <is>
          <t>A 45205-2023</t>
        </is>
      </c>
      <c r="B330" t="inlineStr">
        <is>
          <t>avverkningsanmälan</t>
        </is>
      </c>
      <c r="C330" t="inlineStr">
        <is>
          <t>Föryngringsavverkning</t>
        </is>
      </c>
      <c r="D330" s="1" t="n">
        <v>45191</v>
      </c>
      <c r="E330" s="1" t="n">
        <v>46316</v>
      </c>
      <c r="F330" t="inlineStr">
        <is>
          <t>KRONOBERGS LÄN</t>
        </is>
      </c>
      <c r="G330" t="inlineStr">
        <is>
          <t>LJUNGBY</t>
        </is>
      </c>
      <c r="I330" t="n">
        <v>0.7</v>
      </c>
      <c r="J330" t="n">
        <v>1</v>
      </c>
      <c r="K330" t="n">
        <v>0</v>
      </c>
      <c r="L330" t="n">
        <v>0</v>
      </c>
      <c r="M330" t="n">
        <v>0</v>
      </c>
      <c r="N330" t="n">
        <v>0</v>
      </c>
      <c r="O330" t="n">
        <v>0</v>
      </c>
      <c r="P330" t="n">
        <v>0</v>
      </c>
      <c r="Q330" t="n">
        <v>0</v>
      </c>
      <c r="R330" t="n">
        <v>0</v>
      </c>
      <c r="S330" t="n">
        <v>1</v>
      </c>
      <c r="T330" t="n">
        <v>1</v>
      </c>
      <c r="U330" t="n">
        <v>0</v>
      </c>
      <c r="V330" s="2" t="inlineStr">
        <is>
          <t>Mattlummer</t>
        </is>
      </c>
      <c r="W330">
        <f>HYPERLINK("https://klasma.github.io/Logging_0781/artfynd/A 45205-2023 artfynd.xlsx", "A 45205-2023")</f>
        <v/>
      </c>
      <c r="X330">
        <f>HYPERLINK("https://klasma.github.io/Logging_0781/kartor/A 45205-2023 karta.png", "A 45205-2023")</f>
        <v/>
      </c>
      <c r="Y330">
        <f>HYPERLINK("https://klasma.github.io/Logging_0781/kartor_geotiff/A 45205-2023 georefererad karta.tif", "A 45205-2023")</f>
        <v/>
      </c>
      <c r="AA330">
        <f>HYPERLINK("https://klasma.github.io/Logging_0781/klagomål/A 45205-2023 FSC-klagomål.docx", "A 45205-2023")</f>
        <v/>
      </c>
      <c r="AB330">
        <f>HYPERLINK("https://klasma.github.io/Logging_0781/klagomålsmail/A 45205-2023 FSC-klagomål mail.docx", "A 45205-2023")</f>
        <v/>
      </c>
      <c r="AC330">
        <f>HYPERLINK("https://klasma.github.io/Logging_0781/tillsyn/A 45205-2023 tillsynsbegäran.docx", "A 45205-2023")</f>
        <v/>
      </c>
      <c r="AD330">
        <f>HYPERLINK("https://klasma.github.io/Logging_0781/tillsynsmail/A 45205-2023 tillsynsbegäran mail.docx", "A 45205-2023")</f>
        <v/>
      </c>
    </row>
    <row r="331" ht="15" customHeight="1">
      <c r="A331" t="inlineStr">
        <is>
          <t>A 56742-2025</t>
        </is>
      </c>
      <c r="B331" t="inlineStr">
        <is>
          <t>avverkningsanmälan</t>
        </is>
      </c>
      <c r="C331" t="inlineStr">
        <is>
          <t>Föryngringsavverkning</t>
        </is>
      </c>
      <c r="D331" s="1" t="n">
        <v>45978</v>
      </c>
      <c r="E331" s="1" t="n">
        <v>46316</v>
      </c>
      <c r="F331" t="inlineStr">
        <is>
          <t>KRONOBERGS LÄN</t>
        </is>
      </c>
      <c r="G331" t="inlineStr">
        <is>
          <t>LJUNGBY</t>
        </is>
      </c>
      <c r="I331" t="n">
        <v>0.4</v>
      </c>
      <c r="J331" t="n">
        <v>0</v>
      </c>
      <c r="K331" t="n">
        <v>1</v>
      </c>
      <c r="L331" t="n">
        <v>0</v>
      </c>
      <c r="M331" t="n">
        <v>0</v>
      </c>
      <c r="N331" t="n">
        <v>0</v>
      </c>
      <c r="O331" t="n">
        <v>0</v>
      </c>
      <c r="P331" t="n">
        <v>0</v>
      </c>
      <c r="Q331" t="n">
        <v>0</v>
      </c>
      <c r="R331" t="n">
        <v>0</v>
      </c>
      <c r="S331" t="n">
        <v>1</v>
      </c>
      <c r="T331" t="n">
        <v>1</v>
      </c>
      <c r="U331" t="n">
        <v>0</v>
      </c>
      <c r="V331" s="2" t="inlineStr">
        <is>
          <t>Granbräken</t>
        </is>
      </c>
      <c r="W331">
        <f>HYPERLINK("https://klasma.github.io/Logging_0781/artfynd/A 56742-2025 artfynd.xlsx", "A 56742-2025")</f>
        <v/>
      </c>
      <c r="X331">
        <f>HYPERLINK("https://klasma.github.io/Logging_0781/kartor/A 56742-2025 karta.png", "A 56742-2025")</f>
        <v/>
      </c>
      <c r="Y331">
        <f>HYPERLINK("https://klasma.github.io/Logging_0781/kartor_geotiff/A 56742-2025 georefererad karta.tif", "A 56742-2025")</f>
        <v/>
      </c>
      <c r="AA331">
        <f>HYPERLINK("https://klasma.github.io/Logging_0781/klagomål/A 56742-2025 FSC-klagomål.docx", "A 56742-2025")</f>
        <v/>
      </c>
      <c r="AB331">
        <f>HYPERLINK("https://klasma.github.io/Logging_0781/klagomålsmail/A 56742-2025 FSC-klagomål mail.docx", "A 56742-2025")</f>
        <v/>
      </c>
      <c r="AC331">
        <f>HYPERLINK("https://klasma.github.io/Logging_0781/tillsyn/A 56742-2025 tillsynsbegäran.docx", "A 56742-2025")</f>
        <v/>
      </c>
      <c r="AD331">
        <f>HYPERLINK("https://klasma.github.io/Logging_0781/tillsynsmail/A 56742-2025 tillsynsbegäran mail.docx", "A 56742-2025")</f>
        <v/>
      </c>
    </row>
    <row r="332" ht="15" customHeight="1">
      <c r="A332" t="inlineStr">
        <is>
          <t>A 15676-2022</t>
        </is>
      </c>
      <c r="B332" t="inlineStr">
        <is>
          <t>avverkningsanmälan</t>
        </is>
      </c>
      <c r="C332" t="inlineStr">
        <is>
          <t>Föryngringsavverkning</t>
        </is>
      </c>
      <c r="D332" s="1" t="n">
        <v>44663</v>
      </c>
      <c r="E332" s="1" t="n">
        <v>46316</v>
      </c>
      <c r="F332" t="inlineStr">
        <is>
          <t>KRONOBERGS LÄN</t>
        </is>
      </c>
      <c r="G332" t="inlineStr">
        <is>
          <t>UPPVIDINGE</t>
        </is>
      </c>
      <c r="I332" t="n">
        <v>1.5</v>
      </c>
      <c r="J332" t="n">
        <v>1</v>
      </c>
      <c r="K332" t="n">
        <v>0</v>
      </c>
      <c r="L332" t="n">
        <v>0</v>
      </c>
      <c r="M332" t="n">
        <v>1</v>
      </c>
      <c r="N332" t="n">
        <v>0</v>
      </c>
      <c r="O332" t="n">
        <v>0</v>
      </c>
      <c r="P332" t="n">
        <v>0</v>
      </c>
      <c r="Q332" t="n">
        <v>1</v>
      </c>
      <c r="R332" t="n">
        <v>1</v>
      </c>
      <c r="S332" t="n">
        <v>1</v>
      </c>
      <c r="T332" t="n">
        <v>2</v>
      </c>
      <c r="U332" t="n">
        <v>1</v>
      </c>
      <c r="V332" s="2" t="inlineStr">
        <is>
          <t>Knärot</t>
        </is>
      </c>
      <c r="W332">
        <f>HYPERLINK("https://klasma.github.io/Logging_0760/artfynd/A 15676-2022 artfynd.xlsx", "A 15676-2022")</f>
        <v/>
      </c>
      <c r="X332">
        <f>HYPERLINK("https://klasma.github.io/Logging_0760/kartor/A 15676-2022 karta.png", "A 15676-2022")</f>
        <v/>
      </c>
      <c r="Y332">
        <f>HYPERLINK("https://klasma.github.io/Logging_0760/kartor_geotiff/A 15676-2022 georefererad karta.tif", "A 15676-2022")</f>
        <v/>
      </c>
      <c r="Z332">
        <f>HYPERLINK("https://klasma.github.io/Logging_0760/knärot/A 15676-2022 karta knärot.png", "A 15676-2022")</f>
        <v/>
      </c>
      <c r="AA332">
        <f>HYPERLINK("https://klasma.github.io/Logging_0760/klagomål/A 15676-2022 FSC-klagomål.docx", "A 15676-2022")</f>
        <v/>
      </c>
      <c r="AB332">
        <f>HYPERLINK("https://klasma.github.io/Logging_0760/klagomålsmail/A 15676-2022 FSC-klagomål mail.docx", "A 15676-2022")</f>
        <v/>
      </c>
      <c r="AC332">
        <f>HYPERLINK("https://klasma.github.io/Logging_0760/tillsyn/A 15676-2022 tillsynsbegäran.docx", "A 15676-2022")</f>
        <v/>
      </c>
      <c r="AD332">
        <f>HYPERLINK("https://klasma.github.io/Logging_0760/tillsynsmail/A 15676-2022 tillsynsbegäran mail.docx", "A 15676-2022")</f>
        <v/>
      </c>
    </row>
    <row r="333" ht="15" customHeight="1">
      <c r="A333" t="inlineStr">
        <is>
          <t>A 12875-2023</t>
        </is>
      </c>
      <c r="B333" t="inlineStr">
        <is>
          <t>avverkningsanmälan</t>
        </is>
      </c>
      <c r="C333" t="inlineStr">
        <is>
          <t>Föryngringsavverkning</t>
        </is>
      </c>
      <c r="D333" s="1" t="n">
        <v>45001</v>
      </c>
      <c r="E333" s="1" t="n">
        <v>46316</v>
      </c>
      <c r="F333" t="inlineStr">
        <is>
          <t>KRONOBERGS LÄN</t>
        </is>
      </c>
      <c r="G333" t="inlineStr">
        <is>
          <t>TINGSRYD</t>
        </is>
      </c>
      <c r="I333" t="n">
        <v>1.9</v>
      </c>
      <c r="J333" t="n">
        <v>0</v>
      </c>
      <c r="K333" t="n">
        <v>0</v>
      </c>
      <c r="L333" t="n">
        <v>1</v>
      </c>
      <c r="M333" t="n">
        <v>0</v>
      </c>
      <c r="N333" t="n">
        <v>0</v>
      </c>
      <c r="O333" t="n">
        <v>0</v>
      </c>
      <c r="P333" t="n">
        <v>0</v>
      </c>
      <c r="Q333" t="n">
        <v>1</v>
      </c>
      <c r="R333" t="n">
        <v>0</v>
      </c>
      <c r="S333" t="n">
        <v>1</v>
      </c>
      <c r="T333" t="n">
        <v>1</v>
      </c>
      <c r="U333" t="n">
        <v>1</v>
      </c>
      <c r="V333" s="2" t="inlineStr">
        <is>
          <t>Kandelabersvamp</t>
        </is>
      </c>
      <c r="W333">
        <f>HYPERLINK("https://klasma.github.io/Logging_0763/artfynd/A 12875-2023 artfynd.xlsx", "A 12875-2023")</f>
        <v/>
      </c>
      <c r="X333">
        <f>HYPERLINK("https://klasma.github.io/Logging_0763/kartor/A 12875-2023 karta.png", "A 12875-2023")</f>
        <v/>
      </c>
      <c r="Y333">
        <f>HYPERLINK("https://klasma.github.io/Logging_0763/kartor_geotiff/A 12875-2023 georefererad karta.tif", "A 12875-2023")</f>
        <v/>
      </c>
      <c r="AA333">
        <f>HYPERLINK("https://klasma.github.io/Logging_0763/klagomål/A 12875-2023 FSC-klagomål.docx", "A 12875-2023")</f>
        <v/>
      </c>
      <c r="AB333">
        <f>HYPERLINK("https://klasma.github.io/Logging_0763/klagomålsmail/A 12875-2023 FSC-klagomål mail.docx", "A 12875-2023")</f>
        <v/>
      </c>
      <c r="AC333">
        <f>HYPERLINK("https://klasma.github.io/Logging_0763/tillsyn/A 12875-2023 tillsynsbegäran.docx", "A 12875-2023")</f>
        <v/>
      </c>
      <c r="AD333">
        <f>HYPERLINK("https://klasma.github.io/Logging_0763/tillsynsmail/A 12875-2023 tillsynsbegäran mail.docx", "A 12875-2023")</f>
        <v/>
      </c>
    </row>
    <row r="334" ht="15" customHeight="1">
      <c r="A334" t="inlineStr">
        <is>
          <t>A 31604-2025</t>
        </is>
      </c>
      <c r="B334" t="inlineStr">
        <is>
          <t>avverkningsanmälan</t>
        </is>
      </c>
      <c r="C334" t="inlineStr">
        <is>
          <t>Föryngringsavverkning</t>
        </is>
      </c>
      <c r="D334" s="1" t="n">
        <v>45833</v>
      </c>
      <c r="E334" s="1" t="n">
        <v>46316</v>
      </c>
      <c r="F334" t="inlineStr">
        <is>
          <t>KRONOBERGS LÄN</t>
        </is>
      </c>
      <c r="G334" t="inlineStr">
        <is>
          <t>LJUNGBY</t>
        </is>
      </c>
      <c r="I334" t="n">
        <v>1.5</v>
      </c>
      <c r="J334" t="n">
        <v>0</v>
      </c>
      <c r="K334" t="n">
        <v>0</v>
      </c>
      <c r="L334" t="n">
        <v>1</v>
      </c>
      <c r="M334" t="n">
        <v>0</v>
      </c>
      <c r="N334" t="n">
        <v>0</v>
      </c>
      <c r="O334" t="n">
        <v>0</v>
      </c>
      <c r="P334" t="n">
        <v>0</v>
      </c>
      <c r="Q334" t="n">
        <v>1</v>
      </c>
      <c r="R334" t="n">
        <v>0</v>
      </c>
      <c r="S334" t="n">
        <v>1</v>
      </c>
      <c r="T334" t="n">
        <v>1</v>
      </c>
      <c r="U334" t="n">
        <v>0</v>
      </c>
      <c r="V334" s="2" t="inlineStr">
        <is>
          <t>Borsttåg</t>
        </is>
      </c>
      <c r="W334">
        <f>HYPERLINK("https://klasma.github.io/Logging_0781/artfynd/A 31604-2025 artfynd.xlsx", "A 31604-2025")</f>
        <v/>
      </c>
      <c r="X334">
        <f>HYPERLINK("https://klasma.github.io/Logging_0781/kartor/A 31604-2025 karta.png", "A 31604-2025")</f>
        <v/>
      </c>
      <c r="Y334">
        <f>HYPERLINK("https://klasma.github.io/Logging_0781/kartor_geotiff/A 31604-2025 georefererad karta.tif", "A 31604-2025")</f>
        <v/>
      </c>
      <c r="AA334">
        <f>HYPERLINK("https://klasma.github.io/Logging_0781/klagomål/A 31604-2025 FSC-klagomål.docx", "A 31604-2025")</f>
        <v/>
      </c>
      <c r="AB334">
        <f>HYPERLINK("https://klasma.github.io/Logging_0781/klagomålsmail/A 31604-2025 FSC-klagomål mail.docx", "A 31604-2025")</f>
        <v/>
      </c>
      <c r="AC334">
        <f>HYPERLINK("https://klasma.github.io/Logging_0781/tillsyn/A 31604-2025 tillsynsbegäran.docx", "A 31604-2025")</f>
        <v/>
      </c>
      <c r="AD334">
        <f>HYPERLINK("https://klasma.github.io/Logging_0781/tillsynsmail/A 31604-2025 tillsynsbegäran mail.docx", "A 31604-2025")</f>
        <v/>
      </c>
    </row>
    <row r="335" ht="15" customHeight="1">
      <c r="A335" t="inlineStr">
        <is>
          <t>A 12221-2024</t>
        </is>
      </c>
      <c r="B335" t="inlineStr">
        <is>
          <t>avverkningsanmälan</t>
        </is>
      </c>
      <c r="C335" t="inlineStr">
        <is>
          <t>Föryngringsavverkning</t>
        </is>
      </c>
      <c r="D335" s="1" t="n">
        <v>45378</v>
      </c>
      <c r="E335" s="1" t="n">
        <v>46316</v>
      </c>
      <c r="F335" t="inlineStr">
        <is>
          <t>KRONOBERGS LÄN</t>
        </is>
      </c>
      <c r="G335" t="inlineStr">
        <is>
          <t>ALVESTA</t>
        </is>
      </c>
      <c r="I335" t="n">
        <v>0.5</v>
      </c>
      <c r="J335" t="n">
        <v>0</v>
      </c>
      <c r="K335" t="n">
        <v>1</v>
      </c>
      <c r="L335" t="n">
        <v>0</v>
      </c>
      <c r="M335" t="n">
        <v>0</v>
      </c>
      <c r="N335" t="n">
        <v>0</v>
      </c>
      <c r="O335" t="n">
        <v>0</v>
      </c>
      <c r="P335" t="n">
        <v>0</v>
      </c>
      <c r="Q335" t="n">
        <v>0</v>
      </c>
      <c r="R335" t="n">
        <v>0</v>
      </c>
      <c r="S335" t="n">
        <v>1</v>
      </c>
      <c r="T335" t="n">
        <v>2</v>
      </c>
      <c r="U335" t="n">
        <v>0</v>
      </c>
      <c r="V335" s="2" t="inlineStr">
        <is>
          <t>Brandticka</t>
        </is>
      </c>
      <c r="W335">
        <f>HYPERLINK("https://klasma.github.io/Logging_0764/artfynd/A 12221-2024 artfynd.xlsx", "A 12221-2024")</f>
        <v/>
      </c>
      <c r="X335">
        <f>HYPERLINK("https://klasma.github.io/Logging_0764/kartor/A 12221-2024 karta.png", "A 12221-2024")</f>
        <v/>
      </c>
      <c r="Y335">
        <f>HYPERLINK("https://klasma.github.io/Logging_0764/kartor_geotiff/A 12221-2024 georefererad karta.tif", "A 12221-2024")</f>
        <v/>
      </c>
      <c r="AA335">
        <f>HYPERLINK("https://klasma.github.io/Logging_0764/klagomål/A 12221-2024 FSC-klagomål.docx", "A 12221-2024")</f>
        <v/>
      </c>
      <c r="AB335">
        <f>HYPERLINK("https://klasma.github.io/Logging_0764/klagomålsmail/A 12221-2024 FSC-klagomål mail.docx", "A 12221-2024")</f>
        <v/>
      </c>
      <c r="AC335">
        <f>HYPERLINK("https://klasma.github.io/Logging_0764/tillsyn/A 12221-2024 tillsynsbegäran.docx", "A 12221-2024")</f>
        <v/>
      </c>
      <c r="AD335">
        <f>HYPERLINK("https://klasma.github.io/Logging_0764/tillsynsmail/A 12221-2024 tillsynsbegäran mail.docx", "A 12221-2024")</f>
        <v/>
      </c>
    </row>
    <row r="336" ht="15" customHeight="1">
      <c r="A336" t="inlineStr">
        <is>
          <t>A 49086-2024</t>
        </is>
      </c>
      <c r="B336" t="inlineStr">
        <is>
          <t>avverkningsanmälan</t>
        </is>
      </c>
      <c r="C336" t="inlineStr">
        <is>
          <t>Föryngringsavverkning</t>
        </is>
      </c>
      <c r="D336" s="1" t="n">
        <v>45594</v>
      </c>
      <c r="E336" s="1" t="n">
        <v>46316</v>
      </c>
      <c r="F336" t="inlineStr">
        <is>
          <t>KRONOBERGS LÄN</t>
        </is>
      </c>
      <c r="G336" t="inlineStr">
        <is>
          <t>VÄXJÖ</t>
        </is>
      </c>
      <c r="H336" t="inlineStr">
        <is>
          <t>Sveaskog</t>
        </is>
      </c>
      <c r="I336" t="n">
        <v>2.7</v>
      </c>
      <c r="J336" t="n">
        <v>1</v>
      </c>
      <c r="K336" t="n">
        <v>0</v>
      </c>
      <c r="L336" t="n">
        <v>0</v>
      </c>
      <c r="M336" t="n">
        <v>0</v>
      </c>
      <c r="N336" t="n">
        <v>0</v>
      </c>
      <c r="O336" t="n">
        <v>0</v>
      </c>
      <c r="P336" t="n">
        <v>0</v>
      </c>
      <c r="Q336" t="n">
        <v>0</v>
      </c>
      <c r="R336" t="n">
        <v>0</v>
      </c>
      <c r="S336" t="n">
        <v>1</v>
      </c>
      <c r="T336" t="n">
        <v>1</v>
      </c>
      <c r="U336" t="n">
        <v>0</v>
      </c>
      <c r="V336" s="2" t="inlineStr">
        <is>
          <t>Röd glada</t>
        </is>
      </c>
      <c r="W336">
        <f>HYPERLINK("https://klasma.github.io/Logging_0780/artfynd/A 49086-2024 artfynd.xlsx", "A 49086-2024")</f>
        <v/>
      </c>
      <c r="X336">
        <f>HYPERLINK("https://klasma.github.io/Logging_0780/kartor/A 49086-2024 karta.png", "A 49086-2024")</f>
        <v/>
      </c>
      <c r="Y336">
        <f>HYPERLINK("https://klasma.github.io/Logging_0780/kartor_geotiff/A 49086-2024 georefererad karta.tif", "A 49086-2024")</f>
        <v/>
      </c>
      <c r="AA336">
        <f>HYPERLINK("https://klasma.github.io/Logging_0780/klagomål/A 49086-2024 FSC-klagomål.docx", "A 49086-2024")</f>
        <v/>
      </c>
      <c r="AB336">
        <f>HYPERLINK("https://klasma.github.io/Logging_0780/klagomålsmail/A 49086-2024 FSC-klagomål mail.docx", "A 49086-2024")</f>
        <v/>
      </c>
      <c r="AC336">
        <f>HYPERLINK("https://klasma.github.io/Logging_0780/tillsyn/A 49086-2024 tillsynsbegäran.docx", "A 49086-2024")</f>
        <v/>
      </c>
      <c r="AD336">
        <f>HYPERLINK("https://klasma.github.io/Logging_0780/tillsynsmail/A 49086-2024 tillsynsbegäran mail.docx", "A 49086-2024")</f>
        <v/>
      </c>
      <c r="AE336">
        <f>HYPERLINK("https://klasma.github.io/Logging_0780/fåglar/A 49086-2024 prioriterade fågelarter.docx", "A 49086-2024")</f>
        <v/>
      </c>
    </row>
    <row r="337" ht="15" customHeight="1">
      <c r="A337" t="inlineStr">
        <is>
          <t>A 64284-2023</t>
        </is>
      </c>
      <c r="B337" t="inlineStr">
        <is>
          <t>avverkningsanmälan</t>
        </is>
      </c>
      <c r="C337" t="inlineStr">
        <is>
          <t>Föryngringsavverkning</t>
        </is>
      </c>
      <c r="D337" s="1" t="n">
        <v>45280</v>
      </c>
      <c r="E337" s="1" t="n">
        <v>46316</v>
      </c>
      <c r="F337" t="inlineStr">
        <is>
          <t>KRONOBERGS LÄN</t>
        </is>
      </c>
      <c r="G337" t="inlineStr">
        <is>
          <t>VÄXJÖ</t>
        </is>
      </c>
      <c r="I337" t="n">
        <v>0.7</v>
      </c>
      <c r="J337" t="n">
        <v>0</v>
      </c>
      <c r="K337" t="n">
        <v>1</v>
      </c>
      <c r="L337" t="n">
        <v>0</v>
      </c>
      <c r="M337" t="n">
        <v>0</v>
      </c>
      <c r="N337" t="n">
        <v>0</v>
      </c>
      <c r="O337" t="n">
        <v>0</v>
      </c>
      <c r="P337" t="n">
        <v>0</v>
      </c>
      <c r="Q337" t="n">
        <v>0</v>
      </c>
      <c r="R337" t="n">
        <v>0</v>
      </c>
      <c r="S337" t="n">
        <v>1</v>
      </c>
      <c r="T337" t="n">
        <v>1</v>
      </c>
      <c r="U337" t="n">
        <v>1</v>
      </c>
      <c r="V337" s="2" t="inlineStr">
        <is>
          <t>Tibast</t>
        </is>
      </c>
      <c r="W337">
        <f>HYPERLINK("https://klasma.github.io/Logging_0780/artfynd/A 64284-2023 artfynd.xlsx", "A 64284-2023")</f>
        <v/>
      </c>
      <c r="X337">
        <f>HYPERLINK("https://klasma.github.io/Logging_0780/kartor/A 64284-2023 karta.png", "A 64284-2023")</f>
        <v/>
      </c>
      <c r="Y337">
        <f>HYPERLINK("https://klasma.github.io/Logging_0780/kartor_geotiff/A 64284-2023 georefererad karta.tif", "A 64284-2023")</f>
        <v/>
      </c>
      <c r="AA337">
        <f>HYPERLINK("https://klasma.github.io/Logging_0780/klagomål/A 64284-2023 FSC-klagomål.docx", "A 64284-2023")</f>
        <v/>
      </c>
      <c r="AB337">
        <f>HYPERLINK("https://klasma.github.io/Logging_0780/klagomålsmail/A 64284-2023 FSC-klagomål mail.docx", "A 64284-2023")</f>
        <v/>
      </c>
      <c r="AC337">
        <f>HYPERLINK("https://klasma.github.io/Logging_0780/tillsyn/A 64284-2023 tillsynsbegäran.docx", "A 64284-2023")</f>
        <v/>
      </c>
      <c r="AD337">
        <f>HYPERLINK("https://klasma.github.io/Logging_0780/tillsynsmail/A 64284-2023 tillsynsbegäran mail.docx", "A 64284-2023")</f>
        <v/>
      </c>
    </row>
    <row r="338" ht="15" customHeight="1">
      <c r="A338" t="inlineStr">
        <is>
          <t>A 56802-2025</t>
        </is>
      </c>
      <c r="B338" t="inlineStr">
        <is>
          <t>avverkningsanmälan</t>
        </is>
      </c>
      <c r="C338" t="inlineStr">
        <is>
          <t>Föryngringsavverkning</t>
        </is>
      </c>
      <c r="D338" s="1" t="n">
        <v>45978</v>
      </c>
      <c r="E338" s="1" t="n">
        <v>46316</v>
      </c>
      <c r="F338" t="inlineStr">
        <is>
          <t>KRONOBERGS LÄN</t>
        </is>
      </c>
      <c r="G338" t="inlineStr">
        <is>
          <t>VÄXJÖ</t>
        </is>
      </c>
      <c r="I338" t="n">
        <v>0.9</v>
      </c>
      <c r="J338" t="n">
        <v>1</v>
      </c>
      <c r="K338" t="n">
        <v>0</v>
      </c>
      <c r="L338" t="n">
        <v>0</v>
      </c>
      <c r="M338" t="n">
        <v>1</v>
      </c>
      <c r="N338" t="n">
        <v>0</v>
      </c>
      <c r="O338" t="n">
        <v>0</v>
      </c>
      <c r="P338" t="n">
        <v>0</v>
      </c>
      <c r="Q338" t="n">
        <v>1</v>
      </c>
      <c r="R338" t="n">
        <v>1</v>
      </c>
      <c r="S338" t="n">
        <v>1</v>
      </c>
      <c r="T338" t="n">
        <v>1</v>
      </c>
      <c r="U338" t="n">
        <v>0</v>
      </c>
      <c r="V338" s="2" t="inlineStr">
        <is>
          <t>Knärot</t>
        </is>
      </c>
      <c r="W338">
        <f>HYPERLINK("https://klasma.github.io/Logging_0780/artfynd/A 56802-2025 artfynd.xlsx", "A 56802-2025")</f>
        <v/>
      </c>
      <c r="X338">
        <f>HYPERLINK("https://klasma.github.io/Logging_0780/kartor/A 56802-2025 karta.png", "A 56802-2025")</f>
        <v/>
      </c>
      <c r="Y338">
        <f>HYPERLINK("https://klasma.github.io/Logging_0780/kartor_geotiff/A 56802-2025 georefererad karta.tif", "A 56802-2025")</f>
        <v/>
      </c>
      <c r="Z338">
        <f>HYPERLINK("https://klasma.github.io/Logging_0780/knärot/A 56802-2025 karta knärot.png", "A 56802-2025")</f>
        <v/>
      </c>
      <c r="AA338">
        <f>HYPERLINK("https://klasma.github.io/Logging_0780/klagomål/A 56802-2025 FSC-klagomål.docx", "A 56802-2025")</f>
        <v/>
      </c>
      <c r="AB338">
        <f>HYPERLINK("https://klasma.github.io/Logging_0780/klagomålsmail/A 56802-2025 FSC-klagomål mail.docx", "A 56802-2025")</f>
        <v/>
      </c>
      <c r="AC338">
        <f>HYPERLINK("https://klasma.github.io/Logging_0780/tillsyn/A 56802-2025 tillsynsbegäran.docx", "A 56802-2025")</f>
        <v/>
      </c>
      <c r="AD338">
        <f>HYPERLINK("https://klasma.github.io/Logging_0780/tillsynsmail/A 56802-2025 tillsynsbegäran mail.docx", "A 56802-2025")</f>
        <v/>
      </c>
    </row>
    <row r="339" ht="15" customHeight="1">
      <c r="A339" t="inlineStr">
        <is>
          <t>A 14493-2023</t>
        </is>
      </c>
      <c r="B339" t="inlineStr">
        <is>
          <t>avverkningsanmälan</t>
        </is>
      </c>
      <c r="C339" t="inlineStr">
        <is>
          <t>Föryngringsavverkning</t>
        </is>
      </c>
      <c r="D339" s="1" t="n">
        <v>45012</v>
      </c>
      <c r="E339" s="1" t="n">
        <v>46316</v>
      </c>
      <c r="F339" t="inlineStr">
        <is>
          <t>KRONOBERGS LÄN</t>
        </is>
      </c>
      <c r="G339" t="inlineStr">
        <is>
          <t>LJUNGBY</t>
        </is>
      </c>
      <c r="I339" t="n">
        <v>1.9</v>
      </c>
      <c r="J339" t="n">
        <v>1</v>
      </c>
      <c r="K339" t="n">
        <v>0</v>
      </c>
      <c r="L339" t="n">
        <v>0</v>
      </c>
      <c r="M339" t="n">
        <v>0</v>
      </c>
      <c r="N339" t="n">
        <v>0</v>
      </c>
      <c r="O339" t="n">
        <v>0</v>
      </c>
      <c r="P339" t="n">
        <v>0</v>
      </c>
      <c r="Q339" t="n">
        <v>0</v>
      </c>
      <c r="R339" t="n">
        <v>0</v>
      </c>
      <c r="S339" t="n">
        <v>1</v>
      </c>
      <c r="T339" t="n">
        <v>1</v>
      </c>
      <c r="U339" t="n">
        <v>0</v>
      </c>
      <c r="V339" s="2" t="inlineStr">
        <is>
          <t>Mattlummer</t>
        </is>
      </c>
      <c r="W339">
        <f>HYPERLINK("https://klasma.github.io/Logging_0781/artfynd/A 14493-2023 artfynd.xlsx", "A 14493-2023")</f>
        <v/>
      </c>
      <c r="X339">
        <f>HYPERLINK("https://klasma.github.io/Logging_0781/kartor/A 14493-2023 karta.png", "A 14493-2023")</f>
        <v/>
      </c>
      <c r="Y339">
        <f>HYPERLINK("https://klasma.github.io/Logging_0781/kartor_geotiff/A 14493-2023 georefererad karta.tif", "A 14493-2023")</f>
        <v/>
      </c>
      <c r="AA339">
        <f>HYPERLINK("https://klasma.github.io/Logging_0781/klagomål/A 14493-2023 FSC-klagomål.docx", "A 14493-2023")</f>
        <v/>
      </c>
      <c r="AB339">
        <f>HYPERLINK("https://klasma.github.io/Logging_0781/klagomålsmail/A 14493-2023 FSC-klagomål mail.docx", "A 14493-2023")</f>
        <v/>
      </c>
      <c r="AC339">
        <f>HYPERLINK("https://klasma.github.io/Logging_0781/tillsyn/A 14493-2023 tillsynsbegäran.docx", "A 14493-2023")</f>
        <v/>
      </c>
      <c r="AD339">
        <f>HYPERLINK("https://klasma.github.io/Logging_0781/tillsynsmail/A 14493-2023 tillsynsbegäran mail.docx", "A 14493-2023")</f>
        <v/>
      </c>
    </row>
    <row r="340" ht="15" customHeight="1">
      <c r="A340" t="inlineStr">
        <is>
          <t>A 33100-2025</t>
        </is>
      </c>
      <c r="B340" t="inlineStr">
        <is>
          <t>avverkningsanmälan</t>
        </is>
      </c>
      <c r="C340" t="inlineStr">
        <is>
          <t>Föryngringsavverkning</t>
        </is>
      </c>
      <c r="D340" s="1" t="n">
        <v>45840</v>
      </c>
      <c r="E340" s="1" t="n">
        <v>46316</v>
      </c>
      <c r="F340" t="inlineStr">
        <is>
          <t>KRONOBERGS LÄN</t>
        </is>
      </c>
      <c r="G340" t="inlineStr">
        <is>
          <t>UPPVIDINGE</t>
        </is>
      </c>
      <c r="I340" t="n">
        <v>0.8</v>
      </c>
      <c r="J340" t="n">
        <v>0</v>
      </c>
      <c r="K340" t="n">
        <v>0</v>
      </c>
      <c r="L340" t="n">
        <v>1</v>
      </c>
      <c r="M340" t="n">
        <v>0</v>
      </c>
      <c r="N340" t="n">
        <v>0</v>
      </c>
      <c r="O340" t="n">
        <v>0</v>
      </c>
      <c r="P340" t="n">
        <v>0</v>
      </c>
      <c r="Q340" t="n">
        <v>1</v>
      </c>
      <c r="R340" t="n">
        <v>0</v>
      </c>
      <c r="S340" t="n">
        <v>1</v>
      </c>
      <c r="T340" t="n">
        <v>1</v>
      </c>
      <c r="U340" t="n">
        <v>0</v>
      </c>
      <c r="V340" s="2" t="inlineStr">
        <is>
          <t>Fjällig taggsvamp s.str.</t>
        </is>
      </c>
      <c r="W340">
        <f>HYPERLINK("https://klasma.github.io/Logging_0760/artfynd/A 33100-2025 artfynd.xlsx", "A 33100-2025")</f>
        <v/>
      </c>
      <c r="X340">
        <f>HYPERLINK("https://klasma.github.io/Logging_0760/kartor/A 33100-2025 karta.png", "A 33100-2025")</f>
        <v/>
      </c>
      <c r="Y340">
        <f>HYPERLINK("https://klasma.github.io/Logging_0760/kartor_geotiff/A 33100-2025 georefererad karta.tif", "A 33100-2025")</f>
        <v/>
      </c>
      <c r="AA340">
        <f>HYPERLINK("https://klasma.github.io/Logging_0760/klagomål/A 33100-2025 FSC-klagomål.docx", "A 33100-2025")</f>
        <v/>
      </c>
      <c r="AB340">
        <f>HYPERLINK("https://klasma.github.io/Logging_0760/klagomålsmail/A 33100-2025 FSC-klagomål mail.docx", "A 33100-2025")</f>
        <v/>
      </c>
      <c r="AC340">
        <f>HYPERLINK("https://klasma.github.io/Logging_0760/tillsyn/A 33100-2025 tillsynsbegäran.docx", "A 33100-2025")</f>
        <v/>
      </c>
      <c r="AD340">
        <f>HYPERLINK("https://klasma.github.io/Logging_0760/tillsynsmail/A 33100-2025 tillsynsbegäran mail.docx", "A 33100-2025")</f>
        <v/>
      </c>
    </row>
    <row r="341" ht="15" customHeight="1">
      <c r="A341" t="inlineStr">
        <is>
          <t>A 57813-2025</t>
        </is>
      </c>
      <c r="B341" t="inlineStr">
        <is>
          <t>avverkningsanmälan</t>
        </is>
      </c>
      <c r="C341" t="inlineStr">
        <is>
          <t>Föryngringsavverkning</t>
        </is>
      </c>
      <c r="D341" s="1" t="n">
        <v>45981</v>
      </c>
      <c r="E341" s="1" t="n">
        <v>46316</v>
      </c>
      <c r="F341" t="inlineStr">
        <is>
          <t>KRONOBERGS LÄN</t>
        </is>
      </c>
      <c r="G341" t="inlineStr">
        <is>
          <t>UPPVIDINGE</t>
        </is>
      </c>
      <c r="H341" t="inlineStr">
        <is>
          <t>Sveaskog</t>
        </is>
      </c>
      <c r="I341" t="n">
        <v>3.5</v>
      </c>
      <c r="J341" t="n">
        <v>1</v>
      </c>
      <c r="K341" t="n">
        <v>0</v>
      </c>
      <c r="L341" t="n">
        <v>0</v>
      </c>
      <c r="M341" t="n">
        <v>0</v>
      </c>
      <c r="N341" t="n">
        <v>0</v>
      </c>
      <c r="O341" t="n">
        <v>0</v>
      </c>
      <c r="P341" t="n">
        <v>0</v>
      </c>
      <c r="Q341" t="n">
        <v>0</v>
      </c>
      <c r="R341" t="n">
        <v>0</v>
      </c>
      <c r="S341" t="n">
        <v>1</v>
      </c>
      <c r="T341" t="n">
        <v>1</v>
      </c>
      <c r="U341" t="n">
        <v>0</v>
      </c>
      <c r="V341" s="2" t="inlineStr">
        <is>
          <t>Orre</t>
        </is>
      </c>
      <c r="W341">
        <f>HYPERLINK("https://klasma.github.io/Logging_0760/artfynd/A 57813-2025 artfynd.xlsx", "A 57813-2025")</f>
        <v/>
      </c>
      <c r="X341">
        <f>HYPERLINK("https://klasma.github.io/Logging_0760/kartor/A 57813-2025 karta.png", "A 57813-2025")</f>
        <v/>
      </c>
      <c r="Y341">
        <f>HYPERLINK("https://klasma.github.io/Logging_0760/kartor_geotiff/A 57813-2025 georefererad karta.tif", "A 57813-2025")</f>
        <v/>
      </c>
      <c r="AA341">
        <f>HYPERLINK("https://klasma.github.io/Logging_0760/klagomål/A 57813-2025 FSC-klagomål.docx", "A 57813-2025")</f>
        <v/>
      </c>
      <c r="AB341">
        <f>HYPERLINK("https://klasma.github.io/Logging_0760/klagomålsmail/A 57813-2025 FSC-klagomål mail.docx", "A 57813-2025")</f>
        <v/>
      </c>
      <c r="AC341">
        <f>HYPERLINK("https://klasma.github.io/Logging_0760/tillsyn/A 57813-2025 tillsynsbegäran.docx", "A 57813-2025")</f>
        <v/>
      </c>
      <c r="AD341">
        <f>HYPERLINK("https://klasma.github.io/Logging_0760/tillsynsmail/A 57813-2025 tillsynsbegäran mail.docx", "A 57813-2025")</f>
        <v/>
      </c>
      <c r="AE341">
        <f>HYPERLINK("https://klasma.github.io/Logging_0760/fåglar/A 57813-2025 prioriterade fågelarter.docx", "A 57813-2025")</f>
        <v/>
      </c>
    </row>
    <row r="342" ht="15" customHeight="1">
      <c r="A342" t="inlineStr">
        <is>
          <t>A 38890-2024</t>
        </is>
      </c>
      <c r="B342" t="inlineStr">
        <is>
          <t>avverkningsanmälan</t>
        </is>
      </c>
      <c r="C342" t="inlineStr">
        <is>
          <t>Föryngringsavverkning</t>
        </is>
      </c>
      <c r="D342" s="1" t="n">
        <v>45547</v>
      </c>
      <c r="E342" s="1" t="n">
        <v>46316</v>
      </c>
      <c r="F342" t="inlineStr">
        <is>
          <t>KRONOBERGS LÄN</t>
        </is>
      </c>
      <c r="G342" t="inlineStr">
        <is>
          <t>ALVESTA</t>
        </is>
      </c>
      <c r="I342" t="n">
        <v>0.7</v>
      </c>
      <c r="J342" t="n">
        <v>1</v>
      </c>
      <c r="K342" t="n">
        <v>0</v>
      </c>
      <c r="L342" t="n">
        <v>0</v>
      </c>
      <c r="M342" t="n">
        <v>0</v>
      </c>
      <c r="N342" t="n">
        <v>0</v>
      </c>
      <c r="O342" t="n">
        <v>0</v>
      </c>
      <c r="P342" t="n">
        <v>0</v>
      </c>
      <c r="Q342" t="n">
        <v>0</v>
      </c>
      <c r="R342" t="n">
        <v>0</v>
      </c>
      <c r="S342" t="n">
        <v>1</v>
      </c>
      <c r="T342" t="n">
        <v>4</v>
      </c>
      <c r="U342" t="n">
        <v>0</v>
      </c>
      <c r="V342" s="2" t="inlineStr">
        <is>
          <t>Hårklomossa</t>
        </is>
      </c>
      <c r="W342">
        <f>HYPERLINK("https://klasma.github.io/Logging_0764/artfynd/A 38890-2024 artfynd.xlsx", "A 38890-2024")</f>
        <v/>
      </c>
      <c r="X342">
        <f>HYPERLINK("https://klasma.github.io/Logging_0764/kartor/A 38890-2024 karta.png", "A 38890-2024")</f>
        <v/>
      </c>
      <c r="Y342">
        <f>HYPERLINK("https://klasma.github.io/Logging_0764/kartor_geotiff/A 38890-2024 georefererad karta.tif", "A 38890-2024")</f>
        <v/>
      </c>
      <c r="AA342">
        <f>HYPERLINK("https://klasma.github.io/Logging_0764/klagomål/A 38890-2024 FSC-klagomål.docx", "A 38890-2024")</f>
        <v/>
      </c>
      <c r="AB342">
        <f>HYPERLINK("https://klasma.github.io/Logging_0764/klagomålsmail/A 38890-2024 FSC-klagomål mail.docx", "A 38890-2024")</f>
        <v/>
      </c>
      <c r="AC342">
        <f>HYPERLINK("https://klasma.github.io/Logging_0764/tillsyn/A 38890-2024 tillsynsbegäran.docx", "A 38890-2024")</f>
        <v/>
      </c>
      <c r="AD342">
        <f>HYPERLINK("https://klasma.github.io/Logging_0764/tillsynsmail/A 38890-2024 tillsynsbegäran mail.docx", "A 38890-2024")</f>
        <v/>
      </c>
    </row>
    <row r="343" ht="15" customHeight="1">
      <c r="A343" t="inlineStr">
        <is>
          <t>A 54602-2024</t>
        </is>
      </c>
      <c r="B343" t="inlineStr">
        <is>
          <t>avverkningsanmälan</t>
        </is>
      </c>
      <c r="C343" t="inlineStr">
        <is>
          <t>Föryngringsavverkning</t>
        </is>
      </c>
      <c r="D343" s="1" t="n">
        <v>45617</v>
      </c>
      <c r="E343" s="1" t="n">
        <v>46316</v>
      </c>
      <c r="F343" t="inlineStr">
        <is>
          <t>KRONOBERGS LÄN</t>
        </is>
      </c>
      <c r="G343" t="inlineStr">
        <is>
          <t>LJUNGBY</t>
        </is>
      </c>
      <c r="I343" t="n">
        <v>1.5</v>
      </c>
      <c r="J343" t="n">
        <v>0</v>
      </c>
      <c r="K343" t="n">
        <v>1</v>
      </c>
      <c r="L343" t="n">
        <v>0</v>
      </c>
      <c r="M343" t="n">
        <v>0</v>
      </c>
      <c r="N343" t="n">
        <v>0</v>
      </c>
      <c r="O343" t="n">
        <v>0</v>
      </c>
      <c r="P343" t="n">
        <v>0</v>
      </c>
      <c r="Q343" t="n">
        <v>0</v>
      </c>
      <c r="R343" t="n">
        <v>0</v>
      </c>
      <c r="S343" t="n">
        <v>1</v>
      </c>
      <c r="T343" t="n">
        <v>1</v>
      </c>
      <c r="U343" t="n">
        <v>0</v>
      </c>
      <c r="V343" s="2" t="inlineStr">
        <is>
          <t>Fällmossa</t>
        </is>
      </c>
      <c r="W343">
        <f>HYPERLINK("https://klasma.github.io/Logging_0781/artfynd/A 54602-2024 artfynd.xlsx", "A 54602-2024")</f>
        <v/>
      </c>
      <c r="X343">
        <f>HYPERLINK("https://klasma.github.io/Logging_0781/kartor/A 54602-2024 karta.png", "A 54602-2024")</f>
        <v/>
      </c>
      <c r="Y343">
        <f>HYPERLINK("https://klasma.github.io/Logging_0781/kartor_geotiff/A 54602-2024 georefererad karta.tif", "A 54602-2024")</f>
        <v/>
      </c>
      <c r="AA343">
        <f>HYPERLINK("https://klasma.github.io/Logging_0781/klagomål/A 54602-2024 FSC-klagomål.docx", "A 54602-2024")</f>
        <v/>
      </c>
      <c r="AB343">
        <f>HYPERLINK("https://klasma.github.io/Logging_0781/klagomålsmail/A 54602-2024 FSC-klagomål mail.docx", "A 54602-2024")</f>
        <v/>
      </c>
      <c r="AC343">
        <f>HYPERLINK("https://klasma.github.io/Logging_0781/tillsyn/A 54602-2024 tillsynsbegäran.docx", "A 54602-2024")</f>
        <v/>
      </c>
      <c r="AD343">
        <f>HYPERLINK("https://klasma.github.io/Logging_0781/tillsynsmail/A 54602-2024 tillsynsbegäran mail.docx", "A 54602-2024")</f>
        <v/>
      </c>
    </row>
    <row r="344" ht="15" customHeight="1">
      <c r="A344" t="inlineStr">
        <is>
          <t>A 52539-2025</t>
        </is>
      </c>
      <c r="B344" t="inlineStr">
        <is>
          <t>avverkningsanmälan</t>
        </is>
      </c>
      <c r="C344" t="inlineStr">
        <is>
          <t>Föryngringsavverkning</t>
        </is>
      </c>
      <c r="D344" s="1" t="n">
        <v>45954</v>
      </c>
      <c r="E344" s="1" t="n">
        <v>46316</v>
      </c>
      <c r="F344" t="inlineStr">
        <is>
          <t>KRONOBERGS LÄN</t>
        </is>
      </c>
      <c r="G344" t="inlineStr">
        <is>
          <t>LESSEBO</t>
        </is>
      </c>
      <c r="H344" t="inlineStr">
        <is>
          <t>Sveaskog</t>
        </is>
      </c>
      <c r="I344" t="n">
        <v>0.7</v>
      </c>
      <c r="J344" t="n">
        <v>1</v>
      </c>
      <c r="K344" t="n">
        <v>0</v>
      </c>
      <c r="L344" t="n">
        <v>0</v>
      </c>
      <c r="M344" t="n">
        <v>0</v>
      </c>
      <c r="N344" t="n">
        <v>0</v>
      </c>
      <c r="O344" t="n">
        <v>0</v>
      </c>
      <c r="P344" t="n">
        <v>0</v>
      </c>
      <c r="Q344" t="n">
        <v>0</v>
      </c>
      <c r="R344" t="n">
        <v>0</v>
      </c>
      <c r="S344" t="n">
        <v>1</v>
      </c>
      <c r="T344" t="n">
        <v>1</v>
      </c>
      <c r="U344" t="n">
        <v>1</v>
      </c>
      <c r="V344" s="2" t="inlineStr">
        <is>
          <t>Kungsfågel</t>
        </is>
      </c>
      <c r="W344">
        <f>HYPERLINK("https://klasma.github.io/Logging_0761/artfynd/A 52539-2025 artfynd.xlsx", "A 52539-2025")</f>
        <v/>
      </c>
      <c r="X344">
        <f>HYPERLINK("https://klasma.github.io/Logging_0761/kartor/A 52539-2025 karta.png", "A 52539-2025")</f>
        <v/>
      </c>
      <c r="Y344">
        <f>HYPERLINK("https://klasma.github.io/Logging_0761/kartor_geotiff/A 52539-2025 georefererad karta.tif", "A 52539-2025")</f>
        <v/>
      </c>
      <c r="AA344">
        <f>HYPERLINK("https://klasma.github.io/Logging_0761/klagomål/A 52539-2025 FSC-klagomål.docx", "A 52539-2025")</f>
        <v/>
      </c>
      <c r="AB344">
        <f>HYPERLINK("https://klasma.github.io/Logging_0761/klagomålsmail/A 52539-2025 FSC-klagomål mail.docx", "A 52539-2025")</f>
        <v/>
      </c>
      <c r="AC344">
        <f>HYPERLINK("https://klasma.github.io/Logging_0761/tillsyn/A 52539-2025 tillsynsbegäran.docx", "A 52539-2025")</f>
        <v/>
      </c>
      <c r="AD344">
        <f>HYPERLINK("https://klasma.github.io/Logging_0761/tillsynsmail/A 52539-2025 tillsynsbegäran mail.docx", "A 52539-2025")</f>
        <v/>
      </c>
    </row>
    <row r="345" ht="15" customHeight="1">
      <c r="A345" t="inlineStr">
        <is>
          <t>A 19196-2025</t>
        </is>
      </c>
      <c r="B345" t="inlineStr">
        <is>
          <t>avverkningsanmälan</t>
        </is>
      </c>
      <c r="C345" t="inlineStr">
        <is>
          <t>Föryngringsavverkning</t>
        </is>
      </c>
      <c r="D345" s="1" t="n">
        <v>45769</v>
      </c>
      <c r="E345" s="1" t="n">
        <v>46316</v>
      </c>
      <c r="F345" t="inlineStr">
        <is>
          <t>KRONOBERGS LÄN</t>
        </is>
      </c>
      <c r="G345" t="inlineStr">
        <is>
          <t>ÄLMHULT</t>
        </is>
      </c>
      <c r="I345" t="n">
        <v>26.2</v>
      </c>
      <c r="J345" t="n">
        <v>0</v>
      </c>
      <c r="K345" t="n">
        <v>1</v>
      </c>
      <c r="L345" t="n">
        <v>0</v>
      </c>
      <c r="M345" t="n">
        <v>0</v>
      </c>
      <c r="N345" t="n">
        <v>0</v>
      </c>
      <c r="O345" t="n">
        <v>0</v>
      </c>
      <c r="P345" t="n">
        <v>0</v>
      </c>
      <c r="Q345" t="n">
        <v>0</v>
      </c>
      <c r="R345" t="n">
        <v>0</v>
      </c>
      <c r="S345" t="n">
        <v>1</v>
      </c>
      <c r="T345" t="n">
        <v>1</v>
      </c>
      <c r="U345" t="n">
        <v>0</v>
      </c>
      <c r="V345" s="2" t="inlineStr">
        <is>
          <t>Blåmossa</t>
        </is>
      </c>
      <c r="W345">
        <f>HYPERLINK("https://klasma.github.io/Logging_0765/artfynd/A 19196-2025 artfynd.xlsx", "A 19196-2025")</f>
        <v/>
      </c>
      <c r="X345">
        <f>HYPERLINK("https://klasma.github.io/Logging_0765/kartor/A 19196-2025 karta.png", "A 19196-2025")</f>
        <v/>
      </c>
      <c r="Y345">
        <f>HYPERLINK("https://klasma.github.io/Logging_0765/kartor_geotiff/A 19196-2025 georefererad karta.tif", "A 19196-2025")</f>
        <v/>
      </c>
      <c r="AA345">
        <f>HYPERLINK("https://klasma.github.io/Logging_0765/klagomål/A 19196-2025 FSC-klagomål.docx", "A 19196-2025")</f>
        <v/>
      </c>
      <c r="AB345">
        <f>HYPERLINK("https://klasma.github.io/Logging_0765/klagomålsmail/A 19196-2025 FSC-klagomål mail.docx", "A 19196-2025")</f>
        <v/>
      </c>
      <c r="AC345">
        <f>HYPERLINK("https://klasma.github.io/Logging_0765/tillsyn/A 19196-2025 tillsynsbegäran.docx", "A 19196-2025")</f>
        <v/>
      </c>
      <c r="AD345">
        <f>HYPERLINK("https://klasma.github.io/Logging_0765/tillsynsmail/A 19196-2025 tillsynsbegäran mail.docx", "A 19196-2025")</f>
        <v/>
      </c>
    </row>
    <row r="346" ht="15" customHeight="1">
      <c r="A346" t="inlineStr">
        <is>
          <t>A 1488-2025</t>
        </is>
      </c>
      <c r="B346" t="inlineStr">
        <is>
          <t>avverkningsanmälan</t>
        </is>
      </c>
      <c r="C346" t="inlineStr">
        <is>
          <t>Avverkning för annat ändamål</t>
        </is>
      </c>
      <c r="D346" s="1" t="n">
        <v>45670</v>
      </c>
      <c r="E346" s="1" t="n">
        <v>46316</v>
      </c>
      <c r="F346" t="inlineStr">
        <is>
          <t>KRONOBERGS LÄN</t>
        </is>
      </c>
      <c r="G346" t="inlineStr">
        <is>
          <t>LESSEBO</t>
        </is>
      </c>
      <c r="I346" t="n">
        <v>1.4</v>
      </c>
      <c r="J346" t="n">
        <v>1</v>
      </c>
      <c r="K346" t="n">
        <v>1</v>
      </c>
      <c r="L346" t="n">
        <v>0</v>
      </c>
      <c r="M346" t="n">
        <v>0</v>
      </c>
      <c r="N346" t="n">
        <v>0</v>
      </c>
      <c r="O346" t="n">
        <v>0</v>
      </c>
      <c r="P346" t="n">
        <v>0</v>
      </c>
      <c r="Q346" t="n">
        <v>0</v>
      </c>
      <c r="R346" t="n">
        <v>0</v>
      </c>
      <c r="S346" t="n">
        <v>1</v>
      </c>
      <c r="T346" t="n">
        <v>1</v>
      </c>
      <c r="U346" t="n">
        <v>0</v>
      </c>
      <c r="V346" s="2" t="inlineStr">
        <is>
          <t>Korallrot</t>
        </is>
      </c>
      <c r="W346">
        <f>HYPERLINK("https://klasma.github.io/Logging_0761/artfynd/A 1488-2025 artfynd.xlsx", "A 1488-2025")</f>
        <v/>
      </c>
      <c r="X346">
        <f>HYPERLINK("https://klasma.github.io/Logging_0761/kartor/A 1488-2025 karta.png", "A 1488-2025")</f>
        <v/>
      </c>
      <c r="Y346">
        <f>HYPERLINK("https://klasma.github.io/Logging_0761/kartor_geotiff/A 1488-2025 georefererad karta.tif", "A 1488-2025")</f>
        <v/>
      </c>
      <c r="AA346">
        <f>HYPERLINK("https://klasma.github.io/Logging_0761/klagomål/A 1488-2025 FSC-klagomål.docx", "A 1488-2025")</f>
        <v/>
      </c>
      <c r="AB346">
        <f>HYPERLINK("https://klasma.github.io/Logging_0761/klagomålsmail/A 1488-2025 FSC-klagomål mail.docx", "A 1488-2025")</f>
        <v/>
      </c>
      <c r="AC346">
        <f>HYPERLINK("https://klasma.github.io/Logging_0761/tillsyn/A 1488-2025 tillsynsbegäran.docx", "A 1488-2025")</f>
        <v/>
      </c>
      <c r="AD346">
        <f>HYPERLINK("https://klasma.github.io/Logging_0761/tillsynsmail/A 1488-2025 tillsynsbegäran mail.docx", "A 1488-2025")</f>
        <v/>
      </c>
    </row>
    <row r="347" ht="15" customHeight="1">
      <c r="A347" t="inlineStr">
        <is>
          <t>A 4654-2024</t>
        </is>
      </c>
      <c r="B347" t="inlineStr">
        <is>
          <t>avverkningsanmälan</t>
        </is>
      </c>
      <c r="C347" t="inlineStr">
        <is>
          <t>Föryngringsavverkning</t>
        </is>
      </c>
      <c r="D347" s="1" t="n">
        <v>45327</v>
      </c>
      <c r="E347" s="1" t="n">
        <v>46316</v>
      </c>
      <c r="F347" t="inlineStr">
        <is>
          <t>KRONOBERGS LÄN</t>
        </is>
      </c>
      <c r="G347" t="inlineStr">
        <is>
          <t>VÄXJÖ</t>
        </is>
      </c>
      <c r="I347" t="n">
        <v>1.1</v>
      </c>
      <c r="J347" t="n">
        <v>1</v>
      </c>
      <c r="K347" t="n">
        <v>0</v>
      </c>
      <c r="L347" t="n">
        <v>0</v>
      </c>
      <c r="M347" t="n">
        <v>0</v>
      </c>
      <c r="N347" t="n">
        <v>0</v>
      </c>
      <c r="O347" t="n">
        <v>0</v>
      </c>
      <c r="P347" t="n">
        <v>0</v>
      </c>
      <c r="Q347" t="n">
        <v>0</v>
      </c>
      <c r="R347" t="n">
        <v>0</v>
      </c>
      <c r="S347" t="n">
        <v>1</v>
      </c>
      <c r="T347" t="n">
        <v>1</v>
      </c>
      <c r="U347" t="n">
        <v>0</v>
      </c>
      <c r="V347" s="2" t="inlineStr">
        <is>
          <t>Blåsippa</t>
        </is>
      </c>
      <c r="W347">
        <f>HYPERLINK("https://klasma.github.io/Logging_0780/artfynd/A 4654-2024 artfynd.xlsx", "A 4654-2024")</f>
        <v/>
      </c>
      <c r="X347">
        <f>HYPERLINK("https://klasma.github.io/Logging_0780/kartor/A 4654-2024 karta.png", "A 4654-2024")</f>
        <v/>
      </c>
      <c r="Y347">
        <f>HYPERLINK("https://klasma.github.io/Logging_0780/kartor_geotiff/A 4654-2024 georefererad karta.tif", "A 4654-2024")</f>
        <v/>
      </c>
      <c r="AA347">
        <f>HYPERLINK("https://klasma.github.io/Logging_0780/klagomål/A 4654-2024 FSC-klagomål.docx", "A 4654-2024")</f>
        <v/>
      </c>
      <c r="AB347">
        <f>HYPERLINK("https://klasma.github.io/Logging_0780/klagomålsmail/A 4654-2024 FSC-klagomål mail.docx", "A 4654-2024")</f>
        <v/>
      </c>
      <c r="AC347">
        <f>HYPERLINK("https://klasma.github.io/Logging_0780/tillsyn/A 4654-2024 tillsynsbegäran.docx", "A 4654-2024")</f>
        <v/>
      </c>
      <c r="AD347">
        <f>HYPERLINK("https://klasma.github.io/Logging_0780/tillsynsmail/A 4654-2024 tillsynsbegäran mail.docx", "A 4654-2024")</f>
        <v/>
      </c>
    </row>
    <row r="348" ht="15" customHeight="1">
      <c r="A348" t="inlineStr">
        <is>
          <t>A 60729-2025</t>
        </is>
      </c>
      <c r="B348" t="inlineStr">
        <is>
          <t>avverkningsanmälan</t>
        </is>
      </c>
      <c r="C348" t="inlineStr">
        <is>
          <t>Avverkning för annat ändamål</t>
        </is>
      </c>
      <c r="D348" s="1" t="n">
        <v>45996</v>
      </c>
      <c r="E348" s="1" t="n">
        <v>46316</v>
      </c>
      <c r="F348" t="inlineStr">
        <is>
          <t>KRONOBERGS LÄN</t>
        </is>
      </c>
      <c r="G348" t="inlineStr">
        <is>
          <t>ALVESTA</t>
        </is>
      </c>
      <c r="I348" t="n">
        <v>0.5</v>
      </c>
      <c r="J348" t="n">
        <v>0</v>
      </c>
      <c r="K348" t="n">
        <v>0</v>
      </c>
      <c r="L348" t="n">
        <v>0</v>
      </c>
      <c r="M348" t="n">
        <v>1</v>
      </c>
      <c r="N348" t="n">
        <v>0</v>
      </c>
      <c r="O348" t="n">
        <v>0</v>
      </c>
      <c r="P348" t="n">
        <v>0</v>
      </c>
      <c r="Q348" t="n">
        <v>1</v>
      </c>
      <c r="R348" t="n">
        <v>1</v>
      </c>
      <c r="S348" t="n">
        <v>1</v>
      </c>
      <c r="T348" t="n">
        <v>1</v>
      </c>
      <c r="U348" t="n">
        <v>0</v>
      </c>
      <c r="V348" s="2" t="inlineStr">
        <is>
          <t>Igelkott</t>
        </is>
      </c>
      <c r="W348">
        <f>HYPERLINK("https://klasma.github.io/Logging_0764/artfynd/A 60729-2025 artfynd.xlsx", "A 60729-2025")</f>
        <v/>
      </c>
      <c r="X348">
        <f>HYPERLINK("https://klasma.github.io/Logging_0764/kartor/A 60729-2025 karta.png", "A 60729-2025")</f>
        <v/>
      </c>
      <c r="Y348">
        <f>HYPERLINK("https://klasma.github.io/Logging_0764/kartor_geotiff/A 60729-2025 georefererad karta.tif", "A 60729-2025")</f>
        <v/>
      </c>
      <c r="AA348">
        <f>HYPERLINK("https://klasma.github.io/Logging_0764/klagomål/A 60729-2025 FSC-klagomål.docx", "A 60729-2025")</f>
        <v/>
      </c>
      <c r="AB348">
        <f>HYPERLINK("https://klasma.github.io/Logging_0764/klagomålsmail/A 60729-2025 FSC-klagomål mail.docx", "A 60729-2025")</f>
        <v/>
      </c>
      <c r="AC348">
        <f>HYPERLINK("https://klasma.github.io/Logging_0764/tillsyn/A 60729-2025 tillsynsbegäran.docx", "A 60729-2025")</f>
        <v/>
      </c>
      <c r="AD348">
        <f>HYPERLINK("https://klasma.github.io/Logging_0764/tillsynsmail/A 60729-2025 tillsynsbegäran mail.docx", "A 60729-2025")</f>
        <v/>
      </c>
    </row>
    <row r="349" ht="15" customHeight="1">
      <c r="A349" t="inlineStr">
        <is>
          <t>A 23288-2024</t>
        </is>
      </c>
      <c r="B349" t="inlineStr">
        <is>
          <t>avverkningsanmälan</t>
        </is>
      </c>
      <c r="C349" t="inlineStr">
        <is>
          <t>Föryngringsavverkning</t>
        </is>
      </c>
      <c r="D349" s="1" t="n">
        <v>45453</v>
      </c>
      <c r="E349" s="1" t="n">
        <v>46316</v>
      </c>
      <c r="F349" t="inlineStr">
        <is>
          <t>KRONOBERGS LÄN</t>
        </is>
      </c>
      <c r="G349" t="inlineStr">
        <is>
          <t>MARKARYD</t>
        </is>
      </c>
      <c r="I349" t="n">
        <v>2</v>
      </c>
      <c r="J349" t="n">
        <v>1</v>
      </c>
      <c r="K349" t="n">
        <v>0</v>
      </c>
      <c r="L349" t="n">
        <v>0</v>
      </c>
      <c r="M349" t="n">
        <v>0</v>
      </c>
      <c r="N349" t="n">
        <v>0</v>
      </c>
      <c r="O349" t="n">
        <v>0</v>
      </c>
      <c r="P349" t="n">
        <v>0</v>
      </c>
      <c r="Q349" t="n">
        <v>0</v>
      </c>
      <c r="R349" t="n">
        <v>0</v>
      </c>
      <c r="S349" t="n">
        <v>1</v>
      </c>
      <c r="T349" t="n">
        <v>1</v>
      </c>
      <c r="U349" t="n">
        <v>1</v>
      </c>
      <c r="V349" s="2" t="inlineStr">
        <is>
          <t>Spillkråka</t>
        </is>
      </c>
      <c r="W349">
        <f>HYPERLINK("https://klasma.github.io/Logging_0767/artfynd/A 23288-2024 artfynd.xlsx", "A 23288-2024")</f>
        <v/>
      </c>
      <c r="X349">
        <f>HYPERLINK("https://klasma.github.io/Logging_0767/kartor/A 23288-2024 karta.png", "A 23288-2024")</f>
        <v/>
      </c>
      <c r="Y349">
        <f>HYPERLINK("https://klasma.github.io/Logging_0767/kartor_geotiff/A 23288-2024 georefererad karta.tif", "A 23288-2024")</f>
        <v/>
      </c>
      <c r="AA349">
        <f>HYPERLINK("https://klasma.github.io/Logging_0767/klagomål/A 23288-2024 FSC-klagomål.docx", "A 23288-2024")</f>
        <v/>
      </c>
      <c r="AB349">
        <f>HYPERLINK("https://klasma.github.io/Logging_0767/klagomålsmail/A 23288-2024 FSC-klagomål mail.docx", "A 23288-2024")</f>
        <v/>
      </c>
      <c r="AC349">
        <f>HYPERLINK("https://klasma.github.io/Logging_0767/tillsyn/A 23288-2024 tillsynsbegäran.docx", "A 23288-2024")</f>
        <v/>
      </c>
      <c r="AD349">
        <f>HYPERLINK("https://klasma.github.io/Logging_0767/tillsynsmail/A 23288-2024 tillsynsbegäran mail.docx", "A 23288-2024")</f>
        <v/>
      </c>
      <c r="AE349">
        <f>HYPERLINK("https://klasma.github.io/Logging_0767/fåglar/A 23288-2024 prioriterade fågelarter.docx", "A 23288-2024")</f>
        <v/>
      </c>
    </row>
    <row r="350" ht="15" customHeight="1">
      <c r="A350" t="inlineStr">
        <is>
          <t>A 30110-2022</t>
        </is>
      </c>
      <c r="B350" t="inlineStr">
        <is>
          <t>avverkningsanmälan</t>
        </is>
      </c>
      <c r="C350" t="inlineStr">
        <is>
          <t>Föryngringsavverkning</t>
        </is>
      </c>
      <c r="D350" s="1" t="n">
        <v>44757</v>
      </c>
      <c r="E350" s="1" t="n">
        <v>46316</v>
      </c>
      <c r="F350" t="inlineStr">
        <is>
          <t>KRONOBERGS LÄN</t>
        </is>
      </c>
      <c r="G350" t="inlineStr">
        <is>
          <t>UPPVIDINGE</t>
        </is>
      </c>
      <c r="H350" t="inlineStr">
        <is>
          <t>Sveaskog</t>
        </is>
      </c>
      <c r="I350" t="n">
        <v>1</v>
      </c>
      <c r="J350" t="n">
        <v>1</v>
      </c>
      <c r="K350" t="n">
        <v>0</v>
      </c>
      <c r="L350" t="n">
        <v>0</v>
      </c>
      <c r="M350" t="n">
        <v>0</v>
      </c>
      <c r="N350" t="n">
        <v>0</v>
      </c>
      <c r="O350" t="n">
        <v>0</v>
      </c>
      <c r="P350" t="n">
        <v>0</v>
      </c>
      <c r="Q350" t="n">
        <v>0</v>
      </c>
      <c r="R350" t="n">
        <v>0</v>
      </c>
      <c r="S350" t="n">
        <v>1</v>
      </c>
      <c r="T350" t="n">
        <v>1</v>
      </c>
      <c r="U350" t="n">
        <v>0</v>
      </c>
      <c r="V350" s="2" t="inlineStr">
        <is>
          <t>Tjäder</t>
        </is>
      </c>
      <c r="W350">
        <f>HYPERLINK("https://klasma.github.io/Logging_0760/artfynd/A 30110-2022 artfynd.xlsx", "A 30110-2022")</f>
        <v/>
      </c>
      <c r="X350">
        <f>HYPERLINK("https://klasma.github.io/Logging_0760/kartor/A 30110-2022 karta.png", "A 30110-2022")</f>
        <v/>
      </c>
      <c r="Y350">
        <f>HYPERLINK("https://klasma.github.io/Logging_0760/kartor_geotiff/A 30110-2022 georefererad karta.tif", "A 30110-2022")</f>
        <v/>
      </c>
      <c r="AA350">
        <f>HYPERLINK("https://klasma.github.io/Logging_0760/klagomål/A 30110-2022 FSC-klagomål.docx", "A 30110-2022")</f>
        <v/>
      </c>
      <c r="AB350">
        <f>HYPERLINK("https://klasma.github.io/Logging_0760/klagomålsmail/A 30110-2022 FSC-klagomål mail.docx", "A 30110-2022")</f>
        <v/>
      </c>
      <c r="AC350">
        <f>HYPERLINK("https://klasma.github.io/Logging_0760/tillsyn/A 30110-2022 tillsynsbegäran.docx", "A 30110-2022")</f>
        <v/>
      </c>
      <c r="AD350">
        <f>HYPERLINK("https://klasma.github.io/Logging_0760/tillsynsmail/A 30110-2022 tillsynsbegäran mail.docx", "A 30110-2022")</f>
        <v/>
      </c>
      <c r="AE350">
        <f>HYPERLINK("https://klasma.github.io/Logging_0760/fåglar/A 30110-2022 prioriterade fågelarter.docx", "A 30110-2022")</f>
        <v/>
      </c>
    </row>
    <row r="351" ht="15" customHeight="1">
      <c r="A351" t="inlineStr">
        <is>
          <t>A 18747-2025</t>
        </is>
      </c>
      <c r="B351" t="inlineStr">
        <is>
          <t>avverkningsanmälan</t>
        </is>
      </c>
      <c r="C351" t="inlineStr">
        <is>
          <t>Föryngringsavverkning</t>
        </is>
      </c>
      <c r="D351" s="1" t="n">
        <v>45763</v>
      </c>
      <c r="E351" s="1" t="n">
        <v>46316</v>
      </c>
      <c r="F351" t="inlineStr">
        <is>
          <t>KRONOBERGS LÄN</t>
        </is>
      </c>
      <c r="G351" t="inlineStr">
        <is>
          <t>ÄLMHULT</t>
        </is>
      </c>
      <c r="I351" t="n">
        <v>1.4</v>
      </c>
      <c r="J351" t="n">
        <v>0</v>
      </c>
      <c r="K351" t="n">
        <v>0</v>
      </c>
      <c r="L351" t="n">
        <v>1</v>
      </c>
      <c r="M351" t="n">
        <v>0</v>
      </c>
      <c r="N351" t="n">
        <v>0</v>
      </c>
      <c r="O351" t="n">
        <v>0</v>
      </c>
      <c r="P351" t="n">
        <v>0</v>
      </c>
      <c r="Q351" t="n">
        <v>1</v>
      </c>
      <c r="R351" t="n">
        <v>0</v>
      </c>
      <c r="S351" t="n">
        <v>1</v>
      </c>
      <c r="T351" t="n">
        <v>1</v>
      </c>
      <c r="U351" t="n">
        <v>1</v>
      </c>
      <c r="V351" s="2" t="inlineStr">
        <is>
          <t>Borsttåg</t>
        </is>
      </c>
      <c r="W351">
        <f>HYPERLINK("https://klasma.github.io/Logging_0765/artfynd/A 18747-2025 artfynd.xlsx", "A 18747-2025")</f>
        <v/>
      </c>
      <c r="X351">
        <f>HYPERLINK("https://klasma.github.io/Logging_0765/kartor/A 18747-2025 karta.png", "A 18747-2025")</f>
        <v/>
      </c>
      <c r="Y351">
        <f>HYPERLINK("https://klasma.github.io/Logging_0765/kartor_geotiff/A 18747-2025 georefererad karta.tif", "A 18747-2025")</f>
        <v/>
      </c>
      <c r="AA351">
        <f>HYPERLINK("https://klasma.github.io/Logging_0765/klagomål/A 18747-2025 FSC-klagomål.docx", "A 18747-2025")</f>
        <v/>
      </c>
      <c r="AB351">
        <f>HYPERLINK("https://klasma.github.io/Logging_0765/klagomålsmail/A 18747-2025 FSC-klagomål mail.docx", "A 18747-2025")</f>
        <v/>
      </c>
      <c r="AC351">
        <f>HYPERLINK("https://klasma.github.io/Logging_0765/tillsyn/A 18747-2025 tillsynsbegäran.docx", "A 18747-2025")</f>
        <v/>
      </c>
      <c r="AD351">
        <f>HYPERLINK("https://klasma.github.io/Logging_0765/tillsynsmail/A 18747-2025 tillsynsbegäran mail.docx", "A 18747-2025")</f>
        <v/>
      </c>
    </row>
    <row r="352" ht="15" customHeight="1">
      <c r="A352" t="inlineStr">
        <is>
          <t>A 35279-2022</t>
        </is>
      </c>
      <c r="B352" t="inlineStr">
        <is>
          <t>avverkningsanmälan</t>
        </is>
      </c>
      <c r="C352" t="inlineStr">
        <is>
          <t>Föryngringsavverkning</t>
        </is>
      </c>
      <c r="D352" s="1" t="n">
        <v>44798</v>
      </c>
      <c r="E352" s="1" t="n">
        <v>46316</v>
      </c>
      <c r="F352" t="inlineStr">
        <is>
          <t>KRONOBERGS LÄN</t>
        </is>
      </c>
      <c r="G352" t="inlineStr">
        <is>
          <t>ALVESTA</t>
        </is>
      </c>
      <c r="H352" t="inlineStr">
        <is>
          <t>Kyrkan</t>
        </is>
      </c>
      <c r="I352" t="n">
        <v>3.8</v>
      </c>
      <c r="J352" t="n">
        <v>1</v>
      </c>
      <c r="K352" t="n">
        <v>0</v>
      </c>
      <c r="L352" t="n">
        <v>0</v>
      </c>
      <c r="M352" t="n">
        <v>1</v>
      </c>
      <c r="N352" t="n">
        <v>0</v>
      </c>
      <c r="O352" t="n">
        <v>0</v>
      </c>
      <c r="P352" t="n">
        <v>0</v>
      </c>
      <c r="Q352" t="n">
        <v>1</v>
      </c>
      <c r="R352" t="n">
        <v>1</v>
      </c>
      <c r="S352" t="n">
        <v>1</v>
      </c>
      <c r="T352" t="n">
        <v>3</v>
      </c>
      <c r="U352" t="n">
        <v>2</v>
      </c>
      <c r="V352" s="2" t="inlineStr">
        <is>
          <t>Knärot</t>
        </is>
      </c>
      <c r="W352">
        <f>HYPERLINK("https://klasma.github.io/Logging_0764/artfynd/A 35279-2022 artfynd.xlsx", "A 35279-2022")</f>
        <v/>
      </c>
      <c r="X352">
        <f>HYPERLINK("https://klasma.github.io/Logging_0764/kartor/A 35279-2022 karta.png", "A 35279-2022")</f>
        <v/>
      </c>
      <c r="Y352">
        <f>HYPERLINK("https://klasma.github.io/Logging_0764/kartor_geotiff/A 35279-2022 georefererad karta.tif", "A 35279-2022")</f>
        <v/>
      </c>
      <c r="Z352">
        <f>HYPERLINK("https://klasma.github.io/Logging_0764/knärot/A 35279-2022 karta knärot.png", "A 35279-2022")</f>
        <v/>
      </c>
      <c r="AA352">
        <f>HYPERLINK("https://klasma.github.io/Logging_0764/klagomål/A 35279-2022 FSC-klagomål.docx", "A 35279-2022")</f>
        <v/>
      </c>
      <c r="AB352">
        <f>HYPERLINK("https://klasma.github.io/Logging_0764/klagomålsmail/A 35279-2022 FSC-klagomål mail.docx", "A 35279-2022")</f>
        <v/>
      </c>
      <c r="AC352">
        <f>HYPERLINK("https://klasma.github.io/Logging_0764/tillsyn/A 35279-2022 tillsynsbegäran.docx", "A 35279-2022")</f>
        <v/>
      </c>
      <c r="AD352">
        <f>HYPERLINK("https://klasma.github.io/Logging_0764/tillsynsmail/A 35279-2022 tillsynsbegäran mail.docx", "A 35279-2022")</f>
        <v/>
      </c>
    </row>
    <row r="353" ht="15" customHeight="1">
      <c r="A353" t="inlineStr">
        <is>
          <t>A 58029-2025</t>
        </is>
      </c>
      <c r="B353" t="inlineStr">
        <is>
          <t>avverkningsanmälan</t>
        </is>
      </c>
      <c r="C353" t="inlineStr">
        <is>
          <t>Föryngringsavverkning</t>
        </is>
      </c>
      <c r="D353" s="1" t="n">
        <v>45982</v>
      </c>
      <c r="E353" s="1" t="n">
        <v>46316</v>
      </c>
      <c r="F353" t="inlineStr">
        <is>
          <t>KRONOBERGS LÄN</t>
        </is>
      </c>
      <c r="G353" t="inlineStr">
        <is>
          <t>UPPVIDINGE</t>
        </is>
      </c>
      <c r="I353" t="n">
        <v>4</v>
      </c>
      <c r="J353" t="n">
        <v>1</v>
      </c>
      <c r="K353" t="n">
        <v>0</v>
      </c>
      <c r="L353" t="n">
        <v>0</v>
      </c>
      <c r="M353" t="n">
        <v>1</v>
      </c>
      <c r="N353" t="n">
        <v>0</v>
      </c>
      <c r="O353" t="n">
        <v>0</v>
      </c>
      <c r="P353" t="n">
        <v>0</v>
      </c>
      <c r="Q353" t="n">
        <v>1</v>
      </c>
      <c r="R353" t="n">
        <v>1</v>
      </c>
      <c r="S353" t="n">
        <v>1</v>
      </c>
      <c r="T353" t="n">
        <v>2</v>
      </c>
      <c r="U353" t="n">
        <v>0</v>
      </c>
      <c r="V353" s="2" t="inlineStr">
        <is>
          <t>Knärot</t>
        </is>
      </c>
      <c r="W353">
        <f>HYPERLINK("https://klasma.github.io/Logging_0760/artfynd/A 58029-2025 artfynd.xlsx", "A 58029-2025")</f>
        <v/>
      </c>
      <c r="X353">
        <f>HYPERLINK("https://klasma.github.io/Logging_0760/kartor/A 58029-2025 karta.png", "A 58029-2025")</f>
        <v/>
      </c>
      <c r="Y353">
        <f>HYPERLINK("https://klasma.github.io/Logging_0760/kartor_geotiff/A 58029-2025 georefererad karta.tif", "A 58029-2025")</f>
        <v/>
      </c>
      <c r="Z353">
        <f>HYPERLINK("https://klasma.github.io/Logging_0760/knärot/A 58029-2025 karta knärot.png", "A 58029-2025")</f>
        <v/>
      </c>
      <c r="AA353">
        <f>HYPERLINK("https://klasma.github.io/Logging_0760/klagomål/A 58029-2025 FSC-klagomål.docx", "A 58029-2025")</f>
        <v/>
      </c>
      <c r="AB353">
        <f>HYPERLINK("https://klasma.github.io/Logging_0760/klagomålsmail/A 58029-2025 FSC-klagomål mail.docx", "A 58029-2025")</f>
        <v/>
      </c>
      <c r="AC353">
        <f>HYPERLINK("https://klasma.github.io/Logging_0760/tillsyn/A 58029-2025 tillsynsbegäran.docx", "A 58029-2025")</f>
        <v/>
      </c>
      <c r="AD353">
        <f>HYPERLINK("https://klasma.github.io/Logging_0760/tillsynsmail/A 58029-2025 tillsynsbegäran mail.docx", "A 58029-2025")</f>
        <v/>
      </c>
    </row>
    <row r="354" ht="15" customHeight="1">
      <c r="A354" t="inlineStr">
        <is>
          <t>A 25814-2022</t>
        </is>
      </c>
      <c r="B354" t="inlineStr">
        <is>
          <t>avverkningsanmälan</t>
        </is>
      </c>
      <c r="C354" t="inlineStr">
        <is>
          <t>Föryngringsavverkning</t>
        </is>
      </c>
      <c r="D354" s="1" t="n">
        <v>44729</v>
      </c>
      <c r="E354" s="1" t="n">
        <v>46316</v>
      </c>
      <c r="F354" t="inlineStr">
        <is>
          <t>KRONOBERGS LÄN</t>
        </is>
      </c>
      <c r="G354" t="inlineStr">
        <is>
          <t>TINGSRYD</t>
        </is>
      </c>
      <c r="I354" t="n">
        <v>2.5</v>
      </c>
      <c r="J354" t="n">
        <v>0</v>
      </c>
      <c r="K354" t="n">
        <v>0</v>
      </c>
      <c r="L354" t="n">
        <v>0</v>
      </c>
      <c r="M354" t="n">
        <v>1</v>
      </c>
      <c r="N354" t="n">
        <v>0</v>
      </c>
      <c r="O354" t="n">
        <v>0</v>
      </c>
      <c r="P354" t="n">
        <v>0</v>
      </c>
      <c r="Q354" t="n">
        <v>1</v>
      </c>
      <c r="R354" t="n">
        <v>1</v>
      </c>
      <c r="S354" t="n">
        <v>1</v>
      </c>
      <c r="T354" t="n">
        <v>1</v>
      </c>
      <c r="U354" t="n">
        <v>1</v>
      </c>
      <c r="V354" s="2" t="inlineStr">
        <is>
          <t>Mindre bastardsvärmare</t>
        </is>
      </c>
      <c r="W354">
        <f>HYPERLINK("https://klasma.github.io/Logging_0763/artfynd/A 25814-2022 artfynd.xlsx", "A 25814-2022")</f>
        <v/>
      </c>
      <c r="X354">
        <f>HYPERLINK("https://klasma.github.io/Logging_0763/kartor/A 25814-2022 karta.png", "A 25814-2022")</f>
        <v/>
      </c>
      <c r="Y354">
        <f>HYPERLINK("https://klasma.github.io/Logging_0763/kartor_geotiff/A 25814-2022 georefererad karta.tif", "A 25814-2022")</f>
        <v/>
      </c>
      <c r="AA354">
        <f>HYPERLINK("https://klasma.github.io/Logging_0763/klagomål/A 25814-2022 FSC-klagomål.docx", "A 25814-2022")</f>
        <v/>
      </c>
      <c r="AB354">
        <f>HYPERLINK("https://klasma.github.io/Logging_0763/klagomålsmail/A 25814-2022 FSC-klagomål mail.docx", "A 25814-2022")</f>
        <v/>
      </c>
      <c r="AC354">
        <f>HYPERLINK("https://klasma.github.io/Logging_0763/tillsyn/A 25814-2022 tillsynsbegäran.docx", "A 25814-2022")</f>
        <v/>
      </c>
      <c r="AD354">
        <f>HYPERLINK("https://klasma.github.io/Logging_0763/tillsynsmail/A 25814-2022 tillsynsbegäran mail.docx", "A 25814-2022")</f>
        <v/>
      </c>
    </row>
    <row r="355" ht="15" customHeight="1">
      <c r="A355" t="inlineStr">
        <is>
          <t>A 29290-2025</t>
        </is>
      </c>
      <c r="B355" t="inlineStr">
        <is>
          <t>avverkningsanmälan</t>
        </is>
      </c>
      <c r="C355" t="inlineStr">
        <is>
          <t>Föryngringsavverkning</t>
        </is>
      </c>
      <c r="D355" s="1" t="n">
        <v>45824</v>
      </c>
      <c r="E355" s="1" t="n">
        <v>46316</v>
      </c>
      <c r="F355" t="inlineStr">
        <is>
          <t>KRONOBERGS LÄN</t>
        </is>
      </c>
      <c r="G355" t="inlineStr">
        <is>
          <t>VÄXJÖ</t>
        </is>
      </c>
      <c r="I355" t="n">
        <v>2.7</v>
      </c>
      <c r="J355" t="n">
        <v>1</v>
      </c>
      <c r="K355" t="n">
        <v>1</v>
      </c>
      <c r="L355" t="n">
        <v>0</v>
      </c>
      <c r="M355" t="n">
        <v>0</v>
      </c>
      <c r="N355" t="n">
        <v>0</v>
      </c>
      <c r="O355" t="n">
        <v>0</v>
      </c>
      <c r="P355" t="n">
        <v>0</v>
      </c>
      <c r="Q355" t="n">
        <v>0</v>
      </c>
      <c r="R355" t="n">
        <v>0</v>
      </c>
      <c r="S355" t="n">
        <v>1</v>
      </c>
      <c r="T355" t="n">
        <v>1</v>
      </c>
      <c r="U355" t="n">
        <v>1</v>
      </c>
      <c r="V355" s="2" t="inlineStr">
        <is>
          <t>Plattlummer</t>
        </is>
      </c>
      <c r="W355">
        <f>HYPERLINK("https://klasma.github.io/Logging_0780/artfynd/A 29290-2025 artfynd.xlsx", "A 29290-2025")</f>
        <v/>
      </c>
      <c r="X355">
        <f>HYPERLINK("https://klasma.github.io/Logging_0780/kartor/A 29290-2025 karta.png", "A 29290-2025")</f>
        <v/>
      </c>
      <c r="Y355">
        <f>HYPERLINK("https://klasma.github.io/Logging_0780/kartor_geotiff/A 29290-2025 georefererad karta.tif", "A 29290-2025")</f>
        <v/>
      </c>
      <c r="AA355">
        <f>HYPERLINK("https://klasma.github.io/Logging_0780/klagomål/A 29290-2025 FSC-klagomål.docx", "A 29290-2025")</f>
        <v/>
      </c>
      <c r="AB355">
        <f>HYPERLINK("https://klasma.github.io/Logging_0780/klagomålsmail/A 29290-2025 FSC-klagomål mail.docx", "A 29290-2025")</f>
        <v/>
      </c>
      <c r="AC355">
        <f>HYPERLINK("https://klasma.github.io/Logging_0780/tillsyn/A 29290-2025 tillsynsbegäran.docx", "A 29290-2025")</f>
        <v/>
      </c>
      <c r="AD355">
        <f>HYPERLINK("https://klasma.github.io/Logging_0780/tillsynsmail/A 29290-2025 tillsynsbegäran mail.docx", "A 29290-2025")</f>
        <v/>
      </c>
    </row>
    <row r="356" ht="15" customHeight="1">
      <c r="A356" t="inlineStr">
        <is>
          <t>A 56472-2024</t>
        </is>
      </c>
      <c r="B356" t="inlineStr">
        <is>
          <t>avverkningsanmälan</t>
        </is>
      </c>
      <c r="C356" t="inlineStr">
        <is>
          <t>Föryngringsavverkning</t>
        </is>
      </c>
      <c r="D356" s="1" t="n">
        <v>45625</v>
      </c>
      <c r="E356" s="1" t="n">
        <v>46316</v>
      </c>
      <c r="F356" t="inlineStr">
        <is>
          <t>KRONOBERGS LÄN</t>
        </is>
      </c>
      <c r="G356" t="inlineStr">
        <is>
          <t>LESSEBO</t>
        </is>
      </c>
      <c r="I356" t="n">
        <v>5</v>
      </c>
      <c r="J356" t="n">
        <v>1</v>
      </c>
      <c r="K356" t="n">
        <v>0</v>
      </c>
      <c r="L356" t="n">
        <v>0</v>
      </c>
      <c r="M356" t="n">
        <v>0</v>
      </c>
      <c r="N356" t="n">
        <v>0</v>
      </c>
      <c r="O356" t="n">
        <v>0</v>
      </c>
      <c r="P356" t="n">
        <v>0</v>
      </c>
      <c r="Q356" t="n">
        <v>0</v>
      </c>
      <c r="R356" t="n">
        <v>0</v>
      </c>
      <c r="S356" t="n">
        <v>1</v>
      </c>
      <c r="T356" t="n">
        <v>1</v>
      </c>
      <c r="U356" t="n">
        <v>1</v>
      </c>
      <c r="V356" s="2" t="inlineStr">
        <is>
          <t>Fläcknycklar</t>
        </is>
      </c>
      <c r="W356">
        <f>HYPERLINK("https://klasma.github.io/Logging_0761/artfynd/A 56472-2024 artfynd.xlsx", "A 56472-2024")</f>
        <v/>
      </c>
      <c r="X356">
        <f>HYPERLINK("https://klasma.github.io/Logging_0761/kartor/A 56472-2024 karta.png", "A 56472-2024")</f>
        <v/>
      </c>
      <c r="Y356">
        <f>HYPERLINK("https://klasma.github.io/Logging_0761/kartor_geotiff/A 56472-2024 georefererad karta.tif", "A 56472-2024")</f>
        <v/>
      </c>
      <c r="AA356">
        <f>HYPERLINK("https://klasma.github.io/Logging_0761/klagomål/A 56472-2024 FSC-klagomål.docx", "A 56472-2024")</f>
        <v/>
      </c>
      <c r="AB356">
        <f>HYPERLINK("https://klasma.github.io/Logging_0761/klagomålsmail/A 56472-2024 FSC-klagomål mail.docx", "A 56472-2024")</f>
        <v/>
      </c>
      <c r="AC356">
        <f>HYPERLINK("https://klasma.github.io/Logging_0761/tillsyn/A 56472-2024 tillsynsbegäran.docx", "A 56472-2024")</f>
        <v/>
      </c>
      <c r="AD356">
        <f>HYPERLINK("https://klasma.github.io/Logging_0761/tillsynsmail/A 56472-2024 tillsynsbegäran mail.docx", "A 56472-2024")</f>
        <v/>
      </c>
    </row>
    <row r="357" ht="15" customHeight="1">
      <c r="A357" t="inlineStr">
        <is>
          <t>A 26064-2025</t>
        </is>
      </c>
      <c r="B357" t="inlineStr">
        <is>
          <t>avverkningsanmälan</t>
        </is>
      </c>
      <c r="C357" t="inlineStr">
        <is>
          <t>Föryngringsavverkning</t>
        </is>
      </c>
      <c r="D357" s="1" t="n">
        <v>45805</v>
      </c>
      <c r="E357" s="1" t="n">
        <v>46316</v>
      </c>
      <c r="F357" t="inlineStr">
        <is>
          <t>KRONOBERGS LÄN</t>
        </is>
      </c>
      <c r="G357" t="inlineStr">
        <is>
          <t>LJUNGBY</t>
        </is>
      </c>
      <c r="H357" t="inlineStr">
        <is>
          <t>Sveaskog</t>
        </is>
      </c>
      <c r="I357" t="n">
        <v>3.9</v>
      </c>
      <c r="J357" t="n">
        <v>0</v>
      </c>
      <c r="K357" t="n">
        <v>0</v>
      </c>
      <c r="L357" t="n">
        <v>1</v>
      </c>
      <c r="M357" t="n">
        <v>0</v>
      </c>
      <c r="N357" t="n">
        <v>0</v>
      </c>
      <c r="O357" t="n">
        <v>0</v>
      </c>
      <c r="P357" t="n">
        <v>0</v>
      </c>
      <c r="Q357" t="n">
        <v>1</v>
      </c>
      <c r="R357" t="n">
        <v>0</v>
      </c>
      <c r="S357" t="n">
        <v>1</v>
      </c>
      <c r="T357" t="n">
        <v>1</v>
      </c>
      <c r="U357" t="n">
        <v>0</v>
      </c>
      <c r="V357" s="2" t="inlineStr">
        <is>
          <t>Brunpudrad nållav</t>
        </is>
      </c>
      <c r="W357">
        <f>HYPERLINK("https://klasma.github.io/Logging_0781/artfynd/A 26064-2025 artfynd.xlsx", "A 26064-2025")</f>
        <v/>
      </c>
      <c r="X357">
        <f>HYPERLINK("https://klasma.github.io/Logging_0781/kartor/A 26064-2025 karta.png", "A 26064-2025")</f>
        <v/>
      </c>
      <c r="Y357">
        <f>HYPERLINK("https://klasma.github.io/Logging_0781/kartor_geotiff/A 26064-2025 georefererad karta.tif", "A 26064-2025")</f>
        <v/>
      </c>
      <c r="AA357">
        <f>HYPERLINK("https://klasma.github.io/Logging_0781/klagomål/A 26064-2025 FSC-klagomål.docx", "A 26064-2025")</f>
        <v/>
      </c>
      <c r="AB357">
        <f>HYPERLINK("https://klasma.github.io/Logging_0781/klagomålsmail/A 26064-2025 FSC-klagomål mail.docx", "A 26064-2025")</f>
        <v/>
      </c>
      <c r="AC357">
        <f>HYPERLINK("https://klasma.github.io/Logging_0781/tillsyn/A 26064-2025 tillsynsbegäran.docx", "A 26064-2025")</f>
        <v/>
      </c>
      <c r="AD357">
        <f>HYPERLINK("https://klasma.github.io/Logging_0781/tillsynsmail/A 26064-2025 tillsynsbegäran mail.docx", "A 26064-2025")</f>
        <v/>
      </c>
    </row>
    <row r="358" ht="15" customHeight="1">
      <c r="A358" t="inlineStr">
        <is>
          <t>A 59681-2022</t>
        </is>
      </c>
      <c r="B358" t="inlineStr">
        <is>
          <t>avverkningsanmälan</t>
        </is>
      </c>
      <c r="C358" t="inlineStr">
        <is>
          <t>Föryngringsavverkning</t>
        </is>
      </c>
      <c r="D358" s="1" t="n">
        <v>44908</v>
      </c>
      <c r="E358" s="1" t="n">
        <v>46316</v>
      </c>
      <c r="F358" t="inlineStr">
        <is>
          <t>KRONOBERGS LÄN</t>
        </is>
      </c>
      <c r="G358" t="inlineStr">
        <is>
          <t>LJUNGBY</t>
        </is>
      </c>
      <c r="H358" t="inlineStr">
        <is>
          <t>Sveaskog</t>
        </is>
      </c>
      <c r="I358" t="n">
        <v>2.3</v>
      </c>
      <c r="J358" t="n">
        <v>1</v>
      </c>
      <c r="K358" t="n">
        <v>0</v>
      </c>
      <c r="L358" t="n">
        <v>0</v>
      </c>
      <c r="M358" t="n">
        <v>0</v>
      </c>
      <c r="N358" t="n">
        <v>0</v>
      </c>
      <c r="O358" t="n">
        <v>0</v>
      </c>
      <c r="P358" t="n">
        <v>0</v>
      </c>
      <c r="Q358" t="n">
        <v>0</v>
      </c>
      <c r="R358" t="n">
        <v>0</v>
      </c>
      <c r="S358" t="n">
        <v>1</v>
      </c>
      <c r="T358" t="n">
        <v>1</v>
      </c>
      <c r="U358" t="n">
        <v>0</v>
      </c>
      <c r="V358" s="2" t="inlineStr">
        <is>
          <t>Tjäder</t>
        </is>
      </c>
      <c r="W358">
        <f>HYPERLINK("https://klasma.github.io/Logging_0781/artfynd/A 59681-2022 artfynd.xlsx", "A 59681-2022")</f>
        <v/>
      </c>
      <c r="X358">
        <f>HYPERLINK("https://klasma.github.io/Logging_0781/kartor/A 59681-2022 karta.png", "A 59681-2022")</f>
        <v/>
      </c>
      <c r="Y358">
        <f>HYPERLINK("https://klasma.github.io/Logging_0781/kartor_geotiff/A 59681-2022 georefererad karta.tif", "A 59681-2022")</f>
        <v/>
      </c>
      <c r="AA358">
        <f>HYPERLINK("https://klasma.github.io/Logging_0781/klagomål/A 59681-2022 FSC-klagomål.docx", "A 59681-2022")</f>
        <v/>
      </c>
      <c r="AB358">
        <f>HYPERLINK("https://klasma.github.io/Logging_0781/klagomålsmail/A 59681-2022 FSC-klagomål mail.docx", "A 59681-2022")</f>
        <v/>
      </c>
      <c r="AC358">
        <f>HYPERLINK("https://klasma.github.io/Logging_0781/tillsyn/A 59681-2022 tillsynsbegäran.docx", "A 59681-2022")</f>
        <v/>
      </c>
      <c r="AD358">
        <f>HYPERLINK("https://klasma.github.io/Logging_0781/tillsynsmail/A 59681-2022 tillsynsbegäran mail.docx", "A 59681-2022")</f>
        <v/>
      </c>
      <c r="AE358">
        <f>HYPERLINK("https://klasma.github.io/Logging_0781/fåglar/A 59681-2022 prioriterade fågelarter.docx", "A 59681-2022")</f>
        <v/>
      </c>
    </row>
    <row r="359" ht="15" customHeight="1">
      <c r="A359" t="inlineStr">
        <is>
          <t>A 36514-2025</t>
        </is>
      </c>
      <c r="B359" t="inlineStr">
        <is>
          <t>avverkningsanmälan</t>
        </is>
      </c>
      <c r="C359" t="inlineStr">
        <is>
          <t>Föryngringsavverkning</t>
        </is>
      </c>
      <c r="D359" s="1" t="n">
        <v>45869</v>
      </c>
      <c r="E359" s="1" t="n">
        <v>46316</v>
      </c>
      <c r="F359" t="inlineStr">
        <is>
          <t>KRONOBERGS LÄN</t>
        </is>
      </c>
      <c r="G359" t="inlineStr">
        <is>
          <t>LJUNGBY</t>
        </is>
      </c>
      <c r="H359" t="inlineStr">
        <is>
          <t>Kyrkan</t>
        </is>
      </c>
      <c r="I359" t="n">
        <v>6.2</v>
      </c>
      <c r="J359" t="n">
        <v>0</v>
      </c>
      <c r="K359" t="n">
        <v>1</v>
      </c>
      <c r="L359" t="n">
        <v>0</v>
      </c>
      <c r="M359" t="n">
        <v>0</v>
      </c>
      <c r="N359" t="n">
        <v>0</v>
      </c>
      <c r="O359" t="n">
        <v>0</v>
      </c>
      <c r="P359" t="n">
        <v>0</v>
      </c>
      <c r="Q359" t="n">
        <v>0</v>
      </c>
      <c r="R359" t="n">
        <v>0</v>
      </c>
      <c r="S359" t="n">
        <v>1</v>
      </c>
      <c r="T359" t="n">
        <v>3</v>
      </c>
      <c r="U359" t="n">
        <v>3</v>
      </c>
      <c r="V359" s="2" t="inlineStr">
        <is>
          <t>Kambräken</t>
        </is>
      </c>
      <c r="W359">
        <f>HYPERLINK("https://klasma.github.io/Logging_0781/artfynd/A 36514-2025 artfynd.xlsx", "A 36514-2025")</f>
        <v/>
      </c>
      <c r="X359">
        <f>HYPERLINK("https://klasma.github.io/Logging_0781/kartor/A 36514-2025 karta.png", "A 36514-2025")</f>
        <v/>
      </c>
      <c r="Y359">
        <f>HYPERLINK("https://klasma.github.io/Logging_0781/kartor_geotiff/A 36514-2025 georefererad karta.tif", "A 36514-2025")</f>
        <v/>
      </c>
      <c r="AA359">
        <f>HYPERLINK("https://klasma.github.io/Logging_0781/klagomål/A 36514-2025 FSC-klagomål.docx", "A 36514-2025")</f>
        <v/>
      </c>
      <c r="AB359">
        <f>HYPERLINK("https://klasma.github.io/Logging_0781/klagomålsmail/A 36514-2025 FSC-klagomål mail.docx", "A 36514-2025")</f>
        <v/>
      </c>
      <c r="AC359">
        <f>HYPERLINK("https://klasma.github.io/Logging_0781/tillsyn/A 36514-2025 tillsynsbegäran.docx", "A 36514-2025")</f>
        <v/>
      </c>
      <c r="AD359">
        <f>HYPERLINK("https://klasma.github.io/Logging_0781/tillsynsmail/A 36514-2025 tillsynsbegäran mail.docx", "A 36514-2025")</f>
        <v/>
      </c>
    </row>
    <row r="360" ht="15" customHeight="1">
      <c r="A360" t="inlineStr">
        <is>
          <t>A 22238-2024</t>
        </is>
      </c>
      <c r="B360" t="inlineStr">
        <is>
          <t>avverkningsanmälan</t>
        </is>
      </c>
      <c r="C360" t="inlineStr">
        <is>
          <t>Föryngringsavverkning</t>
        </is>
      </c>
      <c r="D360" s="1" t="n">
        <v>45446</v>
      </c>
      <c r="E360" s="1" t="n">
        <v>46316</v>
      </c>
      <c r="F360" t="inlineStr">
        <is>
          <t>KRONOBERGS LÄN</t>
        </is>
      </c>
      <c r="G360" t="inlineStr">
        <is>
          <t>ALVESTA</t>
        </is>
      </c>
      <c r="I360" t="n">
        <v>0.7</v>
      </c>
      <c r="J360" t="n">
        <v>1</v>
      </c>
      <c r="K360" t="n">
        <v>0</v>
      </c>
      <c r="L360" t="n">
        <v>0</v>
      </c>
      <c r="M360" t="n">
        <v>0</v>
      </c>
      <c r="N360" t="n">
        <v>1</v>
      </c>
      <c r="O360" t="n">
        <v>0</v>
      </c>
      <c r="P360" t="n">
        <v>0</v>
      </c>
      <c r="Q360" t="n">
        <v>1</v>
      </c>
      <c r="R360" t="n">
        <v>1</v>
      </c>
      <c r="S360" t="n">
        <v>1</v>
      </c>
      <c r="T360" t="n">
        <v>2</v>
      </c>
      <c r="U360" t="n">
        <v>1</v>
      </c>
      <c r="V360" s="2" t="inlineStr">
        <is>
          <t>Klockgentiana</t>
        </is>
      </c>
      <c r="W360">
        <f>HYPERLINK("https://klasma.github.io/Logging_0764/artfynd/A 22238-2024 artfynd.xlsx", "A 22238-2024")</f>
        <v/>
      </c>
      <c r="X360">
        <f>HYPERLINK("https://klasma.github.io/Logging_0764/kartor/A 22238-2024 karta.png", "A 22238-2024")</f>
        <v/>
      </c>
      <c r="Y360">
        <f>HYPERLINK("https://klasma.github.io/Logging_0764/kartor_geotiff/A 22238-2024 georefererad karta.tif", "A 22238-2024")</f>
        <v/>
      </c>
      <c r="AA360">
        <f>HYPERLINK("https://klasma.github.io/Logging_0764/klagomål/A 22238-2024 FSC-klagomål.docx", "A 22238-2024")</f>
        <v/>
      </c>
      <c r="AB360">
        <f>HYPERLINK("https://klasma.github.io/Logging_0764/klagomålsmail/A 22238-2024 FSC-klagomål mail.docx", "A 22238-2024")</f>
        <v/>
      </c>
      <c r="AC360">
        <f>HYPERLINK("https://klasma.github.io/Logging_0764/tillsyn/A 22238-2024 tillsynsbegäran.docx", "A 22238-2024")</f>
        <v/>
      </c>
      <c r="AD360">
        <f>HYPERLINK("https://klasma.github.io/Logging_0764/tillsynsmail/A 22238-2024 tillsynsbegäran mail.docx", "A 22238-2024")</f>
        <v/>
      </c>
    </row>
    <row r="361" ht="15" customHeight="1">
      <c r="A361" t="inlineStr">
        <is>
          <t>A 29201-2025</t>
        </is>
      </c>
      <c r="B361" t="inlineStr">
        <is>
          <t>avverkningsanmälan</t>
        </is>
      </c>
      <c r="C361" t="inlineStr">
        <is>
          <t>Föryngringsavverkning</t>
        </is>
      </c>
      <c r="D361" s="1" t="n">
        <v>45823</v>
      </c>
      <c r="E361" s="1" t="n">
        <v>46316</v>
      </c>
      <c r="F361" t="inlineStr">
        <is>
          <t>KRONOBERGS LÄN</t>
        </is>
      </c>
      <c r="G361" t="inlineStr">
        <is>
          <t>MARKARYD</t>
        </is>
      </c>
      <c r="I361" t="n">
        <v>1.7</v>
      </c>
      <c r="J361" t="n">
        <v>1</v>
      </c>
      <c r="K361" t="n">
        <v>0</v>
      </c>
      <c r="L361" t="n">
        <v>0</v>
      </c>
      <c r="M361" t="n">
        <v>0</v>
      </c>
      <c r="N361" t="n">
        <v>0</v>
      </c>
      <c r="O361" t="n">
        <v>0</v>
      </c>
      <c r="P361" t="n">
        <v>0</v>
      </c>
      <c r="Q361" t="n">
        <v>0</v>
      </c>
      <c r="R361" t="n">
        <v>0</v>
      </c>
      <c r="S361" t="n">
        <v>1</v>
      </c>
      <c r="T361" t="n">
        <v>1</v>
      </c>
      <c r="U361" t="n">
        <v>1</v>
      </c>
      <c r="V361" s="2" t="inlineStr">
        <is>
          <t>Fläcknycklar</t>
        </is>
      </c>
      <c r="W361">
        <f>HYPERLINK("https://klasma.github.io/Logging_0767/artfynd/A 29201-2025 artfynd.xlsx", "A 29201-2025")</f>
        <v/>
      </c>
      <c r="X361">
        <f>HYPERLINK("https://klasma.github.io/Logging_0767/kartor/A 29201-2025 karta.png", "A 29201-2025")</f>
        <v/>
      </c>
      <c r="Y361">
        <f>HYPERLINK("https://klasma.github.io/Logging_0767/kartor_geotiff/A 29201-2025 georefererad karta.tif", "A 29201-2025")</f>
        <v/>
      </c>
      <c r="AA361">
        <f>HYPERLINK("https://klasma.github.io/Logging_0767/klagomål/A 29201-2025 FSC-klagomål.docx", "A 29201-2025")</f>
        <v/>
      </c>
      <c r="AB361">
        <f>HYPERLINK("https://klasma.github.io/Logging_0767/klagomålsmail/A 29201-2025 FSC-klagomål mail.docx", "A 29201-2025")</f>
        <v/>
      </c>
      <c r="AC361">
        <f>HYPERLINK("https://klasma.github.io/Logging_0767/tillsyn/A 29201-2025 tillsynsbegäran.docx", "A 29201-2025")</f>
        <v/>
      </c>
      <c r="AD361">
        <f>HYPERLINK("https://klasma.github.io/Logging_0767/tillsynsmail/A 29201-2025 tillsynsbegäran mail.docx", "A 29201-2025")</f>
        <v/>
      </c>
    </row>
    <row r="362" ht="15" customHeight="1">
      <c r="A362" t="inlineStr">
        <is>
          <t>A 56832-2022</t>
        </is>
      </c>
      <c r="B362" t="inlineStr">
        <is>
          <t>avverkningsanmälan</t>
        </is>
      </c>
      <c r="C362" t="inlineStr">
        <is>
          <t>Föryngringsavverkning</t>
        </is>
      </c>
      <c r="D362" s="1" t="n">
        <v>44894</v>
      </c>
      <c r="E362" s="1" t="n">
        <v>46316</v>
      </c>
      <c r="F362" t="inlineStr">
        <is>
          <t>KRONOBERGS LÄN</t>
        </is>
      </c>
      <c r="G362" t="inlineStr">
        <is>
          <t>LJUNGBY</t>
        </is>
      </c>
      <c r="I362" t="n">
        <v>1.5</v>
      </c>
      <c r="J362" t="n">
        <v>0</v>
      </c>
      <c r="K362" t="n">
        <v>0</v>
      </c>
      <c r="L362" t="n">
        <v>1</v>
      </c>
      <c r="M362" t="n">
        <v>0</v>
      </c>
      <c r="N362" t="n">
        <v>0</v>
      </c>
      <c r="O362" t="n">
        <v>0</v>
      </c>
      <c r="P362" t="n">
        <v>0</v>
      </c>
      <c r="Q362" t="n">
        <v>1</v>
      </c>
      <c r="R362" t="n">
        <v>0</v>
      </c>
      <c r="S362" t="n">
        <v>1</v>
      </c>
      <c r="T362" t="n">
        <v>2</v>
      </c>
      <c r="U362" t="n">
        <v>2</v>
      </c>
      <c r="V362" s="2" t="inlineStr">
        <is>
          <t>Svinrot</t>
        </is>
      </c>
      <c r="W362">
        <f>HYPERLINK("https://klasma.github.io/Logging_0781/artfynd/A 56832-2022 artfynd.xlsx", "A 56832-2022")</f>
        <v/>
      </c>
      <c r="X362">
        <f>HYPERLINK("https://klasma.github.io/Logging_0781/kartor/A 56832-2022 karta.png", "A 56832-2022")</f>
        <v/>
      </c>
      <c r="Y362">
        <f>HYPERLINK("https://klasma.github.io/Logging_0781/kartor_geotiff/A 56832-2022 georefererad karta.tif", "A 56832-2022")</f>
        <v/>
      </c>
      <c r="AA362">
        <f>HYPERLINK("https://klasma.github.io/Logging_0781/klagomål/A 56832-2022 FSC-klagomål.docx", "A 56832-2022")</f>
        <v/>
      </c>
      <c r="AB362">
        <f>HYPERLINK("https://klasma.github.io/Logging_0781/klagomålsmail/A 56832-2022 FSC-klagomål mail.docx", "A 56832-2022")</f>
        <v/>
      </c>
      <c r="AC362">
        <f>HYPERLINK("https://klasma.github.io/Logging_0781/tillsyn/A 56832-2022 tillsynsbegäran.docx", "A 56832-2022")</f>
        <v/>
      </c>
      <c r="AD362">
        <f>HYPERLINK("https://klasma.github.io/Logging_0781/tillsynsmail/A 56832-2022 tillsynsbegäran mail.docx", "A 56832-2022")</f>
        <v/>
      </c>
    </row>
    <row r="363" ht="15" customHeight="1">
      <c r="A363" t="inlineStr">
        <is>
          <t>A 63304-2023</t>
        </is>
      </c>
      <c r="B363" t="inlineStr">
        <is>
          <t>avverkningsanmälan</t>
        </is>
      </c>
      <c r="C363" t="inlineStr">
        <is>
          <t>Föryngringsavverkning</t>
        </is>
      </c>
      <c r="D363" s="1" t="n">
        <v>45274</v>
      </c>
      <c r="E363" s="1" t="n">
        <v>46316</v>
      </c>
      <c r="F363" t="inlineStr">
        <is>
          <t>KRONOBERGS LÄN</t>
        </is>
      </c>
      <c r="G363" t="inlineStr">
        <is>
          <t>LJUNGBY</t>
        </is>
      </c>
      <c r="I363" t="n">
        <v>0.7</v>
      </c>
      <c r="J363" t="n">
        <v>0</v>
      </c>
      <c r="K363" t="n">
        <v>0</v>
      </c>
      <c r="L363" t="n">
        <v>1</v>
      </c>
      <c r="M363" t="n">
        <v>0</v>
      </c>
      <c r="N363" t="n">
        <v>0</v>
      </c>
      <c r="O363" t="n">
        <v>0</v>
      </c>
      <c r="P363" t="n">
        <v>0</v>
      </c>
      <c r="Q363" t="n">
        <v>1</v>
      </c>
      <c r="R363" t="n">
        <v>0</v>
      </c>
      <c r="S363" t="n">
        <v>1</v>
      </c>
      <c r="T363" t="n">
        <v>1</v>
      </c>
      <c r="U363" t="n">
        <v>1</v>
      </c>
      <c r="V363" s="2" t="inlineStr">
        <is>
          <t>Borsttåg</t>
        </is>
      </c>
      <c r="W363">
        <f>HYPERLINK("https://klasma.github.io/Logging_0781/artfynd/A 63304-2023 artfynd.xlsx", "A 63304-2023")</f>
        <v/>
      </c>
      <c r="X363">
        <f>HYPERLINK("https://klasma.github.io/Logging_0781/kartor/A 63304-2023 karta.png", "A 63304-2023")</f>
        <v/>
      </c>
      <c r="Y363">
        <f>HYPERLINK("https://klasma.github.io/Logging_0781/kartor_geotiff/A 63304-2023 georefererad karta.tif", "A 63304-2023")</f>
        <v/>
      </c>
      <c r="AA363">
        <f>HYPERLINK("https://klasma.github.io/Logging_0781/klagomål/A 63304-2023 FSC-klagomål.docx", "A 63304-2023")</f>
        <v/>
      </c>
      <c r="AB363">
        <f>HYPERLINK("https://klasma.github.io/Logging_0781/klagomålsmail/A 63304-2023 FSC-klagomål mail.docx", "A 63304-2023")</f>
        <v/>
      </c>
      <c r="AC363">
        <f>HYPERLINK("https://klasma.github.io/Logging_0781/tillsyn/A 63304-2023 tillsynsbegäran.docx", "A 63304-2023")</f>
        <v/>
      </c>
      <c r="AD363">
        <f>HYPERLINK("https://klasma.github.io/Logging_0781/tillsynsmail/A 63304-2023 tillsynsbegäran mail.docx", "A 63304-2023")</f>
        <v/>
      </c>
    </row>
    <row r="364" ht="15" customHeight="1">
      <c r="A364" t="inlineStr">
        <is>
          <t>A 35531-2025</t>
        </is>
      </c>
      <c r="B364" t="inlineStr">
        <is>
          <t>avverkningsanmälan</t>
        </is>
      </c>
      <c r="C364" t="inlineStr">
        <is>
          <t>Föryngringsavverkning</t>
        </is>
      </c>
      <c r="D364" s="1" t="n">
        <v>45856</v>
      </c>
      <c r="E364" s="1" t="n">
        <v>46316</v>
      </c>
      <c r="F364" t="inlineStr">
        <is>
          <t>KRONOBERGS LÄN</t>
        </is>
      </c>
      <c r="G364" t="inlineStr">
        <is>
          <t>ÄLMHULT</t>
        </is>
      </c>
      <c r="I364" t="n">
        <v>5.2</v>
      </c>
      <c r="J364" t="n">
        <v>1</v>
      </c>
      <c r="K364" t="n">
        <v>0</v>
      </c>
      <c r="L364" t="n">
        <v>1</v>
      </c>
      <c r="M364" t="n">
        <v>0</v>
      </c>
      <c r="N364" t="n">
        <v>0</v>
      </c>
      <c r="O364" t="n">
        <v>0</v>
      </c>
      <c r="P364" t="n">
        <v>0</v>
      </c>
      <c r="Q364" t="n">
        <v>1</v>
      </c>
      <c r="R364" t="n">
        <v>0</v>
      </c>
      <c r="S364" t="n">
        <v>1</v>
      </c>
      <c r="T364" t="n">
        <v>1</v>
      </c>
      <c r="U364" t="n">
        <v>0</v>
      </c>
      <c r="V364" s="2" t="inlineStr">
        <is>
          <t>Sparvuggla</t>
        </is>
      </c>
      <c r="W364">
        <f>HYPERLINK("https://klasma.github.io/Logging_0765/artfynd/A 35531-2025 artfynd.xlsx", "A 35531-2025")</f>
        <v/>
      </c>
      <c r="X364">
        <f>HYPERLINK("https://klasma.github.io/Logging_0765/kartor/A 35531-2025 karta.png", "A 35531-2025")</f>
        <v/>
      </c>
      <c r="Y364">
        <f>HYPERLINK("https://klasma.github.io/Logging_0765/kartor_geotiff/A 35531-2025 georefererad karta.tif", "A 35531-2025")</f>
        <v/>
      </c>
      <c r="AA364">
        <f>HYPERLINK("https://klasma.github.io/Logging_0765/klagomål/A 35531-2025 FSC-klagomål.docx", "A 35531-2025")</f>
        <v/>
      </c>
      <c r="AB364">
        <f>HYPERLINK("https://klasma.github.io/Logging_0765/klagomålsmail/A 35531-2025 FSC-klagomål mail.docx", "A 35531-2025")</f>
        <v/>
      </c>
      <c r="AC364">
        <f>HYPERLINK("https://klasma.github.io/Logging_0765/tillsyn/A 35531-2025 tillsynsbegäran.docx", "A 35531-2025")</f>
        <v/>
      </c>
      <c r="AD364">
        <f>HYPERLINK("https://klasma.github.io/Logging_0765/tillsynsmail/A 35531-2025 tillsynsbegäran mail.docx", "A 35531-2025")</f>
        <v/>
      </c>
      <c r="AE364">
        <f>HYPERLINK("https://klasma.github.io/Logging_0765/fåglar/A 35531-2025 prioriterade fågelarter.docx", "A 35531-2025")</f>
        <v/>
      </c>
    </row>
    <row r="365" ht="15" customHeight="1">
      <c r="A365" t="inlineStr">
        <is>
          <t>A 37188-2025</t>
        </is>
      </c>
      <c r="B365" t="inlineStr">
        <is>
          <t>avverkningsanmälan</t>
        </is>
      </c>
      <c r="C365" t="inlineStr">
        <is>
          <t>Föryngringsavverkning</t>
        </is>
      </c>
      <c r="D365" s="1" t="n">
        <v>45875</v>
      </c>
      <c r="E365" s="1" t="n">
        <v>46316</v>
      </c>
      <c r="F365" t="inlineStr">
        <is>
          <t>KRONOBERGS LÄN</t>
        </is>
      </c>
      <c r="G365" t="inlineStr">
        <is>
          <t>LJUNGBY</t>
        </is>
      </c>
      <c r="I365" t="n">
        <v>0.4</v>
      </c>
      <c r="J365" t="n">
        <v>0</v>
      </c>
      <c r="K365" t="n">
        <v>0</v>
      </c>
      <c r="L365" t="n">
        <v>1</v>
      </c>
      <c r="M365" t="n">
        <v>0</v>
      </c>
      <c r="N365" t="n">
        <v>0</v>
      </c>
      <c r="O365" t="n">
        <v>0</v>
      </c>
      <c r="P365" t="n">
        <v>0</v>
      </c>
      <c r="Q365" t="n">
        <v>1</v>
      </c>
      <c r="R365" t="n">
        <v>0</v>
      </c>
      <c r="S365" t="n">
        <v>1</v>
      </c>
      <c r="T365" t="n">
        <v>3</v>
      </c>
      <c r="U365" t="n">
        <v>0</v>
      </c>
      <c r="V365" s="2" t="inlineStr">
        <is>
          <t>Gullpudra</t>
        </is>
      </c>
      <c r="W365">
        <f>HYPERLINK("https://klasma.github.io/Logging_0781/artfynd/A 37188-2025 artfynd.xlsx", "A 37188-2025")</f>
        <v/>
      </c>
      <c r="X365">
        <f>HYPERLINK("https://klasma.github.io/Logging_0781/kartor/A 37188-2025 karta.png", "A 37188-2025")</f>
        <v/>
      </c>
      <c r="Y365">
        <f>HYPERLINK("https://klasma.github.io/Logging_0781/kartor_geotiff/A 37188-2025 georefererad karta.tif", "A 37188-2025")</f>
        <v/>
      </c>
      <c r="AA365">
        <f>HYPERLINK("https://klasma.github.io/Logging_0781/klagomål/A 37188-2025 FSC-klagomål.docx", "A 37188-2025")</f>
        <v/>
      </c>
      <c r="AB365">
        <f>HYPERLINK("https://klasma.github.io/Logging_0781/klagomålsmail/A 37188-2025 FSC-klagomål mail.docx", "A 37188-2025")</f>
        <v/>
      </c>
      <c r="AC365">
        <f>HYPERLINK("https://klasma.github.io/Logging_0781/tillsyn/A 37188-2025 tillsynsbegäran.docx", "A 37188-2025")</f>
        <v/>
      </c>
      <c r="AD365">
        <f>HYPERLINK("https://klasma.github.io/Logging_0781/tillsynsmail/A 37188-2025 tillsynsbegäran mail.docx", "A 37188-2025")</f>
        <v/>
      </c>
    </row>
    <row r="366" ht="15" customHeight="1">
      <c r="A366" t="inlineStr">
        <is>
          <t>A 19379-2024</t>
        </is>
      </c>
      <c r="B366" t="inlineStr">
        <is>
          <t>avverkningsanmälan</t>
        </is>
      </c>
      <c r="C366" t="inlineStr">
        <is>
          <t>Föryngringsavverkning</t>
        </is>
      </c>
      <c r="D366" s="1" t="n">
        <v>45428</v>
      </c>
      <c r="E366" s="1" t="n">
        <v>46316</v>
      </c>
      <c r="F366" t="inlineStr">
        <is>
          <t>KRONOBERGS LÄN</t>
        </is>
      </c>
      <c r="G366" t="inlineStr">
        <is>
          <t>VÄXJÖ</t>
        </is>
      </c>
      <c r="H366" t="inlineStr">
        <is>
          <t>Kyrkan</t>
        </is>
      </c>
      <c r="I366" t="n">
        <v>9.4</v>
      </c>
      <c r="J366" t="n">
        <v>0</v>
      </c>
      <c r="K366" t="n">
        <v>1</v>
      </c>
      <c r="L366" t="n">
        <v>0</v>
      </c>
      <c r="M366" t="n">
        <v>0</v>
      </c>
      <c r="N366" t="n">
        <v>0</v>
      </c>
      <c r="O366" t="n">
        <v>0</v>
      </c>
      <c r="P366" t="n">
        <v>0</v>
      </c>
      <c r="Q366" t="n">
        <v>0</v>
      </c>
      <c r="R366" t="n">
        <v>0</v>
      </c>
      <c r="S366" t="n">
        <v>1</v>
      </c>
      <c r="T366" t="n">
        <v>1</v>
      </c>
      <c r="U366" t="n">
        <v>1</v>
      </c>
      <c r="V366" s="2" t="inlineStr">
        <is>
          <t>Blåmossa</t>
        </is>
      </c>
      <c r="W366">
        <f>HYPERLINK("https://klasma.github.io/Logging_0780/artfynd/A 19379-2024 artfynd.xlsx", "A 19379-2024")</f>
        <v/>
      </c>
      <c r="X366">
        <f>HYPERLINK("https://klasma.github.io/Logging_0780/kartor/A 19379-2024 karta.png", "A 19379-2024")</f>
        <v/>
      </c>
      <c r="Y366">
        <f>HYPERLINK("https://klasma.github.io/Logging_0780/kartor_geotiff/A 19379-2024 georefererad karta.tif", "A 19379-2024")</f>
        <v/>
      </c>
      <c r="AA366">
        <f>HYPERLINK("https://klasma.github.io/Logging_0780/klagomål/A 19379-2024 FSC-klagomål.docx", "A 19379-2024")</f>
        <v/>
      </c>
      <c r="AB366">
        <f>HYPERLINK("https://klasma.github.io/Logging_0780/klagomålsmail/A 19379-2024 FSC-klagomål mail.docx", "A 19379-2024")</f>
        <v/>
      </c>
      <c r="AC366">
        <f>HYPERLINK("https://klasma.github.io/Logging_0780/tillsyn/A 19379-2024 tillsynsbegäran.docx", "A 19379-2024")</f>
        <v/>
      </c>
      <c r="AD366">
        <f>HYPERLINK("https://klasma.github.io/Logging_0780/tillsynsmail/A 19379-2024 tillsynsbegäran mail.docx", "A 19379-2024")</f>
        <v/>
      </c>
    </row>
    <row r="367" ht="15" customHeight="1">
      <c r="A367" t="inlineStr">
        <is>
          <t>A 49087-2025</t>
        </is>
      </c>
      <c r="B367" t="inlineStr">
        <is>
          <t>avverkningsanmälan</t>
        </is>
      </c>
      <c r="C367" t="inlineStr">
        <is>
          <t>Föryngringsavverkning</t>
        </is>
      </c>
      <c r="D367" s="1" t="n">
        <v>45937</v>
      </c>
      <c r="E367" s="1" t="n">
        <v>46316</v>
      </c>
      <c r="F367" t="inlineStr">
        <is>
          <t>KRONOBERGS LÄN</t>
        </is>
      </c>
      <c r="G367" t="inlineStr">
        <is>
          <t>LJUNGBY</t>
        </is>
      </c>
      <c r="I367" t="n">
        <v>1</v>
      </c>
      <c r="J367" t="n">
        <v>1</v>
      </c>
      <c r="K367" t="n">
        <v>0</v>
      </c>
      <c r="L367" t="n">
        <v>0</v>
      </c>
      <c r="M367" t="n">
        <v>0</v>
      </c>
      <c r="N367" t="n">
        <v>0</v>
      </c>
      <c r="O367" t="n">
        <v>0</v>
      </c>
      <c r="P367" t="n">
        <v>0</v>
      </c>
      <c r="Q367" t="n">
        <v>0</v>
      </c>
      <c r="R367" t="n">
        <v>0</v>
      </c>
      <c r="S367" t="n">
        <v>1</v>
      </c>
      <c r="T367" t="n">
        <v>1</v>
      </c>
      <c r="U367" t="n">
        <v>0</v>
      </c>
      <c r="V367" s="2" t="inlineStr">
        <is>
          <t>Kungsfågel</t>
        </is>
      </c>
      <c r="W367">
        <f>HYPERLINK("https://klasma.github.io/Logging_0781/artfynd/A 49087-2025 artfynd.xlsx", "A 49087-2025")</f>
        <v/>
      </c>
      <c r="X367">
        <f>HYPERLINK("https://klasma.github.io/Logging_0781/kartor/A 49087-2025 karta.png", "A 49087-2025")</f>
        <v/>
      </c>
      <c r="Y367">
        <f>HYPERLINK("https://klasma.github.io/Logging_0781/kartor_geotiff/A 49087-2025 georefererad karta.tif", "A 49087-2025")</f>
        <v/>
      </c>
      <c r="AA367">
        <f>HYPERLINK("https://klasma.github.io/Logging_0781/klagomål/A 49087-2025 FSC-klagomål.docx", "A 49087-2025")</f>
        <v/>
      </c>
      <c r="AB367">
        <f>HYPERLINK("https://klasma.github.io/Logging_0781/klagomålsmail/A 49087-2025 FSC-klagomål mail.docx", "A 49087-2025")</f>
        <v/>
      </c>
      <c r="AC367">
        <f>HYPERLINK("https://klasma.github.io/Logging_0781/tillsyn/A 49087-2025 tillsynsbegäran.docx", "A 49087-2025")</f>
        <v/>
      </c>
      <c r="AD367">
        <f>HYPERLINK("https://klasma.github.io/Logging_0781/tillsynsmail/A 49087-2025 tillsynsbegäran mail.docx", "A 49087-2025")</f>
        <v/>
      </c>
    </row>
    <row r="368" ht="15" customHeight="1">
      <c r="A368" t="inlineStr">
        <is>
          <t>A 55368-2025</t>
        </is>
      </c>
      <c r="B368" t="inlineStr">
        <is>
          <t>avverkningsanmälan</t>
        </is>
      </c>
      <c r="C368" t="inlineStr">
        <is>
          <t>Föryngringsavverkning</t>
        </is>
      </c>
      <c r="D368" s="1" t="n">
        <v>45971</v>
      </c>
      <c r="E368" s="1" t="n">
        <v>46316</v>
      </c>
      <c r="F368" t="inlineStr">
        <is>
          <t>KRONOBERGS LÄN</t>
        </is>
      </c>
      <c r="G368" t="inlineStr">
        <is>
          <t>ALVESTA</t>
        </is>
      </c>
      <c r="I368" t="n">
        <v>1.9</v>
      </c>
      <c r="J368" t="n">
        <v>0</v>
      </c>
      <c r="K368" t="n">
        <v>0</v>
      </c>
      <c r="L368" t="n">
        <v>1</v>
      </c>
      <c r="M368" t="n">
        <v>0</v>
      </c>
      <c r="N368" t="n">
        <v>0</v>
      </c>
      <c r="O368" t="n">
        <v>0</v>
      </c>
      <c r="P368" t="n">
        <v>0</v>
      </c>
      <c r="Q368" t="n">
        <v>1</v>
      </c>
      <c r="R368" t="n">
        <v>0</v>
      </c>
      <c r="S368" t="n">
        <v>1</v>
      </c>
      <c r="T368" t="n">
        <v>1</v>
      </c>
      <c r="U368" t="n">
        <v>0</v>
      </c>
      <c r="V368" s="2" t="inlineStr">
        <is>
          <t>Kortskaftad ärgspik</t>
        </is>
      </c>
      <c r="W368">
        <f>HYPERLINK("https://klasma.github.io/Logging_0764/artfynd/A 55368-2025 artfynd.xlsx", "A 55368-2025")</f>
        <v/>
      </c>
      <c r="X368">
        <f>HYPERLINK("https://klasma.github.io/Logging_0764/kartor/A 55368-2025 karta.png", "A 55368-2025")</f>
        <v/>
      </c>
      <c r="Y368">
        <f>HYPERLINK("https://klasma.github.io/Logging_0764/kartor_geotiff/A 55368-2025 georefererad karta.tif", "A 55368-2025")</f>
        <v/>
      </c>
      <c r="AA368">
        <f>HYPERLINK("https://klasma.github.io/Logging_0764/klagomål/A 55368-2025 FSC-klagomål.docx", "A 55368-2025")</f>
        <v/>
      </c>
      <c r="AB368">
        <f>HYPERLINK("https://klasma.github.io/Logging_0764/klagomålsmail/A 55368-2025 FSC-klagomål mail.docx", "A 55368-2025")</f>
        <v/>
      </c>
      <c r="AC368">
        <f>HYPERLINK("https://klasma.github.io/Logging_0764/tillsyn/A 55368-2025 tillsynsbegäran.docx", "A 55368-2025")</f>
        <v/>
      </c>
      <c r="AD368">
        <f>HYPERLINK("https://klasma.github.io/Logging_0764/tillsynsmail/A 55368-2025 tillsynsbegäran mail.docx", "A 55368-2025")</f>
        <v/>
      </c>
    </row>
    <row r="369" ht="15" customHeight="1">
      <c r="A369" t="inlineStr">
        <is>
          <t>A 9911-2023</t>
        </is>
      </c>
      <c r="B369" t="inlineStr">
        <is>
          <t>avverkningsanmälan</t>
        </is>
      </c>
      <c r="C369" t="inlineStr">
        <is>
          <t>Föryngringsavverkning</t>
        </is>
      </c>
      <c r="D369" s="1" t="n">
        <v>44985</v>
      </c>
      <c r="E369" s="1" t="n">
        <v>46316</v>
      </c>
      <c r="F369" t="inlineStr">
        <is>
          <t>KRONOBERGS LÄN</t>
        </is>
      </c>
      <c r="G369" t="inlineStr">
        <is>
          <t>LJUNGBY</t>
        </is>
      </c>
      <c r="I369" t="n">
        <v>1</v>
      </c>
      <c r="J369" t="n">
        <v>1</v>
      </c>
      <c r="K369" t="n">
        <v>1</v>
      </c>
      <c r="L369" t="n">
        <v>0</v>
      </c>
      <c r="M369" t="n">
        <v>0</v>
      </c>
      <c r="N369" t="n">
        <v>0</v>
      </c>
      <c r="O369" t="n">
        <v>0</v>
      </c>
      <c r="P369" t="n">
        <v>0</v>
      </c>
      <c r="Q369" t="n">
        <v>0</v>
      </c>
      <c r="R369" t="n">
        <v>0</v>
      </c>
      <c r="S369" t="n">
        <v>1</v>
      </c>
      <c r="T369" t="n">
        <v>1</v>
      </c>
      <c r="U369" t="n">
        <v>1</v>
      </c>
      <c r="V369" s="2" t="inlineStr">
        <is>
          <t>Spindelblomster</t>
        </is>
      </c>
      <c r="W369">
        <f>HYPERLINK("https://klasma.github.io/Logging_0781/artfynd/A 9911-2023 artfynd.xlsx", "A 9911-2023")</f>
        <v/>
      </c>
      <c r="X369">
        <f>HYPERLINK("https://klasma.github.io/Logging_0781/kartor/A 9911-2023 karta.png", "A 9911-2023")</f>
        <v/>
      </c>
      <c r="Y369">
        <f>HYPERLINK("https://klasma.github.io/Logging_0781/kartor_geotiff/A 9911-2023 georefererad karta.tif", "A 9911-2023")</f>
        <v/>
      </c>
      <c r="AA369">
        <f>HYPERLINK("https://klasma.github.io/Logging_0781/klagomål/A 9911-2023 FSC-klagomål.docx", "A 9911-2023")</f>
        <v/>
      </c>
      <c r="AB369">
        <f>HYPERLINK("https://klasma.github.io/Logging_0781/klagomålsmail/A 9911-2023 FSC-klagomål mail.docx", "A 9911-2023")</f>
        <v/>
      </c>
      <c r="AC369">
        <f>HYPERLINK("https://klasma.github.io/Logging_0781/tillsyn/A 9911-2023 tillsynsbegäran.docx", "A 9911-2023")</f>
        <v/>
      </c>
      <c r="AD369">
        <f>HYPERLINK("https://klasma.github.io/Logging_0781/tillsynsmail/A 9911-2023 tillsynsbegäran mail.docx", "A 9911-2023")</f>
        <v/>
      </c>
    </row>
    <row r="370" ht="15" customHeight="1">
      <c r="A370" t="inlineStr">
        <is>
          <t>A 47338-2022</t>
        </is>
      </c>
      <c r="B370" t="inlineStr">
        <is>
          <t>avverkningsanmälan</t>
        </is>
      </c>
      <c r="C370" t="inlineStr">
        <is>
          <t>Föryngringsavverkning</t>
        </is>
      </c>
      <c r="D370" s="1" t="n">
        <v>44853</v>
      </c>
      <c r="E370" s="1" t="n">
        <v>46316</v>
      </c>
      <c r="F370" t="inlineStr">
        <is>
          <t>KRONOBERGS LÄN</t>
        </is>
      </c>
      <c r="G370" t="inlineStr">
        <is>
          <t>ALVESTA</t>
        </is>
      </c>
      <c r="I370" t="n">
        <v>1</v>
      </c>
      <c r="J370" t="n">
        <v>1</v>
      </c>
      <c r="K370" t="n">
        <v>0</v>
      </c>
      <c r="L370" t="n">
        <v>0</v>
      </c>
      <c r="M370" t="n">
        <v>0</v>
      </c>
      <c r="N370" t="n">
        <v>0</v>
      </c>
      <c r="O370" t="n">
        <v>0</v>
      </c>
      <c r="P370" t="n">
        <v>0</v>
      </c>
      <c r="Q370" t="n">
        <v>0</v>
      </c>
      <c r="R370" t="n">
        <v>0</v>
      </c>
      <c r="S370" t="n">
        <v>1</v>
      </c>
      <c r="T370" t="n">
        <v>1</v>
      </c>
      <c r="U370" t="n">
        <v>0</v>
      </c>
      <c r="V370" s="2" t="inlineStr">
        <is>
          <t>Tjäder</t>
        </is>
      </c>
      <c r="W370">
        <f>HYPERLINK("https://klasma.github.io/Logging_0764/artfynd/A 47338-2022 artfynd.xlsx", "A 47338-2022")</f>
        <v/>
      </c>
      <c r="X370">
        <f>HYPERLINK("https://klasma.github.io/Logging_0764/kartor/A 47338-2022 karta.png", "A 47338-2022")</f>
        <v/>
      </c>
      <c r="Y370">
        <f>HYPERLINK("https://klasma.github.io/Logging_0764/kartor_geotiff/A 47338-2022 georefererad karta.tif", "A 47338-2022")</f>
        <v/>
      </c>
      <c r="AA370">
        <f>HYPERLINK("https://klasma.github.io/Logging_0764/klagomål/A 47338-2022 FSC-klagomål.docx", "A 47338-2022")</f>
        <v/>
      </c>
      <c r="AB370">
        <f>HYPERLINK("https://klasma.github.io/Logging_0764/klagomålsmail/A 47338-2022 FSC-klagomål mail.docx", "A 47338-2022")</f>
        <v/>
      </c>
      <c r="AC370">
        <f>HYPERLINK("https://klasma.github.io/Logging_0764/tillsyn/A 47338-2022 tillsynsbegäran.docx", "A 47338-2022")</f>
        <v/>
      </c>
      <c r="AD370">
        <f>HYPERLINK("https://klasma.github.io/Logging_0764/tillsynsmail/A 47338-2022 tillsynsbegäran mail.docx", "A 47338-2022")</f>
        <v/>
      </c>
      <c r="AE370">
        <f>HYPERLINK("https://klasma.github.io/Logging_0764/fåglar/A 47338-2022 prioriterade fågelarter.docx", "A 47338-2022")</f>
        <v/>
      </c>
    </row>
    <row r="371" ht="15" customHeight="1">
      <c r="A371" t="inlineStr">
        <is>
          <t>A 58048-2024</t>
        </is>
      </c>
      <c r="B371" t="inlineStr">
        <is>
          <t>avverkningsanmälan</t>
        </is>
      </c>
      <c r="C371" t="inlineStr">
        <is>
          <t>Föryngringsavverkning</t>
        </is>
      </c>
      <c r="D371" s="1" t="n">
        <v>45631</v>
      </c>
      <c r="E371" s="1" t="n">
        <v>46316</v>
      </c>
      <c r="F371" t="inlineStr">
        <is>
          <t>KRONOBERGS LÄN</t>
        </is>
      </c>
      <c r="G371" t="inlineStr">
        <is>
          <t>ÄLMHULT</t>
        </is>
      </c>
      <c r="I371" t="n">
        <v>1.9</v>
      </c>
      <c r="J371" t="n">
        <v>0</v>
      </c>
      <c r="K371" t="n">
        <v>0</v>
      </c>
      <c r="L371" t="n">
        <v>1</v>
      </c>
      <c r="M371" t="n">
        <v>0</v>
      </c>
      <c r="N371" t="n">
        <v>0</v>
      </c>
      <c r="O371" t="n">
        <v>0</v>
      </c>
      <c r="P371" t="n">
        <v>0</v>
      </c>
      <c r="Q371" t="n">
        <v>1</v>
      </c>
      <c r="R371" t="n">
        <v>0</v>
      </c>
      <c r="S371" t="n">
        <v>1</v>
      </c>
      <c r="T371" t="n">
        <v>1</v>
      </c>
      <c r="U371" t="n">
        <v>1</v>
      </c>
      <c r="V371" s="2" t="inlineStr">
        <is>
          <t>Solvända</t>
        </is>
      </c>
      <c r="W371">
        <f>HYPERLINK("https://klasma.github.io/Logging_0765/artfynd/A 58048-2024 artfynd.xlsx", "A 58048-2024")</f>
        <v/>
      </c>
      <c r="X371">
        <f>HYPERLINK("https://klasma.github.io/Logging_0765/kartor/A 58048-2024 karta.png", "A 58048-2024")</f>
        <v/>
      </c>
      <c r="Y371">
        <f>HYPERLINK("https://klasma.github.io/Logging_0765/kartor_geotiff/A 58048-2024 georefererad karta.tif", "A 58048-2024")</f>
        <v/>
      </c>
      <c r="AA371">
        <f>HYPERLINK("https://klasma.github.io/Logging_0765/klagomål/A 58048-2024 FSC-klagomål.docx", "A 58048-2024")</f>
        <v/>
      </c>
      <c r="AB371">
        <f>HYPERLINK("https://klasma.github.io/Logging_0765/klagomålsmail/A 58048-2024 FSC-klagomål mail.docx", "A 58048-2024")</f>
        <v/>
      </c>
      <c r="AC371">
        <f>HYPERLINK("https://klasma.github.io/Logging_0765/tillsyn/A 58048-2024 tillsynsbegäran.docx", "A 58048-2024")</f>
        <v/>
      </c>
      <c r="AD371">
        <f>HYPERLINK("https://klasma.github.io/Logging_0765/tillsynsmail/A 58048-2024 tillsynsbegäran mail.docx", "A 58048-2024")</f>
        <v/>
      </c>
    </row>
    <row r="372" ht="15" customHeight="1">
      <c r="A372" t="inlineStr">
        <is>
          <t>A 3863-2024</t>
        </is>
      </c>
      <c r="B372" t="inlineStr">
        <is>
          <t>avverkningsanmälan</t>
        </is>
      </c>
      <c r="C372" t="inlineStr">
        <is>
          <t>Föryngringsavverkning</t>
        </is>
      </c>
      <c r="D372" s="1" t="n">
        <v>45322</v>
      </c>
      <c r="E372" s="1" t="n">
        <v>46316</v>
      </c>
      <c r="F372" t="inlineStr">
        <is>
          <t>KRONOBERGS LÄN</t>
        </is>
      </c>
      <c r="G372" t="inlineStr">
        <is>
          <t>TINGSRYD</t>
        </is>
      </c>
      <c r="H372" t="inlineStr">
        <is>
          <t>Övriga Aktiebolag</t>
        </is>
      </c>
      <c r="I372" t="n">
        <v>2.2</v>
      </c>
      <c r="J372" t="n">
        <v>0</v>
      </c>
      <c r="K372" t="n">
        <v>1</v>
      </c>
      <c r="L372" t="n">
        <v>0</v>
      </c>
      <c r="M372" t="n">
        <v>0</v>
      </c>
      <c r="N372" t="n">
        <v>0</v>
      </c>
      <c r="O372" t="n">
        <v>0</v>
      </c>
      <c r="P372" t="n">
        <v>0</v>
      </c>
      <c r="Q372" t="n">
        <v>0</v>
      </c>
      <c r="R372" t="n">
        <v>0</v>
      </c>
      <c r="S372" t="n">
        <v>1</v>
      </c>
      <c r="T372" t="n">
        <v>1</v>
      </c>
      <c r="U372" t="n">
        <v>0</v>
      </c>
      <c r="V372" s="2" t="inlineStr">
        <is>
          <t>Safsa</t>
        </is>
      </c>
      <c r="W372">
        <f>HYPERLINK("https://klasma.github.io/Logging_0763/artfynd/A 3863-2024 artfynd.xlsx", "A 3863-2024")</f>
        <v/>
      </c>
      <c r="X372">
        <f>HYPERLINK("https://klasma.github.io/Logging_0763/kartor/A 3863-2024 karta.png", "A 3863-2024")</f>
        <v/>
      </c>
      <c r="Y372">
        <f>HYPERLINK("https://klasma.github.io/Logging_0763/kartor_geotiff/A 3863-2024 georefererad karta.tif", "A 3863-2024")</f>
        <v/>
      </c>
      <c r="AA372">
        <f>HYPERLINK("https://klasma.github.io/Logging_0763/klagomål/A 3863-2024 FSC-klagomål.docx", "A 3863-2024")</f>
        <v/>
      </c>
      <c r="AB372">
        <f>HYPERLINK("https://klasma.github.io/Logging_0763/klagomålsmail/A 3863-2024 FSC-klagomål mail.docx", "A 3863-2024")</f>
        <v/>
      </c>
      <c r="AC372">
        <f>HYPERLINK("https://klasma.github.io/Logging_0763/tillsyn/A 3863-2024 tillsynsbegäran.docx", "A 3863-2024")</f>
        <v/>
      </c>
      <c r="AD372">
        <f>HYPERLINK("https://klasma.github.io/Logging_0763/tillsynsmail/A 3863-2024 tillsynsbegäran mail.docx", "A 3863-2024")</f>
        <v/>
      </c>
    </row>
    <row r="373" ht="15" customHeight="1">
      <c r="A373" t="inlineStr">
        <is>
          <t>A 16882-2022</t>
        </is>
      </c>
      <c r="B373" t="inlineStr">
        <is>
          <t>avverkningsanmälan</t>
        </is>
      </c>
      <c r="C373" t="inlineStr">
        <is>
          <t>Avverkning för annat ändamål</t>
        </is>
      </c>
      <c r="D373" s="1" t="n">
        <v>44676</v>
      </c>
      <c r="E373" s="1" t="n">
        <v>46316</v>
      </c>
      <c r="F373" t="inlineStr">
        <is>
          <t>KRONOBERGS LÄN</t>
        </is>
      </c>
      <c r="G373" t="inlineStr">
        <is>
          <t>UPPVIDINGE</t>
        </is>
      </c>
      <c r="I373" t="n">
        <v>13.5</v>
      </c>
      <c r="J373" t="n">
        <v>0</v>
      </c>
      <c r="K373" t="n">
        <v>0</v>
      </c>
      <c r="L373" t="n">
        <v>1</v>
      </c>
      <c r="M373" t="n">
        <v>0</v>
      </c>
      <c r="N373" t="n">
        <v>0</v>
      </c>
      <c r="O373" t="n">
        <v>0</v>
      </c>
      <c r="P373" t="n">
        <v>0</v>
      </c>
      <c r="Q373" t="n">
        <v>1</v>
      </c>
      <c r="R373" t="n">
        <v>0</v>
      </c>
      <c r="S373" t="n">
        <v>1</v>
      </c>
      <c r="T373" t="n">
        <v>2</v>
      </c>
      <c r="U373" t="n">
        <v>0</v>
      </c>
      <c r="V373" s="2" t="inlineStr">
        <is>
          <t>Sommarfibbla</t>
        </is>
      </c>
      <c r="W373">
        <f>HYPERLINK("https://klasma.github.io/Logging_0760/artfynd/A 16882-2022 artfynd.xlsx", "A 16882-2022")</f>
        <v/>
      </c>
      <c r="X373">
        <f>HYPERLINK("https://klasma.github.io/Logging_0760/kartor/A 16882-2022 karta.png", "A 16882-2022")</f>
        <v/>
      </c>
      <c r="Y373">
        <f>HYPERLINK("https://klasma.github.io/Logging_0760/kartor_geotiff/A 16882-2022 georefererad karta.tif", "A 16882-2022")</f>
        <v/>
      </c>
      <c r="AA373">
        <f>HYPERLINK("https://klasma.github.io/Logging_0760/klagomål/A 16882-2022 FSC-klagomål.docx", "A 16882-2022")</f>
        <v/>
      </c>
      <c r="AB373">
        <f>HYPERLINK("https://klasma.github.io/Logging_0760/klagomålsmail/A 16882-2022 FSC-klagomål mail.docx", "A 16882-2022")</f>
        <v/>
      </c>
      <c r="AC373">
        <f>HYPERLINK("https://klasma.github.io/Logging_0760/tillsyn/A 16882-2022 tillsynsbegäran.docx", "A 16882-2022")</f>
        <v/>
      </c>
      <c r="AD373">
        <f>HYPERLINK("https://klasma.github.io/Logging_0760/tillsynsmail/A 16882-2022 tillsynsbegäran mail.docx", "A 16882-2022")</f>
        <v/>
      </c>
    </row>
    <row r="374" ht="15" customHeight="1">
      <c r="A374" t="inlineStr">
        <is>
          <t>A 62519-2023</t>
        </is>
      </c>
      <c r="B374" t="inlineStr">
        <is>
          <t>avverkningsanmälan</t>
        </is>
      </c>
      <c r="C374" t="inlineStr">
        <is>
          <t>Föryngringsavverkning</t>
        </is>
      </c>
      <c r="D374" s="1" t="n">
        <v>45268</v>
      </c>
      <c r="E374" s="1" t="n">
        <v>46316</v>
      </c>
      <c r="F374" t="inlineStr">
        <is>
          <t>KRONOBERGS LÄN</t>
        </is>
      </c>
      <c r="G374" t="inlineStr">
        <is>
          <t>MARKARYD</t>
        </is>
      </c>
      <c r="H374" t="inlineStr">
        <is>
          <t>Sveaskog</t>
        </is>
      </c>
      <c r="I374" t="n">
        <v>4.7</v>
      </c>
      <c r="J374" t="n">
        <v>1</v>
      </c>
      <c r="K374" t="n">
        <v>0</v>
      </c>
      <c r="L374" t="n">
        <v>0</v>
      </c>
      <c r="M374" t="n">
        <v>0</v>
      </c>
      <c r="N374" t="n">
        <v>0</v>
      </c>
      <c r="O374" t="n">
        <v>0</v>
      </c>
      <c r="P374" t="n">
        <v>0</v>
      </c>
      <c r="Q374" t="n">
        <v>0</v>
      </c>
      <c r="R374" t="n">
        <v>0</v>
      </c>
      <c r="S374" t="n">
        <v>1</v>
      </c>
      <c r="T374" t="n">
        <v>1</v>
      </c>
      <c r="U374" t="n">
        <v>0</v>
      </c>
      <c r="V374" s="2" t="inlineStr">
        <is>
          <t>Tjäder</t>
        </is>
      </c>
      <c r="W374">
        <f>HYPERLINK("https://klasma.github.io/Logging_0767/artfynd/A 62519-2023 artfynd.xlsx", "A 62519-2023")</f>
        <v/>
      </c>
      <c r="X374">
        <f>HYPERLINK("https://klasma.github.io/Logging_0767/kartor/A 62519-2023 karta.png", "A 62519-2023")</f>
        <v/>
      </c>
      <c r="Y374">
        <f>HYPERLINK("https://klasma.github.io/Logging_0767/kartor_geotiff/A 62519-2023 georefererad karta.tif", "A 62519-2023")</f>
        <v/>
      </c>
      <c r="AA374">
        <f>HYPERLINK("https://klasma.github.io/Logging_0767/klagomål/A 62519-2023 FSC-klagomål.docx", "A 62519-2023")</f>
        <v/>
      </c>
      <c r="AB374">
        <f>HYPERLINK("https://klasma.github.io/Logging_0767/klagomålsmail/A 62519-2023 FSC-klagomål mail.docx", "A 62519-2023")</f>
        <v/>
      </c>
      <c r="AC374">
        <f>HYPERLINK("https://klasma.github.io/Logging_0767/tillsyn/A 62519-2023 tillsynsbegäran.docx", "A 62519-2023")</f>
        <v/>
      </c>
      <c r="AD374">
        <f>HYPERLINK("https://klasma.github.io/Logging_0767/tillsynsmail/A 62519-2023 tillsynsbegäran mail.docx", "A 62519-2023")</f>
        <v/>
      </c>
      <c r="AE374">
        <f>HYPERLINK("https://klasma.github.io/Logging_0767/fåglar/A 62519-2023 prioriterade fågelarter.docx", "A 62519-2023")</f>
        <v/>
      </c>
    </row>
    <row r="375" ht="15" customHeight="1">
      <c r="A375" t="inlineStr">
        <is>
          <t>A 50892-2023</t>
        </is>
      </c>
      <c r="B375" t="inlineStr">
        <is>
          <t>avverkningsanmälan</t>
        </is>
      </c>
      <c r="C375" t="inlineStr">
        <is>
          <t>Avverkning för annat ändamål</t>
        </is>
      </c>
      <c r="D375" s="1" t="n">
        <v>45218</v>
      </c>
      <c r="E375" s="1" t="n">
        <v>46316</v>
      </c>
      <c r="F375" t="inlineStr">
        <is>
          <t>KRONOBERGS LÄN</t>
        </is>
      </c>
      <c r="G375" t="inlineStr">
        <is>
          <t>ÄLMHULT</t>
        </is>
      </c>
      <c r="I375" t="n">
        <v>83.40000000000001</v>
      </c>
      <c r="J375" t="n">
        <v>1</v>
      </c>
      <c r="K375" t="n">
        <v>0</v>
      </c>
      <c r="L375" t="n">
        <v>0</v>
      </c>
      <c r="M375" t="n">
        <v>0</v>
      </c>
      <c r="N375" t="n">
        <v>0</v>
      </c>
      <c r="O375" t="n">
        <v>0</v>
      </c>
      <c r="P375" t="n">
        <v>0</v>
      </c>
      <c r="Q375" t="n">
        <v>0</v>
      </c>
      <c r="R375" t="n">
        <v>0</v>
      </c>
      <c r="S375" t="n">
        <v>1</v>
      </c>
      <c r="T375" t="n">
        <v>1</v>
      </c>
      <c r="U375" t="n">
        <v>0</v>
      </c>
      <c r="V375" s="2" t="inlineStr">
        <is>
          <t>Mattlummer</t>
        </is>
      </c>
      <c r="W375">
        <f>HYPERLINK("https://klasma.github.io/Logging_0765/artfynd/A 50892-2023 artfynd.xlsx", "A 50892-2023")</f>
        <v/>
      </c>
      <c r="X375">
        <f>HYPERLINK("https://klasma.github.io/Logging_0765/kartor/A 50892-2023 karta.png", "A 50892-2023")</f>
        <v/>
      </c>
      <c r="Y375">
        <f>HYPERLINK("https://klasma.github.io/Logging_0765/kartor_geotiff/A 50892-2023 georefererad karta.tif", "A 50892-2023")</f>
        <v/>
      </c>
      <c r="AA375">
        <f>HYPERLINK("https://klasma.github.io/Logging_0765/klagomål/A 50892-2023 FSC-klagomål.docx", "A 50892-2023")</f>
        <v/>
      </c>
      <c r="AB375">
        <f>HYPERLINK("https://klasma.github.io/Logging_0765/klagomålsmail/A 50892-2023 FSC-klagomål mail.docx", "A 50892-2023")</f>
        <v/>
      </c>
      <c r="AC375">
        <f>HYPERLINK("https://klasma.github.io/Logging_0765/tillsyn/A 50892-2023 tillsynsbegäran.docx", "A 50892-2023")</f>
        <v/>
      </c>
      <c r="AD375">
        <f>HYPERLINK("https://klasma.github.io/Logging_0765/tillsynsmail/A 50892-2023 tillsynsbegäran mail.docx", "A 50892-2023")</f>
        <v/>
      </c>
    </row>
    <row r="376" ht="15" customHeight="1">
      <c r="A376" t="inlineStr">
        <is>
          <t>A 28084-2022</t>
        </is>
      </c>
      <c r="B376" t="inlineStr">
        <is>
          <t>avverkningsanmälan</t>
        </is>
      </c>
      <c r="C376" t="inlineStr">
        <is>
          <t>Avverkning för annat ändamål</t>
        </is>
      </c>
      <c r="D376" s="1" t="n">
        <v>44746</v>
      </c>
      <c r="E376" s="1" t="n">
        <v>46316</v>
      </c>
      <c r="F376" t="inlineStr">
        <is>
          <t>KRONOBERGS LÄN</t>
        </is>
      </c>
      <c r="G376" t="inlineStr">
        <is>
          <t>VÄXJÖ</t>
        </is>
      </c>
      <c r="I376" t="n">
        <v>3.6</v>
      </c>
      <c r="J376" t="n">
        <v>0</v>
      </c>
      <c r="K376" t="n">
        <v>0</v>
      </c>
      <c r="L376" t="n">
        <v>0</v>
      </c>
      <c r="M376" t="n">
        <v>1</v>
      </c>
      <c r="N376" t="n">
        <v>0</v>
      </c>
      <c r="O376" t="n">
        <v>0</v>
      </c>
      <c r="P376" t="n">
        <v>0</v>
      </c>
      <c r="Q376" t="n">
        <v>1</v>
      </c>
      <c r="R376" t="n">
        <v>1</v>
      </c>
      <c r="S376" t="n">
        <v>1</v>
      </c>
      <c r="T376" t="n">
        <v>1</v>
      </c>
      <c r="U376" t="n">
        <v>0</v>
      </c>
      <c r="V376" s="2" t="inlineStr">
        <is>
          <t>Slåttergubbemal</t>
        </is>
      </c>
      <c r="W376">
        <f>HYPERLINK("https://klasma.github.io/Logging_0780/artfynd/A 28084-2022 artfynd.xlsx", "A 28084-2022")</f>
        <v/>
      </c>
      <c r="X376">
        <f>HYPERLINK("https://klasma.github.io/Logging_0780/kartor/A 28084-2022 karta.png", "A 28084-2022")</f>
        <v/>
      </c>
      <c r="Y376">
        <f>HYPERLINK("https://klasma.github.io/Logging_0780/kartor_geotiff/A 28084-2022 georefererad karta.tif", "A 28084-2022")</f>
        <v/>
      </c>
      <c r="AA376">
        <f>HYPERLINK("https://klasma.github.io/Logging_0780/klagomål/A 28084-2022 FSC-klagomål.docx", "A 28084-2022")</f>
        <v/>
      </c>
      <c r="AB376">
        <f>HYPERLINK("https://klasma.github.io/Logging_0780/klagomålsmail/A 28084-2022 FSC-klagomål mail.docx", "A 28084-2022")</f>
        <v/>
      </c>
      <c r="AC376">
        <f>HYPERLINK("https://klasma.github.io/Logging_0780/tillsyn/A 28084-2022 tillsynsbegäran.docx", "A 28084-2022")</f>
        <v/>
      </c>
      <c r="AD376">
        <f>HYPERLINK("https://klasma.github.io/Logging_0780/tillsynsmail/A 28084-2022 tillsynsbegäran mail.docx", "A 28084-2022")</f>
        <v/>
      </c>
    </row>
    <row r="377" ht="15" customHeight="1">
      <c r="A377" t="inlineStr">
        <is>
          <t>A 22428-2026</t>
        </is>
      </c>
      <c r="B377" t="inlineStr">
        <is>
          <t>avverkningsanmälan</t>
        </is>
      </c>
      <c r="C377" t="inlineStr">
        <is>
          <t>Föryngringsavverkning</t>
        </is>
      </c>
      <c r="D377" s="1" t="n">
        <v>46154</v>
      </c>
      <c r="E377" s="1" t="n">
        <v>46316</v>
      </c>
      <c r="F377" t="inlineStr">
        <is>
          <t>KRONOBERGS LÄN</t>
        </is>
      </c>
      <c r="G377" t="inlineStr">
        <is>
          <t>UPPVIDINGE</t>
        </is>
      </c>
      <c r="I377" t="n">
        <v>9.199999999999999</v>
      </c>
      <c r="J377" t="n">
        <v>1</v>
      </c>
      <c r="K377" t="n">
        <v>0</v>
      </c>
      <c r="L377" t="n">
        <v>0</v>
      </c>
      <c r="M377" t="n">
        <v>0</v>
      </c>
      <c r="N377" t="n">
        <v>0</v>
      </c>
      <c r="O377" t="n">
        <v>0</v>
      </c>
      <c r="P377" t="n">
        <v>0</v>
      </c>
      <c r="Q377" t="n">
        <v>0</v>
      </c>
      <c r="R377" t="n">
        <v>0</v>
      </c>
      <c r="S377" t="n">
        <v>1</v>
      </c>
      <c r="T377" t="n">
        <v>1</v>
      </c>
      <c r="U377" t="n">
        <v>0</v>
      </c>
      <c r="V377" s="2" t="inlineStr">
        <is>
          <t>Nattviol</t>
        </is>
      </c>
      <c r="W377">
        <f>HYPERLINK("https://klasma.github.io/Logging_0760/artfynd/A 22428-2026 artfynd.xlsx", "A 22428-2026")</f>
        <v/>
      </c>
      <c r="X377">
        <f>HYPERLINK("https://klasma.github.io/Logging_0760/kartor/A 22428-2026 karta.png", "A 22428-2026")</f>
        <v/>
      </c>
      <c r="Y377">
        <f>HYPERLINK("https://klasma.github.io/Logging_0760/kartor_geotiff/A 22428-2026 georefererad karta.tif", "A 22428-2026")</f>
        <v/>
      </c>
      <c r="AA377">
        <f>HYPERLINK("https://klasma.github.io/Logging_0760/klagomål/A 22428-2026 FSC-klagomål.docx", "A 22428-2026")</f>
        <v/>
      </c>
      <c r="AB377">
        <f>HYPERLINK("https://klasma.github.io/Logging_0760/klagomålsmail/A 22428-2026 FSC-klagomål mail.docx", "A 22428-2026")</f>
        <v/>
      </c>
      <c r="AC377">
        <f>HYPERLINK("https://klasma.github.io/Logging_0760/tillsyn/A 22428-2026 tillsynsbegäran.docx", "A 22428-2026")</f>
        <v/>
      </c>
      <c r="AD377">
        <f>HYPERLINK("https://klasma.github.io/Logging_0760/tillsynsmail/A 22428-2026 tillsynsbegäran mail.docx", "A 22428-2026")</f>
        <v/>
      </c>
    </row>
    <row r="378" ht="15" customHeight="1">
      <c r="A378" t="inlineStr">
        <is>
          <t>A 30604-2023</t>
        </is>
      </c>
      <c r="B378" t="inlineStr">
        <is>
          <t>avverkningsanmälan</t>
        </is>
      </c>
      <c r="C378" t="inlineStr">
        <is>
          <t>Föryngringsavverkning</t>
        </is>
      </c>
      <c r="D378" s="1" t="n">
        <v>45112</v>
      </c>
      <c r="E378" s="1" t="n">
        <v>46316</v>
      </c>
      <c r="F378" t="inlineStr">
        <is>
          <t>KRONOBERGS LÄN</t>
        </is>
      </c>
      <c r="G378" t="inlineStr">
        <is>
          <t>ALVESTA</t>
        </is>
      </c>
      <c r="I378" t="n">
        <v>1.2</v>
      </c>
      <c r="J378" t="n">
        <v>1</v>
      </c>
      <c r="K378" t="n">
        <v>0</v>
      </c>
      <c r="L378" t="n">
        <v>0</v>
      </c>
      <c r="M378" t="n">
        <v>0</v>
      </c>
      <c r="N378" t="n">
        <v>0</v>
      </c>
      <c r="O378" t="n">
        <v>0</v>
      </c>
      <c r="P378" t="n">
        <v>0</v>
      </c>
      <c r="Q378" t="n">
        <v>0</v>
      </c>
      <c r="R378" t="n">
        <v>0</v>
      </c>
      <c r="S378" t="n">
        <v>1</v>
      </c>
      <c r="T378" t="n">
        <v>1</v>
      </c>
      <c r="U378" t="n">
        <v>0</v>
      </c>
      <c r="V378" s="2" t="inlineStr">
        <is>
          <t>Orre</t>
        </is>
      </c>
      <c r="W378">
        <f>HYPERLINK("https://klasma.github.io/Logging_0764/artfynd/A 30604-2023 artfynd.xlsx", "A 30604-2023")</f>
        <v/>
      </c>
      <c r="X378">
        <f>HYPERLINK("https://klasma.github.io/Logging_0764/kartor/A 30604-2023 karta.png", "A 30604-2023")</f>
        <v/>
      </c>
      <c r="Y378">
        <f>HYPERLINK("https://klasma.github.io/Logging_0764/kartor_geotiff/A 30604-2023 georefererad karta.tif", "A 30604-2023")</f>
        <v/>
      </c>
      <c r="AA378">
        <f>HYPERLINK("https://klasma.github.io/Logging_0764/klagomål/A 30604-2023 FSC-klagomål.docx", "A 30604-2023")</f>
        <v/>
      </c>
      <c r="AB378">
        <f>HYPERLINK("https://klasma.github.io/Logging_0764/klagomålsmail/A 30604-2023 FSC-klagomål mail.docx", "A 30604-2023")</f>
        <v/>
      </c>
      <c r="AC378">
        <f>HYPERLINK("https://klasma.github.io/Logging_0764/tillsyn/A 30604-2023 tillsynsbegäran.docx", "A 30604-2023")</f>
        <v/>
      </c>
      <c r="AD378">
        <f>HYPERLINK("https://klasma.github.io/Logging_0764/tillsynsmail/A 30604-2023 tillsynsbegäran mail.docx", "A 30604-2023")</f>
        <v/>
      </c>
      <c r="AE378">
        <f>HYPERLINK("https://klasma.github.io/Logging_0764/fåglar/A 30604-2023 prioriterade fågelarter.docx", "A 30604-2023")</f>
        <v/>
      </c>
    </row>
    <row r="379" ht="15" customHeight="1">
      <c r="A379" t="inlineStr">
        <is>
          <t>A 23155-2026</t>
        </is>
      </c>
      <c r="B379" t="inlineStr">
        <is>
          <t>avverkningsanmälan</t>
        </is>
      </c>
      <c r="C379" t="inlineStr">
        <is>
          <t>Föryngringsavverkning</t>
        </is>
      </c>
      <c r="D379" s="1" t="n">
        <v>46161</v>
      </c>
      <c r="E379" s="1" t="n">
        <v>46316</v>
      </c>
      <c r="F379" t="inlineStr">
        <is>
          <t>KRONOBERGS LÄN</t>
        </is>
      </c>
      <c r="G379" t="inlineStr">
        <is>
          <t>VÄXJÖ</t>
        </is>
      </c>
      <c r="I379" t="n">
        <v>0.5</v>
      </c>
      <c r="J379" t="n">
        <v>0</v>
      </c>
      <c r="K379" t="n">
        <v>0</v>
      </c>
      <c r="L379" t="n">
        <v>1</v>
      </c>
      <c r="M379" t="n">
        <v>0</v>
      </c>
      <c r="N379" t="n">
        <v>0</v>
      </c>
      <c r="O379" t="n">
        <v>0</v>
      </c>
      <c r="P379" t="n">
        <v>0</v>
      </c>
      <c r="Q379" t="n">
        <v>1</v>
      </c>
      <c r="R379" t="n">
        <v>0</v>
      </c>
      <c r="S379" t="n">
        <v>1</v>
      </c>
      <c r="T379" t="n">
        <v>1</v>
      </c>
      <c r="U379" t="n">
        <v>0</v>
      </c>
      <c r="V379" s="2" t="inlineStr">
        <is>
          <t>Vedtrappmossa</t>
        </is>
      </c>
      <c r="W379">
        <f>HYPERLINK("https://klasma.github.io/Logging_0780/artfynd/A 23155-2026 artfynd.xlsx", "A 23155-2026")</f>
        <v/>
      </c>
      <c r="X379">
        <f>HYPERLINK("https://klasma.github.io/Logging_0780/kartor/A 23155-2026 karta.png", "A 23155-2026")</f>
        <v/>
      </c>
      <c r="Y379">
        <f>HYPERLINK("https://klasma.github.io/Logging_0780/kartor_geotiff/A 23155-2026 georefererad karta.tif", "A 23155-2026")</f>
        <v/>
      </c>
      <c r="AA379">
        <f>HYPERLINK("https://klasma.github.io/Logging_0780/klagomål/A 23155-2026 FSC-klagomål.docx", "A 23155-2026")</f>
        <v/>
      </c>
      <c r="AB379">
        <f>HYPERLINK("https://klasma.github.io/Logging_0780/klagomålsmail/A 23155-2026 FSC-klagomål mail.docx", "A 23155-2026")</f>
        <v/>
      </c>
      <c r="AC379">
        <f>HYPERLINK("https://klasma.github.io/Logging_0780/tillsyn/A 23155-2026 tillsynsbegäran.docx", "A 23155-2026")</f>
        <v/>
      </c>
      <c r="AD379">
        <f>HYPERLINK("https://klasma.github.io/Logging_0780/tillsynsmail/A 23155-2026 tillsynsbegäran mail.docx", "A 23155-2026")</f>
        <v/>
      </c>
    </row>
    <row r="380" ht="15" customHeight="1">
      <c r="A380" t="inlineStr">
        <is>
          <t>A 23151-2026</t>
        </is>
      </c>
      <c r="B380" t="inlineStr">
        <is>
          <t>avverkningsanmälan</t>
        </is>
      </c>
      <c r="C380" t="inlineStr">
        <is>
          <t>Föryngringsavverkning</t>
        </is>
      </c>
      <c r="D380" s="1" t="n">
        <v>46161</v>
      </c>
      <c r="E380" s="1" t="n">
        <v>46316</v>
      </c>
      <c r="F380" t="inlineStr">
        <is>
          <t>KRONOBERGS LÄN</t>
        </is>
      </c>
      <c r="G380" t="inlineStr">
        <is>
          <t>VÄXJÖ</t>
        </is>
      </c>
      <c r="I380" t="n">
        <v>0.9</v>
      </c>
      <c r="J380" t="n">
        <v>1</v>
      </c>
      <c r="K380" t="n">
        <v>0</v>
      </c>
      <c r="L380" t="n">
        <v>0</v>
      </c>
      <c r="M380" t="n">
        <v>0</v>
      </c>
      <c r="N380" t="n">
        <v>0</v>
      </c>
      <c r="O380" t="n">
        <v>0</v>
      </c>
      <c r="P380" t="n">
        <v>0</v>
      </c>
      <c r="Q380" t="n">
        <v>0</v>
      </c>
      <c r="R380" t="n">
        <v>0</v>
      </c>
      <c r="S380" t="n">
        <v>1</v>
      </c>
      <c r="T380" t="n">
        <v>4</v>
      </c>
      <c r="U380" t="n">
        <v>0</v>
      </c>
      <c r="V380" s="2" t="inlineStr">
        <is>
          <t>Hårklomossa</t>
        </is>
      </c>
      <c r="W380">
        <f>HYPERLINK("https://klasma.github.io/Logging_0780/artfynd/A 23151-2026 artfynd.xlsx", "A 23151-2026")</f>
        <v/>
      </c>
      <c r="X380">
        <f>HYPERLINK("https://klasma.github.io/Logging_0780/kartor/A 23151-2026 karta.png", "A 23151-2026")</f>
        <v/>
      </c>
      <c r="Y380">
        <f>HYPERLINK("https://klasma.github.io/Logging_0780/kartor_geotiff/A 23151-2026 georefererad karta.tif", "A 23151-2026")</f>
        <v/>
      </c>
      <c r="AA380">
        <f>HYPERLINK("https://klasma.github.io/Logging_0780/klagomål/A 23151-2026 FSC-klagomål.docx", "A 23151-2026")</f>
        <v/>
      </c>
      <c r="AB380">
        <f>HYPERLINK("https://klasma.github.io/Logging_0780/klagomålsmail/A 23151-2026 FSC-klagomål mail.docx", "A 23151-2026")</f>
        <v/>
      </c>
      <c r="AC380">
        <f>HYPERLINK("https://klasma.github.io/Logging_0780/tillsyn/A 23151-2026 tillsynsbegäran.docx", "A 23151-2026")</f>
        <v/>
      </c>
      <c r="AD380">
        <f>HYPERLINK("https://klasma.github.io/Logging_0780/tillsynsmail/A 23151-2026 tillsynsbegäran mail.docx", "A 23151-2026")</f>
        <v/>
      </c>
    </row>
    <row r="381" ht="15" customHeight="1">
      <c r="A381" t="inlineStr">
        <is>
          <t>A 16141-2024</t>
        </is>
      </c>
      <c r="B381" t="inlineStr">
        <is>
          <t>avverkningsanmälan</t>
        </is>
      </c>
      <c r="C381" t="inlineStr">
        <is>
          <t>Föryngringsavverkning</t>
        </is>
      </c>
      <c r="D381" s="1" t="n">
        <v>45406</v>
      </c>
      <c r="E381" s="1" t="n">
        <v>46316</v>
      </c>
      <c r="F381" t="inlineStr">
        <is>
          <t>KRONOBERGS LÄN</t>
        </is>
      </c>
      <c r="G381" t="inlineStr">
        <is>
          <t>TINGSRYD</t>
        </is>
      </c>
      <c r="I381" t="n">
        <v>2.8</v>
      </c>
      <c r="J381" t="n">
        <v>1</v>
      </c>
      <c r="K381" t="n">
        <v>1</v>
      </c>
      <c r="L381" t="n">
        <v>0</v>
      </c>
      <c r="M381" t="n">
        <v>0</v>
      </c>
      <c r="N381" t="n">
        <v>0</v>
      </c>
      <c r="O381" t="n">
        <v>0</v>
      </c>
      <c r="P381" t="n">
        <v>0</v>
      </c>
      <c r="Q381" t="n">
        <v>0</v>
      </c>
      <c r="R381" t="n">
        <v>0</v>
      </c>
      <c r="S381" t="n">
        <v>1</v>
      </c>
      <c r="T381" t="n">
        <v>1</v>
      </c>
      <c r="U381" t="n">
        <v>0</v>
      </c>
      <c r="V381" s="2" t="inlineStr">
        <is>
          <t>Ekoxe</t>
        </is>
      </c>
      <c r="W381">
        <f>HYPERLINK("https://klasma.github.io/Logging_0763/artfynd/A 16141-2024 artfynd.xlsx", "A 16141-2024")</f>
        <v/>
      </c>
      <c r="X381">
        <f>HYPERLINK("https://klasma.github.io/Logging_0763/kartor/A 16141-2024 karta.png", "A 16141-2024")</f>
        <v/>
      </c>
      <c r="Y381">
        <f>HYPERLINK("https://klasma.github.io/Logging_0763/kartor_geotiff/A 16141-2024 georefererad karta.tif", "A 16141-2024")</f>
        <v/>
      </c>
      <c r="AA381">
        <f>HYPERLINK("https://klasma.github.io/Logging_0763/klagomål/A 16141-2024 FSC-klagomål.docx", "A 16141-2024")</f>
        <v/>
      </c>
      <c r="AB381">
        <f>HYPERLINK("https://klasma.github.io/Logging_0763/klagomålsmail/A 16141-2024 FSC-klagomål mail.docx", "A 16141-2024")</f>
        <v/>
      </c>
      <c r="AC381">
        <f>HYPERLINK("https://klasma.github.io/Logging_0763/tillsyn/A 16141-2024 tillsynsbegäran.docx", "A 16141-2024")</f>
        <v/>
      </c>
      <c r="AD381">
        <f>HYPERLINK("https://klasma.github.io/Logging_0763/tillsynsmail/A 16141-2024 tillsynsbegäran mail.docx", "A 16141-2024")</f>
        <v/>
      </c>
    </row>
    <row r="382" ht="15" customHeight="1">
      <c r="A382" t="inlineStr">
        <is>
          <t>A 52833-2022</t>
        </is>
      </c>
      <c r="B382" t="inlineStr">
        <is>
          <t>avverkningsanmälan</t>
        </is>
      </c>
      <c r="C382" t="inlineStr">
        <is>
          <t>Föryngringsavverkning</t>
        </is>
      </c>
      <c r="D382" s="1" t="n">
        <v>44872</v>
      </c>
      <c r="E382" s="1" t="n">
        <v>46316</v>
      </c>
      <c r="F382" t="inlineStr">
        <is>
          <t>KRONOBERGS LÄN</t>
        </is>
      </c>
      <c r="G382" t="inlineStr">
        <is>
          <t>VÄXJÖ</t>
        </is>
      </c>
      <c r="I382" t="n">
        <v>2.5</v>
      </c>
      <c r="J382" t="n">
        <v>0</v>
      </c>
      <c r="K382" t="n">
        <v>0</v>
      </c>
      <c r="L382" t="n">
        <v>1</v>
      </c>
      <c r="M382" t="n">
        <v>0</v>
      </c>
      <c r="N382" t="n">
        <v>0</v>
      </c>
      <c r="O382" t="n">
        <v>0</v>
      </c>
      <c r="P382" t="n">
        <v>0</v>
      </c>
      <c r="Q382" t="n">
        <v>1</v>
      </c>
      <c r="R382" t="n">
        <v>0</v>
      </c>
      <c r="S382" t="n">
        <v>1</v>
      </c>
      <c r="T382" t="n">
        <v>1</v>
      </c>
      <c r="U382" t="n">
        <v>0</v>
      </c>
      <c r="V382" s="2" t="inlineStr">
        <is>
          <t>Svinrot</t>
        </is>
      </c>
      <c r="W382">
        <f>HYPERLINK("https://klasma.github.io/Logging_0780/artfynd/A 52833-2022 artfynd.xlsx", "A 52833-2022")</f>
        <v/>
      </c>
      <c r="X382">
        <f>HYPERLINK("https://klasma.github.io/Logging_0780/kartor/A 52833-2022 karta.png", "A 52833-2022")</f>
        <v/>
      </c>
      <c r="Y382">
        <f>HYPERLINK("https://klasma.github.io/Logging_0780/kartor_geotiff/A 52833-2022 georefererad karta.tif", "A 52833-2022")</f>
        <v/>
      </c>
      <c r="AA382">
        <f>HYPERLINK("https://klasma.github.io/Logging_0780/klagomål/A 52833-2022 FSC-klagomål.docx", "A 52833-2022")</f>
        <v/>
      </c>
      <c r="AB382">
        <f>HYPERLINK("https://klasma.github.io/Logging_0780/klagomålsmail/A 52833-2022 FSC-klagomål mail.docx", "A 52833-2022")</f>
        <v/>
      </c>
      <c r="AC382">
        <f>HYPERLINK("https://klasma.github.io/Logging_0780/tillsyn/A 52833-2022 tillsynsbegäran.docx", "A 52833-2022")</f>
        <v/>
      </c>
      <c r="AD382">
        <f>HYPERLINK("https://klasma.github.io/Logging_0780/tillsynsmail/A 52833-2022 tillsynsbegäran mail.docx", "A 52833-2022")</f>
        <v/>
      </c>
    </row>
    <row r="383" ht="15" customHeight="1">
      <c r="A383" t="inlineStr">
        <is>
          <t>A 62026-2023</t>
        </is>
      </c>
      <c r="B383" t="inlineStr">
        <is>
          <t>avverkningsanmälan</t>
        </is>
      </c>
      <c r="C383" t="inlineStr">
        <is>
          <t>Föryngringsavverkning</t>
        </is>
      </c>
      <c r="D383" s="1" t="n">
        <v>45266</v>
      </c>
      <c r="E383" s="1" t="n">
        <v>46316</v>
      </c>
      <c r="F383" t="inlineStr">
        <is>
          <t>KRONOBERGS LÄN</t>
        </is>
      </c>
      <c r="G383" t="inlineStr">
        <is>
          <t>LJUNGBY</t>
        </is>
      </c>
      <c r="I383" t="n">
        <v>3.9</v>
      </c>
      <c r="J383" t="n">
        <v>1</v>
      </c>
      <c r="K383" t="n">
        <v>0</v>
      </c>
      <c r="L383" t="n">
        <v>0</v>
      </c>
      <c r="M383" t="n">
        <v>0</v>
      </c>
      <c r="N383" t="n">
        <v>0</v>
      </c>
      <c r="O383" t="n">
        <v>0</v>
      </c>
      <c r="P383" t="n">
        <v>0</v>
      </c>
      <c r="Q383" t="n">
        <v>0</v>
      </c>
      <c r="R383" t="n">
        <v>0</v>
      </c>
      <c r="S383" t="n">
        <v>1</v>
      </c>
      <c r="T383" t="n">
        <v>1</v>
      </c>
      <c r="U383" t="n">
        <v>0</v>
      </c>
      <c r="V383" s="2" t="inlineStr">
        <is>
          <t>Tjäder</t>
        </is>
      </c>
      <c r="W383">
        <f>HYPERLINK("https://klasma.github.io/Logging_0781/artfynd/A 62026-2023 artfynd.xlsx", "A 62026-2023")</f>
        <v/>
      </c>
      <c r="X383">
        <f>HYPERLINK("https://klasma.github.io/Logging_0781/kartor/A 62026-2023 karta.png", "A 62026-2023")</f>
        <v/>
      </c>
      <c r="Y383">
        <f>HYPERLINK("https://klasma.github.io/Logging_0781/kartor_geotiff/A 62026-2023 georefererad karta.tif", "A 62026-2023")</f>
        <v/>
      </c>
      <c r="AA383">
        <f>HYPERLINK("https://klasma.github.io/Logging_0781/klagomål/A 62026-2023 FSC-klagomål.docx", "A 62026-2023")</f>
        <v/>
      </c>
      <c r="AB383">
        <f>HYPERLINK("https://klasma.github.io/Logging_0781/klagomålsmail/A 62026-2023 FSC-klagomål mail.docx", "A 62026-2023")</f>
        <v/>
      </c>
      <c r="AC383">
        <f>HYPERLINK("https://klasma.github.io/Logging_0781/tillsyn/A 62026-2023 tillsynsbegäran.docx", "A 62026-2023")</f>
        <v/>
      </c>
      <c r="AD383">
        <f>HYPERLINK("https://klasma.github.io/Logging_0781/tillsynsmail/A 62026-2023 tillsynsbegäran mail.docx", "A 62026-2023")</f>
        <v/>
      </c>
      <c r="AE383">
        <f>HYPERLINK("https://klasma.github.io/Logging_0781/fåglar/A 62026-2023 prioriterade fågelarter.docx", "A 62026-2023")</f>
        <v/>
      </c>
    </row>
    <row r="384" ht="15" customHeight="1">
      <c r="A384" t="inlineStr">
        <is>
          <t>A 40088-2022</t>
        </is>
      </c>
      <c r="B384" t="inlineStr">
        <is>
          <t>avverkningsanmälan</t>
        </is>
      </c>
      <c r="C384" t="inlineStr">
        <is>
          <t>Föryngringsavverkning</t>
        </is>
      </c>
      <c r="D384" s="1" t="n">
        <v>44820</v>
      </c>
      <c r="E384" s="1" t="n">
        <v>46316</v>
      </c>
      <c r="F384" t="inlineStr">
        <is>
          <t>KRONOBERGS LÄN</t>
        </is>
      </c>
      <c r="G384" t="inlineStr">
        <is>
          <t>LJUNGBY</t>
        </is>
      </c>
      <c r="I384" t="n">
        <v>1.1</v>
      </c>
      <c r="J384" t="n">
        <v>0</v>
      </c>
      <c r="K384" t="n">
        <v>0</v>
      </c>
      <c r="L384" t="n">
        <v>1</v>
      </c>
      <c r="M384" t="n">
        <v>0</v>
      </c>
      <c r="N384" t="n">
        <v>0</v>
      </c>
      <c r="O384" t="n">
        <v>0</v>
      </c>
      <c r="P384" t="n">
        <v>0</v>
      </c>
      <c r="Q384" t="n">
        <v>1</v>
      </c>
      <c r="R384" t="n">
        <v>0</v>
      </c>
      <c r="S384" t="n">
        <v>1</v>
      </c>
      <c r="T384" t="n">
        <v>1</v>
      </c>
      <c r="U384" t="n">
        <v>1</v>
      </c>
      <c r="V384" s="2" t="inlineStr">
        <is>
          <t>Stor hagfibbla</t>
        </is>
      </c>
      <c r="W384">
        <f>HYPERLINK("https://klasma.github.io/Logging_0781/artfynd/A 40088-2022 artfynd.xlsx", "A 40088-2022")</f>
        <v/>
      </c>
      <c r="X384">
        <f>HYPERLINK("https://klasma.github.io/Logging_0781/kartor/A 40088-2022 karta.png", "A 40088-2022")</f>
        <v/>
      </c>
      <c r="Y384">
        <f>HYPERLINK("https://klasma.github.io/Logging_0781/kartor_geotiff/A 40088-2022 georefererad karta.tif", "A 40088-2022")</f>
        <v/>
      </c>
      <c r="AA384">
        <f>HYPERLINK("https://klasma.github.io/Logging_0781/klagomål/A 40088-2022 FSC-klagomål.docx", "A 40088-2022")</f>
        <v/>
      </c>
      <c r="AB384">
        <f>HYPERLINK("https://klasma.github.io/Logging_0781/klagomålsmail/A 40088-2022 FSC-klagomål mail.docx", "A 40088-2022")</f>
        <v/>
      </c>
      <c r="AC384">
        <f>HYPERLINK("https://klasma.github.io/Logging_0781/tillsyn/A 40088-2022 tillsynsbegäran.docx", "A 40088-2022")</f>
        <v/>
      </c>
      <c r="AD384">
        <f>HYPERLINK("https://klasma.github.io/Logging_0781/tillsynsmail/A 40088-2022 tillsynsbegäran mail.docx", "A 40088-2022")</f>
        <v/>
      </c>
    </row>
    <row r="385" ht="15" customHeight="1">
      <c r="A385" t="inlineStr">
        <is>
          <t>A 54002-2025</t>
        </is>
      </c>
      <c r="B385" t="inlineStr">
        <is>
          <t>avverkningsanmälan</t>
        </is>
      </c>
      <c r="C385" t="inlineStr">
        <is>
          <t>Föryngringsavverkning</t>
        </is>
      </c>
      <c r="D385" s="1" t="n">
        <v>45961</v>
      </c>
      <c r="E385" s="1" t="n">
        <v>46316</v>
      </c>
      <c r="F385" t="inlineStr">
        <is>
          <t>KRONOBERGS LÄN</t>
        </is>
      </c>
      <c r="G385" t="inlineStr">
        <is>
          <t>LJUNGBY</t>
        </is>
      </c>
      <c r="I385" t="n">
        <v>1.2</v>
      </c>
      <c r="J385" t="n">
        <v>0</v>
      </c>
      <c r="K385" t="n">
        <v>1</v>
      </c>
      <c r="L385" t="n">
        <v>0</v>
      </c>
      <c r="M385" t="n">
        <v>0</v>
      </c>
      <c r="N385" t="n">
        <v>0</v>
      </c>
      <c r="O385" t="n">
        <v>0</v>
      </c>
      <c r="P385" t="n">
        <v>0</v>
      </c>
      <c r="Q385" t="n">
        <v>0</v>
      </c>
      <c r="R385" t="n">
        <v>0</v>
      </c>
      <c r="S385" t="n">
        <v>1</v>
      </c>
      <c r="T385" t="n">
        <v>1</v>
      </c>
      <c r="U385" t="n">
        <v>0</v>
      </c>
      <c r="V385" s="2" t="inlineStr">
        <is>
          <t>Rostfläck</t>
        </is>
      </c>
      <c r="W385">
        <f>HYPERLINK("https://klasma.github.io/Logging_0781/artfynd/A 54002-2025 artfynd.xlsx", "A 54002-2025")</f>
        <v/>
      </c>
      <c r="X385">
        <f>HYPERLINK("https://klasma.github.io/Logging_0781/kartor/A 54002-2025 karta.png", "A 54002-2025")</f>
        <v/>
      </c>
      <c r="Y385">
        <f>HYPERLINK("https://klasma.github.io/Logging_0781/kartor_geotiff/A 54002-2025 georefererad karta.tif", "A 54002-2025")</f>
        <v/>
      </c>
      <c r="AA385">
        <f>HYPERLINK("https://klasma.github.io/Logging_0781/klagomål/A 54002-2025 FSC-klagomål.docx", "A 54002-2025")</f>
        <v/>
      </c>
      <c r="AB385">
        <f>HYPERLINK("https://klasma.github.io/Logging_0781/klagomålsmail/A 54002-2025 FSC-klagomål mail.docx", "A 54002-2025")</f>
        <v/>
      </c>
      <c r="AC385">
        <f>HYPERLINK("https://klasma.github.io/Logging_0781/tillsyn/A 54002-2025 tillsynsbegäran.docx", "A 54002-2025")</f>
        <v/>
      </c>
      <c r="AD385">
        <f>HYPERLINK("https://klasma.github.io/Logging_0781/tillsynsmail/A 54002-2025 tillsynsbegäran mail.docx", "A 54002-2025")</f>
        <v/>
      </c>
    </row>
    <row r="386" ht="15" customHeight="1">
      <c r="A386" t="inlineStr">
        <is>
          <t>A 73118-2021</t>
        </is>
      </c>
      <c r="B386" t="inlineStr">
        <is>
          <t>avverkningsanmälan</t>
        </is>
      </c>
      <c r="C386" t="inlineStr">
        <is>
          <t>Föryngringsavverkning</t>
        </is>
      </c>
      <c r="D386" s="1" t="n">
        <v>44550</v>
      </c>
      <c r="E386" s="1" t="n">
        <v>46316</v>
      </c>
      <c r="F386" t="inlineStr">
        <is>
          <t>KRONOBERGS LÄN</t>
        </is>
      </c>
      <c r="G386" t="inlineStr">
        <is>
          <t>UPPVIDINGE</t>
        </is>
      </c>
      <c r="I386" t="n">
        <v>1.3</v>
      </c>
      <c r="J386" t="n">
        <v>1</v>
      </c>
      <c r="K386" t="n">
        <v>0</v>
      </c>
      <c r="L386" t="n">
        <v>0</v>
      </c>
      <c r="M386" t="n">
        <v>0</v>
      </c>
      <c r="N386" t="n">
        <v>0</v>
      </c>
      <c r="O386" t="n">
        <v>0</v>
      </c>
      <c r="P386" t="n">
        <v>0</v>
      </c>
      <c r="Q386" t="n">
        <v>0</v>
      </c>
      <c r="R386" t="n">
        <v>0</v>
      </c>
      <c r="S386" t="n">
        <v>1</v>
      </c>
      <c r="T386" t="n">
        <v>1</v>
      </c>
      <c r="U386" t="n">
        <v>1</v>
      </c>
      <c r="V386" s="2" t="inlineStr">
        <is>
          <t>Mattlummer</t>
        </is>
      </c>
      <c r="W386">
        <f>HYPERLINK("https://klasma.github.io/Logging_0760/artfynd/A 73118-2021 artfynd.xlsx", "A 73118-2021")</f>
        <v/>
      </c>
      <c r="X386">
        <f>HYPERLINK("https://klasma.github.io/Logging_0760/kartor/A 73118-2021 karta.png", "A 73118-2021")</f>
        <v/>
      </c>
      <c r="Y386">
        <f>HYPERLINK("https://klasma.github.io/Logging_0760/kartor_geotiff/A 73118-2021 georefererad karta.tif", "A 73118-2021")</f>
        <v/>
      </c>
      <c r="AA386">
        <f>HYPERLINK("https://klasma.github.io/Logging_0760/klagomål/A 73118-2021 FSC-klagomål.docx", "A 73118-2021")</f>
        <v/>
      </c>
      <c r="AB386">
        <f>HYPERLINK("https://klasma.github.io/Logging_0760/klagomålsmail/A 73118-2021 FSC-klagomål mail.docx", "A 73118-2021")</f>
        <v/>
      </c>
      <c r="AC386">
        <f>HYPERLINK("https://klasma.github.io/Logging_0760/tillsyn/A 73118-2021 tillsynsbegäran.docx", "A 73118-2021")</f>
        <v/>
      </c>
      <c r="AD386">
        <f>HYPERLINK("https://klasma.github.io/Logging_0760/tillsynsmail/A 73118-2021 tillsynsbegäran mail.docx", "A 73118-2021")</f>
        <v/>
      </c>
    </row>
    <row r="387" ht="15" customHeight="1">
      <c r="A387" t="inlineStr">
        <is>
          <t>A 2159-2025</t>
        </is>
      </c>
      <c r="B387" t="inlineStr">
        <is>
          <t>avverkningsanmälan</t>
        </is>
      </c>
      <c r="C387" t="inlineStr">
        <is>
          <t>Föryngringsavverkning</t>
        </is>
      </c>
      <c r="D387" s="1" t="n">
        <v>45672</v>
      </c>
      <c r="E387" s="1" t="n">
        <v>46316</v>
      </c>
      <c r="F387" t="inlineStr">
        <is>
          <t>KRONOBERGS LÄN</t>
        </is>
      </c>
      <c r="G387" t="inlineStr">
        <is>
          <t>LJUNGBY</t>
        </is>
      </c>
      <c r="I387" t="n">
        <v>3.6</v>
      </c>
      <c r="J387" t="n">
        <v>0</v>
      </c>
      <c r="K387" t="n">
        <v>0</v>
      </c>
      <c r="L387" t="n">
        <v>0</v>
      </c>
      <c r="M387" t="n">
        <v>1</v>
      </c>
      <c r="N387" t="n">
        <v>0</v>
      </c>
      <c r="O387" t="n">
        <v>0</v>
      </c>
      <c r="P387" t="n">
        <v>0</v>
      </c>
      <c r="Q387" t="n">
        <v>1</v>
      </c>
      <c r="R387" t="n">
        <v>1</v>
      </c>
      <c r="S387" t="n">
        <v>1</v>
      </c>
      <c r="T387" t="n">
        <v>2</v>
      </c>
      <c r="U387" t="n">
        <v>2</v>
      </c>
      <c r="V387" s="2" t="inlineStr">
        <is>
          <t>Slåttergubbe</t>
        </is>
      </c>
      <c r="W387">
        <f>HYPERLINK("https://klasma.github.io/Logging_0781/artfynd/A 2159-2025 artfynd.xlsx", "A 2159-2025")</f>
        <v/>
      </c>
      <c r="X387">
        <f>HYPERLINK("https://klasma.github.io/Logging_0781/kartor/A 2159-2025 karta.png", "A 2159-2025")</f>
        <v/>
      </c>
      <c r="Y387">
        <f>HYPERLINK("https://klasma.github.io/Logging_0781/kartor_geotiff/A 2159-2025 georefererad karta.tif", "A 2159-2025")</f>
        <v/>
      </c>
      <c r="AA387">
        <f>HYPERLINK("https://klasma.github.io/Logging_0781/klagomål/A 2159-2025 FSC-klagomål.docx", "A 2159-2025")</f>
        <v/>
      </c>
      <c r="AB387">
        <f>HYPERLINK("https://klasma.github.io/Logging_0781/klagomålsmail/A 2159-2025 FSC-klagomål mail.docx", "A 2159-2025")</f>
        <v/>
      </c>
      <c r="AC387">
        <f>HYPERLINK("https://klasma.github.io/Logging_0781/tillsyn/A 2159-2025 tillsynsbegäran.docx", "A 2159-2025")</f>
        <v/>
      </c>
      <c r="AD387">
        <f>HYPERLINK("https://klasma.github.io/Logging_0781/tillsynsmail/A 2159-2025 tillsynsbegäran mail.docx", "A 2159-2025")</f>
        <v/>
      </c>
    </row>
    <row r="388" ht="15" customHeight="1">
      <c r="A388" t="inlineStr">
        <is>
          <t>A 3606-2024</t>
        </is>
      </c>
      <c r="B388" t="inlineStr">
        <is>
          <t>avverkningsanmälan</t>
        </is>
      </c>
      <c r="C388" t="inlineStr">
        <is>
          <t>Föryngringsavverkning</t>
        </is>
      </c>
      <c r="D388" s="1" t="n">
        <v>45320</v>
      </c>
      <c r="E388" s="1" t="n">
        <v>46316</v>
      </c>
      <c r="F388" t="inlineStr">
        <is>
          <t>KRONOBERGS LÄN</t>
        </is>
      </c>
      <c r="G388" t="inlineStr">
        <is>
          <t>UPPVIDINGE</t>
        </is>
      </c>
      <c r="I388" t="n">
        <v>0.5</v>
      </c>
      <c r="J388" t="n">
        <v>0</v>
      </c>
      <c r="K388" t="n">
        <v>0</v>
      </c>
      <c r="L388" t="n">
        <v>1</v>
      </c>
      <c r="M388" t="n">
        <v>0</v>
      </c>
      <c r="N388" t="n">
        <v>0</v>
      </c>
      <c r="O388" t="n">
        <v>0</v>
      </c>
      <c r="P388" t="n">
        <v>0</v>
      </c>
      <c r="Q388" t="n">
        <v>1</v>
      </c>
      <c r="R388" t="n">
        <v>0</v>
      </c>
      <c r="S388" t="n">
        <v>1</v>
      </c>
      <c r="T388" t="n">
        <v>1</v>
      </c>
      <c r="U388" t="n">
        <v>0</v>
      </c>
      <c r="V388" s="2" t="inlineStr">
        <is>
          <t>Fjällig taggsvamp s.str.</t>
        </is>
      </c>
      <c r="W388">
        <f>HYPERLINK("https://klasma.github.io/Logging_0760/artfynd/A 3606-2024 artfynd.xlsx", "A 3606-2024")</f>
        <v/>
      </c>
      <c r="X388">
        <f>HYPERLINK("https://klasma.github.io/Logging_0760/kartor/A 3606-2024 karta.png", "A 3606-2024")</f>
        <v/>
      </c>
      <c r="Y388">
        <f>HYPERLINK("https://klasma.github.io/Logging_0760/kartor_geotiff/A 3606-2024 georefererad karta.tif", "A 3606-2024")</f>
        <v/>
      </c>
      <c r="AA388">
        <f>HYPERLINK("https://klasma.github.io/Logging_0760/klagomål/A 3606-2024 FSC-klagomål.docx", "A 3606-2024")</f>
        <v/>
      </c>
      <c r="AB388">
        <f>HYPERLINK("https://klasma.github.io/Logging_0760/klagomålsmail/A 3606-2024 FSC-klagomål mail.docx", "A 3606-2024")</f>
        <v/>
      </c>
      <c r="AC388">
        <f>HYPERLINK("https://klasma.github.io/Logging_0760/tillsyn/A 3606-2024 tillsynsbegäran.docx", "A 3606-2024")</f>
        <v/>
      </c>
      <c r="AD388">
        <f>HYPERLINK("https://klasma.github.io/Logging_0760/tillsynsmail/A 3606-2024 tillsynsbegäran mail.docx", "A 3606-2024")</f>
        <v/>
      </c>
    </row>
    <row r="389" ht="15" customHeight="1">
      <c r="A389" t="inlineStr">
        <is>
          <t>A 27026-2026</t>
        </is>
      </c>
      <c r="B389" t="inlineStr">
        <is>
          <t>avverkningsanmälan</t>
        </is>
      </c>
      <c r="C389" t="inlineStr">
        <is>
          <t>Föryngringsavverkning</t>
        </is>
      </c>
      <c r="D389" s="1" t="n">
        <v>46185</v>
      </c>
      <c r="E389" s="1" t="n">
        <v>46316</v>
      </c>
      <c r="F389" t="inlineStr">
        <is>
          <t>KRONOBERGS LÄN</t>
        </is>
      </c>
      <c r="G389" t="inlineStr">
        <is>
          <t>UPPVIDINGE</t>
        </is>
      </c>
      <c r="H389" t="inlineStr">
        <is>
          <t>Sveaskog</t>
        </is>
      </c>
      <c r="I389" t="n">
        <v>2.6</v>
      </c>
      <c r="J389" t="n">
        <v>0</v>
      </c>
      <c r="K389" t="n">
        <v>1</v>
      </c>
      <c r="L389" t="n">
        <v>0</v>
      </c>
      <c r="M389" t="n">
        <v>0</v>
      </c>
      <c r="N389" t="n">
        <v>0</v>
      </c>
      <c r="O389" t="n">
        <v>0</v>
      </c>
      <c r="P389" t="n">
        <v>0</v>
      </c>
      <c r="Q389" t="n">
        <v>0</v>
      </c>
      <c r="R389" t="n">
        <v>0</v>
      </c>
      <c r="S389" t="n">
        <v>1</v>
      </c>
      <c r="T389" t="n">
        <v>1</v>
      </c>
      <c r="U389" t="n">
        <v>0</v>
      </c>
      <c r="V389" s="2" t="inlineStr">
        <is>
          <t>Havstulpanlav</t>
        </is>
      </c>
      <c r="W389">
        <f>HYPERLINK("https://klasma.github.io/Logging_0760/artfynd/A 27026-2026 artfynd.xlsx", "A 27026-2026")</f>
        <v/>
      </c>
      <c r="X389">
        <f>HYPERLINK("https://klasma.github.io/Logging_0760/kartor/A 27026-2026 karta.png", "A 27026-2026")</f>
        <v/>
      </c>
      <c r="Y389">
        <f>HYPERLINK("https://klasma.github.io/Logging_0760/kartor_geotiff/A 27026-2026 georefererad karta.tif", "A 27026-2026")</f>
        <v/>
      </c>
      <c r="AA389">
        <f>HYPERLINK("https://klasma.github.io/Logging_0760/klagomål/A 27026-2026 FSC-klagomål.docx", "A 27026-2026")</f>
        <v/>
      </c>
      <c r="AB389">
        <f>HYPERLINK("https://klasma.github.io/Logging_0760/klagomålsmail/A 27026-2026 FSC-klagomål mail.docx", "A 27026-2026")</f>
        <v/>
      </c>
      <c r="AC389">
        <f>HYPERLINK("https://klasma.github.io/Logging_0760/tillsyn/A 27026-2026 tillsynsbegäran.docx", "A 27026-2026")</f>
        <v/>
      </c>
      <c r="AD389">
        <f>HYPERLINK("https://klasma.github.io/Logging_0760/tillsynsmail/A 27026-2026 tillsynsbegäran mail.docx", "A 27026-2026")</f>
        <v/>
      </c>
    </row>
    <row r="390" ht="15" customHeight="1">
      <c r="A390" t="inlineStr">
        <is>
          <t>A 13387-2022</t>
        </is>
      </c>
      <c r="B390" t="inlineStr">
        <is>
          <t>avverkningsanmälan</t>
        </is>
      </c>
      <c r="C390" t="inlineStr">
        <is>
          <t>Föryngringsavverkning</t>
        </is>
      </c>
      <c r="D390" s="1" t="n">
        <v>44645</v>
      </c>
      <c r="E390" s="1" t="n">
        <v>46316</v>
      </c>
      <c r="F390" t="inlineStr">
        <is>
          <t>KRONOBERGS LÄN</t>
        </is>
      </c>
      <c r="G390" t="inlineStr">
        <is>
          <t>LJUNGBY</t>
        </is>
      </c>
      <c r="I390" t="n">
        <v>1.4</v>
      </c>
      <c r="J390" t="n">
        <v>0</v>
      </c>
      <c r="K390" t="n">
        <v>0</v>
      </c>
      <c r="L390" t="n">
        <v>1</v>
      </c>
      <c r="M390" t="n">
        <v>0</v>
      </c>
      <c r="N390" t="n">
        <v>0</v>
      </c>
      <c r="O390" t="n">
        <v>0</v>
      </c>
      <c r="P390" t="n">
        <v>0</v>
      </c>
      <c r="Q390" t="n">
        <v>1</v>
      </c>
      <c r="R390" t="n">
        <v>0</v>
      </c>
      <c r="S390" t="n">
        <v>1</v>
      </c>
      <c r="T390" t="n">
        <v>1</v>
      </c>
      <c r="U390" t="n">
        <v>0</v>
      </c>
      <c r="V390" s="2" t="inlineStr">
        <is>
          <t>Borsttåg</t>
        </is>
      </c>
      <c r="W390">
        <f>HYPERLINK("https://klasma.github.io/Logging_0781/artfynd/A 13387-2022 artfynd.xlsx", "A 13387-2022")</f>
        <v/>
      </c>
      <c r="X390">
        <f>HYPERLINK("https://klasma.github.io/Logging_0781/kartor/A 13387-2022 karta.png", "A 13387-2022")</f>
        <v/>
      </c>
      <c r="Y390">
        <f>HYPERLINK("https://klasma.github.io/Logging_0781/kartor_geotiff/A 13387-2022 georefererad karta.tif", "A 13387-2022")</f>
        <v/>
      </c>
      <c r="AA390">
        <f>HYPERLINK("https://klasma.github.io/Logging_0781/klagomål/A 13387-2022 FSC-klagomål.docx", "A 13387-2022")</f>
        <v/>
      </c>
      <c r="AB390">
        <f>HYPERLINK("https://klasma.github.io/Logging_0781/klagomålsmail/A 13387-2022 FSC-klagomål mail.docx", "A 13387-2022")</f>
        <v/>
      </c>
      <c r="AC390">
        <f>HYPERLINK("https://klasma.github.io/Logging_0781/tillsyn/A 13387-2022 tillsynsbegäran.docx", "A 13387-2022")</f>
        <v/>
      </c>
      <c r="AD390">
        <f>HYPERLINK("https://klasma.github.io/Logging_0781/tillsynsmail/A 13387-2022 tillsynsbegäran mail.docx", "A 13387-2022")</f>
        <v/>
      </c>
    </row>
    <row r="391" ht="15" customHeight="1">
      <c r="A391" t="inlineStr">
        <is>
          <t>A 16838-2025</t>
        </is>
      </c>
      <c r="B391" t="inlineStr">
        <is>
          <t>avverkningsanmälan</t>
        </is>
      </c>
      <c r="C391" t="inlineStr">
        <is>
          <t>Föryngringsavverkning</t>
        </is>
      </c>
      <c r="D391" s="1" t="n">
        <v>45754</v>
      </c>
      <c r="E391" s="1" t="n">
        <v>46316</v>
      </c>
      <c r="F391" t="inlineStr">
        <is>
          <t>KRONOBERGS LÄN</t>
        </is>
      </c>
      <c r="G391" t="inlineStr">
        <is>
          <t>VÄXJÖ</t>
        </is>
      </c>
      <c r="I391" t="n">
        <v>2.1</v>
      </c>
      <c r="J391" t="n">
        <v>0</v>
      </c>
      <c r="K391" t="n">
        <v>0</v>
      </c>
      <c r="L391" t="n">
        <v>1</v>
      </c>
      <c r="M391" t="n">
        <v>0</v>
      </c>
      <c r="N391" t="n">
        <v>0</v>
      </c>
      <c r="O391" t="n">
        <v>0</v>
      </c>
      <c r="P391" t="n">
        <v>0</v>
      </c>
      <c r="Q391" t="n">
        <v>1</v>
      </c>
      <c r="R391" t="n">
        <v>0</v>
      </c>
      <c r="S391" t="n">
        <v>1</v>
      </c>
      <c r="T391" t="n">
        <v>1</v>
      </c>
      <c r="U391" t="n">
        <v>1</v>
      </c>
      <c r="V391" s="2" t="inlineStr">
        <is>
          <t>Gullpudra</t>
        </is>
      </c>
      <c r="W391">
        <f>HYPERLINK("https://klasma.github.io/Logging_0780/artfynd/A 16838-2025 artfynd.xlsx", "A 16838-2025")</f>
        <v/>
      </c>
      <c r="X391">
        <f>HYPERLINK("https://klasma.github.io/Logging_0780/kartor/A 16838-2025 karta.png", "A 16838-2025")</f>
        <v/>
      </c>
      <c r="Y391">
        <f>HYPERLINK("https://klasma.github.io/Logging_0780/kartor_geotiff/A 16838-2025 georefererad karta.tif", "A 16838-2025")</f>
        <v/>
      </c>
      <c r="AA391">
        <f>HYPERLINK("https://klasma.github.io/Logging_0780/klagomål/A 16838-2025 FSC-klagomål.docx", "A 16838-2025")</f>
        <v/>
      </c>
      <c r="AB391">
        <f>HYPERLINK("https://klasma.github.io/Logging_0780/klagomålsmail/A 16838-2025 FSC-klagomål mail.docx", "A 16838-2025")</f>
        <v/>
      </c>
      <c r="AC391">
        <f>HYPERLINK("https://klasma.github.io/Logging_0780/tillsyn/A 16838-2025 tillsynsbegäran.docx", "A 16838-2025")</f>
        <v/>
      </c>
      <c r="AD391">
        <f>HYPERLINK("https://klasma.github.io/Logging_0780/tillsynsmail/A 16838-2025 tillsynsbegäran mail.docx", "A 16838-2025")</f>
        <v/>
      </c>
    </row>
    <row r="392" ht="15" customHeight="1">
      <c r="A392" t="inlineStr">
        <is>
          <t>A 43004-2023</t>
        </is>
      </c>
      <c r="B392" t="inlineStr">
        <is>
          <t>avverkningsanmälan</t>
        </is>
      </c>
      <c r="C392" t="inlineStr">
        <is>
          <t>Föryngringsavverkning</t>
        </is>
      </c>
      <c r="D392" s="1" t="n">
        <v>45182</v>
      </c>
      <c r="E392" s="1" t="n">
        <v>46316</v>
      </c>
      <c r="F392" t="inlineStr">
        <is>
          <t>KRONOBERGS LÄN</t>
        </is>
      </c>
      <c r="G392" t="inlineStr">
        <is>
          <t>TINGSRYD</t>
        </is>
      </c>
      <c r="I392" t="n">
        <v>3.7</v>
      </c>
      <c r="J392" t="n">
        <v>1</v>
      </c>
      <c r="K392" t="n">
        <v>0</v>
      </c>
      <c r="L392" t="n">
        <v>0</v>
      </c>
      <c r="M392" t="n">
        <v>0</v>
      </c>
      <c r="N392" t="n">
        <v>0</v>
      </c>
      <c r="O392" t="n">
        <v>0</v>
      </c>
      <c r="P392" t="n">
        <v>0</v>
      </c>
      <c r="Q392" t="n">
        <v>0</v>
      </c>
      <c r="R392" t="n">
        <v>0</v>
      </c>
      <c r="S392" t="n">
        <v>1</v>
      </c>
      <c r="T392" t="n">
        <v>2</v>
      </c>
      <c r="U392" t="n">
        <v>0</v>
      </c>
      <c r="V392" s="2" t="inlineStr">
        <is>
          <t>Hasselmus</t>
        </is>
      </c>
      <c r="W392">
        <f>HYPERLINK("https://klasma.github.io/Logging_0763/artfynd/A 43004-2023 artfynd.xlsx", "A 43004-2023")</f>
        <v/>
      </c>
      <c r="X392">
        <f>HYPERLINK("https://klasma.github.io/Logging_0763/kartor/A 43004-2023 karta.png", "A 43004-2023")</f>
        <v/>
      </c>
      <c r="Y392">
        <f>HYPERLINK("https://klasma.github.io/Logging_0763/kartor_geotiff/A 43004-2023 georefererad karta.tif", "A 43004-2023")</f>
        <v/>
      </c>
      <c r="AA392">
        <f>HYPERLINK("https://klasma.github.io/Logging_0763/klagomål/A 43004-2023 FSC-klagomål.docx", "A 43004-2023")</f>
        <v/>
      </c>
      <c r="AB392">
        <f>HYPERLINK("https://klasma.github.io/Logging_0763/klagomålsmail/A 43004-2023 FSC-klagomål mail.docx", "A 43004-2023")</f>
        <v/>
      </c>
      <c r="AC392">
        <f>HYPERLINK("https://klasma.github.io/Logging_0763/tillsyn/A 43004-2023 tillsynsbegäran.docx", "A 43004-2023")</f>
        <v/>
      </c>
      <c r="AD392">
        <f>HYPERLINK("https://klasma.github.io/Logging_0763/tillsynsmail/A 43004-2023 tillsynsbegäran mail.docx", "A 43004-2023")</f>
        <v/>
      </c>
    </row>
    <row r="393" ht="15" customHeight="1">
      <c r="A393" t="inlineStr">
        <is>
          <t>A 40839-2025</t>
        </is>
      </c>
      <c r="B393" t="inlineStr">
        <is>
          <t>avverkningsanmälan</t>
        </is>
      </c>
      <c r="C393" t="inlineStr">
        <is>
          <t>Föryngringsavverkning</t>
        </is>
      </c>
      <c r="D393" s="1" t="n">
        <v>45897</v>
      </c>
      <c r="E393" s="1" t="n">
        <v>46316</v>
      </c>
      <c r="F393" t="inlineStr">
        <is>
          <t>KRONOBERGS LÄN</t>
        </is>
      </c>
      <c r="G393" t="inlineStr">
        <is>
          <t>UPPVIDINGE</t>
        </is>
      </c>
      <c r="I393" t="n">
        <v>1.5</v>
      </c>
      <c r="J393" t="n">
        <v>0</v>
      </c>
      <c r="K393" t="n">
        <v>0</v>
      </c>
      <c r="L393" t="n">
        <v>1</v>
      </c>
      <c r="M393" t="n">
        <v>0</v>
      </c>
      <c r="N393" t="n">
        <v>0</v>
      </c>
      <c r="O393" t="n">
        <v>0</v>
      </c>
      <c r="P393" t="n">
        <v>0</v>
      </c>
      <c r="Q393" t="n">
        <v>1</v>
      </c>
      <c r="R393" t="n">
        <v>0</v>
      </c>
      <c r="S393" t="n">
        <v>1</v>
      </c>
      <c r="T393" t="n">
        <v>3</v>
      </c>
      <c r="U393" t="n">
        <v>0</v>
      </c>
      <c r="V393" s="2" t="inlineStr">
        <is>
          <t>Fjällig taggsvamp s.str.</t>
        </is>
      </c>
      <c r="W393">
        <f>HYPERLINK("https://klasma.github.io/Logging_0760/artfynd/A 40839-2025 artfynd.xlsx", "A 40839-2025")</f>
        <v/>
      </c>
      <c r="X393">
        <f>HYPERLINK("https://klasma.github.io/Logging_0760/kartor/A 40839-2025 karta.png", "A 40839-2025")</f>
        <v/>
      </c>
      <c r="Y393">
        <f>HYPERLINK("https://klasma.github.io/Logging_0760/kartor_geotiff/A 40839-2025 georefererad karta.tif", "A 40839-2025")</f>
        <v/>
      </c>
      <c r="AA393">
        <f>HYPERLINK("https://klasma.github.io/Logging_0760/klagomål/A 40839-2025 FSC-klagomål.docx", "A 40839-2025")</f>
        <v/>
      </c>
      <c r="AB393">
        <f>HYPERLINK("https://klasma.github.io/Logging_0760/klagomålsmail/A 40839-2025 FSC-klagomål mail.docx", "A 40839-2025")</f>
        <v/>
      </c>
      <c r="AC393">
        <f>HYPERLINK("https://klasma.github.io/Logging_0760/tillsyn/A 40839-2025 tillsynsbegäran.docx", "A 40839-2025")</f>
        <v/>
      </c>
      <c r="AD393">
        <f>HYPERLINK("https://klasma.github.io/Logging_0760/tillsynsmail/A 40839-2025 tillsynsbegäran mail.docx", "A 40839-2025")</f>
        <v/>
      </c>
    </row>
    <row r="394" ht="15" customHeight="1">
      <c r="A394" t="inlineStr">
        <is>
          <t>A 29769-2026</t>
        </is>
      </c>
      <c r="B394" t="inlineStr">
        <is>
          <t>avverkningsanmälan</t>
        </is>
      </c>
      <c r="C394" t="inlineStr">
        <is>
          <t>Föryngringsavverkning</t>
        </is>
      </c>
      <c r="D394" s="1" t="n">
        <v>46204</v>
      </c>
      <c r="E394" s="1" t="n">
        <v>46316</v>
      </c>
      <c r="F394" t="inlineStr">
        <is>
          <t>KRONOBERGS LÄN</t>
        </is>
      </c>
      <c r="G394" t="inlineStr">
        <is>
          <t>LJUNGBY</t>
        </is>
      </c>
      <c r="I394" t="n">
        <v>2.2</v>
      </c>
      <c r="J394" t="n">
        <v>0</v>
      </c>
      <c r="K394" t="n">
        <v>0</v>
      </c>
      <c r="L394" t="n">
        <v>1</v>
      </c>
      <c r="M394" t="n">
        <v>0</v>
      </c>
      <c r="N394" t="n">
        <v>0</v>
      </c>
      <c r="O394" t="n">
        <v>0</v>
      </c>
      <c r="P394" t="n">
        <v>0</v>
      </c>
      <c r="Q394" t="n">
        <v>1</v>
      </c>
      <c r="R394" t="n">
        <v>0</v>
      </c>
      <c r="S394" t="n">
        <v>1</v>
      </c>
      <c r="T394" t="n">
        <v>1</v>
      </c>
      <c r="U394" t="n">
        <v>0</v>
      </c>
      <c r="V394" s="2" t="inlineStr">
        <is>
          <t>Svinrot</t>
        </is>
      </c>
      <c r="W394">
        <f>HYPERLINK("https://klasma.github.io/Logging_0781/artfynd/A 29769-2026 artfynd.xlsx", "A 29769-2026")</f>
        <v/>
      </c>
      <c r="X394">
        <f>HYPERLINK("https://klasma.github.io/Logging_0781/kartor/A 29769-2026 karta.png", "A 29769-2026")</f>
        <v/>
      </c>
      <c r="Y394">
        <f>HYPERLINK("https://klasma.github.io/Logging_0781/kartor_geotiff/A 29769-2026 georefererad karta.tif", "A 29769-2026")</f>
        <v/>
      </c>
      <c r="AA394">
        <f>HYPERLINK("https://klasma.github.io/Logging_0781/klagomål/A 29769-2026 FSC-klagomål.docx", "A 29769-2026")</f>
        <v/>
      </c>
      <c r="AB394">
        <f>HYPERLINK("https://klasma.github.io/Logging_0781/klagomålsmail/A 29769-2026 FSC-klagomål mail.docx", "A 29769-2026")</f>
        <v/>
      </c>
      <c r="AC394">
        <f>HYPERLINK("https://klasma.github.io/Logging_0781/tillsyn/A 29769-2026 tillsynsbegäran.docx", "A 29769-2026")</f>
        <v/>
      </c>
      <c r="AD394">
        <f>HYPERLINK("https://klasma.github.io/Logging_0781/tillsynsmail/A 29769-2026 tillsynsbegäran mail.docx", "A 29769-2026")</f>
        <v/>
      </c>
    </row>
    <row r="395" ht="15" customHeight="1">
      <c r="A395" t="inlineStr">
        <is>
          <t>A 29074-2026</t>
        </is>
      </c>
      <c r="B395" t="inlineStr">
        <is>
          <t>avverkningsanmälan</t>
        </is>
      </c>
      <c r="C395" t="inlineStr">
        <is>
          <t>Föryngringsavverkning</t>
        </is>
      </c>
      <c r="D395" s="1" t="n">
        <v>46199</v>
      </c>
      <c r="E395" s="1" t="n">
        <v>46316</v>
      </c>
      <c r="F395" t="inlineStr">
        <is>
          <t>KRONOBERGS LÄN</t>
        </is>
      </c>
      <c r="G395" t="inlineStr">
        <is>
          <t>VÄXJÖ</t>
        </is>
      </c>
      <c r="I395" t="n">
        <v>5.5</v>
      </c>
      <c r="J395" t="n">
        <v>0</v>
      </c>
      <c r="K395" t="n">
        <v>1</v>
      </c>
      <c r="L395" t="n">
        <v>0</v>
      </c>
      <c r="M395" t="n">
        <v>0</v>
      </c>
      <c r="N395" t="n">
        <v>0</v>
      </c>
      <c r="O395" t="n">
        <v>0</v>
      </c>
      <c r="P395" t="n">
        <v>0</v>
      </c>
      <c r="Q395" t="n">
        <v>0</v>
      </c>
      <c r="R395" t="n">
        <v>0</v>
      </c>
      <c r="S395" t="n">
        <v>1</v>
      </c>
      <c r="T395" t="n">
        <v>1</v>
      </c>
      <c r="U395" t="n">
        <v>0</v>
      </c>
      <c r="V395" s="2" t="inlineStr">
        <is>
          <t>Blåmossa</t>
        </is>
      </c>
      <c r="W395">
        <f>HYPERLINK("https://klasma.github.io/Logging_0780/artfynd/A 29074-2026 artfynd.xlsx", "A 29074-2026")</f>
        <v/>
      </c>
      <c r="X395">
        <f>HYPERLINK("https://klasma.github.io/Logging_0780/kartor/A 29074-2026 karta.png", "A 29074-2026")</f>
        <v/>
      </c>
      <c r="Y395">
        <f>HYPERLINK("https://klasma.github.io/Logging_0780/kartor_geotiff/A 29074-2026 georefererad karta.tif", "A 29074-2026")</f>
        <v/>
      </c>
      <c r="AA395">
        <f>HYPERLINK("https://klasma.github.io/Logging_0780/klagomål/A 29074-2026 FSC-klagomål.docx", "A 29074-2026")</f>
        <v/>
      </c>
      <c r="AB395">
        <f>HYPERLINK("https://klasma.github.io/Logging_0780/klagomålsmail/A 29074-2026 FSC-klagomål mail.docx", "A 29074-2026")</f>
        <v/>
      </c>
      <c r="AC395">
        <f>HYPERLINK("https://klasma.github.io/Logging_0780/tillsyn/A 29074-2026 tillsynsbegäran.docx", "A 29074-2026")</f>
        <v/>
      </c>
      <c r="AD395">
        <f>HYPERLINK("https://klasma.github.io/Logging_0780/tillsynsmail/A 29074-2026 tillsynsbegäran mail.docx", "A 29074-2026")</f>
        <v/>
      </c>
    </row>
    <row r="396" ht="15" customHeight="1">
      <c r="A396" t="inlineStr">
        <is>
          <t>A 29778-2026</t>
        </is>
      </c>
      <c r="B396" t="inlineStr">
        <is>
          <t>avverkningsanmälan</t>
        </is>
      </c>
      <c r="C396" t="inlineStr">
        <is>
          <t>Föryngringsavverkning</t>
        </is>
      </c>
      <c r="D396" s="1" t="n">
        <v>46204</v>
      </c>
      <c r="E396" s="1" t="n">
        <v>46316</v>
      </c>
      <c r="F396" t="inlineStr">
        <is>
          <t>KRONOBERGS LÄN</t>
        </is>
      </c>
      <c r="G396" t="inlineStr">
        <is>
          <t>ÄLMHULT</t>
        </is>
      </c>
      <c r="I396" t="n">
        <v>0.9</v>
      </c>
      <c r="J396" t="n">
        <v>1</v>
      </c>
      <c r="K396" t="n">
        <v>0</v>
      </c>
      <c r="L396" t="n">
        <v>0</v>
      </c>
      <c r="M396" t="n">
        <v>0</v>
      </c>
      <c r="N396" t="n">
        <v>0</v>
      </c>
      <c r="O396" t="n">
        <v>0</v>
      </c>
      <c r="P396" t="n">
        <v>0</v>
      </c>
      <c r="Q396" t="n">
        <v>0</v>
      </c>
      <c r="R396" t="n">
        <v>0</v>
      </c>
      <c r="S396" t="n">
        <v>1</v>
      </c>
      <c r="T396" t="n">
        <v>1</v>
      </c>
      <c r="U396" t="n">
        <v>0</v>
      </c>
      <c r="V396" s="2" t="inlineStr">
        <is>
          <t>Utter</t>
        </is>
      </c>
      <c r="W396">
        <f>HYPERLINK("https://klasma.github.io/Logging_0765/artfynd/A 29778-2026 artfynd.xlsx", "A 29778-2026")</f>
        <v/>
      </c>
      <c r="X396">
        <f>HYPERLINK("https://klasma.github.io/Logging_0765/kartor/A 29778-2026 karta.png", "A 29778-2026")</f>
        <v/>
      </c>
      <c r="Y396">
        <f>HYPERLINK("https://klasma.github.io/Logging_0765/kartor_geotiff/A 29778-2026 georefererad karta.tif", "A 29778-2026")</f>
        <v/>
      </c>
      <c r="AA396">
        <f>HYPERLINK("https://klasma.github.io/Logging_0765/klagomål/A 29778-2026 FSC-klagomål.docx", "A 29778-2026")</f>
        <v/>
      </c>
      <c r="AB396">
        <f>HYPERLINK("https://klasma.github.io/Logging_0765/klagomålsmail/A 29778-2026 FSC-klagomål mail.docx", "A 29778-2026")</f>
        <v/>
      </c>
      <c r="AC396">
        <f>HYPERLINK("https://klasma.github.io/Logging_0765/tillsyn/A 29778-2026 tillsynsbegäran.docx", "A 29778-2026")</f>
        <v/>
      </c>
      <c r="AD396">
        <f>HYPERLINK("https://klasma.github.io/Logging_0765/tillsynsmail/A 29778-2026 tillsynsbegäran mail.docx", "A 29778-2026")</f>
        <v/>
      </c>
    </row>
    <row r="397" ht="15" customHeight="1">
      <c r="A397" t="inlineStr">
        <is>
          <t>A 38523-2024</t>
        </is>
      </c>
      <c r="B397" t="inlineStr">
        <is>
          <t>avverkningsanmälan</t>
        </is>
      </c>
      <c r="C397" t="inlineStr">
        <is>
          <t>Föryngringsavverkning</t>
        </is>
      </c>
      <c r="D397" s="1" t="n">
        <v>45546</v>
      </c>
      <c r="E397" s="1" t="n">
        <v>46316</v>
      </c>
      <c r="F397" t="inlineStr">
        <is>
          <t>KRONOBERGS LÄN</t>
        </is>
      </c>
      <c r="G397" t="inlineStr">
        <is>
          <t>TINGSRYD</t>
        </is>
      </c>
      <c r="I397" t="n">
        <v>1.1</v>
      </c>
      <c r="J397" t="n">
        <v>1</v>
      </c>
      <c r="K397" t="n">
        <v>0</v>
      </c>
      <c r="L397" t="n">
        <v>0</v>
      </c>
      <c r="M397" t="n">
        <v>0</v>
      </c>
      <c r="N397" t="n">
        <v>0</v>
      </c>
      <c r="O397" t="n">
        <v>0</v>
      </c>
      <c r="P397" t="n">
        <v>0</v>
      </c>
      <c r="Q397" t="n">
        <v>0</v>
      </c>
      <c r="R397" t="n">
        <v>0</v>
      </c>
      <c r="S397" t="n">
        <v>1</v>
      </c>
      <c r="T397" t="n">
        <v>1</v>
      </c>
      <c r="U397" t="n">
        <v>1</v>
      </c>
      <c r="V397" s="2" t="inlineStr">
        <is>
          <t>Mattlummer</t>
        </is>
      </c>
      <c r="W397">
        <f>HYPERLINK("https://klasma.github.io/Logging_0763/artfynd/A 38523-2024 artfynd.xlsx", "A 38523-2024")</f>
        <v/>
      </c>
      <c r="X397">
        <f>HYPERLINK("https://klasma.github.io/Logging_0763/kartor/A 38523-2024 karta.png", "A 38523-2024")</f>
        <v/>
      </c>
      <c r="Y397">
        <f>HYPERLINK("https://klasma.github.io/Logging_0763/kartor_geotiff/A 38523-2024 georefererad karta.tif", "A 38523-2024")</f>
        <v/>
      </c>
      <c r="AA397">
        <f>HYPERLINK("https://klasma.github.io/Logging_0763/klagomål/A 38523-2024 FSC-klagomål.docx", "A 38523-2024")</f>
        <v/>
      </c>
      <c r="AB397">
        <f>HYPERLINK("https://klasma.github.io/Logging_0763/klagomålsmail/A 38523-2024 FSC-klagomål mail.docx", "A 38523-2024")</f>
        <v/>
      </c>
      <c r="AC397">
        <f>HYPERLINK("https://klasma.github.io/Logging_0763/tillsyn/A 38523-2024 tillsynsbegäran.docx", "A 38523-2024")</f>
        <v/>
      </c>
      <c r="AD397">
        <f>HYPERLINK("https://klasma.github.io/Logging_0763/tillsynsmail/A 38523-2024 tillsynsbegäran mail.docx", "A 38523-2024")</f>
        <v/>
      </c>
    </row>
    <row r="398" ht="15" customHeight="1">
      <c r="A398" t="inlineStr">
        <is>
          <t>A 205-2023</t>
        </is>
      </c>
      <c r="B398" t="inlineStr">
        <is>
          <t>avverkningsanmälan</t>
        </is>
      </c>
      <c r="C398" t="inlineStr">
        <is>
          <t>Föryngringsavverkning</t>
        </is>
      </c>
      <c r="D398" s="1" t="n">
        <v>44928</v>
      </c>
      <c r="E398" s="1" t="n">
        <v>46316</v>
      </c>
      <c r="F398" t="inlineStr">
        <is>
          <t>KRONOBERGS LÄN</t>
        </is>
      </c>
      <c r="G398" t="inlineStr">
        <is>
          <t>LJUNGBY</t>
        </is>
      </c>
      <c r="I398" t="n">
        <v>1.9</v>
      </c>
      <c r="J398" t="n">
        <v>0</v>
      </c>
      <c r="K398" t="n">
        <v>0</v>
      </c>
      <c r="L398" t="n">
        <v>1</v>
      </c>
      <c r="M398" t="n">
        <v>0</v>
      </c>
      <c r="N398" t="n">
        <v>0</v>
      </c>
      <c r="O398" t="n">
        <v>0</v>
      </c>
      <c r="P398" t="n">
        <v>0</v>
      </c>
      <c r="Q398" t="n">
        <v>1</v>
      </c>
      <c r="R398" t="n">
        <v>0</v>
      </c>
      <c r="S398" t="n">
        <v>1</v>
      </c>
      <c r="T398" t="n">
        <v>1</v>
      </c>
      <c r="U398" t="n">
        <v>0</v>
      </c>
      <c r="V398" s="2" t="inlineStr">
        <is>
          <t>Borsttåg</t>
        </is>
      </c>
      <c r="W398">
        <f>HYPERLINK("https://klasma.github.io/Logging_0781/artfynd/A 205-2023 artfynd.xlsx", "A 205-2023")</f>
        <v/>
      </c>
      <c r="X398">
        <f>HYPERLINK("https://klasma.github.io/Logging_0781/kartor/A 205-2023 karta.png", "A 205-2023")</f>
        <v/>
      </c>
      <c r="Y398">
        <f>HYPERLINK("https://klasma.github.io/Logging_0781/kartor_geotiff/A 205-2023 georefererad karta.tif", "A 205-2023")</f>
        <v/>
      </c>
      <c r="AA398">
        <f>HYPERLINK("https://klasma.github.io/Logging_0781/klagomål/A 205-2023 FSC-klagomål.docx", "A 205-2023")</f>
        <v/>
      </c>
      <c r="AB398">
        <f>HYPERLINK("https://klasma.github.io/Logging_0781/klagomålsmail/A 205-2023 FSC-klagomål mail.docx", "A 205-2023")</f>
        <v/>
      </c>
      <c r="AC398">
        <f>HYPERLINK("https://klasma.github.io/Logging_0781/tillsyn/A 205-2023 tillsynsbegäran.docx", "A 205-2023")</f>
        <v/>
      </c>
      <c r="AD398">
        <f>HYPERLINK("https://klasma.github.io/Logging_0781/tillsynsmail/A 205-2023 tillsynsbegäran mail.docx", "A 205-2023")</f>
        <v/>
      </c>
    </row>
    <row r="399" ht="15" customHeight="1">
      <c r="A399" t="inlineStr">
        <is>
          <t>A 49123-2022</t>
        </is>
      </c>
      <c r="B399" t="inlineStr">
        <is>
          <t>avverkningsanmälan</t>
        </is>
      </c>
      <c r="C399" t="inlineStr">
        <is>
          <t>Föryngringsavverkning</t>
        </is>
      </c>
      <c r="D399" s="1" t="n">
        <v>44858</v>
      </c>
      <c r="E399" s="1" t="n">
        <v>46316</v>
      </c>
      <c r="F399" t="inlineStr">
        <is>
          <t>KRONOBERGS LÄN</t>
        </is>
      </c>
      <c r="G399" t="inlineStr">
        <is>
          <t>UPPVIDINGE</t>
        </is>
      </c>
      <c r="I399" t="n">
        <v>5.5</v>
      </c>
      <c r="J399" t="n">
        <v>1</v>
      </c>
      <c r="K399" t="n">
        <v>0</v>
      </c>
      <c r="L399" t="n">
        <v>0</v>
      </c>
      <c r="M399" t="n">
        <v>0</v>
      </c>
      <c r="N399" t="n">
        <v>0</v>
      </c>
      <c r="O399" t="n">
        <v>0</v>
      </c>
      <c r="P399" t="n">
        <v>0</v>
      </c>
      <c r="Q399" t="n">
        <v>0</v>
      </c>
      <c r="R399" t="n">
        <v>0</v>
      </c>
      <c r="S399" t="n">
        <v>1</v>
      </c>
      <c r="T399" t="n">
        <v>1</v>
      </c>
      <c r="U399" t="n">
        <v>1</v>
      </c>
      <c r="V399" s="2" t="inlineStr">
        <is>
          <t>Mattlummer</t>
        </is>
      </c>
      <c r="W399">
        <f>HYPERLINK("https://klasma.github.io/Logging_0760/artfynd/A 49123-2022 artfynd.xlsx", "A 49123-2022")</f>
        <v/>
      </c>
      <c r="X399">
        <f>HYPERLINK("https://klasma.github.io/Logging_0760/kartor/A 49123-2022 karta.png", "A 49123-2022")</f>
        <v/>
      </c>
      <c r="Y399">
        <f>HYPERLINK("https://klasma.github.io/Logging_0760/kartor_geotiff/A 49123-2022 georefererad karta.tif", "A 49123-2022")</f>
        <v/>
      </c>
      <c r="AA399">
        <f>HYPERLINK("https://klasma.github.io/Logging_0760/klagomål/A 49123-2022 FSC-klagomål.docx", "A 49123-2022")</f>
        <v/>
      </c>
      <c r="AB399">
        <f>HYPERLINK("https://klasma.github.io/Logging_0760/klagomålsmail/A 49123-2022 FSC-klagomål mail.docx", "A 49123-2022")</f>
        <v/>
      </c>
      <c r="AC399">
        <f>HYPERLINK("https://klasma.github.io/Logging_0760/tillsyn/A 49123-2022 tillsynsbegäran.docx", "A 49123-2022")</f>
        <v/>
      </c>
      <c r="AD399">
        <f>HYPERLINK("https://klasma.github.io/Logging_0760/tillsynsmail/A 49123-2022 tillsynsbegäran mail.docx", "A 49123-2022")</f>
        <v/>
      </c>
    </row>
    <row r="400" ht="15" customHeight="1">
      <c r="A400" t="inlineStr">
        <is>
          <t>A 25241-2023</t>
        </is>
      </c>
      <c r="B400" t="inlineStr">
        <is>
          <t>avverkningsanmälan</t>
        </is>
      </c>
      <c r="C400" t="inlineStr">
        <is>
          <t>Föryngringsavverkning</t>
        </is>
      </c>
      <c r="D400" s="1" t="n">
        <v>45079</v>
      </c>
      <c r="E400" s="1" t="n">
        <v>46316</v>
      </c>
      <c r="F400" t="inlineStr">
        <is>
          <t>KRONOBERGS LÄN</t>
        </is>
      </c>
      <c r="G400" t="inlineStr">
        <is>
          <t>LJUNGBY</t>
        </is>
      </c>
      <c r="I400" t="n">
        <v>0.8</v>
      </c>
      <c r="J400" t="n">
        <v>1</v>
      </c>
      <c r="K400" t="n">
        <v>0</v>
      </c>
      <c r="L400" t="n">
        <v>0</v>
      </c>
      <c r="M400" t="n">
        <v>0</v>
      </c>
      <c r="N400" t="n">
        <v>0</v>
      </c>
      <c r="O400" t="n">
        <v>0</v>
      </c>
      <c r="P400" t="n">
        <v>0</v>
      </c>
      <c r="Q400" t="n">
        <v>0</v>
      </c>
      <c r="R400" t="n">
        <v>0</v>
      </c>
      <c r="S400" t="n">
        <v>1</v>
      </c>
      <c r="T400" t="n">
        <v>1</v>
      </c>
      <c r="U400" t="n">
        <v>0</v>
      </c>
      <c r="V400" s="2" t="inlineStr">
        <is>
          <t>Mattlummer</t>
        </is>
      </c>
      <c r="W400">
        <f>HYPERLINK("https://klasma.github.io/Logging_0781/artfynd/A 25241-2023 artfynd.xlsx", "A 25241-2023")</f>
        <v/>
      </c>
      <c r="X400">
        <f>HYPERLINK("https://klasma.github.io/Logging_0781/kartor/A 25241-2023 karta.png", "A 25241-2023")</f>
        <v/>
      </c>
      <c r="Y400">
        <f>HYPERLINK("https://klasma.github.io/Logging_0781/kartor_geotiff/A 25241-2023 georefererad karta.tif", "A 25241-2023")</f>
        <v/>
      </c>
      <c r="AA400">
        <f>HYPERLINK("https://klasma.github.io/Logging_0781/klagomål/A 25241-2023 FSC-klagomål.docx", "A 25241-2023")</f>
        <v/>
      </c>
      <c r="AB400">
        <f>HYPERLINK("https://klasma.github.io/Logging_0781/klagomålsmail/A 25241-2023 FSC-klagomål mail.docx", "A 25241-2023")</f>
        <v/>
      </c>
      <c r="AC400">
        <f>HYPERLINK("https://klasma.github.io/Logging_0781/tillsyn/A 25241-2023 tillsynsbegäran.docx", "A 25241-2023")</f>
        <v/>
      </c>
      <c r="AD400">
        <f>HYPERLINK("https://klasma.github.io/Logging_0781/tillsynsmail/A 25241-2023 tillsynsbegäran mail.docx", "A 25241-2023")</f>
        <v/>
      </c>
    </row>
    <row r="401" ht="15" customHeight="1">
      <c r="A401" t="inlineStr">
        <is>
          <t>A 30997-2026</t>
        </is>
      </c>
      <c r="B401" t="inlineStr">
        <is>
          <t>avverkningsanmälan</t>
        </is>
      </c>
      <c r="C401" t="inlineStr">
        <is>
          <t>Föryngringsavverkning</t>
        </is>
      </c>
      <c r="D401" s="1" t="n">
        <v>46213</v>
      </c>
      <c r="E401" s="1" t="n">
        <v>46316</v>
      </c>
      <c r="F401" t="inlineStr">
        <is>
          <t>KRONOBERGS LÄN</t>
        </is>
      </c>
      <c r="G401" t="inlineStr">
        <is>
          <t>TINGSRYD</t>
        </is>
      </c>
      <c r="I401" t="n">
        <v>3.3</v>
      </c>
      <c r="J401" t="n">
        <v>0</v>
      </c>
      <c r="K401" t="n">
        <v>0</v>
      </c>
      <c r="L401" t="n">
        <v>1</v>
      </c>
      <c r="M401" t="n">
        <v>0</v>
      </c>
      <c r="N401" t="n">
        <v>0</v>
      </c>
      <c r="O401" t="n">
        <v>0</v>
      </c>
      <c r="P401" t="n">
        <v>0</v>
      </c>
      <c r="Q401" t="n">
        <v>1</v>
      </c>
      <c r="R401" t="n">
        <v>0</v>
      </c>
      <c r="S401" t="n">
        <v>1</v>
      </c>
      <c r="T401" t="n">
        <v>1</v>
      </c>
      <c r="U401" t="n">
        <v>0</v>
      </c>
      <c r="V401" s="2" t="inlineStr">
        <is>
          <t>Sommarfibbla</t>
        </is>
      </c>
      <c r="W401">
        <f>HYPERLINK("https://klasma.github.io/Logging_0763/artfynd/A 30997-2026 artfynd.xlsx", "A 30997-2026")</f>
        <v/>
      </c>
      <c r="X401">
        <f>HYPERLINK("https://klasma.github.io/Logging_0763/kartor/A 30997-2026 karta.png", "A 30997-2026")</f>
        <v/>
      </c>
      <c r="Y401">
        <f>HYPERLINK("https://klasma.github.io/Logging_0763/kartor_geotiff/A 30997-2026 georefererad karta.tif", "A 30997-2026")</f>
        <v/>
      </c>
      <c r="AA401">
        <f>HYPERLINK("https://klasma.github.io/Logging_0763/klagomål/A 30997-2026 FSC-klagomål.docx", "A 30997-2026")</f>
        <v/>
      </c>
      <c r="AB401">
        <f>HYPERLINK("https://klasma.github.io/Logging_0763/klagomålsmail/A 30997-2026 FSC-klagomål mail.docx", "A 30997-2026")</f>
        <v/>
      </c>
      <c r="AC401">
        <f>HYPERLINK("https://klasma.github.io/Logging_0763/tillsyn/A 30997-2026 tillsynsbegäran.docx", "A 30997-2026")</f>
        <v/>
      </c>
      <c r="AD401">
        <f>HYPERLINK("https://klasma.github.io/Logging_0763/tillsynsmail/A 30997-2026 tillsynsbegäran mail.docx", "A 30997-2026")</f>
        <v/>
      </c>
    </row>
    <row r="402" ht="15" customHeight="1">
      <c r="A402" t="inlineStr">
        <is>
          <t>A 4819-2025</t>
        </is>
      </c>
      <c r="B402" t="inlineStr">
        <is>
          <t>avverkningsanmälan</t>
        </is>
      </c>
      <c r="C402" t="inlineStr">
        <is>
          <t>Föryngringsavverkning</t>
        </is>
      </c>
      <c r="D402" s="1" t="n">
        <v>45688</v>
      </c>
      <c r="E402" s="1" t="n">
        <v>46316</v>
      </c>
      <c r="F402" t="inlineStr">
        <is>
          <t>KRONOBERGS LÄN</t>
        </is>
      </c>
      <c r="G402" t="inlineStr">
        <is>
          <t>VÄXJÖ</t>
        </is>
      </c>
      <c r="I402" t="n">
        <v>2.7</v>
      </c>
      <c r="J402" t="n">
        <v>1</v>
      </c>
      <c r="K402" t="n">
        <v>0</v>
      </c>
      <c r="L402" t="n">
        <v>0</v>
      </c>
      <c r="M402" t="n">
        <v>0</v>
      </c>
      <c r="N402" t="n">
        <v>0</v>
      </c>
      <c r="O402" t="n">
        <v>0</v>
      </c>
      <c r="P402" t="n">
        <v>0</v>
      </c>
      <c r="Q402" t="n">
        <v>0</v>
      </c>
      <c r="R402" t="n">
        <v>0</v>
      </c>
      <c r="S402" t="n">
        <v>1</v>
      </c>
      <c r="T402" t="n">
        <v>1</v>
      </c>
      <c r="U402" t="n">
        <v>0</v>
      </c>
      <c r="V402" s="2" t="inlineStr">
        <is>
          <t>Revlummer</t>
        </is>
      </c>
      <c r="W402">
        <f>HYPERLINK("https://klasma.github.io/Logging_0780/artfynd/A 4819-2025 artfynd.xlsx", "A 4819-2025")</f>
        <v/>
      </c>
      <c r="X402">
        <f>HYPERLINK("https://klasma.github.io/Logging_0780/kartor/A 4819-2025 karta.png", "A 4819-2025")</f>
        <v/>
      </c>
      <c r="Y402">
        <f>HYPERLINK("https://klasma.github.io/Logging_0780/kartor_geotiff/A 4819-2025 georefererad karta.tif", "A 4819-2025")</f>
        <v/>
      </c>
      <c r="AA402">
        <f>HYPERLINK("https://klasma.github.io/Logging_0780/klagomål/A 4819-2025 FSC-klagomål.docx", "A 4819-2025")</f>
        <v/>
      </c>
      <c r="AB402">
        <f>HYPERLINK("https://klasma.github.io/Logging_0780/klagomålsmail/A 4819-2025 FSC-klagomål mail.docx", "A 4819-2025")</f>
        <v/>
      </c>
      <c r="AC402">
        <f>HYPERLINK("https://klasma.github.io/Logging_0780/tillsyn/A 4819-2025 tillsynsbegäran.docx", "A 4819-2025")</f>
        <v/>
      </c>
      <c r="AD402">
        <f>HYPERLINK("https://klasma.github.io/Logging_0780/tillsynsmail/A 4819-2025 tillsynsbegäran mail.docx", "A 4819-2025")</f>
        <v/>
      </c>
    </row>
    <row r="403" ht="15" customHeight="1">
      <c r="A403" t="inlineStr">
        <is>
          <t>A 48152-2023</t>
        </is>
      </c>
      <c r="B403" t="inlineStr">
        <is>
          <t>avverkningsanmälan</t>
        </is>
      </c>
      <c r="C403" t="inlineStr">
        <is>
          <t>Föryngringsavverkning</t>
        </is>
      </c>
      <c r="D403" s="1" t="n">
        <v>45205</v>
      </c>
      <c r="E403" s="1" t="n">
        <v>46316</v>
      </c>
      <c r="F403" t="inlineStr">
        <is>
          <t>KRONOBERGS LÄN</t>
        </is>
      </c>
      <c r="G403" t="inlineStr">
        <is>
          <t>LJUNGBY</t>
        </is>
      </c>
      <c r="I403" t="n">
        <v>0.6</v>
      </c>
      <c r="J403" t="n">
        <v>1</v>
      </c>
      <c r="K403" t="n">
        <v>0</v>
      </c>
      <c r="L403" t="n">
        <v>1</v>
      </c>
      <c r="M403" t="n">
        <v>0</v>
      </c>
      <c r="N403" t="n">
        <v>0</v>
      </c>
      <c r="O403" t="n">
        <v>0</v>
      </c>
      <c r="P403" t="n">
        <v>0</v>
      </c>
      <c r="Q403" t="n">
        <v>1</v>
      </c>
      <c r="R403" t="n">
        <v>0</v>
      </c>
      <c r="S403" t="n">
        <v>1</v>
      </c>
      <c r="T403" t="n">
        <v>1</v>
      </c>
      <c r="U403" t="n">
        <v>0</v>
      </c>
      <c r="V403" s="2" t="inlineStr">
        <is>
          <t>Talltita</t>
        </is>
      </c>
      <c r="W403">
        <f>HYPERLINK("https://klasma.github.io/Logging_0781/artfynd/A 48152-2023 artfynd.xlsx", "A 48152-2023")</f>
        <v/>
      </c>
      <c r="X403">
        <f>HYPERLINK("https://klasma.github.io/Logging_0781/kartor/A 48152-2023 karta.png", "A 48152-2023")</f>
        <v/>
      </c>
      <c r="Y403">
        <f>HYPERLINK("https://klasma.github.io/Logging_0781/kartor_geotiff/A 48152-2023 georefererad karta.tif", "A 48152-2023")</f>
        <v/>
      </c>
      <c r="AA403">
        <f>HYPERLINK("https://klasma.github.io/Logging_0781/klagomål/A 48152-2023 FSC-klagomål.docx", "A 48152-2023")</f>
        <v/>
      </c>
      <c r="AB403">
        <f>HYPERLINK("https://klasma.github.io/Logging_0781/klagomålsmail/A 48152-2023 FSC-klagomål mail.docx", "A 48152-2023")</f>
        <v/>
      </c>
      <c r="AC403">
        <f>HYPERLINK("https://klasma.github.io/Logging_0781/tillsyn/A 48152-2023 tillsynsbegäran.docx", "A 48152-2023")</f>
        <v/>
      </c>
      <c r="AD403">
        <f>HYPERLINK("https://klasma.github.io/Logging_0781/tillsynsmail/A 48152-2023 tillsynsbegäran mail.docx", "A 48152-2023")</f>
        <v/>
      </c>
      <c r="AE403">
        <f>HYPERLINK("https://klasma.github.io/Logging_0781/fåglar/A 48152-2023 prioriterade fågelarter.docx", "A 48152-2023")</f>
        <v/>
      </c>
    </row>
    <row r="404" ht="15" customHeight="1">
      <c r="A404" t="inlineStr">
        <is>
          <t>A 13196-2024</t>
        </is>
      </c>
      <c r="B404" t="inlineStr">
        <is>
          <t>avverkningsanmälan</t>
        </is>
      </c>
      <c r="C404" t="inlineStr">
        <is>
          <t>Avverkning för annat ändamål</t>
        </is>
      </c>
      <c r="D404" s="1" t="n">
        <v>45386</v>
      </c>
      <c r="E404" s="1" t="n">
        <v>46316</v>
      </c>
      <c r="F404" t="inlineStr">
        <is>
          <t>KRONOBERGS LÄN</t>
        </is>
      </c>
      <c r="G404" t="inlineStr">
        <is>
          <t>ÄLMHULT</t>
        </is>
      </c>
      <c r="I404" t="n">
        <v>1.5</v>
      </c>
      <c r="J404" t="n">
        <v>1</v>
      </c>
      <c r="K404" t="n">
        <v>0</v>
      </c>
      <c r="L404" t="n">
        <v>0</v>
      </c>
      <c r="M404" t="n">
        <v>1</v>
      </c>
      <c r="N404" t="n">
        <v>0</v>
      </c>
      <c r="O404" t="n">
        <v>0</v>
      </c>
      <c r="P404" t="n">
        <v>0</v>
      </c>
      <c r="Q404" t="n">
        <v>1</v>
      </c>
      <c r="R404" t="n">
        <v>1</v>
      </c>
      <c r="S404" t="n">
        <v>1</v>
      </c>
      <c r="T404" t="n">
        <v>1</v>
      </c>
      <c r="U404" t="n">
        <v>1</v>
      </c>
      <c r="V404" s="2" t="inlineStr">
        <is>
          <t>Tofsvipa</t>
        </is>
      </c>
      <c r="W404">
        <f>HYPERLINK("https://klasma.github.io/Logging_0765/artfynd/A 13196-2024 artfynd.xlsx", "A 13196-2024")</f>
        <v/>
      </c>
      <c r="X404">
        <f>HYPERLINK("https://klasma.github.io/Logging_0765/kartor/A 13196-2024 karta.png", "A 13196-2024")</f>
        <v/>
      </c>
      <c r="Y404">
        <f>HYPERLINK("https://klasma.github.io/Logging_0765/kartor_geotiff/A 13196-2024 georefererad karta.tif", "A 13196-2024")</f>
        <v/>
      </c>
      <c r="AA404">
        <f>HYPERLINK("https://klasma.github.io/Logging_0765/klagomål/A 13196-2024 FSC-klagomål.docx", "A 13196-2024")</f>
        <v/>
      </c>
      <c r="AB404">
        <f>HYPERLINK("https://klasma.github.io/Logging_0765/klagomålsmail/A 13196-2024 FSC-klagomål mail.docx", "A 13196-2024")</f>
        <v/>
      </c>
      <c r="AC404">
        <f>HYPERLINK("https://klasma.github.io/Logging_0765/tillsyn/A 13196-2024 tillsynsbegäran.docx", "A 13196-2024")</f>
        <v/>
      </c>
      <c r="AD404">
        <f>HYPERLINK("https://klasma.github.io/Logging_0765/tillsynsmail/A 13196-2024 tillsynsbegäran mail.docx", "A 13196-2024")</f>
        <v/>
      </c>
    </row>
    <row r="405" ht="15" customHeight="1">
      <c r="A405" t="inlineStr">
        <is>
          <t>A 4467-2025</t>
        </is>
      </c>
      <c r="B405" t="inlineStr">
        <is>
          <t>avverkningsanmälan</t>
        </is>
      </c>
      <c r="C405" t="inlineStr">
        <is>
          <t>Föryngringsavverkning</t>
        </is>
      </c>
      <c r="D405" s="1" t="n">
        <v>45686</v>
      </c>
      <c r="E405" s="1" t="n">
        <v>46316</v>
      </c>
      <c r="F405" t="inlineStr">
        <is>
          <t>KRONOBERGS LÄN</t>
        </is>
      </c>
      <c r="G405" t="inlineStr">
        <is>
          <t>LJUNGBY</t>
        </is>
      </c>
      <c r="I405" t="n">
        <v>1</v>
      </c>
      <c r="J405" t="n">
        <v>0</v>
      </c>
      <c r="K405" t="n">
        <v>0</v>
      </c>
      <c r="L405" t="n">
        <v>1</v>
      </c>
      <c r="M405" t="n">
        <v>0</v>
      </c>
      <c r="N405" t="n">
        <v>0</v>
      </c>
      <c r="O405" t="n">
        <v>0</v>
      </c>
      <c r="P405" t="n">
        <v>0</v>
      </c>
      <c r="Q405" t="n">
        <v>1</v>
      </c>
      <c r="R405" t="n">
        <v>0</v>
      </c>
      <c r="S405" t="n">
        <v>1</v>
      </c>
      <c r="T405" t="n">
        <v>1</v>
      </c>
      <c r="U405" t="n">
        <v>0</v>
      </c>
      <c r="V405" s="2" t="inlineStr">
        <is>
          <t>Älg</t>
        </is>
      </c>
      <c r="W405">
        <f>HYPERLINK("https://klasma.github.io/Logging_0781/artfynd/A 4467-2025 artfynd.xlsx", "A 4467-2025")</f>
        <v/>
      </c>
      <c r="X405">
        <f>HYPERLINK("https://klasma.github.io/Logging_0781/kartor/A 4467-2025 karta.png", "A 4467-2025")</f>
        <v/>
      </c>
      <c r="Y405">
        <f>HYPERLINK("https://klasma.github.io/Logging_0781/kartor_geotiff/A 4467-2025 georefererad karta.tif", "A 4467-2025")</f>
        <v/>
      </c>
      <c r="AA405">
        <f>HYPERLINK("https://klasma.github.io/Logging_0781/klagomål/A 4467-2025 FSC-klagomål.docx", "A 4467-2025")</f>
        <v/>
      </c>
      <c r="AB405">
        <f>HYPERLINK("https://klasma.github.io/Logging_0781/klagomålsmail/A 4467-2025 FSC-klagomål mail.docx", "A 4467-2025")</f>
        <v/>
      </c>
      <c r="AC405">
        <f>HYPERLINK("https://klasma.github.io/Logging_0781/tillsyn/A 4467-2025 tillsynsbegäran.docx", "A 4467-2025")</f>
        <v/>
      </c>
      <c r="AD405">
        <f>HYPERLINK("https://klasma.github.io/Logging_0781/tillsynsmail/A 4467-2025 tillsynsbegäran mail.docx", "A 4467-2025")</f>
        <v/>
      </c>
    </row>
    <row r="406" ht="15" customHeight="1">
      <c r="A406" t="inlineStr">
        <is>
          <t>A 38271-2026</t>
        </is>
      </c>
      <c r="B406" t="inlineStr">
        <is>
          <t>avverkningsanmälan</t>
        </is>
      </c>
      <c r="C406" t="inlineStr">
        <is>
          <t>Föryngringsavverkning</t>
        </is>
      </c>
      <c r="D406" s="1" t="n">
        <v>46281</v>
      </c>
      <c r="E406" s="1" t="n">
        <v>46316</v>
      </c>
      <c r="F406" t="inlineStr">
        <is>
          <t>KRONOBERGS LÄN</t>
        </is>
      </c>
      <c r="G406" t="inlineStr">
        <is>
          <t>VÄXJÖ</t>
        </is>
      </c>
      <c r="I406" t="n">
        <v>2.5</v>
      </c>
      <c r="J406" t="n">
        <v>0</v>
      </c>
      <c r="K406" t="n">
        <v>0</v>
      </c>
      <c r="L406" t="n">
        <v>0</v>
      </c>
      <c r="M406" t="n">
        <v>0</v>
      </c>
      <c r="N406" t="n">
        <v>1</v>
      </c>
      <c r="O406" t="n">
        <v>0</v>
      </c>
      <c r="P406" t="n">
        <v>0</v>
      </c>
      <c r="Q406" t="n">
        <v>1</v>
      </c>
      <c r="R406" t="n">
        <v>1</v>
      </c>
      <c r="S406" t="n">
        <v>1</v>
      </c>
      <c r="T406" t="n">
        <v>1</v>
      </c>
      <c r="U406" t="n">
        <v>0</v>
      </c>
      <c r="V406" s="2" t="inlineStr">
        <is>
          <t>Skogsalm</t>
        </is>
      </c>
      <c r="W406">
        <f>HYPERLINK("https://klasma.github.io/Logging_0780/artfynd/A 38271-2026 artfynd.xlsx", "A 38271-2026")</f>
        <v/>
      </c>
      <c r="X406">
        <f>HYPERLINK("https://klasma.github.io/Logging_0780/kartor/A 38271-2026 karta.png", "A 38271-2026")</f>
        <v/>
      </c>
      <c r="Y406">
        <f>HYPERLINK("https://klasma.github.io/Logging_0780/kartor_geotiff/A 38271-2026 georefererad karta.tif", "A 38271-2026")</f>
        <v/>
      </c>
      <c r="AA406">
        <f>HYPERLINK("https://klasma.github.io/Logging_0780/klagomål/A 38271-2026 FSC-klagomål.docx", "A 38271-2026")</f>
        <v/>
      </c>
      <c r="AB406">
        <f>HYPERLINK("https://klasma.github.io/Logging_0780/klagomålsmail/A 38271-2026 FSC-klagomål mail.docx", "A 38271-2026")</f>
        <v/>
      </c>
      <c r="AC406">
        <f>HYPERLINK("https://klasma.github.io/Logging_0780/tillsyn/A 38271-2026 tillsynsbegäran.docx", "A 38271-2026")</f>
        <v/>
      </c>
      <c r="AD406">
        <f>HYPERLINK("https://klasma.github.io/Logging_0780/tillsynsmail/A 38271-2026 tillsynsbegäran mail.docx", "A 38271-2026")</f>
        <v/>
      </c>
    </row>
    <row r="407" ht="15" customHeight="1">
      <c r="A407" t="inlineStr">
        <is>
          <t>A 10199-2025</t>
        </is>
      </c>
      <c r="B407" t="inlineStr">
        <is>
          <t>avverkningsanmälan</t>
        </is>
      </c>
      <c r="C407" t="inlineStr">
        <is>
          <t>Föryngringsavverkning</t>
        </is>
      </c>
      <c r="D407" s="1" t="n">
        <v>45719</v>
      </c>
      <c r="E407" s="1" t="n">
        <v>46316</v>
      </c>
      <c r="F407" t="inlineStr">
        <is>
          <t>KRONOBERGS LÄN</t>
        </is>
      </c>
      <c r="G407" t="inlineStr">
        <is>
          <t>ÄLMHULT</t>
        </is>
      </c>
      <c r="I407" t="n">
        <v>0.7</v>
      </c>
      <c r="J407" t="n">
        <v>1</v>
      </c>
      <c r="K407" t="n">
        <v>0</v>
      </c>
      <c r="L407" t="n">
        <v>0</v>
      </c>
      <c r="M407" t="n">
        <v>0</v>
      </c>
      <c r="N407" t="n">
        <v>0</v>
      </c>
      <c r="O407" t="n">
        <v>0</v>
      </c>
      <c r="P407" t="n">
        <v>0</v>
      </c>
      <c r="Q407" t="n">
        <v>0</v>
      </c>
      <c r="R407" t="n">
        <v>0</v>
      </c>
      <c r="S407" t="n">
        <v>1</v>
      </c>
      <c r="T407" t="n">
        <v>1</v>
      </c>
      <c r="U407" t="n">
        <v>0</v>
      </c>
      <c r="V407" s="2" t="inlineStr">
        <is>
          <t>Blåsippa</t>
        </is>
      </c>
      <c r="W407">
        <f>HYPERLINK("https://klasma.github.io/Logging_0765/artfynd/A 10199-2025 artfynd.xlsx", "A 10199-2025")</f>
        <v/>
      </c>
      <c r="X407">
        <f>HYPERLINK("https://klasma.github.io/Logging_0765/kartor/A 10199-2025 karta.png", "A 10199-2025")</f>
        <v/>
      </c>
      <c r="Y407">
        <f>HYPERLINK("https://klasma.github.io/Logging_0765/kartor_geotiff/A 10199-2025 georefererad karta.tif", "A 10199-2025")</f>
        <v/>
      </c>
      <c r="AA407">
        <f>HYPERLINK("https://klasma.github.io/Logging_0765/klagomål/A 10199-2025 FSC-klagomål.docx", "A 10199-2025")</f>
        <v/>
      </c>
      <c r="AB407">
        <f>HYPERLINK("https://klasma.github.io/Logging_0765/klagomålsmail/A 10199-2025 FSC-klagomål mail.docx", "A 10199-2025")</f>
        <v/>
      </c>
      <c r="AC407">
        <f>HYPERLINK("https://klasma.github.io/Logging_0765/tillsyn/A 10199-2025 tillsynsbegäran.docx", "A 10199-2025")</f>
        <v/>
      </c>
      <c r="AD407">
        <f>HYPERLINK("https://klasma.github.io/Logging_0765/tillsynsmail/A 10199-2025 tillsynsbegäran mail.docx", "A 10199-2025")</f>
        <v/>
      </c>
    </row>
    <row r="408" ht="15" customHeight="1">
      <c r="A408" t="inlineStr">
        <is>
          <t>A 29154-2023</t>
        </is>
      </c>
      <c r="B408" t="inlineStr">
        <is>
          <t>avverkningsanmälan</t>
        </is>
      </c>
      <c r="C408" t="inlineStr">
        <is>
          <t>Föryngringsavverkning</t>
        </is>
      </c>
      <c r="D408" s="1" t="n">
        <v>45105</v>
      </c>
      <c r="E408" s="1" t="n">
        <v>46316</v>
      </c>
      <c r="F408" t="inlineStr">
        <is>
          <t>KRONOBERGS LÄN</t>
        </is>
      </c>
      <c r="G408" t="inlineStr">
        <is>
          <t>UPPVIDINGE</t>
        </is>
      </c>
      <c r="I408" t="n">
        <v>1.5</v>
      </c>
      <c r="J408" t="n">
        <v>0</v>
      </c>
      <c r="K408" t="n">
        <v>0</v>
      </c>
      <c r="L408" t="n">
        <v>0</v>
      </c>
      <c r="M408" t="n">
        <v>1</v>
      </c>
      <c r="N408" t="n">
        <v>0</v>
      </c>
      <c r="O408" t="n">
        <v>0</v>
      </c>
      <c r="P408" t="n">
        <v>0</v>
      </c>
      <c r="Q408" t="n">
        <v>1</v>
      </c>
      <c r="R408" t="n">
        <v>1</v>
      </c>
      <c r="S408" t="n">
        <v>1</v>
      </c>
      <c r="T408" t="n">
        <v>1</v>
      </c>
      <c r="U408" t="n">
        <v>0</v>
      </c>
      <c r="V408" s="2" t="inlineStr">
        <is>
          <t>Slåttergubbe</t>
        </is>
      </c>
      <c r="W408">
        <f>HYPERLINK("https://klasma.github.io/Logging_0760/artfynd/A 29154-2023 artfynd.xlsx", "A 29154-2023")</f>
        <v/>
      </c>
      <c r="X408">
        <f>HYPERLINK("https://klasma.github.io/Logging_0760/kartor/A 29154-2023 karta.png", "A 29154-2023")</f>
        <v/>
      </c>
      <c r="Y408">
        <f>HYPERLINK("https://klasma.github.io/Logging_0760/kartor_geotiff/A 29154-2023 georefererad karta.tif", "A 29154-2023")</f>
        <v/>
      </c>
      <c r="AA408">
        <f>HYPERLINK("https://klasma.github.io/Logging_0760/klagomål/A 29154-2023 FSC-klagomål.docx", "A 29154-2023")</f>
        <v/>
      </c>
      <c r="AB408">
        <f>HYPERLINK("https://klasma.github.io/Logging_0760/klagomålsmail/A 29154-2023 FSC-klagomål mail.docx", "A 29154-2023")</f>
        <v/>
      </c>
      <c r="AC408">
        <f>HYPERLINK("https://klasma.github.io/Logging_0760/tillsyn/A 29154-2023 tillsynsbegäran.docx", "A 29154-2023")</f>
        <v/>
      </c>
      <c r="AD408">
        <f>HYPERLINK("https://klasma.github.io/Logging_0760/tillsynsmail/A 29154-2023 tillsynsbegäran mail.docx", "A 29154-2023")</f>
        <v/>
      </c>
    </row>
    <row r="409" ht="15" customHeight="1">
      <c r="A409" t="inlineStr">
        <is>
          <t>A 14496-2023</t>
        </is>
      </c>
      <c r="B409" t="inlineStr">
        <is>
          <t>avverkningsanmälan</t>
        </is>
      </c>
      <c r="C409" t="inlineStr">
        <is>
          <t>Föryngringsavverkning</t>
        </is>
      </c>
      <c r="D409" s="1" t="n">
        <v>45012</v>
      </c>
      <c r="E409" s="1" t="n">
        <v>46316</v>
      </c>
      <c r="F409" t="inlineStr">
        <is>
          <t>KRONOBERGS LÄN</t>
        </is>
      </c>
      <c r="G409" t="inlineStr">
        <is>
          <t>LJUNGBY</t>
        </is>
      </c>
      <c r="I409" t="n">
        <v>0.4</v>
      </c>
      <c r="J409" t="n">
        <v>0</v>
      </c>
      <c r="K409" t="n">
        <v>0</v>
      </c>
      <c r="L409" t="n">
        <v>0</v>
      </c>
      <c r="M409" t="n">
        <v>0</v>
      </c>
      <c r="N409" t="n">
        <v>0</v>
      </c>
      <c r="O409" t="n">
        <v>0</v>
      </c>
      <c r="P409" t="n">
        <v>0</v>
      </c>
      <c r="Q409" t="n">
        <v>0</v>
      </c>
      <c r="R409" t="n">
        <v>0</v>
      </c>
      <c r="S409" t="n">
        <v>1</v>
      </c>
      <c r="T409" t="n">
        <v>2</v>
      </c>
      <c r="U409" t="n">
        <v>2</v>
      </c>
      <c r="V409" s="2" t="inlineStr">
        <is>
          <t>Bäckbräsma</t>
        </is>
      </c>
      <c r="W409">
        <f>HYPERLINK("https://klasma.github.io/Logging_0781/artfynd/A 14496-2023 artfynd.xlsx", "A 14496-2023")</f>
        <v/>
      </c>
      <c r="X409">
        <f>HYPERLINK("https://klasma.github.io/Logging_0781/kartor/A 14496-2023 karta.png", "A 14496-2023")</f>
        <v/>
      </c>
      <c r="Y409">
        <f>HYPERLINK("https://klasma.github.io/Logging_0781/kartor_geotiff/A 14496-2023 georefererad karta.tif", "A 14496-2023")</f>
        <v/>
      </c>
      <c r="AA409">
        <f>HYPERLINK("https://klasma.github.io/Logging_0781/klagomål/A 14496-2023 FSC-klagomål.docx", "A 14496-2023")</f>
        <v/>
      </c>
      <c r="AB409">
        <f>HYPERLINK("https://klasma.github.io/Logging_0781/klagomålsmail/A 14496-2023 FSC-klagomål mail.docx", "A 14496-2023")</f>
        <v/>
      </c>
      <c r="AC409">
        <f>HYPERLINK("https://klasma.github.io/Logging_0781/tillsyn/A 14496-2023 tillsynsbegäran.docx", "A 14496-2023")</f>
        <v/>
      </c>
      <c r="AD409">
        <f>HYPERLINK("https://klasma.github.io/Logging_0781/tillsynsmail/A 14496-2023 tillsynsbegäran mail.docx", "A 14496-2023")</f>
        <v/>
      </c>
    </row>
    <row r="410" ht="15" customHeight="1">
      <c r="A410" t="inlineStr">
        <is>
          <t>A 63249-2023</t>
        </is>
      </c>
      <c r="B410" t="inlineStr">
        <is>
          <t>avverkningsanmälan</t>
        </is>
      </c>
      <c r="C410" t="inlineStr">
        <is>
          <t>Föryngringsavverkning</t>
        </is>
      </c>
      <c r="D410" s="1" t="n">
        <v>45273</v>
      </c>
      <c r="E410" s="1" t="n">
        <v>46316</v>
      </c>
      <c r="F410" t="inlineStr">
        <is>
          <t>KRONOBERGS LÄN</t>
        </is>
      </c>
      <c r="G410" t="inlineStr">
        <is>
          <t>VÄXJÖ</t>
        </is>
      </c>
      <c r="I410" t="n">
        <v>1.1</v>
      </c>
      <c r="J410" t="n">
        <v>0</v>
      </c>
      <c r="K410" t="n">
        <v>0</v>
      </c>
      <c r="L410" t="n">
        <v>1</v>
      </c>
      <c r="M410" t="n">
        <v>0</v>
      </c>
      <c r="N410" t="n">
        <v>0</v>
      </c>
      <c r="O410" t="n">
        <v>0</v>
      </c>
      <c r="P410" t="n">
        <v>0</v>
      </c>
      <c r="Q410" t="n">
        <v>1</v>
      </c>
      <c r="R410" t="n">
        <v>0</v>
      </c>
      <c r="S410" t="n">
        <v>1</v>
      </c>
      <c r="T410" t="n">
        <v>1</v>
      </c>
      <c r="U410" t="n">
        <v>0</v>
      </c>
      <c r="V410" s="2" t="inlineStr">
        <is>
          <t>Gropticka</t>
        </is>
      </c>
      <c r="W410">
        <f>HYPERLINK("https://klasma.github.io/Logging_0780/artfynd/A 63249-2023 artfynd.xlsx", "A 63249-2023")</f>
        <v/>
      </c>
      <c r="X410">
        <f>HYPERLINK("https://klasma.github.io/Logging_0780/kartor/A 63249-2023 karta.png", "A 63249-2023")</f>
        <v/>
      </c>
      <c r="Y410">
        <f>HYPERLINK("https://klasma.github.io/Logging_0780/kartor_geotiff/A 63249-2023 georefererad karta.tif", "A 63249-2023")</f>
        <v/>
      </c>
      <c r="AA410">
        <f>HYPERLINK("https://klasma.github.io/Logging_0780/klagomål/A 63249-2023 FSC-klagomål.docx", "A 63249-2023")</f>
        <v/>
      </c>
      <c r="AB410">
        <f>HYPERLINK("https://klasma.github.io/Logging_0780/klagomålsmail/A 63249-2023 FSC-klagomål mail.docx", "A 63249-2023")</f>
        <v/>
      </c>
      <c r="AC410">
        <f>HYPERLINK("https://klasma.github.io/Logging_0780/tillsyn/A 63249-2023 tillsynsbegäran.docx", "A 63249-2023")</f>
        <v/>
      </c>
      <c r="AD410">
        <f>HYPERLINK("https://klasma.github.io/Logging_0780/tillsynsmail/A 63249-2023 tillsynsbegäran mail.docx", "A 63249-2023")</f>
        <v/>
      </c>
    </row>
    <row r="411" ht="15" customHeight="1">
      <c r="A411" t="inlineStr">
        <is>
          <t>A 4801-2025</t>
        </is>
      </c>
      <c r="B411" t="inlineStr">
        <is>
          <t>avverkningsanmälan</t>
        </is>
      </c>
      <c r="C411" t="inlineStr">
        <is>
          <t>Föryngringsavverkning</t>
        </is>
      </c>
      <c r="D411" s="1" t="n">
        <v>45688</v>
      </c>
      <c r="E411" s="1" t="n">
        <v>46316</v>
      </c>
      <c r="F411" t="inlineStr">
        <is>
          <t>KRONOBERGS LÄN</t>
        </is>
      </c>
      <c r="G411" t="inlineStr">
        <is>
          <t>UPPVIDINGE</t>
        </is>
      </c>
      <c r="H411" t="inlineStr">
        <is>
          <t>Sveaskog</t>
        </is>
      </c>
      <c r="I411" t="n">
        <v>2.1</v>
      </c>
      <c r="J411" t="n">
        <v>1</v>
      </c>
      <c r="K411" t="n">
        <v>0</v>
      </c>
      <c r="L411" t="n">
        <v>0</v>
      </c>
      <c r="M411" t="n">
        <v>0</v>
      </c>
      <c r="N411" t="n">
        <v>0</v>
      </c>
      <c r="O411" t="n">
        <v>0</v>
      </c>
      <c r="P411" t="n">
        <v>0</v>
      </c>
      <c r="Q411" t="n">
        <v>0</v>
      </c>
      <c r="R411" t="n">
        <v>0</v>
      </c>
      <c r="S411" t="n">
        <v>1</v>
      </c>
      <c r="T411" t="n">
        <v>1</v>
      </c>
      <c r="U411" t="n">
        <v>0</v>
      </c>
      <c r="V411" s="2" t="inlineStr">
        <is>
          <t>Blåsippa</t>
        </is>
      </c>
      <c r="W411">
        <f>HYPERLINK("https://klasma.github.io/Logging_0760/artfynd/A 4801-2025 artfynd.xlsx", "A 4801-2025")</f>
        <v/>
      </c>
      <c r="X411">
        <f>HYPERLINK("https://klasma.github.io/Logging_0760/kartor/A 4801-2025 karta.png", "A 4801-2025")</f>
        <v/>
      </c>
      <c r="Y411">
        <f>HYPERLINK("https://klasma.github.io/Logging_0760/kartor_geotiff/A 4801-2025 georefererad karta.tif", "A 4801-2025")</f>
        <v/>
      </c>
      <c r="AA411">
        <f>HYPERLINK("https://klasma.github.io/Logging_0760/klagomål/A 4801-2025 FSC-klagomål.docx", "A 4801-2025")</f>
        <v/>
      </c>
      <c r="AB411">
        <f>HYPERLINK("https://klasma.github.io/Logging_0760/klagomålsmail/A 4801-2025 FSC-klagomål mail.docx", "A 4801-2025")</f>
        <v/>
      </c>
      <c r="AC411">
        <f>HYPERLINK("https://klasma.github.io/Logging_0760/tillsyn/A 4801-2025 tillsynsbegäran.docx", "A 4801-2025")</f>
        <v/>
      </c>
      <c r="AD411">
        <f>HYPERLINK("https://klasma.github.io/Logging_0760/tillsynsmail/A 4801-2025 tillsynsbegäran mail.docx", "A 4801-2025")</f>
        <v/>
      </c>
    </row>
    <row r="412" ht="15" customHeight="1">
      <c r="A412" t="inlineStr">
        <is>
          <t>A 73863-2021</t>
        </is>
      </c>
      <c r="B412" t="inlineStr">
        <is>
          <t>avverkningsanmälan</t>
        </is>
      </c>
      <c r="C412" t="inlineStr">
        <is>
          <t>Föryngringsavverkning</t>
        </is>
      </c>
      <c r="D412" s="1" t="n">
        <v>44553</v>
      </c>
      <c r="E412" s="1" t="n">
        <v>46316</v>
      </c>
      <c r="F412" t="inlineStr">
        <is>
          <t>KRONOBERGS LÄN</t>
        </is>
      </c>
      <c r="G412" t="inlineStr">
        <is>
          <t>MARKARYD</t>
        </is>
      </c>
      <c r="I412" t="n">
        <v>1.4</v>
      </c>
      <c r="J412" t="n">
        <v>1</v>
      </c>
      <c r="K412" t="n">
        <v>0</v>
      </c>
      <c r="L412" t="n">
        <v>0</v>
      </c>
      <c r="M412" t="n">
        <v>0</v>
      </c>
      <c r="N412" t="n">
        <v>0</v>
      </c>
      <c r="O412" t="n">
        <v>0</v>
      </c>
      <c r="P412" t="n">
        <v>0</v>
      </c>
      <c r="Q412" t="n">
        <v>0</v>
      </c>
      <c r="R412" t="n">
        <v>0</v>
      </c>
      <c r="S412" t="n">
        <v>1</v>
      </c>
      <c r="T412" t="n">
        <v>1</v>
      </c>
      <c r="U412" t="n">
        <v>1</v>
      </c>
      <c r="V412" s="2" t="inlineStr">
        <is>
          <t>Lopplummer (aggregat)</t>
        </is>
      </c>
      <c r="W412">
        <f>HYPERLINK("https://klasma.github.io/Logging_0767/artfynd/A 73863-2021 artfynd.xlsx", "A 73863-2021")</f>
        <v/>
      </c>
      <c r="X412">
        <f>HYPERLINK("https://klasma.github.io/Logging_0767/kartor/A 73863-2021 karta.png", "A 73863-2021")</f>
        <v/>
      </c>
      <c r="Y412">
        <f>HYPERLINK("https://klasma.github.io/Logging_0767/kartor_geotiff/A 73863-2021 georefererad karta.tif", "A 73863-2021")</f>
        <v/>
      </c>
      <c r="AA412">
        <f>HYPERLINK("https://klasma.github.io/Logging_0767/klagomål/A 73863-2021 FSC-klagomål.docx", "A 73863-2021")</f>
        <v/>
      </c>
      <c r="AB412">
        <f>HYPERLINK("https://klasma.github.io/Logging_0767/klagomålsmail/A 73863-2021 FSC-klagomål mail.docx", "A 73863-2021")</f>
        <v/>
      </c>
      <c r="AC412">
        <f>HYPERLINK("https://klasma.github.io/Logging_0767/tillsyn/A 73863-2021 tillsynsbegäran.docx", "A 73863-2021")</f>
        <v/>
      </c>
      <c r="AD412">
        <f>HYPERLINK("https://klasma.github.io/Logging_0767/tillsynsmail/A 73863-2021 tillsynsbegäran mail.docx", "A 73863-2021")</f>
        <v/>
      </c>
    </row>
    <row r="413" ht="15" customHeight="1">
      <c r="A413" t="inlineStr">
        <is>
          <t>A 64830-2023</t>
        </is>
      </c>
      <c r="B413" t="inlineStr">
        <is>
          <t>avverkningsanmälan</t>
        </is>
      </c>
      <c r="C413" t="inlineStr">
        <is>
          <t>Föryngringsavverkning</t>
        </is>
      </c>
      <c r="D413" s="1" t="n">
        <v>45282</v>
      </c>
      <c r="E413" s="1" t="n">
        <v>46316</v>
      </c>
      <c r="F413" t="inlineStr">
        <is>
          <t>KRONOBERGS LÄN</t>
        </is>
      </c>
      <c r="G413" t="inlineStr">
        <is>
          <t>LJUNGBY</t>
        </is>
      </c>
      <c r="I413" t="n">
        <v>0.7</v>
      </c>
      <c r="J413" t="n">
        <v>1</v>
      </c>
      <c r="K413" t="n">
        <v>0</v>
      </c>
      <c r="L413" t="n">
        <v>0</v>
      </c>
      <c r="M413" t="n">
        <v>0</v>
      </c>
      <c r="N413" t="n">
        <v>0</v>
      </c>
      <c r="O413" t="n">
        <v>0</v>
      </c>
      <c r="P413" t="n">
        <v>0</v>
      </c>
      <c r="Q413" t="n">
        <v>0</v>
      </c>
      <c r="R413" t="n">
        <v>0</v>
      </c>
      <c r="S413" t="n">
        <v>1</v>
      </c>
      <c r="T413" t="n">
        <v>1</v>
      </c>
      <c r="U413" t="n">
        <v>0</v>
      </c>
      <c r="V413" s="2" t="inlineStr">
        <is>
          <t>Mattlummer</t>
        </is>
      </c>
      <c r="W413">
        <f>HYPERLINK("https://klasma.github.io/Logging_0781/artfynd/A 64830-2023 artfynd.xlsx", "A 64830-2023")</f>
        <v/>
      </c>
      <c r="X413">
        <f>HYPERLINK("https://klasma.github.io/Logging_0781/kartor/A 64830-2023 karta.png", "A 64830-2023")</f>
        <v/>
      </c>
      <c r="Y413">
        <f>HYPERLINK("https://klasma.github.io/Logging_0781/kartor_geotiff/A 64830-2023 georefererad karta.tif", "A 64830-2023")</f>
        <v/>
      </c>
      <c r="AA413">
        <f>HYPERLINK("https://klasma.github.io/Logging_0781/klagomål/A 64830-2023 FSC-klagomål.docx", "A 64830-2023")</f>
        <v/>
      </c>
      <c r="AB413">
        <f>HYPERLINK("https://klasma.github.io/Logging_0781/klagomålsmail/A 64830-2023 FSC-klagomål mail.docx", "A 64830-2023")</f>
        <v/>
      </c>
      <c r="AC413">
        <f>HYPERLINK("https://klasma.github.io/Logging_0781/tillsyn/A 64830-2023 tillsynsbegäran.docx", "A 64830-2023")</f>
        <v/>
      </c>
      <c r="AD413">
        <f>HYPERLINK("https://klasma.github.io/Logging_0781/tillsynsmail/A 64830-2023 tillsynsbegäran mail.docx", "A 64830-2023")</f>
        <v/>
      </c>
    </row>
    <row r="414" ht="15" customHeight="1">
      <c r="A414" t="inlineStr">
        <is>
          <t>A 32786-2026</t>
        </is>
      </c>
      <c r="B414" t="inlineStr">
        <is>
          <t>avverkningsanmälan</t>
        </is>
      </c>
      <c r="C414" t="inlineStr">
        <is>
          <t>Föryngringsavverkning</t>
        </is>
      </c>
      <c r="D414" s="1" t="n">
        <v>46241</v>
      </c>
      <c r="E414" s="1" t="n">
        <v>46316</v>
      </c>
      <c r="F414" t="inlineStr">
        <is>
          <t>KRONOBERGS LÄN</t>
        </is>
      </c>
      <c r="G414" t="inlineStr">
        <is>
          <t>ALVESTA</t>
        </is>
      </c>
      <c r="I414" t="n">
        <v>13.9</v>
      </c>
      <c r="J414" t="n">
        <v>0</v>
      </c>
      <c r="K414" t="n">
        <v>0</v>
      </c>
      <c r="L414" t="n">
        <v>0</v>
      </c>
      <c r="M414" t="n">
        <v>0</v>
      </c>
      <c r="N414" t="n">
        <v>0</v>
      </c>
      <c r="O414" t="n">
        <v>1</v>
      </c>
      <c r="P414" t="n">
        <v>0</v>
      </c>
      <c r="Q414" t="n">
        <v>1</v>
      </c>
      <c r="R414" t="n">
        <v>1</v>
      </c>
      <c r="S414" t="n">
        <v>1</v>
      </c>
      <c r="T414" t="n">
        <v>3</v>
      </c>
      <c r="U414" t="n">
        <v>0</v>
      </c>
      <c r="V414" s="2" t="inlineStr">
        <is>
          <t>Bohuslind</t>
        </is>
      </c>
      <c r="W414">
        <f>HYPERLINK("https://klasma.github.io/Logging_0764/artfynd/A 32786-2026 artfynd.xlsx", "A 32786-2026")</f>
        <v/>
      </c>
      <c r="X414">
        <f>HYPERLINK("https://klasma.github.io/Logging_0764/kartor/A 32786-2026 karta.png", "A 32786-2026")</f>
        <v/>
      </c>
      <c r="Y414">
        <f>HYPERLINK("https://klasma.github.io/Logging_0764/kartor_geotiff/A 32786-2026 georefererad karta.tif", "A 32786-2026")</f>
        <v/>
      </c>
      <c r="AA414">
        <f>HYPERLINK("https://klasma.github.io/Logging_0764/klagomål/A 32786-2026 FSC-klagomål.docx", "A 32786-2026")</f>
        <v/>
      </c>
      <c r="AB414">
        <f>HYPERLINK("https://klasma.github.io/Logging_0764/klagomålsmail/A 32786-2026 FSC-klagomål mail.docx", "A 32786-2026")</f>
        <v/>
      </c>
      <c r="AC414">
        <f>HYPERLINK("https://klasma.github.io/Logging_0764/tillsyn/A 32786-2026 tillsynsbegäran.docx", "A 32786-2026")</f>
        <v/>
      </c>
      <c r="AD414">
        <f>HYPERLINK("https://klasma.github.io/Logging_0764/tillsynsmail/A 32786-2026 tillsynsbegäran mail.docx", "A 32786-2026")</f>
        <v/>
      </c>
    </row>
    <row r="415" ht="15" customHeight="1">
      <c r="A415" t="inlineStr">
        <is>
          <t>A 33643-2026</t>
        </is>
      </c>
      <c r="B415" t="inlineStr">
        <is>
          <t>avverkningsanmälan</t>
        </is>
      </c>
      <c r="C415" t="inlineStr">
        <is>
          <t>Föryngringsavverkning</t>
        </is>
      </c>
      <c r="D415" s="1" t="n">
        <v>46247</v>
      </c>
      <c r="E415" s="1" t="n">
        <v>46316</v>
      </c>
      <c r="F415" t="inlineStr">
        <is>
          <t>KRONOBERGS LÄN</t>
        </is>
      </c>
      <c r="G415" t="inlineStr">
        <is>
          <t>UPPVIDINGE</t>
        </is>
      </c>
      <c r="H415" t="inlineStr">
        <is>
          <t>Kyrkan</t>
        </is>
      </c>
      <c r="I415" t="n">
        <v>0.6</v>
      </c>
      <c r="J415" t="n">
        <v>0</v>
      </c>
      <c r="K415" t="n">
        <v>1</v>
      </c>
      <c r="L415" t="n">
        <v>0</v>
      </c>
      <c r="M415" t="n">
        <v>0</v>
      </c>
      <c r="N415" t="n">
        <v>0</v>
      </c>
      <c r="O415" t="n">
        <v>0</v>
      </c>
      <c r="P415" t="n">
        <v>0</v>
      </c>
      <c r="Q415" t="n">
        <v>0</v>
      </c>
      <c r="R415" t="n">
        <v>0</v>
      </c>
      <c r="S415" t="n">
        <v>1</v>
      </c>
      <c r="T415" t="n">
        <v>1</v>
      </c>
      <c r="U415" t="n">
        <v>0</v>
      </c>
      <c r="V415" s="2" t="inlineStr">
        <is>
          <t>Sotlav</t>
        </is>
      </c>
      <c r="W415">
        <f>HYPERLINK("https://klasma.github.io/Logging_0760/artfynd/A 33643-2026 artfynd.xlsx", "A 33643-2026")</f>
        <v/>
      </c>
      <c r="X415">
        <f>HYPERLINK("https://klasma.github.io/Logging_0760/kartor/A 33643-2026 karta.png", "A 33643-2026")</f>
        <v/>
      </c>
      <c r="Y415">
        <f>HYPERLINK("https://klasma.github.io/Logging_0760/kartor_geotiff/A 33643-2026 georefererad karta.tif", "A 33643-2026")</f>
        <v/>
      </c>
      <c r="AA415">
        <f>HYPERLINK("https://klasma.github.io/Logging_0760/klagomål/A 33643-2026 FSC-klagomål.docx", "A 33643-2026")</f>
        <v/>
      </c>
      <c r="AB415">
        <f>HYPERLINK("https://klasma.github.io/Logging_0760/klagomålsmail/A 33643-2026 FSC-klagomål mail.docx", "A 33643-2026")</f>
        <v/>
      </c>
      <c r="AC415">
        <f>HYPERLINK("https://klasma.github.io/Logging_0760/tillsyn/A 33643-2026 tillsynsbegäran.docx", "A 33643-2026")</f>
        <v/>
      </c>
      <c r="AD415">
        <f>HYPERLINK("https://klasma.github.io/Logging_0760/tillsynsmail/A 33643-2026 tillsynsbegäran mail.docx", "A 33643-2026")</f>
        <v/>
      </c>
    </row>
    <row r="416" ht="15" customHeight="1">
      <c r="A416" t="inlineStr">
        <is>
          <t>A 39334-2026</t>
        </is>
      </c>
      <c r="B416" t="inlineStr">
        <is>
          <t>avverkningsanmälan</t>
        </is>
      </c>
      <c r="C416" t="inlineStr">
        <is>
          <t>Föryngringsavverkning</t>
        </is>
      </c>
      <c r="D416" s="1" t="n">
        <v>46288</v>
      </c>
      <c r="E416" s="1" t="n">
        <v>46316</v>
      </c>
      <c r="F416" t="inlineStr">
        <is>
          <t>KRONOBERGS LÄN</t>
        </is>
      </c>
      <c r="G416" t="inlineStr">
        <is>
          <t>VÄXJÖ</t>
        </is>
      </c>
      <c r="I416" t="n">
        <v>0.4</v>
      </c>
      <c r="J416" t="n">
        <v>0</v>
      </c>
      <c r="K416" t="n">
        <v>1</v>
      </c>
      <c r="L416" t="n">
        <v>0</v>
      </c>
      <c r="M416" t="n">
        <v>0</v>
      </c>
      <c r="N416" t="n">
        <v>0</v>
      </c>
      <c r="O416" t="n">
        <v>0</v>
      </c>
      <c r="P416" t="n">
        <v>0</v>
      </c>
      <c r="Q416" t="n">
        <v>0</v>
      </c>
      <c r="R416" t="n">
        <v>0</v>
      </c>
      <c r="S416" t="n">
        <v>1</v>
      </c>
      <c r="T416" t="n">
        <v>1</v>
      </c>
      <c r="U416" t="n">
        <v>0</v>
      </c>
      <c r="V416" s="2" t="inlineStr">
        <is>
          <t>Blomkålssvamp</t>
        </is>
      </c>
      <c r="W416">
        <f>HYPERLINK("https://klasma.github.io/Logging_0780/artfynd/A 39334-2026 artfynd.xlsx", "A 39334-2026")</f>
        <v/>
      </c>
      <c r="X416">
        <f>HYPERLINK("https://klasma.github.io/Logging_0780/kartor/A 39334-2026 karta.png", "A 39334-2026")</f>
        <v/>
      </c>
      <c r="Y416">
        <f>HYPERLINK("https://klasma.github.io/Logging_0780/kartor_geotiff/A 39334-2026 georefererad karta.tif", "A 39334-2026")</f>
        <v/>
      </c>
      <c r="AA416">
        <f>HYPERLINK("https://klasma.github.io/Logging_0780/klagomål/A 39334-2026 FSC-klagomål.docx", "A 39334-2026")</f>
        <v/>
      </c>
      <c r="AB416">
        <f>HYPERLINK("https://klasma.github.io/Logging_0780/klagomålsmail/A 39334-2026 FSC-klagomål mail.docx", "A 39334-2026")</f>
        <v/>
      </c>
      <c r="AC416">
        <f>HYPERLINK("https://klasma.github.io/Logging_0780/tillsyn/A 39334-2026 tillsynsbegäran.docx", "A 39334-2026")</f>
        <v/>
      </c>
      <c r="AD416">
        <f>HYPERLINK("https://klasma.github.io/Logging_0780/tillsynsmail/A 39334-2026 tillsynsbegäran mail.docx", "A 39334-2026")</f>
        <v/>
      </c>
    </row>
    <row r="417" ht="15" customHeight="1">
      <c r="A417" t="inlineStr">
        <is>
          <t>A 33262-2026</t>
        </is>
      </c>
      <c r="B417" t="inlineStr">
        <is>
          <t>avverkningsanmälan</t>
        </is>
      </c>
      <c r="C417" t="inlineStr">
        <is>
          <t>Föryngringsavverkning</t>
        </is>
      </c>
      <c r="D417" s="1" t="n">
        <v>46246</v>
      </c>
      <c r="E417" s="1" t="n">
        <v>46316</v>
      </c>
      <c r="F417" t="inlineStr">
        <is>
          <t>KRONOBERGS LÄN</t>
        </is>
      </c>
      <c r="G417" t="inlineStr">
        <is>
          <t>VÄXJÖ</t>
        </is>
      </c>
      <c r="I417" t="n">
        <v>0.6</v>
      </c>
      <c r="J417" t="n">
        <v>0</v>
      </c>
      <c r="K417" t="n">
        <v>0</v>
      </c>
      <c r="L417" t="n">
        <v>1</v>
      </c>
      <c r="M417" t="n">
        <v>0</v>
      </c>
      <c r="N417" t="n">
        <v>0</v>
      </c>
      <c r="O417" t="n">
        <v>0</v>
      </c>
      <c r="P417" t="n">
        <v>0</v>
      </c>
      <c r="Q417" t="n">
        <v>1</v>
      </c>
      <c r="R417" t="n">
        <v>0</v>
      </c>
      <c r="S417" t="n">
        <v>1</v>
      </c>
      <c r="T417" t="n">
        <v>2</v>
      </c>
      <c r="U417" t="n">
        <v>0</v>
      </c>
      <c r="V417" s="2" t="inlineStr">
        <is>
          <t>Sommarfibbla</t>
        </is>
      </c>
      <c r="W417">
        <f>HYPERLINK("https://klasma.github.io/Logging_0780/artfynd/A 33262-2026 artfynd.xlsx", "A 33262-2026")</f>
        <v/>
      </c>
      <c r="X417">
        <f>HYPERLINK("https://klasma.github.io/Logging_0780/kartor/A 33262-2026 karta.png", "A 33262-2026")</f>
        <v/>
      </c>
      <c r="Y417">
        <f>HYPERLINK("https://klasma.github.io/Logging_0780/kartor_geotiff/A 33262-2026 georefererad karta.tif", "A 33262-2026")</f>
        <v/>
      </c>
      <c r="AA417">
        <f>HYPERLINK("https://klasma.github.io/Logging_0780/klagomål/A 33262-2026 FSC-klagomål.docx", "A 33262-2026")</f>
        <v/>
      </c>
      <c r="AB417">
        <f>HYPERLINK("https://klasma.github.io/Logging_0780/klagomålsmail/A 33262-2026 FSC-klagomål mail.docx", "A 33262-2026")</f>
        <v/>
      </c>
      <c r="AC417">
        <f>HYPERLINK("https://klasma.github.io/Logging_0780/tillsyn/A 33262-2026 tillsynsbegäran.docx", "A 33262-2026")</f>
        <v/>
      </c>
      <c r="AD417">
        <f>HYPERLINK("https://klasma.github.io/Logging_0780/tillsynsmail/A 33262-2026 tillsynsbegäran mail.docx", "A 33262-2026")</f>
        <v/>
      </c>
    </row>
    <row r="418" ht="15" customHeight="1">
      <c r="A418" t="inlineStr">
        <is>
          <t>A 33646-2026</t>
        </is>
      </c>
      <c r="B418" t="inlineStr">
        <is>
          <t>avverkningsanmälan</t>
        </is>
      </c>
      <c r="C418" t="inlineStr">
        <is>
          <t>Föryngringsavverkning</t>
        </is>
      </c>
      <c r="D418" s="1" t="n">
        <v>46247</v>
      </c>
      <c r="E418" s="1" t="n">
        <v>46316</v>
      </c>
      <c r="F418" t="inlineStr">
        <is>
          <t>KRONOBERGS LÄN</t>
        </is>
      </c>
      <c r="G418" t="inlineStr">
        <is>
          <t>UPPVIDINGE</t>
        </is>
      </c>
      <c r="H418" t="inlineStr">
        <is>
          <t>Kyrkan</t>
        </is>
      </c>
      <c r="I418" t="n">
        <v>1.8</v>
      </c>
      <c r="J418" t="n">
        <v>0</v>
      </c>
      <c r="K418" t="n">
        <v>0</v>
      </c>
      <c r="L418" t="n">
        <v>1</v>
      </c>
      <c r="M418" t="n">
        <v>0</v>
      </c>
      <c r="N418" t="n">
        <v>0</v>
      </c>
      <c r="O418" t="n">
        <v>0</v>
      </c>
      <c r="P418" t="n">
        <v>0</v>
      </c>
      <c r="Q418" t="n">
        <v>1</v>
      </c>
      <c r="R418" t="n">
        <v>0</v>
      </c>
      <c r="S418" t="n">
        <v>1</v>
      </c>
      <c r="T418" t="n">
        <v>1</v>
      </c>
      <c r="U418" t="n">
        <v>0</v>
      </c>
      <c r="V418" s="2" t="inlineStr">
        <is>
          <t>Fjällig taggsvamp s.str.</t>
        </is>
      </c>
      <c r="W418">
        <f>HYPERLINK("https://klasma.github.io/Logging_0760/artfynd/A 33646-2026 artfynd.xlsx", "A 33646-2026")</f>
        <v/>
      </c>
      <c r="X418">
        <f>HYPERLINK("https://klasma.github.io/Logging_0760/kartor/A 33646-2026 karta.png", "A 33646-2026")</f>
        <v/>
      </c>
      <c r="Y418">
        <f>HYPERLINK("https://klasma.github.io/Logging_0760/kartor_geotiff/A 33646-2026 georefererad karta.tif", "A 33646-2026")</f>
        <v/>
      </c>
      <c r="AA418">
        <f>HYPERLINK("https://klasma.github.io/Logging_0760/klagomål/A 33646-2026 FSC-klagomål.docx", "A 33646-2026")</f>
        <v/>
      </c>
      <c r="AB418">
        <f>HYPERLINK("https://klasma.github.io/Logging_0760/klagomålsmail/A 33646-2026 FSC-klagomål mail.docx", "A 33646-2026")</f>
        <v/>
      </c>
      <c r="AC418">
        <f>HYPERLINK("https://klasma.github.io/Logging_0760/tillsyn/A 33646-2026 tillsynsbegäran.docx", "A 33646-2026")</f>
        <v/>
      </c>
      <c r="AD418">
        <f>HYPERLINK("https://klasma.github.io/Logging_0760/tillsynsmail/A 33646-2026 tillsynsbegäran mail.docx", "A 33646-2026")</f>
        <v/>
      </c>
    </row>
    <row r="419" ht="15" customHeight="1">
      <c r="A419" t="inlineStr">
        <is>
          <t>A 33645-2026</t>
        </is>
      </c>
      <c r="B419" t="inlineStr">
        <is>
          <t>avverkningsanmälan</t>
        </is>
      </c>
      <c r="C419" t="inlineStr">
        <is>
          <t>Föryngringsavverkning</t>
        </is>
      </c>
      <c r="D419" s="1" t="n">
        <v>46247</v>
      </c>
      <c r="E419" s="1" t="n">
        <v>46316</v>
      </c>
      <c r="F419" t="inlineStr">
        <is>
          <t>KRONOBERGS LÄN</t>
        </is>
      </c>
      <c r="G419" t="inlineStr">
        <is>
          <t>UPPVIDINGE</t>
        </is>
      </c>
      <c r="H419" t="inlineStr">
        <is>
          <t>Kyrkan</t>
        </is>
      </c>
      <c r="I419" t="n">
        <v>3.9</v>
      </c>
      <c r="J419" t="n">
        <v>1</v>
      </c>
      <c r="K419" t="n">
        <v>0</v>
      </c>
      <c r="L419" t="n">
        <v>0</v>
      </c>
      <c r="M419" t="n">
        <v>0</v>
      </c>
      <c r="N419" t="n">
        <v>0</v>
      </c>
      <c r="O419" t="n">
        <v>0</v>
      </c>
      <c r="P419" t="n">
        <v>0</v>
      </c>
      <c r="Q419" t="n">
        <v>0</v>
      </c>
      <c r="R419" t="n">
        <v>0</v>
      </c>
      <c r="S419" t="n">
        <v>1</v>
      </c>
      <c r="T419" t="n">
        <v>1</v>
      </c>
      <c r="U419" t="n">
        <v>0</v>
      </c>
      <c r="V419" s="2" t="inlineStr">
        <is>
          <t>Revlummer</t>
        </is>
      </c>
      <c r="W419">
        <f>HYPERLINK("https://klasma.github.io/Logging_0760/artfynd/A 33645-2026 artfynd.xlsx", "A 33645-2026")</f>
        <v/>
      </c>
      <c r="X419">
        <f>HYPERLINK("https://klasma.github.io/Logging_0760/kartor/A 33645-2026 karta.png", "A 33645-2026")</f>
        <v/>
      </c>
      <c r="Y419">
        <f>HYPERLINK("https://klasma.github.io/Logging_0760/kartor_geotiff/A 33645-2026 georefererad karta.tif", "A 33645-2026")</f>
        <v/>
      </c>
      <c r="AA419">
        <f>HYPERLINK("https://klasma.github.io/Logging_0760/klagomål/A 33645-2026 FSC-klagomål.docx", "A 33645-2026")</f>
        <v/>
      </c>
      <c r="AB419">
        <f>HYPERLINK("https://klasma.github.io/Logging_0760/klagomålsmail/A 33645-2026 FSC-klagomål mail.docx", "A 33645-2026")</f>
        <v/>
      </c>
      <c r="AC419">
        <f>HYPERLINK("https://klasma.github.io/Logging_0760/tillsyn/A 33645-2026 tillsynsbegäran.docx", "A 33645-2026")</f>
        <v/>
      </c>
      <c r="AD419">
        <f>HYPERLINK("https://klasma.github.io/Logging_0760/tillsynsmail/A 33645-2026 tillsynsbegäran mail.docx", "A 33645-2026")</f>
        <v/>
      </c>
    </row>
    <row r="420" ht="15" customHeight="1">
      <c r="A420" t="inlineStr">
        <is>
          <t>A 39492-2026</t>
        </is>
      </c>
      <c r="B420" t="inlineStr">
        <is>
          <t>avverkningsanmälan</t>
        </is>
      </c>
      <c r="C420" t="inlineStr">
        <is>
          <t>Föryngringsavverkning</t>
        </is>
      </c>
      <c r="D420" s="1" t="n">
        <v>46289</v>
      </c>
      <c r="E420" s="1" t="n">
        <v>46316</v>
      </c>
      <c r="F420" t="inlineStr">
        <is>
          <t>KRONOBERGS LÄN</t>
        </is>
      </c>
      <c r="G420" t="inlineStr">
        <is>
          <t>TINGSRYD</t>
        </is>
      </c>
      <c r="I420" t="n">
        <v>1</v>
      </c>
      <c r="J420" t="n">
        <v>1</v>
      </c>
      <c r="K420" t="n">
        <v>0</v>
      </c>
      <c r="L420" t="n">
        <v>0</v>
      </c>
      <c r="M420" t="n">
        <v>0</v>
      </c>
      <c r="N420" t="n">
        <v>0</v>
      </c>
      <c r="O420" t="n">
        <v>0</v>
      </c>
      <c r="P420" t="n">
        <v>0</v>
      </c>
      <c r="Q420" t="n">
        <v>0</v>
      </c>
      <c r="R420" t="n">
        <v>0</v>
      </c>
      <c r="S420" t="n">
        <v>1</v>
      </c>
      <c r="T420" t="n">
        <v>1</v>
      </c>
      <c r="U420" t="n">
        <v>0</v>
      </c>
      <c r="V420" s="2" t="inlineStr">
        <is>
          <t>Vanlig padda</t>
        </is>
      </c>
      <c r="W420">
        <f>HYPERLINK("https://klasma.github.io/Logging_0763/artfynd/A 39492-2026 artfynd.xlsx", "A 39492-2026")</f>
        <v/>
      </c>
      <c r="X420">
        <f>HYPERLINK("https://klasma.github.io/Logging_0763/kartor/A 39492-2026 karta.png", "A 39492-2026")</f>
        <v/>
      </c>
      <c r="Y420">
        <f>HYPERLINK("https://klasma.github.io/Logging_0763/kartor_geotiff/A 39492-2026 georefererad karta.tif", "A 39492-2026")</f>
        <v/>
      </c>
      <c r="AA420">
        <f>HYPERLINK("https://klasma.github.io/Logging_0763/klagomål/A 39492-2026 FSC-klagomål.docx", "A 39492-2026")</f>
        <v/>
      </c>
      <c r="AB420">
        <f>HYPERLINK("https://klasma.github.io/Logging_0763/klagomålsmail/A 39492-2026 FSC-klagomål mail.docx", "A 39492-2026")</f>
        <v/>
      </c>
      <c r="AC420">
        <f>HYPERLINK("https://klasma.github.io/Logging_0763/tillsyn/A 39492-2026 tillsynsbegäran.docx", "A 39492-2026")</f>
        <v/>
      </c>
      <c r="AD420">
        <f>HYPERLINK("https://klasma.github.io/Logging_0763/tillsynsmail/A 39492-2026 tillsynsbegäran mail.docx", "A 39492-2026")</f>
        <v/>
      </c>
    </row>
    <row r="421" ht="15" customHeight="1">
      <c r="A421" t="inlineStr">
        <is>
          <t>A 40036-2026</t>
        </is>
      </c>
      <c r="B421" t="inlineStr">
        <is>
          <t>avverkningsanmälan</t>
        </is>
      </c>
      <c r="C421" t="inlineStr">
        <is>
          <t>Föryngringsavverkning</t>
        </is>
      </c>
      <c r="D421" s="1" t="n">
        <v>46293</v>
      </c>
      <c r="E421" s="1" t="n">
        <v>46316</v>
      </c>
      <c r="F421" t="inlineStr">
        <is>
          <t>KRONOBERGS LÄN</t>
        </is>
      </c>
      <c r="G421" t="inlineStr">
        <is>
          <t>TINGSRYD</t>
        </is>
      </c>
      <c r="I421" t="n">
        <v>1.5</v>
      </c>
      <c r="J421" t="n">
        <v>1</v>
      </c>
      <c r="K421" t="n">
        <v>0</v>
      </c>
      <c r="L421" t="n">
        <v>0</v>
      </c>
      <c r="M421" t="n">
        <v>0</v>
      </c>
      <c r="N421" t="n">
        <v>0</v>
      </c>
      <c r="O421" t="n">
        <v>0</v>
      </c>
      <c r="P421" t="n">
        <v>0</v>
      </c>
      <c r="Q421" t="n">
        <v>0</v>
      </c>
      <c r="R421" t="n">
        <v>0</v>
      </c>
      <c r="S421" t="n">
        <v>1</v>
      </c>
      <c r="T421" t="n">
        <v>1</v>
      </c>
      <c r="U421" t="n">
        <v>0</v>
      </c>
      <c r="V421" s="2" t="inlineStr">
        <is>
          <t>Sångsvan</t>
        </is>
      </c>
      <c r="W421">
        <f>HYPERLINK("https://klasma.github.io/Logging_0763/artfynd/A 40036-2026 artfynd.xlsx", "A 40036-2026")</f>
        <v/>
      </c>
      <c r="X421">
        <f>HYPERLINK("https://klasma.github.io/Logging_0763/kartor/A 40036-2026 karta.png", "A 40036-2026")</f>
        <v/>
      </c>
      <c r="Y421">
        <f>HYPERLINK("https://klasma.github.io/Logging_0763/kartor_geotiff/A 40036-2026 georefererad karta.tif", "A 40036-2026")</f>
        <v/>
      </c>
      <c r="AA421">
        <f>HYPERLINK("https://klasma.github.io/Logging_0763/klagomål/A 40036-2026 FSC-klagomål.docx", "A 40036-2026")</f>
        <v/>
      </c>
      <c r="AB421">
        <f>HYPERLINK("https://klasma.github.io/Logging_0763/klagomålsmail/A 40036-2026 FSC-klagomål mail.docx", "A 40036-2026")</f>
        <v/>
      </c>
      <c r="AC421">
        <f>HYPERLINK("https://klasma.github.io/Logging_0763/tillsyn/A 40036-2026 tillsynsbegäran.docx", "A 40036-2026")</f>
        <v/>
      </c>
      <c r="AD421">
        <f>HYPERLINK("https://klasma.github.io/Logging_0763/tillsynsmail/A 40036-2026 tillsynsbegäran mail.docx", "A 40036-2026")</f>
        <v/>
      </c>
      <c r="AE421">
        <f>HYPERLINK("https://klasma.github.io/Logging_0763/fåglar/A 40036-2026 prioriterade fågelarter.docx", "A 40036-2026")</f>
        <v/>
      </c>
    </row>
    <row r="422" ht="15" customHeight="1">
      <c r="A422" t="inlineStr">
        <is>
          <t>A 20488-2024</t>
        </is>
      </c>
      <c r="B422" t="inlineStr">
        <is>
          <t>avverkningsanmälan</t>
        </is>
      </c>
      <c r="C422" t="inlineStr">
        <is>
          <t>Föryngringsavverkning</t>
        </is>
      </c>
      <c r="D422" s="1" t="n">
        <v>45435</v>
      </c>
      <c r="E422" s="1" t="n">
        <v>46316</v>
      </c>
      <c r="F422" t="inlineStr">
        <is>
          <t>KRONOBERGS LÄN</t>
        </is>
      </c>
      <c r="G422" t="inlineStr">
        <is>
          <t>UPPVIDINGE</t>
        </is>
      </c>
      <c r="H422" t="inlineStr">
        <is>
          <t>Sveaskog</t>
        </is>
      </c>
      <c r="I422" t="n">
        <v>3.6</v>
      </c>
      <c r="J422" t="n">
        <v>1</v>
      </c>
      <c r="K422" t="n">
        <v>0</v>
      </c>
      <c r="L422" t="n">
        <v>0</v>
      </c>
      <c r="M422" t="n">
        <v>0</v>
      </c>
      <c r="N422" t="n">
        <v>0</v>
      </c>
      <c r="O422" t="n">
        <v>0</v>
      </c>
      <c r="P422" t="n">
        <v>0</v>
      </c>
      <c r="Q422" t="n">
        <v>0</v>
      </c>
      <c r="R422" t="n">
        <v>0</v>
      </c>
      <c r="S422" t="n">
        <v>1</v>
      </c>
      <c r="T422" t="n">
        <v>1</v>
      </c>
      <c r="U422" t="n">
        <v>0</v>
      </c>
      <c r="V422" s="2" t="inlineStr">
        <is>
          <t>Tjäder</t>
        </is>
      </c>
      <c r="W422">
        <f>HYPERLINK("https://klasma.github.io/Logging_0760/artfynd/A 20488-2024 artfynd.xlsx", "A 20488-2024")</f>
        <v/>
      </c>
      <c r="X422">
        <f>HYPERLINK("https://klasma.github.io/Logging_0760/kartor/A 20488-2024 karta.png", "A 20488-2024")</f>
        <v/>
      </c>
      <c r="Y422">
        <f>HYPERLINK("https://klasma.github.io/Logging_0760/kartor_geotiff/A 20488-2024 georefererad karta.tif", "A 20488-2024")</f>
        <v/>
      </c>
      <c r="AA422">
        <f>HYPERLINK("https://klasma.github.io/Logging_0760/klagomål/A 20488-2024 FSC-klagomål.docx", "A 20488-2024")</f>
        <v/>
      </c>
      <c r="AB422">
        <f>HYPERLINK("https://klasma.github.io/Logging_0760/klagomålsmail/A 20488-2024 FSC-klagomål mail.docx", "A 20488-2024")</f>
        <v/>
      </c>
      <c r="AC422">
        <f>HYPERLINK("https://klasma.github.io/Logging_0760/tillsyn/A 20488-2024 tillsynsbegäran.docx", "A 20488-2024")</f>
        <v/>
      </c>
      <c r="AD422">
        <f>HYPERLINK("https://klasma.github.io/Logging_0760/tillsynsmail/A 20488-2024 tillsynsbegäran mail.docx", "A 20488-2024")</f>
        <v/>
      </c>
      <c r="AE422">
        <f>HYPERLINK("https://klasma.github.io/Logging_0760/fåglar/A 20488-2024 prioriterade fågelarter.docx", "A 20488-2024")</f>
        <v/>
      </c>
    </row>
    <row r="423" ht="15" customHeight="1">
      <c r="A423" t="inlineStr">
        <is>
          <t>A 23244-2026</t>
        </is>
      </c>
      <c r="B423" t="inlineStr">
        <is>
          <t>avverkningsanmälan</t>
        </is>
      </c>
      <c r="C423" t="inlineStr">
        <is>
          <t>Föryngringsavverkning</t>
        </is>
      </c>
      <c r="D423" s="1" t="n">
        <v>46162</v>
      </c>
      <c r="E423" s="1" t="n">
        <v>46316</v>
      </c>
      <c r="F423" t="inlineStr">
        <is>
          <t>KRONOBERGS LÄN</t>
        </is>
      </c>
      <c r="G423" t="inlineStr">
        <is>
          <t>UPPVIDINGE</t>
        </is>
      </c>
      <c r="I423" t="n">
        <v>3.2</v>
      </c>
      <c r="J423" t="n">
        <v>0</v>
      </c>
      <c r="K423" t="n">
        <v>0</v>
      </c>
      <c r="L423" t="n">
        <v>1</v>
      </c>
      <c r="M423" t="n">
        <v>0</v>
      </c>
      <c r="N423" t="n">
        <v>0</v>
      </c>
      <c r="O423" t="n">
        <v>0</v>
      </c>
      <c r="P423" t="n">
        <v>0</v>
      </c>
      <c r="Q423" t="n">
        <v>1</v>
      </c>
      <c r="R423" t="n">
        <v>0</v>
      </c>
      <c r="S423" t="n">
        <v>1</v>
      </c>
      <c r="T423" t="n">
        <v>1</v>
      </c>
      <c r="U423" t="n">
        <v>0</v>
      </c>
      <c r="V423" s="2" t="inlineStr">
        <is>
          <t>Spindelört</t>
        </is>
      </c>
      <c r="W423">
        <f>HYPERLINK("https://klasma.github.io/Logging_0760/artfynd/A 23244-2026 artfynd.xlsx", "A 23244-2026")</f>
        <v/>
      </c>
      <c r="X423">
        <f>HYPERLINK("https://klasma.github.io/Logging_0760/kartor/A 23244-2026 karta.png", "A 23244-2026")</f>
        <v/>
      </c>
      <c r="Y423">
        <f>HYPERLINK("https://klasma.github.io/Logging_0760/kartor_geotiff/A 23244-2026 georefererad karta.tif", "A 23244-2026")</f>
        <v/>
      </c>
      <c r="AA423">
        <f>HYPERLINK("https://klasma.github.io/Logging_0760/klagomål/A 23244-2026 FSC-klagomål.docx", "A 23244-2026")</f>
        <v/>
      </c>
      <c r="AB423">
        <f>HYPERLINK("https://klasma.github.io/Logging_0760/klagomålsmail/A 23244-2026 FSC-klagomål mail.docx", "A 23244-2026")</f>
        <v/>
      </c>
      <c r="AC423">
        <f>HYPERLINK("https://klasma.github.io/Logging_0760/tillsyn/A 23244-2026 tillsynsbegäran.docx", "A 23244-2026")</f>
        <v/>
      </c>
      <c r="AD423">
        <f>HYPERLINK("https://klasma.github.io/Logging_0760/tillsynsmail/A 23244-2026 tillsynsbegäran mail.docx", "A 23244-2026")</f>
        <v/>
      </c>
    </row>
    <row r="424" ht="15" customHeight="1">
      <c r="A424" t="inlineStr">
        <is>
          <t>A 54470-2022</t>
        </is>
      </c>
      <c r="B424" t="inlineStr">
        <is>
          <t>avverkningsanmälan</t>
        </is>
      </c>
      <c r="C424" t="inlineStr">
        <is>
          <t>Föryngringsavverkning</t>
        </is>
      </c>
      <c r="D424" s="1" t="n">
        <v>44882</v>
      </c>
      <c r="E424" s="1" t="n">
        <v>46316</v>
      </c>
      <c r="F424" t="inlineStr">
        <is>
          <t>KRONOBERGS LÄN</t>
        </is>
      </c>
      <c r="G424" t="inlineStr">
        <is>
          <t>ÄLMHULT</t>
        </is>
      </c>
      <c r="I424" t="n">
        <v>2.3</v>
      </c>
      <c r="J424" t="n">
        <v>0</v>
      </c>
      <c r="K424" t="n">
        <v>1</v>
      </c>
      <c r="L424" t="n">
        <v>0</v>
      </c>
      <c r="M424" t="n">
        <v>0</v>
      </c>
      <c r="N424" t="n">
        <v>0</v>
      </c>
      <c r="O424" t="n">
        <v>0</v>
      </c>
      <c r="P424" t="n">
        <v>0</v>
      </c>
      <c r="Q424" t="n">
        <v>0</v>
      </c>
      <c r="R424" t="n">
        <v>0</v>
      </c>
      <c r="S424" t="n">
        <v>1</v>
      </c>
      <c r="T424" t="n">
        <v>1</v>
      </c>
      <c r="U424" t="n">
        <v>0</v>
      </c>
      <c r="V424" s="2" t="inlineStr">
        <is>
          <t>Grönpyrola</t>
        </is>
      </c>
      <c r="W424">
        <f>HYPERLINK("https://klasma.github.io/Logging_0765/artfynd/A 54470-2022 artfynd.xlsx", "A 54470-2022")</f>
        <v/>
      </c>
      <c r="X424">
        <f>HYPERLINK("https://klasma.github.io/Logging_0765/kartor/A 54470-2022 karta.png", "A 54470-2022")</f>
        <v/>
      </c>
      <c r="Y424">
        <f>HYPERLINK("https://klasma.github.io/Logging_0765/kartor_geotiff/A 54470-2022 georefererad karta.tif", "A 54470-2022")</f>
        <v/>
      </c>
      <c r="AA424">
        <f>HYPERLINK("https://klasma.github.io/Logging_0765/klagomål/A 54470-2022 FSC-klagomål.docx", "A 54470-2022")</f>
        <v/>
      </c>
      <c r="AB424">
        <f>HYPERLINK("https://klasma.github.io/Logging_0765/klagomålsmail/A 54470-2022 FSC-klagomål mail.docx", "A 54470-2022")</f>
        <v/>
      </c>
      <c r="AC424">
        <f>HYPERLINK("https://klasma.github.io/Logging_0765/tillsyn/A 54470-2022 tillsynsbegäran.docx", "A 54470-2022")</f>
        <v/>
      </c>
      <c r="AD424">
        <f>HYPERLINK("https://klasma.github.io/Logging_0765/tillsynsmail/A 54470-2022 tillsynsbegäran mail.docx", "A 54470-2022")</f>
        <v/>
      </c>
    </row>
    <row r="425" ht="15" customHeight="1">
      <c r="A425" t="inlineStr">
        <is>
          <t>A 36056-2024</t>
        </is>
      </c>
      <c r="B425" t="inlineStr">
        <is>
          <t>avverkningsanmälan</t>
        </is>
      </c>
      <c r="C425" t="inlineStr">
        <is>
          <t>Föryngringsavverkning</t>
        </is>
      </c>
      <c r="D425" s="1" t="n">
        <v>45533</v>
      </c>
      <c r="E425" s="1" t="n">
        <v>46316</v>
      </c>
      <c r="F425" t="inlineStr">
        <is>
          <t>KRONOBERGS LÄN</t>
        </is>
      </c>
      <c r="G425" t="inlineStr">
        <is>
          <t>VÄXJÖ</t>
        </is>
      </c>
      <c r="I425" t="n">
        <v>1.2</v>
      </c>
      <c r="J425" t="n">
        <v>0</v>
      </c>
      <c r="K425" t="n">
        <v>0</v>
      </c>
      <c r="L425" t="n">
        <v>0</v>
      </c>
      <c r="M425" t="n">
        <v>1</v>
      </c>
      <c r="N425" t="n">
        <v>0</v>
      </c>
      <c r="O425" t="n">
        <v>0</v>
      </c>
      <c r="P425" t="n">
        <v>0</v>
      </c>
      <c r="Q425" t="n">
        <v>1</v>
      </c>
      <c r="R425" t="n">
        <v>1</v>
      </c>
      <c r="S425" t="n">
        <v>1</v>
      </c>
      <c r="T425" t="n">
        <v>1</v>
      </c>
      <c r="U425" t="n">
        <v>0</v>
      </c>
      <c r="V425" s="2" t="inlineStr">
        <is>
          <t>Slåttergubbe</t>
        </is>
      </c>
      <c r="W425">
        <f>HYPERLINK("https://klasma.github.io/Logging_0780/artfynd/A 36056-2024 artfynd.xlsx", "A 36056-2024")</f>
        <v/>
      </c>
      <c r="X425">
        <f>HYPERLINK("https://klasma.github.io/Logging_0780/kartor/A 36056-2024 karta.png", "A 36056-2024")</f>
        <v/>
      </c>
      <c r="Y425">
        <f>HYPERLINK("https://klasma.github.io/Logging_0780/kartor_geotiff/A 36056-2024 georefererad karta.tif", "A 36056-2024")</f>
        <v/>
      </c>
      <c r="AA425">
        <f>HYPERLINK("https://klasma.github.io/Logging_0780/klagomål/A 36056-2024 FSC-klagomål.docx", "A 36056-2024")</f>
        <v/>
      </c>
      <c r="AB425">
        <f>HYPERLINK("https://klasma.github.io/Logging_0780/klagomålsmail/A 36056-2024 FSC-klagomål mail.docx", "A 36056-2024")</f>
        <v/>
      </c>
      <c r="AC425">
        <f>HYPERLINK("https://klasma.github.io/Logging_0780/tillsyn/A 36056-2024 tillsynsbegäran.docx", "A 36056-2024")</f>
        <v/>
      </c>
      <c r="AD425">
        <f>HYPERLINK("https://klasma.github.io/Logging_0780/tillsynsmail/A 36056-2024 tillsynsbegäran mail.docx", "A 36056-2024")</f>
        <v/>
      </c>
    </row>
    <row r="426" ht="15" customHeight="1">
      <c r="A426" t="inlineStr">
        <is>
          <t>A 64296-2023</t>
        </is>
      </c>
      <c r="B426" t="inlineStr">
        <is>
          <t>avverkningsanmälan</t>
        </is>
      </c>
      <c r="C426" t="inlineStr">
        <is>
          <t>Föryngringsavverkning</t>
        </is>
      </c>
      <c r="D426" s="1" t="n">
        <v>45280</v>
      </c>
      <c r="E426" s="1" t="n">
        <v>46316</v>
      </c>
      <c r="F426" t="inlineStr">
        <is>
          <t>KRONOBERGS LÄN</t>
        </is>
      </c>
      <c r="G426" t="inlineStr">
        <is>
          <t>ÄLMHULT</t>
        </is>
      </c>
      <c r="I426" t="n">
        <v>1.4</v>
      </c>
      <c r="J426" t="n">
        <v>0</v>
      </c>
      <c r="K426" t="n">
        <v>0</v>
      </c>
      <c r="L426" t="n">
        <v>1</v>
      </c>
      <c r="M426" t="n">
        <v>0</v>
      </c>
      <c r="N426" t="n">
        <v>0</v>
      </c>
      <c r="O426" t="n">
        <v>0</v>
      </c>
      <c r="P426" t="n">
        <v>0</v>
      </c>
      <c r="Q426" t="n">
        <v>1</v>
      </c>
      <c r="R426" t="n">
        <v>0</v>
      </c>
      <c r="S426" t="n">
        <v>1</v>
      </c>
      <c r="T426" t="n">
        <v>1</v>
      </c>
      <c r="U426" t="n">
        <v>0</v>
      </c>
      <c r="V426" s="2" t="inlineStr">
        <is>
          <t>Silversmygare</t>
        </is>
      </c>
      <c r="W426">
        <f>HYPERLINK("https://klasma.github.io/Logging_0765/artfynd/A 64296-2023 artfynd.xlsx", "A 64296-2023")</f>
        <v/>
      </c>
      <c r="X426">
        <f>HYPERLINK("https://klasma.github.io/Logging_0765/kartor/A 64296-2023 karta.png", "A 64296-2023")</f>
        <v/>
      </c>
      <c r="Y426">
        <f>HYPERLINK("https://klasma.github.io/Logging_0765/kartor_geotiff/A 64296-2023 georefererad karta.tif", "A 64296-2023")</f>
        <v/>
      </c>
      <c r="AA426">
        <f>HYPERLINK("https://klasma.github.io/Logging_0765/klagomål/A 64296-2023 FSC-klagomål.docx", "A 64296-2023")</f>
        <v/>
      </c>
      <c r="AB426">
        <f>HYPERLINK("https://klasma.github.io/Logging_0765/klagomålsmail/A 64296-2023 FSC-klagomål mail.docx", "A 64296-2023")</f>
        <v/>
      </c>
      <c r="AC426">
        <f>HYPERLINK("https://klasma.github.io/Logging_0765/tillsyn/A 64296-2023 tillsynsbegäran.docx", "A 64296-2023")</f>
        <v/>
      </c>
      <c r="AD426">
        <f>HYPERLINK("https://klasma.github.io/Logging_0765/tillsynsmail/A 64296-2023 tillsynsbegäran mail.docx", "A 64296-2023")</f>
        <v/>
      </c>
    </row>
    <row r="427" ht="15" customHeight="1">
      <c r="A427" t="inlineStr">
        <is>
          <t>A 5614-2024</t>
        </is>
      </c>
      <c r="B427" t="inlineStr">
        <is>
          <t>avverkningsanmälan</t>
        </is>
      </c>
      <c r="C427" t="inlineStr">
        <is>
          <t>Föryngringsavverkning</t>
        </is>
      </c>
      <c r="D427" s="1" t="n">
        <v>45334</v>
      </c>
      <c r="E427" s="1" t="n">
        <v>46316</v>
      </c>
      <c r="F427" t="inlineStr">
        <is>
          <t>KRONOBERGS LÄN</t>
        </is>
      </c>
      <c r="G427" t="inlineStr">
        <is>
          <t>LJUNGBY</t>
        </is>
      </c>
      <c r="H427" t="inlineStr">
        <is>
          <t>Kommuner</t>
        </is>
      </c>
      <c r="I427" t="n">
        <v>6.5</v>
      </c>
      <c r="J427" t="n">
        <v>0</v>
      </c>
      <c r="K427" t="n">
        <v>0</v>
      </c>
      <c r="L427" t="n">
        <v>0</v>
      </c>
      <c r="M427" t="n">
        <v>1</v>
      </c>
      <c r="N427" t="n">
        <v>0</v>
      </c>
      <c r="O427" t="n">
        <v>0</v>
      </c>
      <c r="P427" t="n">
        <v>0</v>
      </c>
      <c r="Q427" t="n">
        <v>1</v>
      </c>
      <c r="R427" t="n">
        <v>1</v>
      </c>
      <c r="S427" t="n">
        <v>1</v>
      </c>
      <c r="T427" t="n">
        <v>1</v>
      </c>
      <c r="U427" t="n">
        <v>0</v>
      </c>
      <c r="V427" s="2" t="inlineStr">
        <is>
          <t>Sjötåtel</t>
        </is>
      </c>
      <c r="W427">
        <f>HYPERLINK("https://klasma.github.io/Logging_0781/artfynd/A 5614-2024 artfynd.xlsx", "A 5614-2024")</f>
        <v/>
      </c>
      <c r="X427">
        <f>HYPERLINK("https://klasma.github.io/Logging_0781/kartor/A 5614-2024 karta.png", "A 5614-2024")</f>
        <v/>
      </c>
      <c r="Y427">
        <f>HYPERLINK("https://klasma.github.io/Logging_0781/kartor_geotiff/A 5614-2024 georefererad karta.tif", "A 5614-2024")</f>
        <v/>
      </c>
      <c r="AA427">
        <f>HYPERLINK("https://klasma.github.io/Logging_0781/klagomål/A 5614-2024 FSC-klagomål.docx", "A 5614-2024")</f>
        <v/>
      </c>
      <c r="AB427">
        <f>HYPERLINK("https://klasma.github.io/Logging_0781/klagomålsmail/A 5614-2024 FSC-klagomål mail.docx", "A 5614-2024")</f>
        <v/>
      </c>
      <c r="AC427">
        <f>HYPERLINK("https://klasma.github.io/Logging_0781/tillsyn/A 5614-2024 tillsynsbegäran.docx", "A 5614-2024")</f>
        <v/>
      </c>
      <c r="AD427">
        <f>HYPERLINK("https://klasma.github.io/Logging_0781/tillsynsmail/A 5614-2024 tillsynsbegäran mail.docx", "A 5614-2024")</f>
        <v/>
      </c>
    </row>
    <row r="428" ht="15" customHeight="1">
      <c r="A428" t="inlineStr">
        <is>
          <t>A 34929-2026</t>
        </is>
      </c>
      <c r="B428" t="inlineStr">
        <is>
          <t>avverkningsanmälan</t>
        </is>
      </c>
      <c r="C428" t="inlineStr">
        <is>
          <t>Föryngringsavverkning</t>
        </is>
      </c>
      <c r="D428" s="1" t="n">
        <v>46255</v>
      </c>
      <c r="E428" s="1" t="n">
        <v>46316</v>
      </c>
      <c r="F428" t="inlineStr">
        <is>
          <t>KRONOBERGS LÄN</t>
        </is>
      </c>
      <c r="G428" t="inlineStr">
        <is>
          <t>UPPVIDINGE</t>
        </is>
      </c>
      <c r="H428" t="inlineStr">
        <is>
          <t>Kyrkan</t>
        </is>
      </c>
      <c r="I428" t="n">
        <v>6.5</v>
      </c>
      <c r="J428" t="n">
        <v>0</v>
      </c>
      <c r="K428" t="n">
        <v>0</v>
      </c>
      <c r="L428" t="n">
        <v>1</v>
      </c>
      <c r="M428" t="n">
        <v>0</v>
      </c>
      <c r="N428" t="n">
        <v>0</v>
      </c>
      <c r="O428" t="n">
        <v>0</v>
      </c>
      <c r="P428" t="n">
        <v>0</v>
      </c>
      <c r="Q428" t="n">
        <v>1</v>
      </c>
      <c r="R428" t="n">
        <v>0</v>
      </c>
      <c r="S428" t="n">
        <v>1</v>
      </c>
      <c r="T428" t="n">
        <v>1</v>
      </c>
      <c r="U428" t="n">
        <v>0</v>
      </c>
      <c r="V428" s="2" t="inlineStr">
        <is>
          <t>Granspira</t>
        </is>
      </c>
      <c r="W428">
        <f>HYPERLINK("https://klasma.github.io/Logging_0760/artfynd/A 34929-2026 artfynd.xlsx", "A 34929-2026")</f>
        <v/>
      </c>
      <c r="X428">
        <f>HYPERLINK("https://klasma.github.io/Logging_0760/kartor/A 34929-2026 karta.png", "A 34929-2026")</f>
        <v/>
      </c>
      <c r="Y428">
        <f>HYPERLINK("https://klasma.github.io/Logging_0760/kartor_geotiff/A 34929-2026 georefererad karta.tif", "A 34929-2026")</f>
        <v/>
      </c>
      <c r="AA428">
        <f>HYPERLINK("https://klasma.github.io/Logging_0760/klagomål/A 34929-2026 FSC-klagomål.docx", "A 34929-2026")</f>
        <v/>
      </c>
      <c r="AB428">
        <f>HYPERLINK("https://klasma.github.io/Logging_0760/klagomålsmail/A 34929-2026 FSC-klagomål mail.docx", "A 34929-2026")</f>
        <v/>
      </c>
      <c r="AC428">
        <f>HYPERLINK("https://klasma.github.io/Logging_0760/tillsyn/A 34929-2026 tillsynsbegäran.docx", "A 34929-2026")</f>
        <v/>
      </c>
      <c r="AD428">
        <f>HYPERLINK("https://klasma.github.io/Logging_0760/tillsynsmail/A 34929-2026 tillsynsbegäran mail.docx", "A 34929-2026")</f>
        <v/>
      </c>
    </row>
    <row r="429" ht="15" customHeight="1">
      <c r="A429" t="inlineStr">
        <is>
          <t>A 40679-2026</t>
        </is>
      </c>
      <c r="B429" t="inlineStr">
        <is>
          <t>avverkningsanmälan</t>
        </is>
      </c>
      <c r="C429" t="inlineStr">
        <is>
          <t>Föryngringsavverkning</t>
        </is>
      </c>
      <c r="D429" s="1" t="n">
        <v>46296</v>
      </c>
      <c r="E429" s="1" t="n">
        <v>46316</v>
      </c>
      <c r="F429" t="inlineStr">
        <is>
          <t>KRONOBERGS LÄN</t>
        </is>
      </c>
      <c r="G429" t="inlineStr">
        <is>
          <t>VÄXJÖ</t>
        </is>
      </c>
      <c r="I429" t="n">
        <v>3</v>
      </c>
      <c r="J429" t="n">
        <v>0</v>
      </c>
      <c r="K429" t="n">
        <v>0</v>
      </c>
      <c r="L429" t="n">
        <v>1</v>
      </c>
      <c r="M429" t="n">
        <v>0</v>
      </c>
      <c r="N429" t="n">
        <v>0</v>
      </c>
      <c r="O429" t="n">
        <v>0</v>
      </c>
      <c r="P429" t="n">
        <v>0</v>
      </c>
      <c r="Q429" t="n">
        <v>1</v>
      </c>
      <c r="R429" t="n">
        <v>0</v>
      </c>
      <c r="S429" t="n">
        <v>1</v>
      </c>
      <c r="T429" t="n">
        <v>1</v>
      </c>
      <c r="U429" t="n">
        <v>0</v>
      </c>
      <c r="V429" s="2" t="inlineStr">
        <is>
          <t>Svinrot</t>
        </is>
      </c>
      <c r="W429">
        <f>HYPERLINK("https://klasma.github.io/Logging_0780/artfynd/A 40679-2026 artfynd.xlsx", "A 40679-2026")</f>
        <v/>
      </c>
      <c r="X429">
        <f>HYPERLINK("https://klasma.github.io/Logging_0780/kartor/A 40679-2026 karta.png", "A 40679-2026")</f>
        <v/>
      </c>
      <c r="Y429">
        <f>HYPERLINK("https://klasma.github.io/Logging_0780/kartor_geotiff/A 40679-2026 georefererad karta.tif", "A 40679-2026")</f>
        <v/>
      </c>
      <c r="AA429">
        <f>HYPERLINK("https://klasma.github.io/Logging_0780/klagomål/A 40679-2026 FSC-klagomål.docx", "A 40679-2026")</f>
        <v/>
      </c>
      <c r="AB429">
        <f>HYPERLINK("https://klasma.github.io/Logging_0780/klagomålsmail/A 40679-2026 FSC-klagomål mail.docx", "A 40679-2026")</f>
        <v/>
      </c>
      <c r="AC429">
        <f>HYPERLINK("https://klasma.github.io/Logging_0780/tillsyn/A 40679-2026 tillsynsbegäran.docx", "A 40679-2026")</f>
        <v/>
      </c>
      <c r="AD429">
        <f>HYPERLINK("https://klasma.github.io/Logging_0780/tillsynsmail/A 40679-2026 tillsynsbegäran mail.docx", "A 40679-2026")</f>
        <v/>
      </c>
    </row>
    <row r="430" ht="15" customHeight="1">
      <c r="A430" t="inlineStr">
        <is>
          <t>A 13460-2023</t>
        </is>
      </c>
      <c r="B430" t="inlineStr">
        <is>
          <t>avverkningsanmälan</t>
        </is>
      </c>
      <c r="C430" t="inlineStr">
        <is>
          <t>Föryngringsavverkning</t>
        </is>
      </c>
      <c r="D430" s="1" t="n">
        <v>45005</v>
      </c>
      <c r="E430" s="1" t="n">
        <v>46316</v>
      </c>
      <c r="F430" t="inlineStr">
        <is>
          <t>KRONOBERGS LÄN</t>
        </is>
      </c>
      <c r="G430" t="inlineStr">
        <is>
          <t>LJUNGBY</t>
        </is>
      </c>
      <c r="I430" t="n">
        <v>5.1</v>
      </c>
      <c r="J430" t="n">
        <v>1</v>
      </c>
      <c r="K430" t="n">
        <v>0</v>
      </c>
      <c r="L430" t="n">
        <v>0</v>
      </c>
      <c r="M430" t="n">
        <v>0</v>
      </c>
      <c r="N430" t="n">
        <v>0</v>
      </c>
      <c r="O430" t="n">
        <v>0</v>
      </c>
      <c r="P430" t="n">
        <v>0</v>
      </c>
      <c r="Q430" t="n">
        <v>0</v>
      </c>
      <c r="R430" t="n">
        <v>0</v>
      </c>
      <c r="S430" t="n">
        <v>1</v>
      </c>
      <c r="T430" t="n">
        <v>1</v>
      </c>
      <c r="U430" t="n">
        <v>0</v>
      </c>
      <c r="V430" s="2" t="inlineStr">
        <is>
          <t>Spillkråka</t>
        </is>
      </c>
      <c r="W430">
        <f>HYPERLINK("https://klasma.github.io/Logging_0781/artfynd/A 13460-2023 artfynd.xlsx", "A 13460-2023")</f>
        <v/>
      </c>
      <c r="X430">
        <f>HYPERLINK("https://klasma.github.io/Logging_0781/kartor/A 13460-2023 karta.png", "A 13460-2023")</f>
        <v/>
      </c>
      <c r="Y430">
        <f>HYPERLINK("https://klasma.github.io/Logging_0781/kartor_geotiff/A 13460-2023 georefererad karta.tif", "A 13460-2023")</f>
        <v/>
      </c>
      <c r="AA430">
        <f>HYPERLINK("https://klasma.github.io/Logging_0781/klagomål/A 13460-2023 FSC-klagomål.docx", "A 13460-2023")</f>
        <v/>
      </c>
      <c r="AB430">
        <f>HYPERLINK("https://klasma.github.io/Logging_0781/klagomålsmail/A 13460-2023 FSC-klagomål mail.docx", "A 13460-2023")</f>
        <v/>
      </c>
      <c r="AC430">
        <f>HYPERLINK("https://klasma.github.io/Logging_0781/tillsyn/A 13460-2023 tillsynsbegäran.docx", "A 13460-2023")</f>
        <v/>
      </c>
      <c r="AD430">
        <f>HYPERLINK("https://klasma.github.io/Logging_0781/tillsynsmail/A 13460-2023 tillsynsbegäran mail.docx", "A 13460-2023")</f>
        <v/>
      </c>
      <c r="AE430">
        <f>HYPERLINK("https://klasma.github.io/Logging_0781/fåglar/A 13460-2023 prioriterade fågelarter.docx", "A 13460-2023")</f>
        <v/>
      </c>
    </row>
    <row r="431" ht="15" customHeight="1">
      <c r="A431" t="inlineStr">
        <is>
          <t>A 39106-2025</t>
        </is>
      </c>
      <c r="B431" t="inlineStr">
        <is>
          <t>avverkningsanmälan</t>
        </is>
      </c>
      <c r="C431" t="inlineStr">
        <is>
          <t>Föryngringsavverkning</t>
        </is>
      </c>
      <c r="D431" s="1" t="n">
        <v>45888</v>
      </c>
      <c r="E431" s="1" t="n">
        <v>46316</v>
      </c>
      <c r="F431" t="inlineStr">
        <is>
          <t>KRONOBERGS LÄN</t>
        </is>
      </c>
      <c r="G431" t="inlineStr">
        <is>
          <t>ÄLMHULT</t>
        </is>
      </c>
      <c r="I431" t="n">
        <v>2.8</v>
      </c>
      <c r="J431" t="n">
        <v>0</v>
      </c>
      <c r="K431" t="n">
        <v>0</v>
      </c>
      <c r="L431" t="n">
        <v>0</v>
      </c>
      <c r="M431" t="n">
        <v>1</v>
      </c>
      <c r="N431" t="n">
        <v>0</v>
      </c>
      <c r="O431" t="n">
        <v>0</v>
      </c>
      <c r="P431" t="n">
        <v>0</v>
      </c>
      <c r="Q431" t="n">
        <v>1</v>
      </c>
      <c r="R431" t="n">
        <v>1</v>
      </c>
      <c r="S431" t="n">
        <v>1</v>
      </c>
      <c r="T431" t="n">
        <v>1</v>
      </c>
      <c r="U431" t="n">
        <v>0</v>
      </c>
      <c r="V431" s="2" t="inlineStr">
        <is>
          <t>Strandjordtunga</t>
        </is>
      </c>
      <c r="W431">
        <f>HYPERLINK("https://klasma.github.io/Logging_0765/artfynd/A 39106-2025 artfynd.xlsx", "A 39106-2025")</f>
        <v/>
      </c>
      <c r="X431">
        <f>HYPERLINK("https://klasma.github.io/Logging_0765/kartor/A 39106-2025 karta.png", "A 39106-2025")</f>
        <v/>
      </c>
      <c r="Y431">
        <f>HYPERLINK("https://klasma.github.io/Logging_0765/kartor_geotiff/A 39106-2025 georefererad karta.tif", "A 39106-2025")</f>
        <v/>
      </c>
      <c r="AA431">
        <f>HYPERLINK("https://klasma.github.io/Logging_0765/klagomål/A 39106-2025 FSC-klagomål.docx", "A 39106-2025")</f>
        <v/>
      </c>
      <c r="AB431">
        <f>HYPERLINK("https://klasma.github.io/Logging_0765/klagomålsmail/A 39106-2025 FSC-klagomål mail.docx", "A 39106-2025")</f>
        <v/>
      </c>
      <c r="AC431">
        <f>HYPERLINK("https://klasma.github.io/Logging_0765/tillsyn/A 39106-2025 tillsynsbegäran.docx", "A 39106-2025")</f>
        <v/>
      </c>
      <c r="AD431">
        <f>HYPERLINK("https://klasma.github.io/Logging_0765/tillsynsmail/A 39106-2025 tillsynsbegäran mail.docx", "A 39106-2025")</f>
        <v/>
      </c>
    </row>
    <row r="432" ht="15" customHeight="1">
      <c r="A432" t="inlineStr">
        <is>
          <t>A 18676-2023</t>
        </is>
      </c>
      <c r="B432" t="inlineStr">
        <is>
          <t>avverkningsanmälan</t>
        </is>
      </c>
      <c r="C432" t="inlineStr">
        <is>
          <t>Föryngringsavverkning</t>
        </is>
      </c>
      <c r="D432" s="1" t="n">
        <v>45043</v>
      </c>
      <c r="E432" s="1" t="n">
        <v>46316</v>
      </c>
      <c r="F432" t="inlineStr">
        <is>
          <t>KRONOBERGS LÄN</t>
        </is>
      </c>
      <c r="G432" t="inlineStr">
        <is>
          <t>ALVESTA</t>
        </is>
      </c>
      <c r="I432" t="n">
        <v>1.4</v>
      </c>
      <c r="J432" t="n">
        <v>0</v>
      </c>
      <c r="K432" t="n">
        <v>1</v>
      </c>
      <c r="L432" t="n">
        <v>0</v>
      </c>
      <c r="M432" t="n">
        <v>0</v>
      </c>
      <c r="N432" t="n">
        <v>0</v>
      </c>
      <c r="O432" t="n">
        <v>0</v>
      </c>
      <c r="P432" t="n">
        <v>0</v>
      </c>
      <c r="Q432" t="n">
        <v>0</v>
      </c>
      <c r="R432" t="n">
        <v>0</v>
      </c>
      <c r="S432" t="n">
        <v>1</v>
      </c>
      <c r="T432" t="n">
        <v>1</v>
      </c>
      <c r="U432" t="n">
        <v>1</v>
      </c>
      <c r="V432" s="2" t="inlineStr">
        <is>
          <t>Blomkålssvamp</t>
        </is>
      </c>
      <c r="W432">
        <f>HYPERLINK("https://klasma.github.io/Logging_0764/artfynd/A 18676-2023 artfynd.xlsx", "A 18676-2023")</f>
        <v/>
      </c>
      <c r="X432">
        <f>HYPERLINK("https://klasma.github.io/Logging_0764/kartor/A 18676-2023 karta.png", "A 18676-2023")</f>
        <v/>
      </c>
      <c r="Y432">
        <f>HYPERLINK("https://klasma.github.io/Logging_0764/kartor_geotiff/A 18676-2023 georefererad karta.tif", "A 18676-2023")</f>
        <v/>
      </c>
      <c r="AA432">
        <f>HYPERLINK("https://klasma.github.io/Logging_0764/klagomål/A 18676-2023 FSC-klagomål.docx", "A 18676-2023")</f>
        <v/>
      </c>
      <c r="AB432">
        <f>HYPERLINK("https://klasma.github.io/Logging_0764/klagomålsmail/A 18676-2023 FSC-klagomål mail.docx", "A 18676-2023")</f>
        <v/>
      </c>
      <c r="AC432">
        <f>HYPERLINK("https://klasma.github.io/Logging_0764/tillsyn/A 18676-2023 tillsynsbegäran.docx", "A 18676-2023")</f>
        <v/>
      </c>
      <c r="AD432">
        <f>HYPERLINK("https://klasma.github.io/Logging_0764/tillsynsmail/A 18676-2023 tillsynsbegäran mail.docx", "A 18676-2023")</f>
        <v/>
      </c>
    </row>
    <row r="433" ht="15" customHeight="1">
      <c r="A433" t="inlineStr">
        <is>
          <t>A 31667-2023</t>
        </is>
      </c>
      <c r="B433" t="inlineStr">
        <is>
          <t>avverkningsanmälan</t>
        </is>
      </c>
      <c r="C433" t="inlineStr">
        <is>
          <t>Avverkning för annat ändamål</t>
        </is>
      </c>
      <c r="D433" s="1" t="n">
        <v>45098</v>
      </c>
      <c r="E433" s="1" t="n">
        <v>46316</v>
      </c>
      <c r="F433" t="inlineStr">
        <is>
          <t>KRONOBERGS LÄN</t>
        </is>
      </c>
      <c r="G433" t="inlineStr">
        <is>
          <t>VÄXJÖ</t>
        </is>
      </c>
      <c r="I433" t="n">
        <v>1.5</v>
      </c>
      <c r="J433" t="n">
        <v>1</v>
      </c>
      <c r="K433" t="n">
        <v>0</v>
      </c>
      <c r="L433" t="n">
        <v>0</v>
      </c>
      <c r="M433" t="n">
        <v>0</v>
      </c>
      <c r="N433" t="n">
        <v>0</v>
      </c>
      <c r="O433" t="n">
        <v>0</v>
      </c>
      <c r="P433" t="n">
        <v>0</v>
      </c>
      <c r="Q433" t="n">
        <v>0</v>
      </c>
      <c r="R433" t="n">
        <v>0</v>
      </c>
      <c r="S433" t="n">
        <v>1</v>
      </c>
      <c r="T433" t="n">
        <v>2</v>
      </c>
      <c r="U433" t="n">
        <v>0</v>
      </c>
      <c r="V433" s="2" t="inlineStr">
        <is>
          <t>Hårklomossa</t>
        </is>
      </c>
      <c r="W433">
        <f>HYPERLINK("https://klasma.github.io/Logging_0780/artfynd/A 31667-2023 artfynd.xlsx", "A 31667-2023")</f>
        <v/>
      </c>
      <c r="X433">
        <f>HYPERLINK("https://klasma.github.io/Logging_0780/kartor/A 31667-2023 karta.png", "A 31667-2023")</f>
        <v/>
      </c>
      <c r="Y433">
        <f>HYPERLINK("https://klasma.github.io/Logging_0780/kartor_geotiff/A 31667-2023 georefererad karta.tif", "A 31667-2023")</f>
        <v/>
      </c>
      <c r="AA433">
        <f>HYPERLINK("https://klasma.github.io/Logging_0780/klagomål/A 31667-2023 FSC-klagomål.docx", "A 31667-2023")</f>
        <v/>
      </c>
      <c r="AB433">
        <f>HYPERLINK("https://klasma.github.io/Logging_0780/klagomålsmail/A 31667-2023 FSC-klagomål mail.docx", "A 31667-2023")</f>
        <v/>
      </c>
      <c r="AC433">
        <f>HYPERLINK("https://klasma.github.io/Logging_0780/tillsyn/A 31667-2023 tillsynsbegäran.docx", "A 31667-2023")</f>
        <v/>
      </c>
      <c r="AD433">
        <f>HYPERLINK("https://klasma.github.io/Logging_0780/tillsynsmail/A 31667-2023 tillsynsbegäran mail.docx", "A 31667-2023")</f>
        <v/>
      </c>
    </row>
    <row r="434" ht="15" customHeight="1">
      <c r="A434" t="inlineStr">
        <is>
          <t>A 41526-2026</t>
        </is>
      </c>
      <c r="B434" t="inlineStr">
        <is>
          <t>avverkningsanmälan</t>
        </is>
      </c>
      <c r="C434" t="inlineStr">
        <is>
          <t>Föryngringsavverkning</t>
        </is>
      </c>
      <c r="D434" s="1" t="n">
        <v>46301</v>
      </c>
      <c r="E434" s="1" t="n">
        <v>46316</v>
      </c>
      <c r="F434" t="inlineStr">
        <is>
          <t>KRONOBERGS LÄN</t>
        </is>
      </c>
      <c r="G434" t="inlineStr">
        <is>
          <t>TINGSRYD</t>
        </is>
      </c>
      <c r="I434" t="n">
        <v>1.2</v>
      </c>
      <c r="J434" t="n">
        <v>0</v>
      </c>
      <c r="K434" t="n">
        <v>0</v>
      </c>
      <c r="L434" t="n">
        <v>1</v>
      </c>
      <c r="M434" t="n">
        <v>0</v>
      </c>
      <c r="N434" t="n">
        <v>0</v>
      </c>
      <c r="O434" t="n">
        <v>0</v>
      </c>
      <c r="P434" t="n">
        <v>0</v>
      </c>
      <c r="Q434" t="n">
        <v>1</v>
      </c>
      <c r="R434" t="n">
        <v>0</v>
      </c>
      <c r="S434" t="n">
        <v>1</v>
      </c>
      <c r="T434" t="n">
        <v>1</v>
      </c>
      <c r="U434" t="n">
        <v>0</v>
      </c>
      <c r="V434" s="2" t="inlineStr">
        <is>
          <t>Åkerkål</t>
        </is>
      </c>
      <c r="W434">
        <f>HYPERLINK("https://klasma.github.io/Logging_0763/artfynd/A 41526-2026 artfynd.xlsx", "A 41526-2026")</f>
        <v/>
      </c>
      <c r="X434">
        <f>HYPERLINK("https://klasma.github.io/Logging_0763/kartor/A 41526-2026 karta.png", "A 41526-2026")</f>
        <v/>
      </c>
      <c r="Y434">
        <f>HYPERLINK("https://klasma.github.io/Logging_0763/kartor_geotiff/A 41526-2026 georefererad karta.tif", "A 41526-2026")</f>
        <v/>
      </c>
      <c r="AA434">
        <f>HYPERLINK("https://klasma.github.io/Logging_0763/klagomål/A 41526-2026 FSC-klagomål.docx", "A 41526-2026")</f>
        <v/>
      </c>
      <c r="AB434">
        <f>HYPERLINK("https://klasma.github.io/Logging_0763/klagomålsmail/A 41526-2026 FSC-klagomål mail.docx", "A 41526-2026")</f>
        <v/>
      </c>
      <c r="AC434">
        <f>HYPERLINK("https://klasma.github.io/Logging_0763/tillsyn/A 41526-2026 tillsynsbegäran.docx", "A 41526-2026")</f>
        <v/>
      </c>
      <c r="AD434">
        <f>HYPERLINK("https://klasma.github.io/Logging_0763/tillsynsmail/A 41526-2026 tillsynsbegäran mail.docx", "A 41526-2026")</f>
        <v/>
      </c>
    </row>
    <row r="435" ht="15" customHeight="1">
      <c r="A435" t="inlineStr">
        <is>
          <t>A 34935-2024</t>
        </is>
      </c>
      <c r="B435" t="inlineStr">
        <is>
          <t>avverkningsanmälan</t>
        </is>
      </c>
      <c r="C435" t="inlineStr">
        <is>
          <t>Föryngringsavverkning</t>
        </is>
      </c>
      <c r="D435" s="1" t="n">
        <v>45527</v>
      </c>
      <c r="E435" s="1" t="n">
        <v>46316</v>
      </c>
      <c r="F435" t="inlineStr">
        <is>
          <t>KRONOBERGS LÄN</t>
        </is>
      </c>
      <c r="G435" t="inlineStr">
        <is>
          <t>LJUNGBY</t>
        </is>
      </c>
      <c r="I435" t="n">
        <v>0.9</v>
      </c>
      <c r="J435" t="n">
        <v>0</v>
      </c>
      <c r="K435" t="n">
        <v>0</v>
      </c>
      <c r="L435" t="n">
        <v>1</v>
      </c>
      <c r="M435" t="n">
        <v>0</v>
      </c>
      <c r="N435" t="n">
        <v>0</v>
      </c>
      <c r="O435" t="n">
        <v>0</v>
      </c>
      <c r="P435" t="n">
        <v>0</v>
      </c>
      <c r="Q435" t="n">
        <v>1</v>
      </c>
      <c r="R435" t="n">
        <v>0</v>
      </c>
      <c r="S435" t="n">
        <v>1</v>
      </c>
      <c r="T435" t="n">
        <v>1</v>
      </c>
      <c r="U435" t="n">
        <v>0</v>
      </c>
      <c r="V435" s="2" t="inlineStr">
        <is>
          <t>Hårginst</t>
        </is>
      </c>
      <c r="W435">
        <f>HYPERLINK("https://klasma.github.io/Logging_0781/artfynd/A 34935-2024 artfynd.xlsx", "A 34935-2024")</f>
        <v/>
      </c>
      <c r="X435">
        <f>HYPERLINK("https://klasma.github.io/Logging_0781/kartor/A 34935-2024 karta.png", "A 34935-2024")</f>
        <v/>
      </c>
      <c r="Y435">
        <f>HYPERLINK("https://klasma.github.io/Logging_0781/kartor_geotiff/A 34935-2024 georefererad karta.tif", "A 34935-2024")</f>
        <v/>
      </c>
      <c r="AA435">
        <f>HYPERLINK("https://klasma.github.io/Logging_0781/klagomål/A 34935-2024 FSC-klagomål.docx", "A 34935-2024")</f>
        <v/>
      </c>
      <c r="AB435">
        <f>HYPERLINK("https://klasma.github.io/Logging_0781/klagomålsmail/A 34935-2024 FSC-klagomål mail.docx", "A 34935-2024")</f>
        <v/>
      </c>
      <c r="AC435">
        <f>HYPERLINK("https://klasma.github.io/Logging_0781/tillsyn/A 34935-2024 tillsynsbegäran.docx", "A 34935-2024")</f>
        <v/>
      </c>
      <c r="AD435">
        <f>HYPERLINK("https://klasma.github.io/Logging_0781/tillsynsmail/A 34935-2024 tillsynsbegäran mail.docx", "A 34935-2024")</f>
        <v/>
      </c>
    </row>
    <row r="436" ht="15" customHeight="1">
      <c r="A436" t="inlineStr">
        <is>
          <t>A 57750-2023</t>
        </is>
      </c>
      <c r="B436" t="inlineStr">
        <is>
          <t>avverkningsanmälan</t>
        </is>
      </c>
      <c r="C436" t="inlineStr">
        <is>
          <t>Föryngringsavverkning</t>
        </is>
      </c>
      <c r="D436" s="1" t="n">
        <v>45246</v>
      </c>
      <c r="E436" s="1" t="n">
        <v>46316</v>
      </c>
      <c r="F436" t="inlineStr">
        <is>
          <t>KRONOBERGS LÄN</t>
        </is>
      </c>
      <c r="G436" t="inlineStr">
        <is>
          <t>LJUNGBY</t>
        </is>
      </c>
      <c r="I436" t="n">
        <v>1.2</v>
      </c>
      <c r="J436" t="n">
        <v>0</v>
      </c>
      <c r="K436" t="n">
        <v>0</v>
      </c>
      <c r="L436" t="n">
        <v>1</v>
      </c>
      <c r="M436" t="n">
        <v>0</v>
      </c>
      <c r="N436" t="n">
        <v>0</v>
      </c>
      <c r="O436" t="n">
        <v>0</v>
      </c>
      <c r="P436" t="n">
        <v>0</v>
      </c>
      <c r="Q436" t="n">
        <v>1</v>
      </c>
      <c r="R436" t="n">
        <v>0</v>
      </c>
      <c r="S436" t="n">
        <v>1</v>
      </c>
      <c r="T436" t="n">
        <v>1</v>
      </c>
      <c r="U436" t="n">
        <v>1</v>
      </c>
      <c r="V436" s="2" t="inlineStr">
        <is>
          <t>Svart skogssnigel</t>
        </is>
      </c>
      <c r="W436">
        <f>HYPERLINK("https://klasma.github.io/Logging_0781/artfynd/A 57750-2023 artfynd.xlsx", "A 57750-2023")</f>
        <v/>
      </c>
      <c r="X436">
        <f>HYPERLINK("https://klasma.github.io/Logging_0781/kartor/A 57750-2023 karta.png", "A 57750-2023")</f>
        <v/>
      </c>
      <c r="Y436">
        <f>HYPERLINK("https://klasma.github.io/Logging_0781/kartor_geotiff/A 57750-2023 georefererad karta.tif", "A 57750-2023")</f>
        <v/>
      </c>
      <c r="AA436">
        <f>HYPERLINK("https://klasma.github.io/Logging_0781/klagomål/A 57750-2023 FSC-klagomål.docx", "A 57750-2023")</f>
        <v/>
      </c>
      <c r="AB436">
        <f>HYPERLINK("https://klasma.github.io/Logging_0781/klagomålsmail/A 57750-2023 FSC-klagomål mail.docx", "A 57750-2023")</f>
        <v/>
      </c>
      <c r="AC436">
        <f>HYPERLINK("https://klasma.github.io/Logging_0781/tillsyn/A 57750-2023 tillsynsbegäran.docx", "A 57750-2023")</f>
        <v/>
      </c>
      <c r="AD436">
        <f>HYPERLINK("https://klasma.github.io/Logging_0781/tillsynsmail/A 57750-2023 tillsynsbegäran mail.docx", "A 57750-2023")</f>
        <v/>
      </c>
    </row>
    <row r="437" ht="15" customHeight="1">
      <c r="A437" t="inlineStr">
        <is>
          <t>A 37929-2026</t>
        </is>
      </c>
      <c r="B437" t="inlineStr">
        <is>
          <t>avverkningsanmälan</t>
        </is>
      </c>
      <c r="C437" t="inlineStr">
        <is>
          <t>Föryngringsavverkning</t>
        </is>
      </c>
      <c r="D437" s="1" t="n">
        <v>46280</v>
      </c>
      <c r="E437" s="1" t="n">
        <v>46316</v>
      </c>
      <c r="F437" t="inlineStr">
        <is>
          <t>KRONOBERGS LÄN</t>
        </is>
      </c>
      <c r="G437" t="inlineStr">
        <is>
          <t>LJUNGBY</t>
        </is>
      </c>
      <c r="I437" t="n">
        <v>2.6</v>
      </c>
      <c r="J437" t="n">
        <v>0</v>
      </c>
      <c r="K437" t="n">
        <v>1</v>
      </c>
      <c r="L437" t="n">
        <v>0</v>
      </c>
      <c r="M437" t="n">
        <v>0</v>
      </c>
      <c r="N437" t="n">
        <v>0</v>
      </c>
      <c r="O437" t="n">
        <v>0</v>
      </c>
      <c r="P437" t="n">
        <v>0</v>
      </c>
      <c r="Q437" t="n">
        <v>0</v>
      </c>
      <c r="R437" t="n">
        <v>0</v>
      </c>
      <c r="S437" t="n">
        <v>1</v>
      </c>
      <c r="T437" t="n">
        <v>1</v>
      </c>
      <c r="U437" t="n">
        <v>0</v>
      </c>
      <c r="V437" s="2" t="inlineStr">
        <is>
          <t>Fällmossa</t>
        </is>
      </c>
      <c r="W437">
        <f>HYPERLINK("https://klasma.github.io/Logging_0781/artfynd/A 37929-2026 artfynd.xlsx", "A 37929-2026")</f>
        <v/>
      </c>
      <c r="X437">
        <f>HYPERLINK("https://klasma.github.io/Logging_0781/kartor/A 37929-2026 karta.png", "A 37929-2026")</f>
        <v/>
      </c>
      <c r="Y437">
        <f>HYPERLINK("https://klasma.github.io/Logging_0781/kartor_geotiff/A 37929-2026 georefererad karta.tif", "A 37929-2026")</f>
        <v/>
      </c>
      <c r="AA437">
        <f>HYPERLINK("https://klasma.github.io/Logging_0781/klagomål/A 37929-2026 FSC-klagomål.docx", "A 37929-2026")</f>
        <v/>
      </c>
      <c r="AB437">
        <f>HYPERLINK("https://klasma.github.io/Logging_0781/klagomålsmail/A 37929-2026 FSC-klagomål mail.docx", "A 37929-2026")</f>
        <v/>
      </c>
      <c r="AC437">
        <f>HYPERLINK("https://klasma.github.io/Logging_0781/tillsyn/A 37929-2026 tillsynsbegäran.docx", "A 37929-2026")</f>
        <v/>
      </c>
      <c r="AD437">
        <f>HYPERLINK("https://klasma.github.io/Logging_0781/tillsynsmail/A 37929-2026 tillsynsbegäran mail.docx", "A 37929-2026")</f>
        <v/>
      </c>
    </row>
    <row r="438" ht="15" customHeight="1">
      <c r="A438" t="inlineStr">
        <is>
          <t>A 41857-2026</t>
        </is>
      </c>
      <c r="B438" t="inlineStr">
        <is>
          <t>avverkningsanmälan</t>
        </is>
      </c>
      <c r="C438" t="inlineStr">
        <is>
          <t>Avverkning för annat ändamål</t>
        </is>
      </c>
      <c r="D438" s="1" t="n">
        <v>46303</v>
      </c>
      <c r="E438" s="1" t="n">
        <v>46316</v>
      </c>
      <c r="F438" t="inlineStr">
        <is>
          <t>KRONOBERGS LÄN</t>
        </is>
      </c>
      <c r="G438" t="inlineStr">
        <is>
          <t>VÄXJÖ</t>
        </is>
      </c>
      <c r="I438" t="n">
        <v>8</v>
      </c>
      <c r="J438" t="n">
        <v>1</v>
      </c>
      <c r="K438" t="n">
        <v>0</v>
      </c>
      <c r="L438" t="n">
        <v>0</v>
      </c>
      <c r="M438" t="n">
        <v>0</v>
      </c>
      <c r="N438" t="n">
        <v>0</v>
      </c>
      <c r="O438" t="n">
        <v>0</v>
      </c>
      <c r="P438" t="n">
        <v>0</v>
      </c>
      <c r="Q438" t="n">
        <v>0</v>
      </c>
      <c r="R438" t="n">
        <v>0</v>
      </c>
      <c r="S438" t="n">
        <v>1</v>
      </c>
      <c r="T438" t="n">
        <v>1</v>
      </c>
      <c r="U438" t="n">
        <v>0</v>
      </c>
      <c r="V438" s="2" t="inlineStr">
        <is>
          <t>Mattlummer</t>
        </is>
      </c>
      <c r="W438">
        <f>HYPERLINK("https://klasma.github.io/Logging_0780/artfynd/A 41857-2026 artfynd.xlsx", "A 41857-2026")</f>
        <v/>
      </c>
      <c r="X438">
        <f>HYPERLINK("https://klasma.github.io/Logging_0780/kartor/A 41857-2026 karta.png", "A 41857-2026")</f>
        <v/>
      </c>
      <c r="Y438">
        <f>HYPERLINK("https://klasma.github.io/Logging_0780/kartor_geotiff/A 41857-2026 georefererad karta.tif", "A 41857-2026")</f>
        <v/>
      </c>
      <c r="AA438">
        <f>HYPERLINK("https://klasma.github.io/Logging_0780/klagomål/A 41857-2026 FSC-klagomål.docx", "A 41857-2026")</f>
        <v/>
      </c>
      <c r="AB438">
        <f>HYPERLINK("https://klasma.github.io/Logging_0780/klagomålsmail/A 41857-2026 FSC-klagomål mail.docx", "A 41857-2026")</f>
        <v/>
      </c>
      <c r="AC438">
        <f>HYPERLINK("https://klasma.github.io/Logging_0780/tillsyn/A 41857-2026 tillsynsbegäran.docx", "A 41857-2026")</f>
        <v/>
      </c>
      <c r="AD438">
        <f>HYPERLINK("https://klasma.github.io/Logging_0780/tillsynsmail/A 41857-2026 tillsynsbegäran mail.docx", "A 41857-2026")</f>
        <v/>
      </c>
    </row>
    <row r="439" ht="15" customHeight="1">
      <c r="A439" t="inlineStr">
        <is>
          <t>A 25009-2024</t>
        </is>
      </c>
      <c r="B439" t="inlineStr">
        <is>
          <t>avverkningsanmälan</t>
        </is>
      </c>
      <c r="C439" t="inlineStr">
        <is>
          <t>Föryngringsavverkning</t>
        </is>
      </c>
      <c r="D439" s="1" t="n">
        <v>45461</v>
      </c>
      <c r="E439" s="1" t="n">
        <v>46316</v>
      </c>
      <c r="F439" t="inlineStr">
        <is>
          <t>KRONOBERGS LÄN</t>
        </is>
      </c>
      <c r="G439" t="inlineStr">
        <is>
          <t>TINGSRYD</t>
        </is>
      </c>
      <c r="H439" t="inlineStr">
        <is>
          <t>Övriga Aktiebolag</t>
        </is>
      </c>
      <c r="I439" t="n">
        <v>1.5</v>
      </c>
      <c r="J439" t="n">
        <v>0</v>
      </c>
      <c r="K439" t="n">
        <v>1</v>
      </c>
      <c r="L439" t="n">
        <v>0</v>
      </c>
      <c r="M439" t="n">
        <v>0</v>
      </c>
      <c r="N439" t="n">
        <v>0</v>
      </c>
      <c r="O439" t="n">
        <v>0</v>
      </c>
      <c r="P439" t="n">
        <v>0</v>
      </c>
      <c r="Q439" t="n">
        <v>0</v>
      </c>
      <c r="R439" t="n">
        <v>0</v>
      </c>
      <c r="S439" t="n">
        <v>1</v>
      </c>
      <c r="T439" t="n">
        <v>1</v>
      </c>
      <c r="U439" t="n">
        <v>1</v>
      </c>
      <c r="V439" s="2" t="inlineStr">
        <is>
          <t>Blåmossa</t>
        </is>
      </c>
      <c r="W439">
        <f>HYPERLINK("https://klasma.github.io/Logging_0763/artfynd/A 25009-2024 artfynd.xlsx", "A 25009-2024")</f>
        <v/>
      </c>
      <c r="X439">
        <f>HYPERLINK("https://klasma.github.io/Logging_0763/kartor/A 25009-2024 karta.png", "A 25009-2024")</f>
        <v/>
      </c>
      <c r="Y439">
        <f>HYPERLINK("https://klasma.github.io/Logging_0763/kartor_geotiff/A 25009-2024 georefererad karta.tif", "A 25009-2024")</f>
        <v/>
      </c>
      <c r="AA439">
        <f>HYPERLINK("https://klasma.github.io/Logging_0763/klagomål/A 25009-2024 FSC-klagomål.docx", "A 25009-2024")</f>
        <v/>
      </c>
      <c r="AB439">
        <f>HYPERLINK("https://klasma.github.io/Logging_0763/klagomålsmail/A 25009-2024 FSC-klagomål mail.docx", "A 25009-2024")</f>
        <v/>
      </c>
      <c r="AC439">
        <f>HYPERLINK("https://klasma.github.io/Logging_0763/tillsyn/A 25009-2024 tillsynsbegäran.docx", "A 25009-2024")</f>
        <v/>
      </c>
      <c r="AD439">
        <f>HYPERLINK("https://klasma.github.io/Logging_0763/tillsynsmail/A 25009-2024 tillsynsbegäran mail.docx", "A 25009-2024")</f>
        <v/>
      </c>
    </row>
    <row r="440" ht="15" customHeight="1">
      <c r="A440" t="inlineStr">
        <is>
          <t>A 64278-2023</t>
        </is>
      </c>
      <c r="B440" t="inlineStr">
        <is>
          <t>avverkningsanmälan</t>
        </is>
      </c>
      <c r="C440" t="inlineStr">
        <is>
          <t>Föryngringsavverkning</t>
        </is>
      </c>
      <c r="D440" s="1" t="n">
        <v>45280</v>
      </c>
      <c r="E440" s="1" t="n">
        <v>46316</v>
      </c>
      <c r="F440" t="inlineStr">
        <is>
          <t>KRONOBERGS LÄN</t>
        </is>
      </c>
      <c r="G440" t="inlineStr">
        <is>
          <t>VÄXJÖ</t>
        </is>
      </c>
      <c r="I440" t="n">
        <v>0.4</v>
      </c>
      <c r="J440" t="n">
        <v>1</v>
      </c>
      <c r="K440" t="n">
        <v>0</v>
      </c>
      <c r="L440" t="n">
        <v>0</v>
      </c>
      <c r="M440" t="n">
        <v>0</v>
      </c>
      <c r="N440" t="n">
        <v>0</v>
      </c>
      <c r="O440" t="n">
        <v>0</v>
      </c>
      <c r="P440" t="n">
        <v>0</v>
      </c>
      <c r="Q440" t="n">
        <v>0</v>
      </c>
      <c r="R440" t="n">
        <v>0</v>
      </c>
      <c r="S440" t="n">
        <v>1</v>
      </c>
      <c r="T440" t="n">
        <v>1</v>
      </c>
      <c r="U440" t="n">
        <v>0</v>
      </c>
      <c r="V440" s="2" t="inlineStr">
        <is>
          <t>Nattviol</t>
        </is>
      </c>
      <c r="W440">
        <f>HYPERLINK("https://klasma.github.io/Logging_0780/artfynd/A 64278-2023 artfynd.xlsx", "A 64278-2023")</f>
        <v/>
      </c>
      <c r="X440">
        <f>HYPERLINK("https://klasma.github.io/Logging_0780/kartor/A 64278-2023 karta.png", "A 64278-2023")</f>
        <v/>
      </c>
      <c r="Y440">
        <f>HYPERLINK("https://klasma.github.io/Logging_0780/kartor_geotiff/A 64278-2023 georefererad karta.tif", "A 64278-2023")</f>
        <v/>
      </c>
      <c r="AA440">
        <f>HYPERLINK("https://klasma.github.io/Logging_0780/klagomål/A 64278-2023 FSC-klagomål.docx", "A 64278-2023")</f>
        <v/>
      </c>
      <c r="AB440">
        <f>HYPERLINK("https://klasma.github.io/Logging_0780/klagomålsmail/A 64278-2023 FSC-klagomål mail.docx", "A 64278-2023")</f>
        <v/>
      </c>
      <c r="AC440">
        <f>HYPERLINK("https://klasma.github.io/Logging_0780/tillsyn/A 64278-2023 tillsynsbegäran.docx", "A 64278-2023")</f>
        <v/>
      </c>
      <c r="AD440">
        <f>HYPERLINK("https://klasma.github.io/Logging_0780/tillsynsmail/A 64278-2023 tillsynsbegäran mail.docx", "A 64278-2023")</f>
        <v/>
      </c>
    </row>
    <row r="441" ht="15" customHeight="1">
      <c r="A441" t="inlineStr">
        <is>
          <t>A 3677-2023</t>
        </is>
      </c>
      <c r="B441" t="inlineStr">
        <is>
          <t>avverkningsanmälan</t>
        </is>
      </c>
      <c r="C441" t="inlineStr">
        <is>
          <t>Föryngringsavverkning</t>
        </is>
      </c>
      <c r="D441" s="1" t="n">
        <v>44950</v>
      </c>
      <c r="E441" s="1" t="n">
        <v>46316</v>
      </c>
      <c r="F441" t="inlineStr">
        <is>
          <t>KRONOBERGS LÄN</t>
        </is>
      </c>
      <c r="G441" t="inlineStr">
        <is>
          <t>UPPVIDINGE</t>
        </is>
      </c>
      <c r="I441" t="n">
        <v>13.4</v>
      </c>
      <c r="J441" t="n">
        <v>0</v>
      </c>
      <c r="K441" t="n">
        <v>1</v>
      </c>
      <c r="L441" t="n">
        <v>0</v>
      </c>
      <c r="M441" t="n">
        <v>0</v>
      </c>
      <c r="N441" t="n">
        <v>0</v>
      </c>
      <c r="O441" t="n">
        <v>0</v>
      </c>
      <c r="P441" t="n">
        <v>0</v>
      </c>
      <c r="Q441" t="n">
        <v>0</v>
      </c>
      <c r="R441" t="n">
        <v>0</v>
      </c>
      <c r="S441" t="n">
        <v>1</v>
      </c>
      <c r="T441" t="n">
        <v>1</v>
      </c>
      <c r="U441" t="n">
        <v>0</v>
      </c>
      <c r="V441" s="2" t="inlineStr">
        <is>
          <t>Blomkålssvamp</t>
        </is>
      </c>
      <c r="W441">
        <f>HYPERLINK("https://klasma.github.io/Logging_0760/artfynd/A 3677-2023 artfynd.xlsx", "A 3677-2023")</f>
        <v/>
      </c>
      <c r="X441">
        <f>HYPERLINK("https://klasma.github.io/Logging_0760/kartor/A 3677-2023 karta.png", "A 3677-2023")</f>
        <v/>
      </c>
      <c r="Y441">
        <f>HYPERLINK("https://klasma.github.io/Logging_0760/kartor_geotiff/A 3677-2023 georefererad karta.tif", "A 3677-2023")</f>
        <v/>
      </c>
      <c r="AA441">
        <f>HYPERLINK("https://klasma.github.io/Logging_0760/klagomål/A 3677-2023 FSC-klagomål.docx", "A 3677-2023")</f>
        <v/>
      </c>
      <c r="AB441">
        <f>HYPERLINK("https://klasma.github.io/Logging_0760/klagomålsmail/A 3677-2023 FSC-klagomål mail.docx", "A 3677-2023")</f>
        <v/>
      </c>
      <c r="AC441">
        <f>HYPERLINK("https://klasma.github.io/Logging_0760/tillsyn/A 3677-2023 tillsynsbegäran.docx", "A 3677-2023")</f>
        <v/>
      </c>
      <c r="AD441">
        <f>HYPERLINK("https://klasma.github.io/Logging_0760/tillsynsmail/A 3677-2023 tillsynsbegäran mail.docx", "A 3677-2023")</f>
        <v/>
      </c>
    </row>
    <row r="442" ht="15" customHeight="1">
      <c r="A442" t="inlineStr">
        <is>
          <t>A 10820-2024</t>
        </is>
      </c>
      <c r="B442" t="inlineStr">
        <is>
          <t>avverkningsanmälan</t>
        </is>
      </c>
      <c r="C442" t="inlineStr">
        <is>
          <t>Föryngringsavverkning</t>
        </is>
      </c>
      <c r="D442" s="1" t="n">
        <v>45369</v>
      </c>
      <c r="E442" s="1" t="n">
        <v>46316</v>
      </c>
      <c r="F442" t="inlineStr">
        <is>
          <t>KRONOBERGS LÄN</t>
        </is>
      </c>
      <c r="G442" t="inlineStr">
        <is>
          <t>VÄXJÖ</t>
        </is>
      </c>
      <c r="I442" t="n">
        <v>0.5</v>
      </c>
      <c r="J442" t="n">
        <v>1</v>
      </c>
      <c r="K442" t="n">
        <v>0</v>
      </c>
      <c r="L442" t="n">
        <v>0</v>
      </c>
      <c r="M442" t="n">
        <v>0</v>
      </c>
      <c r="N442" t="n">
        <v>0</v>
      </c>
      <c r="O442" t="n">
        <v>0</v>
      </c>
      <c r="P442" t="n">
        <v>0</v>
      </c>
      <c r="Q442" t="n">
        <v>0</v>
      </c>
      <c r="R442" t="n">
        <v>0</v>
      </c>
      <c r="S442" t="n">
        <v>1</v>
      </c>
      <c r="T442" t="n">
        <v>1</v>
      </c>
      <c r="U442" t="n">
        <v>1</v>
      </c>
      <c r="V442" s="2" t="inlineStr">
        <is>
          <t>Grönsiska</t>
        </is>
      </c>
      <c r="W442">
        <f>HYPERLINK("https://klasma.github.io/Logging_0780/artfynd/A 10820-2024 artfynd.xlsx", "A 10820-2024")</f>
        <v/>
      </c>
      <c r="X442">
        <f>HYPERLINK("https://klasma.github.io/Logging_0780/kartor/A 10820-2024 karta.png", "A 10820-2024")</f>
        <v/>
      </c>
      <c r="Y442">
        <f>HYPERLINK("https://klasma.github.io/Logging_0780/kartor_geotiff/A 10820-2024 georefererad karta.tif", "A 10820-2024")</f>
        <v/>
      </c>
      <c r="AA442">
        <f>HYPERLINK("https://klasma.github.io/Logging_0780/klagomål/A 10820-2024 FSC-klagomål.docx", "A 10820-2024")</f>
        <v/>
      </c>
      <c r="AB442">
        <f>HYPERLINK("https://klasma.github.io/Logging_0780/klagomålsmail/A 10820-2024 FSC-klagomål mail.docx", "A 10820-2024")</f>
        <v/>
      </c>
      <c r="AC442">
        <f>HYPERLINK("https://klasma.github.io/Logging_0780/tillsyn/A 10820-2024 tillsynsbegäran.docx", "A 10820-2024")</f>
        <v/>
      </c>
      <c r="AD442">
        <f>HYPERLINK("https://klasma.github.io/Logging_0780/tillsynsmail/A 10820-2024 tillsynsbegäran mail.docx", "A 10820-2024")</f>
        <v/>
      </c>
    </row>
    <row r="443" ht="15" customHeight="1">
      <c r="A443" t="inlineStr">
        <is>
          <t>A 39748-2026</t>
        </is>
      </c>
      <c r="B443" t="inlineStr">
        <is>
          <t>avverkningsanmälan</t>
        </is>
      </c>
      <c r="C443" t="inlineStr">
        <is>
          <t>Föryngringsavverkning</t>
        </is>
      </c>
      <c r="D443" s="1" t="n">
        <v>46290</v>
      </c>
      <c r="E443" s="1" t="n">
        <v>46316</v>
      </c>
      <c r="F443" t="inlineStr">
        <is>
          <t>KRONOBERGS LÄN</t>
        </is>
      </c>
      <c r="G443" t="inlineStr">
        <is>
          <t>ÄLMHULT</t>
        </is>
      </c>
      <c r="I443" t="n">
        <v>2.5</v>
      </c>
      <c r="J443" t="n">
        <v>0</v>
      </c>
      <c r="K443" t="n">
        <v>0</v>
      </c>
      <c r="L443" t="n">
        <v>0</v>
      </c>
      <c r="M443" t="n">
        <v>1</v>
      </c>
      <c r="N443" t="n">
        <v>0</v>
      </c>
      <c r="O443" t="n">
        <v>0</v>
      </c>
      <c r="P443" t="n">
        <v>0</v>
      </c>
      <c r="Q443" t="n">
        <v>1</v>
      </c>
      <c r="R443" t="n">
        <v>1</v>
      </c>
      <c r="S443" t="n">
        <v>1</v>
      </c>
      <c r="T443" t="n">
        <v>1</v>
      </c>
      <c r="U443" t="n">
        <v>0</v>
      </c>
      <c r="V443" s="2" t="inlineStr">
        <is>
          <t>Mindre bastardsvärmare</t>
        </is>
      </c>
      <c r="W443">
        <f>HYPERLINK("https://klasma.github.io/Logging_0765/artfynd/A 39748-2026 artfynd.xlsx", "A 39748-2026")</f>
        <v/>
      </c>
      <c r="X443">
        <f>HYPERLINK("https://klasma.github.io/Logging_0765/kartor/A 39748-2026 karta.png", "A 39748-2026")</f>
        <v/>
      </c>
      <c r="Y443">
        <f>HYPERLINK("https://klasma.github.io/Logging_0765/kartor_geotiff/A 39748-2026 georefererad karta.tif", "A 39748-2026")</f>
        <v/>
      </c>
      <c r="AA443">
        <f>HYPERLINK("https://klasma.github.io/Logging_0765/klagomål/A 39748-2026 FSC-klagomål.docx", "A 39748-2026")</f>
        <v/>
      </c>
      <c r="AB443">
        <f>HYPERLINK("https://klasma.github.io/Logging_0765/klagomålsmail/A 39748-2026 FSC-klagomål mail.docx", "A 39748-2026")</f>
        <v/>
      </c>
      <c r="AC443">
        <f>HYPERLINK("https://klasma.github.io/Logging_0765/tillsyn/A 39748-2026 tillsynsbegäran.docx", "A 39748-2026")</f>
        <v/>
      </c>
      <c r="AD443">
        <f>HYPERLINK("https://klasma.github.io/Logging_0765/tillsynsmail/A 39748-2026 tillsynsbegäran mail.docx", "A 39748-2026")</f>
        <v/>
      </c>
    </row>
    <row r="444" ht="15" customHeight="1">
      <c r="A444" t="inlineStr">
        <is>
          <t>A 6548-2024</t>
        </is>
      </c>
      <c r="B444" t="inlineStr">
        <is>
          <t>avverkningsanmälan</t>
        </is>
      </c>
      <c r="C444" t="inlineStr">
        <is>
          <t>Föryngringsavverkning</t>
        </is>
      </c>
      <c r="D444" s="1" t="n">
        <v>45341</v>
      </c>
      <c r="E444" s="1" t="n">
        <v>46316</v>
      </c>
      <c r="F444" t="inlineStr">
        <is>
          <t>KRONOBERGS LÄN</t>
        </is>
      </c>
      <c r="G444" t="inlineStr">
        <is>
          <t>TINGSRYD</t>
        </is>
      </c>
      <c r="I444" t="n">
        <v>1.2</v>
      </c>
      <c r="J444" t="n">
        <v>1</v>
      </c>
      <c r="K444" t="n">
        <v>0</v>
      </c>
      <c r="L444" t="n">
        <v>0</v>
      </c>
      <c r="M444" t="n">
        <v>0</v>
      </c>
      <c r="N444" t="n">
        <v>0</v>
      </c>
      <c r="O444" t="n">
        <v>0</v>
      </c>
      <c r="P444" t="n">
        <v>0</v>
      </c>
      <c r="Q444" t="n">
        <v>0</v>
      </c>
      <c r="R444" t="n">
        <v>0</v>
      </c>
      <c r="S444" t="n">
        <v>1</v>
      </c>
      <c r="T444" t="n">
        <v>1</v>
      </c>
      <c r="U444" t="n">
        <v>1</v>
      </c>
      <c r="V444" s="2" t="inlineStr">
        <is>
          <t>Revlummer</t>
        </is>
      </c>
      <c r="W444">
        <f>HYPERLINK("https://klasma.github.io/Logging_0763/artfynd/A 6548-2024 artfynd.xlsx", "A 6548-2024")</f>
        <v/>
      </c>
      <c r="X444">
        <f>HYPERLINK("https://klasma.github.io/Logging_0763/kartor/A 6548-2024 karta.png", "A 6548-2024")</f>
        <v/>
      </c>
      <c r="Y444">
        <f>HYPERLINK("https://klasma.github.io/Logging_0763/kartor_geotiff/A 6548-2024 georefererad karta.tif", "A 6548-2024")</f>
        <v/>
      </c>
      <c r="AA444">
        <f>HYPERLINK("https://klasma.github.io/Logging_0763/klagomål/A 6548-2024 FSC-klagomål.docx", "A 6548-2024")</f>
        <v/>
      </c>
      <c r="AB444">
        <f>HYPERLINK("https://klasma.github.io/Logging_0763/klagomålsmail/A 6548-2024 FSC-klagomål mail.docx", "A 6548-2024")</f>
        <v/>
      </c>
      <c r="AC444">
        <f>HYPERLINK("https://klasma.github.io/Logging_0763/tillsyn/A 6548-2024 tillsynsbegäran.docx", "A 6548-2024")</f>
        <v/>
      </c>
      <c r="AD444">
        <f>HYPERLINK("https://klasma.github.io/Logging_0763/tillsynsmail/A 6548-2024 tillsynsbegäran mail.docx", "A 6548-2024")</f>
        <v/>
      </c>
    </row>
    <row r="445" ht="15" customHeight="1">
      <c r="A445" t="inlineStr">
        <is>
          <t>A 11270-2023</t>
        </is>
      </c>
      <c r="B445" t="inlineStr">
        <is>
          <t>avverkningsanmälan</t>
        </is>
      </c>
      <c r="C445" t="inlineStr">
        <is>
          <t>Föryngringsavverkning</t>
        </is>
      </c>
      <c r="D445" s="1" t="n">
        <v>44992</v>
      </c>
      <c r="E445" s="1" t="n">
        <v>46316</v>
      </c>
      <c r="F445" t="inlineStr">
        <is>
          <t>KRONOBERGS LÄN</t>
        </is>
      </c>
      <c r="G445" t="inlineStr">
        <is>
          <t>TINGSRYD</t>
        </is>
      </c>
      <c r="I445" t="n">
        <v>1.5</v>
      </c>
      <c r="J445" t="n">
        <v>0</v>
      </c>
      <c r="K445" t="n">
        <v>0</v>
      </c>
      <c r="L445" t="n">
        <v>1</v>
      </c>
      <c r="M445" t="n">
        <v>0</v>
      </c>
      <c r="N445" t="n">
        <v>0</v>
      </c>
      <c r="O445" t="n">
        <v>0</v>
      </c>
      <c r="P445" t="n">
        <v>0</v>
      </c>
      <c r="Q445" t="n">
        <v>1</v>
      </c>
      <c r="R445" t="n">
        <v>0</v>
      </c>
      <c r="S445" t="n">
        <v>1</v>
      </c>
      <c r="T445" t="n">
        <v>1</v>
      </c>
      <c r="U445" t="n">
        <v>1</v>
      </c>
      <c r="V445" s="2" t="inlineStr">
        <is>
          <t>Brunag</t>
        </is>
      </c>
      <c r="W445">
        <f>HYPERLINK("https://klasma.github.io/Logging_0763/artfynd/A 11270-2023 artfynd.xlsx", "A 11270-2023")</f>
        <v/>
      </c>
      <c r="X445">
        <f>HYPERLINK("https://klasma.github.io/Logging_0763/kartor/A 11270-2023 karta.png", "A 11270-2023")</f>
        <v/>
      </c>
      <c r="Y445">
        <f>HYPERLINK("https://klasma.github.io/Logging_0763/kartor_geotiff/A 11270-2023 georefererad karta.tif", "A 11270-2023")</f>
        <v/>
      </c>
      <c r="AA445">
        <f>HYPERLINK("https://klasma.github.io/Logging_0763/klagomål/A 11270-2023 FSC-klagomål.docx", "A 11270-2023")</f>
        <v/>
      </c>
      <c r="AB445">
        <f>HYPERLINK("https://klasma.github.io/Logging_0763/klagomålsmail/A 11270-2023 FSC-klagomål mail.docx", "A 11270-2023")</f>
        <v/>
      </c>
      <c r="AC445">
        <f>HYPERLINK("https://klasma.github.io/Logging_0763/tillsyn/A 11270-2023 tillsynsbegäran.docx", "A 11270-2023")</f>
        <v/>
      </c>
      <c r="AD445">
        <f>HYPERLINK("https://klasma.github.io/Logging_0763/tillsynsmail/A 11270-2023 tillsynsbegäran mail.docx", "A 11270-2023")</f>
        <v/>
      </c>
    </row>
    <row r="446" ht="15" customHeight="1">
      <c r="A446" t="inlineStr">
        <is>
          <t>A 35931-2026</t>
        </is>
      </c>
      <c r="B446" t="inlineStr">
        <is>
          <t>avverkningsanmälan</t>
        </is>
      </c>
      <c r="C446" t="inlineStr">
        <is>
          <t>Föryngringsavverkning</t>
        </is>
      </c>
      <c r="D446" s="1" t="n">
        <v>46266</v>
      </c>
      <c r="E446" s="1" t="n">
        <v>46316</v>
      </c>
      <c r="F446" t="inlineStr">
        <is>
          <t>KRONOBERGS LÄN</t>
        </is>
      </c>
      <c r="G446" t="inlineStr">
        <is>
          <t>LJUNGBY</t>
        </is>
      </c>
      <c r="H446" t="inlineStr">
        <is>
          <t>Kyrkan</t>
        </is>
      </c>
      <c r="I446" t="n">
        <v>3.5</v>
      </c>
      <c r="J446" t="n">
        <v>1</v>
      </c>
      <c r="K446" t="n">
        <v>0</v>
      </c>
      <c r="L446" t="n">
        <v>0</v>
      </c>
      <c r="M446" t="n">
        <v>0</v>
      </c>
      <c r="N446" t="n">
        <v>0</v>
      </c>
      <c r="O446" t="n">
        <v>0</v>
      </c>
      <c r="P446" t="n">
        <v>0</v>
      </c>
      <c r="Q446" t="n">
        <v>0</v>
      </c>
      <c r="R446" t="n">
        <v>0</v>
      </c>
      <c r="S446" t="n">
        <v>1</v>
      </c>
      <c r="T446" t="n">
        <v>1</v>
      </c>
      <c r="U446" t="n">
        <v>0</v>
      </c>
      <c r="V446" s="2" t="inlineStr">
        <is>
          <t>Tjäder</t>
        </is>
      </c>
      <c r="W446">
        <f>HYPERLINK("https://klasma.github.io/Logging_0781/artfynd/A 35931-2026 artfynd.xlsx", "A 35931-2026")</f>
        <v/>
      </c>
      <c r="X446">
        <f>HYPERLINK("https://klasma.github.io/Logging_0781/kartor/A 35931-2026 karta.png", "A 35931-2026")</f>
        <v/>
      </c>
      <c r="Y446">
        <f>HYPERLINK("https://klasma.github.io/Logging_0781/kartor_geotiff/A 35931-2026 georefererad karta.tif", "A 35931-2026")</f>
        <v/>
      </c>
      <c r="AA446">
        <f>HYPERLINK("https://klasma.github.io/Logging_0781/klagomål/A 35931-2026 FSC-klagomål.docx", "A 35931-2026")</f>
        <v/>
      </c>
      <c r="AB446">
        <f>HYPERLINK("https://klasma.github.io/Logging_0781/klagomålsmail/A 35931-2026 FSC-klagomål mail.docx", "A 35931-2026")</f>
        <v/>
      </c>
      <c r="AC446">
        <f>HYPERLINK("https://klasma.github.io/Logging_0781/tillsyn/A 35931-2026 tillsynsbegäran.docx", "A 35931-2026")</f>
        <v/>
      </c>
      <c r="AD446">
        <f>HYPERLINK("https://klasma.github.io/Logging_0781/tillsynsmail/A 35931-2026 tillsynsbegäran mail.docx", "A 35931-2026")</f>
        <v/>
      </c>
      <c r="AE446">
        <f>HYPERLINK("https://klasma.github.io/Logging_0781/fåglar/A 35931-2026 prioriterade fågelarter.docx", "A 35931-2026")</f>
        <v/>
      </c>
    </row>
    <row r="447" ht="15" customHeight="1">
      <c r="A447" t="inlineStr">
        <is>
          <t>A 43766-2023</t>
        </is>
      </c>
      <c r="B447" t="inlineStr">
        <is>
          <t>avverkningsanmälan</t>
        </is>
      </c>
      <c r="C447" t="inlineStr">
        <is>
          <t>Föryngringsavverkning</t>
        </is>
      </c>
      <c r="D447" s="1" t="n">
        <v>45187</v>
      </c>
      <c r="E447" s="1" t="n">
        <v>46316</v>
      </c>
      <c r="F447" t="inlineStr">
        <is>
          <t>KRONOBERGS LÄN</t>
        </is>
      </c>
      <c r="G447" t="inlineStr">
        <is>
          <t>ALVESTA</t>
        </is>
      </c>
      <c r="I447" t="n">
        <v>0.8</v>
      </c>
      <c r="J447" t="n">
        <v>0</v>
      </c>
      <c r="K447" t="n">
        <v>0</v>
      </c>
      <c r="L447" t="n">
        <v>1</v>
      </c>
      <c r="M447" t="n">
        <v>0</v>
      </c>
      <c r="N447" t="n">
        <v>0</v>
      </c>
      <c r="O447" t="n">
        <v>0</v>
      </c>
      <c r="P447" t="n">
        <v>0</v>
      </c>
      <c r="Q447" t="n">
        <v>1</v>
      </c>
      <c r="R447" t="n">
        <v>0</v>
      </c>
      <c r="S447" t="n">
        <v>1</v>
      </c>
      <c r="T447" t="n">
        <v>1</v>
      </c>
      <c r="U447" t="n">
        <v>1</v>
      </c>
      <c r="V447" s="2" t="inlineStr">
        <is>
          <t>Åkerkål</t>
        </is>
      </c>
      <c r="W447">
        <f>HYPERLINK("https://klasma.github.io/Logging_0764/artfynd/A 43766-2023 artfynd.xlsx", "A 43766-2023")</f>
        <v/>
      </c>
      <c r="X447">
        <f>HYPERLINK("https://klasma.github.io/Logging_0764/kartor/A 43766-2023 karta.png", "A 43766-2023")</f>
        <v/>
      </c>
      <c r="Y447">
        <f>HYPERLINK("https://klasma.github.io/Logging_0764/kartor_geotiff/A 43766-2023 georefererad karta.tif", "A 43766-2023")</f>
        <v/>
      </c>
      <c r="AA447">
        <f>HYPERLINK("https://klasma.github.io/Logging_0764/klagomål/A 43766-2023 FSC-klagomål.docx", "A 43766-2023")</f>
        <v/>
      </c>
      <c r="AB447">
        <f>HYPERLINK("https://klasma.github.io/Logging_0764/klagomålsmail/A 43766-2023 FSC-klagomål mail.docx", "A 43766-2023")</f>
        <v/>
      </c>
      <c r="AC447">
        <f>HYPERLINK("https://klasma.github.io/Logging_0764/tillsyn/A 43766-2023 tillsynsbegäran.docx", "A 43766-2023")</f>
        <v/>
      </c>
      <c r="AD447">
        <f>HYPERLINK("https://klasma.github.io/Logging_0764/tillsynsmail/A 43766-2023 tillsynsbegäran mail.docx", "A 43766-2023")</f>
        <v/>
      </c>
    </row>
    <row r="448" ht="15" customHeight="1">
      <c r="A448" t="inlineStr">
        <is>
          <t>A 40560-2024</t>
        </is>
      </c>
      <c r="B448" t="inlineStr">
        <is>
          <t>avverkningsanmälan</t>
        </is>
      </c>
      <c r="C448" t="inlineStr">
        <is>
          <t>Föryngringsavverkning</t>
        </is>
      </c>
      <c r="D448" s="1" t="n">
        <v>45555</v>
      </c>
      <c r="E448" s="1" t="n">
        <v>46316</v>
      </c>
      <c r="F448" t="inlineStr">
        <is>
          <t>KRONOBERGS LÄN</t>
        </is>
      </c>
      <c r="G448" t="inlineStr">
        <is>
          <t>LJUNGBY</t>
        </is>
      </c>
      <c r="I448" t="n">
        <v>3.4</v>
      </c>
      <c r="J448" t="n">
        <v>1</v>
      </c>
      <c r="K448" t="n">
        <v>0</v>
      </c>
      <c r="L448" t="n">
        <v>1</v>
      </c>
      <c r="M448" t="n">
        <v>0</v>
      </c>
      <c r="N448" t="n">
        <v>0</v>
      </c>
      <c r="O448" t="n">
        <v>0</v>
      </c>
      <c r="P448" t="n">
        <v>0</v>
      </c>
      <c r="Q448" t="n">
        <v>1</v>
      </c>
      <c r="R448" t="n">
        <v>0</v>
      </c>
      <c r="S448" t="n">
        <v>1</v>
      </c>
      <c r="T448" t="n">
        <v>1</v>
      </c>
      <c r="U448" t="n">
        <v>0</v>
      </c>
      <c r="V448" s="2" t="inlineStr">
        <is>
          <t>Talltita</t>
        </is>
      </c>
      <c r="W448">
        <f>HYPERLINK("https://klasma.github.io/Logging_0781/artfynd/A 40560-2024 artfynd.xlsx", "A 40560-2024")</f>
        <v/>
      </c>
      <c r="X448">
        <f>HYPERLINK("https://klasma.github.io/Logging_0781/kartor/A 40560-2024 karta.png", "A 40560-2024")</f>
        <v/>
      </c>
      <c r="Y448">
        <f>HYPERLINK("https://klasma.github.io/Logging_0781/kartor_geotiff/A 40560-2024 georefererad karta.tif", "A 40560-2024")</f>
        <v/>
      </c>
      <c r="AA448">
        <f>HYPERLINK("https://klasma.github.io/Logging_0781/klagomål/A 40560-2024 FSC-klagomål.docx", "A 40560-2024")</f>
        <v/>
      </c>
      <c r="AB448">
        <f>HYPERLINK("https://klasma.github.io/Logging_0781/klagomålsmail/A 40560-2024 FSC-klagomål mail.docx", "A 40560-2024")</f>
        <v/>
      </c>
      <c r="AC448">
        <f>HYPERLINK("https://klasma.github.io/Logging_0781/tillsyn/A 40560-2024 tillsynsbegäran.docx", "A 40560-2024")</f>
        <v/>
      </c>
      <c r="AD448">
        <f>HYPERLINK("https://klasma.github.io/Logging_0781/tillsynsmail/A 40560-2024 tillsynsbegäran mail.docx", "A 40560-2024")</f>
        <v/>
      </c>
      <c r="AE448">
        <f>HYPERLINK("https://klasma.github.io/Logging_0781/fåglar/A 40560-2024 prioriterade fågelarter.docx", "A 40560-2024")</f>
        <v/>
      </c>
    </row>
    <row r="449" ht="15" customHeight="1">
      <c r="A449" t="inlineStr">
        <is>
          <t>A 21039-2023</t>
        </is>
      </c>
      <c r="B449" t="inlineStr">
        <is>
          <t>avverkningsanmälan</t>
        </is>
      </c>
      <c r="C449" t="inlineStr">
        <is>
          <t>Föryngringsavverkning</t>
        </is>
      </c>
      <c r="D449" s="1" t="n">
        <v>45061</v>
      </c>
      <c r="E449" s="1" t="n">
        <v>46316</v>
      </c>
      <c r="F449" t="inlineStr">
        <is>
          <t>KRONOBERGS LÄN</t>
        </is>
      </c>
      <c r="G449" t="inlineStr">
        <is>
          <t>LJUNGBY</t>
        </is>
      </c>
      <c r="I449" t="n">
        <v>4.3</v>
      </c>
      <c r="J449" t="n">
        <v>1</v>
      </c>
      <c r="K449" t="n">
        <v>0</v>
      </c>
      <c r="L449" t="n">
        <v>0</v>
      </c>
      <c r="M449" t="n">
        <v>0</v>
      </c>
      <c r="N449" t="n">
        <v>0</v>
      </c>
      <c r="O449" t="n">
        <v>0</v>
      </c>
      <c r="P449" t="n">
        <v>0</v>
      </c>
      <c r="Q449" t="n">
        <v>0</v>
      </c>
      <c r="R449" t="n">
        <v>0</v>
      </c>
      <c r="S449" t="n">
        <v>1</v>
      </c>
      <c r="T449" t="n">
        <v>1</v>
      </c>
      <c r="U449" t="n">
        <v>0</v>
      </c>
      <c r="V449" s="2" t="inlineStr">
        <is>
          <t>Fläcknycklar</t>
        </is>
      </c>
      <c r="W449">
        <f>HYPERLINK("https://klasma.github.io/Logging_0781/artfynd/A 21039-2023 artfynd.xlsx", "A 21039-2023")</f>
        <v/>
      </c>
      <c r="X449">
        <f>HYPERLINK("https://klasma.github.io/Logging_0781/kartor/A 21039-2023 karta.png", "A 21039-2023")</f>
        <v/>
      </c>
      <c r="Y449">
        <f>HYPERLINK("https://klasma.github.io/Logging_0781/kartor_geotiff/A 21039-2023 georefererad karta.tif", "A 21039-2023")</f>
        <v/>
      </c>
      <c r="AA449">
        <f>HYPERLINK("https://klasma.github.io/Logging_0781/klagomål/A 21039-2023 FSC-klagomål.docx", "A 21039-2023")</f>
        <v/>
      </c>
      <c r="AB449">
        <f>HYPERLINK("https://klasma.github.io/Logging_0781/klagomålsmail/A 21039-2023 FSC-klagomål mail.docx", "A 21039-2023")</f>
        <v/>
      </c>
      <c r="AC449">
        <f>HYPERLINK("https://klasma.github.io/Logging_0781/tillsyn/A 21039-2023 tillsynsbegäran.docx", "A 21039-2023")</f>
        <v/>
      </c>
      <c r="AD449">
        <f>HYPERLINK("https://klasma.github.io/Logging_0781/tillsynsmail/A 21039-2023 tillsynsbegäran mail.docx", "A 21039-2023")</f>
        <v/>
      </c>
    </row>
    <row r="450" ht="15" customHeight="1">
      <c r="A450" t="inlineStr">
        <is>
          <t>A 11508-2024</t>
        </is>
      </c>
      <c r="B450" t="inlineStr">
        <is>
          <t>avverkningsanmälan</t>
        </is>
      </c>
      <c r="C450" t="inlineStr">
        <is>
          <t>Föryngringsavverkning</t>
        </is>
      </c>
      <c r="D450" s="1" t="n">
        <v>45372</v>
      </c>
      <c r="E450" s="1" t="n">
        <v>46316</v>
      </c>
      <c r="F450" t="inlineStr">
        <is>
          <t>KRONOBERGS LÄN</t>
        </is>
      </c>
      <c r="G450" t="inlineStr">
        <is>
          <t>LJUNGBY</t>
        </is>
      </c>
      <c r="I450" t="n">
        <v>1.5</v>
      </c>
      <c r="J450" t="n">
        <v>1</v>
      </c>
      <c r="K450" t="n">
        <v>0</v>
      </c>
      <c r="L450" t="n">
        <v>0</v>
      </c>
      <c r="M450" t="n">
        <v>0</v>
      </c>
      <c r="N450" t="n">
        <v>0</v>
      </c>
      <c r="O450" t="n">
        <v>0</v>
      </c>
      <c r="P450" t="n">
        <v>0</v>
      </c>
      <c r="Q450" t="n">
        <v>0</v>
      </c>
      <c r="R450" t="n">
        <v>0</v>
      </c>
      <c r="S450" t="n">
        <v>1</v>
      </c>
      <c r="T450" t="n">
        <v>1</v>
      </c>
      <c r="U450" t="n">
        <v>1</v>
      </c>
      <c r="V450" s="2" t="inlineStr">
        <is>
          <t>Fläcknycklar</t>
        </is>
      </c>
      <c r="W450">
        <f>HYPERLINK("https://klasma.github.io/Logging_0781/artfynd/A 11508-2024 artfynd.xlsx", "A 11508-2024")</f>
        <v/>
      </c>
      <c r="X450">
        <f>HYPERLINK("https://klasma.github.io/Logging_0781/kartor/A 11508-2024 karta.png", "A 11508-2024")</f>
        <v/>
      </c>
      <c r="Y450">
        <f>HYPERLINK("https://klasma.github.io/Logging_0781/kartor_geotiff/A 11508-2024 georefererad karta.tif", "A 11508-2024")</f>
        <v/>
      </c>
      <c r="AA450">
        <f>HYPERLINK("https://klasma.github.io/Logging_0781/klagomål/A 11508-2024 FSC-klagomål.docx", "A 11508-2024")</f>
        <v/>
      </c>
      <c r="AB450">
        <f>HYPERLINK("https://klasma.github.io/Logging_0781/klagomålsmail/A 11508-2024 FSC-klagomål mail.docx", "A 11508-2024")</f>
        <v/>
      </c>
      <c r="AC450">
        <f>HYPERLINK("https://klasma.github.io/Logging_0781/tillsyn/A 11508-2024 tillsynsbegäran.docx", "A 11508-2024")</f>
        <v/>
      </c>
      <c r="AD450">
        <f>HYPERLINK("https://klasma.github.io/Logging_0781/tillsynsmail/A 11508-2024 tillsynsbegäran mail.docx", "A 11508-2024")</f>
        <v/>
      </c>
    </row>
    <row r="451" ht="15" customHeight="1">
      <c r="A451" t="inlineStr">
        <is>
          <t>A 15426-2023</t>
        </is>
      </c>
      <c r="B451" t="inlineStr">
        <is>
          <t>avverkningsanmälan</t>
        </is>
      </c>
      <c r="C451" t="inlineStr">
        <is>
          <t>Föryngringsavverkning</t>
        </is>
      </c>
      <c r="D451" s="1" t="n">
        <v>45020</v>
      </c>
      <c r="E451" s="1" t="n">
        <v>46316</v>
      </c>
      <c r="F451" t="inlineStr">
        <is>
          <t>KRONOBERGS LÄN</t>
        </is>
      </c>
      <c r="G451" t="inlineStr">
        <is>
          <t>LJUNGBY</t>
        </is>
      </c>
      <c r="H451" t="inlineStr">
        <is>
          <t>Kyrkan</t>
        </is>
      </c>
      <c r="I451" t="n">
        <v>1</v>
      </c>
      <c r="J451" t="n">
        <v>0</v>
      </c>
      <c r="K451" t="n">
        <v>1</v>
      </c>
      <c r="L451" t="n">
        <v>0</v>
      </c>
      <c r="M451" t="n">
        <v>0</v>
      </c>
      <c r="N451" t="n">
        <v>0</v>
      </c>
      <c r="O451" t="n">
        <v>0</v>
      </c>
      <c r="P451" t="n">
        <v>0</v>
      </c>
      <c r="Q451" t="n">
        <v>0</v>
      </c>
      <c r="R451" t="n">
        <v>0</v>
      </c>
      <c r="S451" t="n">
        <v>1</v>
      </c>
      <c r="T451" t="n">
        <v>1</v>
      </c>
      <c r="U451" t="n">
        <v>0</v>
      </c>
      <c r="V451" s="2" t="inlineStr">
        <is>
          <t>Myskmadra</t>
        </is>
      </c>
      <c r="W451">
        <f>HYPERLINK("https://klasma.github.io/Logging_0781/artfynd/A 15426-2023 artfynd.xlsx", "A 15426-2023")</f>
        <v/>
      </c>
      <c r="X451">
        <f>HYPERLINK("https://klasma.github.io/Logging_0781/kartor/A 15426-2023 karta.png", "A 15426-2023")</f>
        <v/>
      </c>
      <c r="Y451">
        <f>HYPERLINK("https://klasma.github.io/Logging_0781/kartor_geotiff/A 15426-2023 georefererad karta.tif", "A 15426-2023")</f>
        <v/>
      </c>
      <c r="AA451">
        <f>HYPERLINK("https://klasma.github.io/Logging_0781/klagomål/A 15426-2023 FSC-klagomål.docx", "A 15426-2023")</f>
        <v/>
      </c>
      <c r="AB451">
        <f>HYPERLINK("https://klasma.github.io/Logging_0781/klagomålsmail/A 15426-2023 FSC-klagomål mail.docx", "A 15426-2023")</f>
        <v/>
      </c>
      <c r="AC451">
        <f>HYPERLINK("https://klasma.github.io/Logging_0781/tillsyn/A 15426-2023 tillsynsbegäran.docx", "A 15426-2023")</f>
        <v/>
      </c>
      <c r="AD451">
        <f>HYPERLINK("https://klasma.github.io/Logging_0781/tillsynsmail/A 15426-2023 tillsynsbegäran mail.docx", "A 15426-2023")</f>
        <v/>
      </c>
    </row>
    <row r="452" ht="15" customHeight="1">
      <c r="A452" t="inlineStr">
        <is>
          <t>A 15922-2025</t>
        </is>
      </c>
      <c r="B452" t="inlineStr">
        <is>
          <t>avverkningsanmälan</t>
        </is>
      </c>
      <c r="C452" t="inlineStr">
        <is>
          <t>Föryngringsavverkning</t>
        </is>
      </c>
      <c r="D452" s="1" t="n">
        <v>45749</v>
      </c>
      <c r="E452" s="1" t="n">
        <v>46316</v>
      </c>
      <c r="F452" t="inlineStr">
        <is>
          <t>KRONOBERGS LÄN</t>
        </is>
      </c>
      <c r="G452" t="inlineStr">
        <is>
          <t>LJUNGBY</t>
        </is>
      </c>
      <c r="I452" t="n">
        <v>4.4</v>
      </c>
      <c r="J452" t="n">
        <v>1</v>
      </c>
      <c r="K452" t="n">
        <v>0</v>
      </c>
      <c r="L452" t="n">
        <v>1</v>
      </c>
      <c r="M452" t="n">
        <v>0</v>
      </c>
      <c r="N452" t="n">
        <v>0</v>
      </c>
      <c r="O452" t="n">
        <v>0</v>
      </c>
      <c r="P452" t="n">
        <v>0</v>
      </c>
      <c r="Q452" t="n">
        <v>1</v>
      </c>
      <c r="R452" t="n">
        <v>0</v>
      </c>
      <c r="S452" t="n">
        <v>1</v>
      </c>
      <c r="T452" t="n">
        <v>1</v>
      </c>
      <c r="U452" t="n">
        <v>0</v>
      </c>
      <c r="V452" s="2" t="inlineStr">
        <is>
          <t>Kungsörn</t>
        </is>
      </c>
      <c r="W452">
        <f>HYPERLINK("https://klasma.github.io/Logging_0781/artfynd/A 15922-2025 artfynd.xlsx", "A 15922-2025")</f>
        <v/>
      </c>
      <c r="X452">
        <f>HYPERLINK("https://klasma.github.io/Logging_0781/kartor/A 15922-2025 karta.png", "A 15922-2025")</f>
        <v/>
      </c>
      <c r="Y452">
        <f>HYPERLINK("https://klasma.github.io/Logging_0781/kartor_geotiff/A 15922-2025 georefererad karta.tif", "A 15922-2025")</f>
        <v/>
      </c>
      <c r="AA452">
        <f>HYPERLINK("https://klasma.github.io/Logging_0781/klagomål/A 15922-2025 FSC-klagomål.docx", "A 15922-2025")</f>
        <v/>
      </c>
      <c r="AB452">
        <f>HYPERLINK("https://klasma.github.io/Logging_0781/klagomålsmail/A 15922-2025 FSC-klagomål mail.docx", "A 15922-2025")</f>
        <v/>
      </c>
      <c r="AC452">
        <f>HYPERLINK("https://klasma.github.io/Logging_0781/tillsyn/A 15922-2025 tillsynsbegäran.docx", "A 15922-2025")</f>
        <v/>
      </c>
      <c r="AD452">
        <f>HYPERLINK("https://klasma.github.io/Logging_0781/tillsynsmail/A 15922-2025 tillsynsbegäran mail.docx", "A 15922-2025")</f>
        <v/>
      </c>
      <c r="AE452">
        <f>HYPERLINK("https://klasma.github.io/Logging_0781/fåglar/A 15922-2025 prioriterade fågelarter.docx", "A 15922-2025")</f>
        <v/>
      </c>
    </row>
    <row r="453" ht="15" customHeight="1">
      <c r="A453" t="inlineStr">
        <is>
          <t>A 12184-2023</t>
        </is>
      </c>
      <c r="B453" t="inlineStr">
        <is>
          <t>avverkningsanmälan</t>
        </is>
      </c>
      <c r="C453" t="inlineStr">
        <is>
          <t>Föryngringsavverkning</t>
        </is>
      </c>
      <c r="D453" s="1" t="n">
        <v>44998</v>
      </c>
      <c r="E453" s="1" t="n">
        <v>46316</v>
      </c>
      <c r="F453" t="inlineStr">
        <is>
          <t>KRONOBERGS LÄN</t>
        </is>
      </c>
      <c r="G453" t="inlineStr">
        <is>
          <t>UPPVIDINGE</t>
        </is>
      </c>
      <c r="I453" t="n">
        <v>0.6</v>
      </c>
      <c r="J453" t="n">
        <v>0</v>
      </c>
      <c r="K453" t="n">
        <v>0</v>
      </c>
      <c r="L453" t="n">
        <v>1</v>
      </c>
      <c r="M453" t="n">
        <v>0</v>
      </c>
      <c r="N453" t="n">
        <v>0</v>
      </c>
      <c r="O453" t="n">
        <v>0</v>
      </c>
      <c r="P453" t="n">
        <v>0</v>
      </c>
      <c r="Q453" t="n">
        <v>1</v>
      </c>
      <c r="R453" t="n">
        <v>0</v>
      </c>
      <c r="S453" t="n">
        <v>1</v>
      </c>
      <c r="T453" t="n">
        <v>1</v>
      </c>
      <c r="U453" t="n">
        <v>0</v>
      </c>
      <c r="V453" s="2" t="inlineStr">
        <is>
          <t>Fjällig taggsvamp s.str.</t>
        </is>
      </c>
      <c r="W453">
        <f>HYPERLINK("https://klasma.github.io/Logging_0760/artfynd/A 12184-2023 artfynd.xlsx", "A 12184-2023")</f>
        <v/>
      </c>
      <c r="X453">
        <f>HYPERLINK("https://klasma.github.io/Logging_0760/kartor/A 12184-2023 karta.png", "A 12184-2023")</f>
        <v/>
      </c>
      <c r="Y453">
        <f>HYPERLINK("https://klasma.github.io/Logging_0760/kartor_geotiff/A 12184-2023 georefererad karta.tif", "A 12184-2023")</f>
        <v/>
      </c>
      <c r="AA453">
        <f>HYPERLINK("https://klasma.github.io/Logging_0760/klagomål/A 12184-2023 FSC-klagomål.docx", "A 12184-2023")</f>
        <v/>
      </c>
      <c r="AB453">
        <f>HYPERLINK("https://klasma.github.io/Logging_0760/klagomålsmail/A 12184-2023 FSC-klagomål mail.docx", "A 12184-2023")</f>
        <v/>
      </c>
      <c r="AC453">
        <f>HYPERLINK("https://klasma.github.io/Logging_0760/tillsyn/A 12184-2023 tillsynsbegäran.docx", "A 12184-2023")</f>
        <v/>
      </c>
      <c r="AD453">
        <f>HYPERLINK("https://klasma.github.io/Logging_0760/tillsynsmail/A 12184-2023 tillsynsbegäran mail.docx", "A 12184-2023")</f>
        <v/>
      </c>
    </row>
    <row r="454" ht="15" customHeight="1">
      <c r="A454" t="inlineStr">
        <is>
          <t>A 32963-2024</t>
        </is>
      </c>
      <c r="B454" t="inlineStr">
        <is>
          <t>avverkningsanmälan</t>
        </is>
      </c>
      <c r="C454" t="inlineStr">
        <is>
          <t>Föryngringsavverkning</t>
        </is>
      </c>
      <c r="D454" s="1" t="n">
        <v>45517</v>
      </c>
      <c r="E454" s="1" t="n">
        <v>46316</v>
      </c>
      <c r="F454" t="inlineStr">
        <is>
          <t>KRONOBERGS LÄN</t>
        </is>
      </c>
      <c r="G454" t="inlineStr">
        <is>
          <t>UPPVIDINGE</t>
        </is>
      </c>
      <c r="I454" t="n">
        <v>4.9</v>
      </c>
      <c r="J454" t="n">
        <v>1</v>
      </c>
      <c r="K454" t="n">
        <v>0</v>
      </c>
      <c r="L454" t="n">
        <v>0</v>
      </c>
      <c r="M454" t="n">
        <v>0</v>
      </c>
      <c r="N454" t="n">
        <v>0</v>
      </c>
      <c r="O454" t="n">
        <v>0</v>
      </c>
      <c r="P454" t="n">
        <v>0</v>
      </c>
      <c r="Q454" t="n">
        <v>0</v>
      </c>
      <c r="R454" t="n">
        <v>0</v>
      </c>
      <c r="S454" t="n">
        <v>1</v>
      </c>
      <c r="T454" t="n">
        <v>1</v>
      </c>
      <c r="U454" t="n">
        <v>0</v>
      </c>
      <c r="V454" s="2" t="inlineStr">
        <is>
          <t>Kungsfågel</t>
        </is>
      </c>
      <c r="W454">
        <f>HYPERLINK("https://klasma.github.io/Logging_0760/artfynd/A 32963-2024 artfynd.xlsx", "A 32963-2024")</f>
        <v/>
      </c>
      <c r="X454">
        <f>HYPERLINK("https://klasma.github.io/Logging_0760/kartor/A 32963-2024 karta.png", "A 32963-2024")</f>
        <v/>
      </c>
      <c r="Y454">
        <f>HYPERLINK("https://klasma.github.io/Logging_0760/kartor_geotiff/A 32963-2024 georefererad karta.tif", "A 32963-2024")</f>
        <v/>
      </c>
      <c r="AA454">
        <f>HYPERLINK("https://klasma.github.io/Logging_0760/klagomål/A 32963-2024 FSC-klagomål.docx", "A 32963-2024")</f>
        <v/>
      </c>
      <c r="AB454">
        <f>HYPERLINK("https://klasma.github.io/Logging_0760/klagomålsmail/A 32963-2024 FSC-klagomål mail.docx", "A 32963-2024")</f>
        <v/>
      </c>
      <c r="AC454">
        <f>HYPERLINK("https://klasma.github.io/Logging_0760/tillsyn/A 32963-2024 tillsynsbegäran.docx", "A 32963-2024")</f>
        <v/>
      </c>
      <c r="AD454">
        <f>HYPERLINK("https://klasma.github.io/Logging_0760/tillsynsmail/A 32963-2024 tillsynsbegäran mail.docx", "A 32963-2024")</f>
        <v/>
      </c>
    </row>
    <row r="455" ht="15" customHeight="1">
      <c r="A455" t="inlineStr">
        <is>
          <t>A 56864-2022</t>
        </is>
      </c>
      <c r="B455" t="inlineStr">
        <is>
          <t>avverkningsanmälan</t>
        </is>
      </c>
      <c r="C455" t="inlineStr">
        <is>
          <t>Föryngringsavverkning</t>
        </is>
      </c>
      <c r="D455" s="1" t="n">
        <v>44894</v>
      </c>
      <c r="E455" s="1" t="n">
        <v>46316</v>
      </c>
      <c r="F455" t="inlineStr">
        <is>
          <t>KRONOBERGS LÄN</t>
        </is>
      </c>
      <c r="G455" t="inlineStr">
        <is>
          <t>VÄXJÖ</t>
        </is>
      </c>
      <c r="I455" t="n">
        <v>8.699999999999999</v>
      </c>
      <c r="J455" t="n">
        <v>1</v>
      </c>
      <c r="K455" t="n">
        <v>0</v>
      </c>
      <c r="L455" t="n">
        <v>1</v>
      </c>
      <c r="M455" t="n">
        <v>0</v>
      </c>
      <c r="N455" t="n">
        <v>0</v>
      </c>
      <c r="O455" t="n">
        <v>0</v>
      </c>
      <c r="P455" t="n">
        <v>0</v>
      </c>
      <c r="Q455" t="n">
        <v>1</v>
      </c>
      <c r="R455" t="n">
        <v>0</v>
      </c>
      <c r="S455" t="n">
        <v>1</v>
      </c>
      <c r="T455" t="n">
        <v>1</v>
      </c>
      <c r="U455" t="n">
        <v>1</v>
      </c>
      <c r="V455" s="2" t="inlineStr">
        <is>
          <t>Ladusvala</t>
        </is>
      </c>
      <c r="W455">
        <f>HYPERLINK("https://klasma.github.io/Logging_0780/artfynd/A 56864-2022 artfynd.xlsx", "A 56864-2022")</f>
        <v/>
      </c>
      <c r="X455">
        <f>HYPERLINK("https://klasma.github.io/Logging_0780/kartor/A 56864-2022 karta.png", "A 56864-2022")</f>
        <v/>
      </c>
      <c r="Y455">
        <f>HYPERLINK("https://klasma.github.io/Logging_0780/kartor_geotiff/A 56864-2022 georefererad karta.tif", "A 56864-2022")</f>
        <v/>
      </c>
      <c r="AA455">
        <f>HYPERLINK("https://klasma.github.io/Logging_0780/klagomål/A 56864-2022 FSC-klagomål.docx", "A 56864-2022")</f>
        <v/>
      </c>
      <c r="AB455">
        <f>HYPERLINK("https://klasma.github.io/Logging_0780/klagomålsmail/A 56864-2022 FSC-klagomål mail.docx", "A 56864-2022")</f>
        <v/>
      </c>
      <c r="AC455">
        <f>HYPERLINK("https://klasma.github.io/Logging_0780/tillsyn/A 56864-2022 tillsynsbegäran.docx", "A 56864-2022")</f>
        <v/>
      </c>
      <c r="AD455">
        <f>HYPERLINK("https://klasma.github.io/Logging_0780/tillsynsmail/A 56864-2022 tillsynsbegäran mail.docx", "A 56864-2022")</f>
        <v/>
      </c>
    </row>
    <row r="456" ht="15" customHeight="1">
      <c r="A456" t="inlineStr">
        <is>
          <t>A 40911-2024</t>
        </is>
      </c>
      <c r="B456" t="inlineStr">
        <is>
          <t>avverkningsanmälan</t>
        </is>
      </c>
      <c r="C456" t="inlineStr">
        <is>
          <t>Föryngringsavverkning</t>
        </is>
      </c>
      <c r="D456" s="1" t="n">
        <v>45558</v>
      </c>
      <c r="E456" s="1" t="n">
        <v>46316</v>
      </c>
      <c r="F456" t="inlineStr">
        <is>
          <t>KRONOBERGS LÄN</t>
        </is>
      </c>
      <c r="G456" t="inlineStr">
        <is>
          <t>LJUNGBY</t>
        </is>
      </c>
      <c r="H456" t="inlineStr">
        <is>
          <t>Sveaskog</t>
        </is>
      </c>
      <c r="I456" t="n">
        <v>9.1</v>
      </c>
      <c r="J456" t="n">
        <v>1</v>
      </c>
      <c r="K456" t="n">
        <v>0</v>
      </c>
      <c r="L456" t="n">
        <v>0</v>
      </c>
      <c r="M456" t="n">
        <v>0</v>
      </c>
      <c r="N456" t="n">
        <v>0</v>
      </c>
      <c r="O456" t="n">
        <v>0</v>
      </c>
      <c r="P456" t="n">
        <v>0</v>
      </c>
      <c r="Q456" t="n">
        <v>0</v>
      </c>
      <c r="R456" t="n">
        <v>0</v>
      </c>
      <c r="S456" t="n">
        <v>1</v>
      </c>
      <c r="T456" t="n">
        <v>1</v>
      </c>
      <c r="U456" t="n">
        <v>0</v>
      </c>
      <c r="V456" s="2" t="inlineStr">
        <is>
          <t>Revlummer</t>
        </is>
      </c>
      <c r="W456">
        <f>HYPERLINK("https://klasma.github.io/Logging_0781/artfynd/A 40911-2024 artfynd.xlsx", "A 40911-2024")</f>
        <v/>
      </c>
      <c r="X456">
        <f>HYPERLINK("https://klasma.github.io/Logging_0781/kartor/A 40911-2024 karta.png", "A 40911-2024")</f>
        <v/>
      </c>
      <c r="Y456">
        <f>HYPERLINK("https://klasma.github.io/Logging_0781/kartor_geotiff/A 40911-2024 georefererad karta.tif", "A 40911-2024")</f>
        <v/>
      </c>
      <c r="AA456">
        <f>HYPERLINK("https://klasma.github.io/Logging_0781/klagomål/A 40911-2024 FSC-klagomål.docx", "A 40911-2024")</f>
        <v/>
      </c>
      <c r="AB456">
        <f>HYPERLINK("https://klasma.github.io/Logging_0781/klagomålsmail/A 40911-2024 FSC-klagomål mail.docx", "A 40911-2024")</f>
        <v/>
      </c>
      <c r="AC456">
        <f>HYPERLINK("https://klasma.github.io/Logging_0781/tillsyn/A 40911-2024 tillsynsbegäran.docx", "A 40911-2024")</f>
        <v/>
      </c>
      <c r="AD456">
        <f>HYPERLINK("https://klasma.github.io/Logging_0781/tillsynsmail/A 40911-2024 tillsynsbegäran mail.docx", "A 40911-2024")</f>
        <v/>
      </c>
    </row>
    <row r="457" ht="15" customHeight="1">
      <c r="A457" t="inlineStr">
        <is>
          <t>S 1050-2024</t>
        </is>
      </c>
      <c r="B457" t="inlineStr">
        <is>
          <t>samrådsanmälan</t>
        </is>
      </c>
      <c r="C457" t="inlineStr">
        <is>
          <t>Askåterföring</t>
        </is>
      </c>
      <c r="D457" s="1" t="n">
        <v>45387</v>
      </c>
      <c r="E457" s="1" t="n">
        <v>46316</v>
      </c>
      <c r="F457" t="inlineStr">
        <is>
          <t>KRONOBERGS LÄN</t>
        </is>
      </c>
      <c r="G457" t="inlineStr">
        <is>
          <t>TINGSRYD</t>
        </is>
      </c>
      <c r="I457" t="n">
        <v>16.9</v>
      </c>
      <c r="J457" t="n">
        <v>0</v>
      </c>
      <c r="K457" t="n">
        <v>0</v>
      </c>
      <c r="L457" t="n">
        <v>1</v>
      </c>
      <c r="M457" t="n">
        <v>0</v>
      </c>
      <c r="N457" t="n">
        <v>0</v>
      </c>
      <c r="O457" t="n">
        <v>0</v>
      </c>
      <c r="P457" t="n">
        <v>0</v>
      </c>
      <c r="Q457" t="n">
        <v>1</v>
      </c>
      <c r="R457" t="n">
        <v>0</v>
      </c>
      <c r="S457" t="n">
        <v>1</v>
      </c>
      <c r="T457" t="n">
        <v>1</v>
      </c>
      <c r="U457" t="n">
        <v>1</v>
      </c>
      <c r="V457" s="2" t="inlineStr">
        <is>
          <t>Kavelhirs</t>
        </is>
      </c>
      <c r="W457">
        <f>HYPERLINK("https://klasma.github.io/Logging_0763/artfynd/S 1050-2024 artfynd.xlsx", "S 1050-2024")</f>
        <v/>
      </c>
      <c r="X457">
        <f>HYPERLINK("https://klasma.github.io/Logging_0763/kartor/S 1050-2024 karta.png", "S 1050-2024")</f>
        <v/>
      </c>
      <c r="Y457">
        <f>HYPERLINK("https://klasma.github.io/Logging_0763/kartor_geotiff/S 1050-2024 georefererad karta.tif", "S 1050-2024")</f>
        <v/>
      </c>
      <c r="AA457">
        <f>HYPERLINK("https://klasma.github.io/Logging_0763/klagomål/S 1050-2024 FSC-klagomål.docx", "S 1050-2024")</f>
        <v/>
      </c>
      <c r="AB457">
        <f>HYPERLINK("https://klasma.github.io/Logging_0763/klagomålsmail/S 1050-2024 FSC-klagomål mail.docx", "S 1050-2024")</f>
        <v/>
      </c>
      <c r="AC457">
        <f>HYPERLINK("https://klasma.github.io/Logging_0763/tillsyn/S 1050-2024 tillsynsbegäran.docx", "S 1050-2024")</f>
        <v/>
      </c>
      <c r="AD457">
        <f>HYPERLINK("https://klasma.github.io/Logging_0763/tillsynsmail/S 1050-2024 tillsynsbegäran mail.docx", "S 1050-2024")</f>
        <v/>
      </c>
    </row>
    <row r="458" ht="15" customHeight="1">
      <c r="A458" t="inlineStr">
        <is>
          <t>S 625-2023</t>
        </is>
      </c>
      <c r="B458" t="inlineStr">
        <is>
          <t>samrådsanmälan</t>
        </is>
      </c>
      <c r="C458" t="inlineStr">
        <is>
          <t>Askåterföring</t>
        </is>
      </c>
      <c r="D458" s="1" t="n">
        <v>44972</v>
      </c>
      <c r="E458" s="1" t="n">
        <v>46316</v>
      </c>
      <c r="F458" t="inlineStr">
        <is>
          <t>KRONOBERGS LÄN</t>
        </is>
      </c>
      <c r="G458" t="inlineStr">
        <is>
          <t>MARKARYD</t>
        </is>
      </c>
      <c r="I458" t="n">
        <v>45.7</v>
      </c>
      <c r="J458" t="n">
        <v>0</v>
      </c>
      <c r="K458" t="n">
        <v>0</v>
      </c>
      <c r="L458" t="n">
        <v>0</v>
      </c>
      <c r="M458" t="n">
        <v>1</v>
      </c>
      <c r="N458" t="n">
        <v>0</v>
      </c>
      <c r="O458" t="n">
        <v>0</v>
      </c>
      <c r="P458" t="n">
        <v>0</v>
      </c>
      <c r="Q458" t="n">
        <v>1</v>
      </c>
      <c r="R458" t="n">
        <v>1</v>
      </c>
      <c r="S458" t="n">
        <v>1</v>
      </c>
      <c r="T458" t="n">
        <v>7</v>
      </c>
      <c r="U458" t="n">
        <v>3</v>
      </c>
      <c r="V458" s="2" t="inlineStr">
        <is>
          <t>Slåttergubbe</t>
        </is>
      </c>
      <c r="W458">
        <f>HYPERLINK("https://klasma.github.io/Logging_0767/artfynd/S 625-2023 artfynd.xlsx", "S 625-2023")</f>
        <v/>
      </c>
      <c r="X458">
        <f>HYPERLINK("https://klasma.github.io/Logging_0767/kartor/S 625-2023 karta.png", "S 625-2023")</f>
        <v/>
      </c>
      <c r="Y458">
        <f>HYPERLINK("https://klasma.github.io/Logging_0767/kartor_geotiff/S 625-2023 georefererad karta.tif", "S 625-2023")</f>
        <v/>
      </c>
      <c r="AA458">
        <f>HYPERLINK("https://klasma.github.io/Logging_0767/klagomål/S 625-2023 FSC-klagomål.docx", "S 625-2023")</f>
        <v/>
      </c>
      <c r="AB458">
        <f>HYPERLINK("https://klasma.github.io/Logging_0767/klagomålsmail/S 625-2023 FSC-klagomål mail.docx", "S 625-2023")</f>
        <v/>
      </c>
      <c r="AC458">
        <f>HYPERLINK("https://klasma.github.io/Logging_0767/tillsyn/S 625-2023 tillsynsbegäran.docx", "S 625-2023")</f>
        <v/>
      </c>
      <c r="AD458">
        <f>HYPERLINK("https://klasma.github.io/Logging_0767/tillsynsmail/S 625-2023 tillsynsbegäran mail.docx", "S 625-2023")</f>
        <v/>
      </c>
    </row>
    <row r="459" ht="15" customHeight="1">
      <c r="A459" t="inlineStr">
        <is>
          <t>S 1432-2022</t>
        </is>
      </c>
      <c r="B459" t="inlineStr">
        <is>
          <t>samrådsanmälan</t>
        </is>
      </c>
      <c r="C459" t="inlineStr">
        <is>
          <t>Askåterföring</t>
        </is>
      </c>
      <c r="D459" s="1" t="n">
        <v>44634</v>
      </c>
      <c r="E459" s="1" t="n">
        <v>46316</v>
      </c>
      <c r="F459" t="inlineStr">
        <is>
          <t>KRONOBERGS LÄN</t>
        </is>
      </c>
      <c r="G459" t="inlineStr">
        <is>
          <t>VÄXJÖ</t>
        </is>
      </c>
      <c r="I459" t="n">
        <v>41.7</v>
      </c>
      <c r="J459" t="n">
        <v>0</v>
      </c>
      <c r="K459" t="n">
        <v>1</v>
      </c>
      <c r="L459" t="n">
        <v>0</v>
      </c>
      <c r="M459" t="n">
        <v>0</v>
      </c>
      <c r="N459" t="n">
        <v>0</v>
      </c>
      <c r="O459" t="n">
        <v>0</v>
      </c>
      <c r="P459" t="n">
        <v>0</v>
      </c>
      <c r="Q459" t="n">
        <v>0</v>
      </c>
      <c r="R459" t="n">
        <v>0</v>
      </c>
      <c r="S459" t="n">
        <v>1</v>
      </c>
      <c r="T459" t="n">
        <v>1</v>
      </c>
      <c r="U459" t="n">
        <v>0</v>
      </c>
      <c r="V459" s="2" t="inlineStr">
        <is>
          <t>Västlig hakmossa</t>
        </is>
      </c>
      <c r="W459">
        <f>HYPERLINK("https://klasma.github.io/Logging_0780/artfynd/S 1432-2022 artfynd.xlsx", "S 1432-2022")</f>
        <v/>
      </c>
      <c r="X459">
        <f>HYPERLINK("https://klasma.github.io/Logging_0780/kartor/S 1432-2022 karta.png", "S 1432-2022")</f>
        <v/>
      </c>
      <c r="Y459">
        <f>HYPERLINK("https://klasma.github.io/Logging_0780/kartor_geotiff/S 1432-2022 georefererad karta.tif", "S 1432-2022")</f>
        <v/>
      </c>
      <c r="AA459">
        <f>HYPERLINK("https://klasma.github.io/Logging_0780/klagomål/S 1432-2022 FSC-klagomål.docx", "S 1432-2022")</f>
        <v/>
      </c>
      <c r="AB459">
        <f>HYPERLINK("https://klasma.github.io/Logging_0780/klagomålsmail/S 1432-2022 FSC-klagomål mail.docx", "S 1432-2022")</f>
        <v/>
      </c>
      <c r="AC459">
        <f>HYPERLINK("https://klasma.github.io/Logging_0780/tillsyn/S 1432-2022 tillsynsbegäran.docx", "S 1432-2022")</f>
        <v/>
      </c>
      <c r="AD459">
        <f>HYPERLINK("https://klasma.github.io/Logging_0780/tillsynsmail/S 1432-2022 tillsynsbegäran mail.docx", "S 1432-2022")</f>
        <v/>
      </c>
    </row>
    <row r="460" ht="15" customHeight="1">
      <c r="A460" t="inlineStr">
        <is>
          <t>S 2935-2022</t>
        </is>
      </c>
      <c r="B460" t="inlineStr">
        <is>
          <t>samrådsanmälan</t>
        </is>
      </c>
      <c r="C460" t="inlineStr">
        <is>
          <t>Askåterföring</t>
        </is>
      </c>
      <c r="D460" s="1" t="n">
        <v>44712</v>
      </c>
      <c r="E460" s="1" t="n">
        <v>46316</v>
      </c>
      <c r="F460" t="inlineStr">
        <is>
          <t>KRONOBERGS LÄN</t>
        </is>
      </c>
      <c r="G460" t="inlineStr">
        <is>
          <t>VÄXJÖ</t>
        </is>
      </c>
      <c r="I460" t="n">
        <v>40.4</v>
      </c>
      <c r="J460" t="n">
        <v>0</v>
      </c>
      <c r="K460" t="n">
        <v>1</v>
      </c>
      <c r="L460" t="n">
        <v>0</v>
      </c>
      <c r="M460" t="n">
        <v>0</v>
      </c>
      <c r="N460" t="n">
        <v>0</v>
      </c>
      <c r="O460" t="n">
        <v>0</v>
      </c>
      <c r="P460" t="n">
        <v>0</v>
      </c>
      <c r="Q460" t="n">
        <v>0</v>
      </c>
      <c r="R460" t="n">
        <v>0</v>
      </c>
      <c r="S460" t="n">
        <v>1</v>
      </c>
      <c r="T460" t="n">
        <v>1</v>
      </c>
      <c r="U460" t="n">
        <v>0</v>
      </c>
      <c r="V460" s="2" t="inlineStr">
        <is>
          <t>Rostfläck</t>
        </is>
      </c>
      <c r="W460">
        <f>HYPERLINK("https://klasma.github.io/Logging_0780/artfynd/S 2935-2022 artfynd.xlsx", "S 2935-2022")</f>
        <v/>
      </c>
      <c r="X460">
        <f>HYPERLINK("https://klasma.github.io/Logging_0780/kartor/S 2935-2022 karta.png", "S 2935-2022")</f>
        <v/>
      </c>
      <c r="Y460">
        <f>HYPERLINK("https://klasma.github.io/Logging_0780/kartor_geotiff/S 2935-2022 georefererad karta.tif", "S 2935-2022")</f>
        <v/>
      </c>
      <c r="AA460">
        <f>HYPERLINK("https://klasma.github.io/Logging_0780/klagomål/S 2935-2022 FSC-klagomål.docx", "S 2935-2022")</f>
        <v/>
      </c>
      <c r="AB460">
        <f>HYPERLINK("https://klasma.github.io/Logging_0780/klagomålsmail/S 2935-2022 FSC-klagomål mail.docx", "S 2935-2022")</f>
        <v/>
      </c>
      <c r="AC460">
        <f>HYPERLINK("https://klasma.github.io/Logging_0780/tillsyn/S 2935-2022 tillsynsbegäran.docx", "S 2935-2022")</f>
        <v/>
      </c>
      <c r="AD460">
        <f>HYPERLINK("https://klasma.github.io/Logging_0780/tillsynsmail/S 2935-2022 tillsynsbegäran mail.docx", "S 2935-2022")</f>
        <v/>
      </c>
    </row>
    <row r="461" ht="15" customHeight="1">
      <c r="A461" t="inlineStr">
        <is>
          <t>S 4241-2024</t>
        </is>
      </c>
      <c r="B461" t="inlineStr">
        <is>
          <t>samrådsanmälan</t>
        </is>
      </c>
      <c r="C461" t="inlineStr">
        <is>
          <t>Askåterföring</t>
        </is>
      </c>
      <c r="D461" s="1" t="n">
        <v>45581</v>
      </c>
      <c r="E461" s="1" t="n">
        <v>46316</v>
      </c>
      <c r="F461" t="inlineStr">
        <is>
          <t>KRONOBERGS LÄN</t>
        </is>
      </c>
      <c r="G461" t="inlineStr">
        <is>
          <t>MARKARYD</t>
        </is>
      </c>
      <c r="I461" t="n">
        <v>19.9</v>
      </c>
      <c r="J461" t="n">
        <v>0</v>
      </c>
      <c r="K461" t="n">
        <v>0</v>
      </c>
      <c r="L461" t="n">
        <v>1</v>
      </c>
      <c r="M461" t="n">
        <v>0</v>
      </c>
      <c r="N461" t="n">
        <v>0</v>
      </c>
      <c r="O461" t="n">
        <v>0</v>
      </c>
      <c r="P461" t="n">
        <v>0</v>
      </c>
      <c r="Q461" t="n">
        <v>1</v>
      </c>
      <c r="R461" t="n">
        <v>0</v>
      </c>
      <c r="S461" t="n">
        <v>1</v>
      </c>
      <c r="T461" t="n">
        <v>1</v>
      </c>
      <c r="U461" t="n">
        <v>1</v>
      </c>
      <c r="V461" s="2" t="inlineStr">
        <is>
          <t>Åkerkål</t>
        </is>
      </c>
      <c r="W461">
        <f>HYPERLINK("https://klasma.github.io/Logging_0767/artfynd/S 4241-2024 artfynd.xlsx", "S 4241-2024")</f>
        <v/>
      </c>
      <c r="X461">
        <f>HYPERLINK("https://klasma.github.io/Logging_0767/kartor/S 4241-2024 karta.png", "S 4241-2024")</f>
        <v/>
      </c>
      <c r="Y461">
        <f>HYPERLINK("https://klasma.github.io/Logging_0767/kartor_geotiff/S 4241-2024 georefererad karta.tif", "S 4241-2024")</f>
        <v/>
      </c>
      <c r="AA461">
        <f>HYPERLINK("https://klasma.github.io/Logging_0767/klagomål/S 4241-2024 FSC-klagomål.docx", "S 4241-2024")</f>
        <v/>
      </c>
      <c r="AB461">
        <f>HYPERLINK("https://klasma.github.io/Logging_0767/klagomålsmail/S 4241-2024 FSC-klagomål mail.docx", "S 4241-2024")</f>
        <v/>
      </c>
      <c r="AC461">
        <f>HYPERLINK("https://klasma.github.io/Logging_0767/tillsyn/S 4241-2024 tillsynsbegäran.docx", "S 4241-2024")</f>
        <v/>
      </c>
      <c r="AD461">
        <f>HYPERLINK("https://klasma.github.io/Logging_0767/tillsynsmail/S 4241-2024 tillsynsbegäran mail.docx", "S 4241-2024")</f>
        <v/>
      </c>
    </row>
    <row r="462" ht="15" customHeight="1">
      <c r="A462" t="inlineStr">
        <is>
          <t>S 395-2023</t>
        </is>
      </c>
      <c r="B462" t="inlineStr">
        <is>
          <t>samrådsanmälan</t>
        </is>
      </c>
      <c r="C462" t="inlineStr">
        <is>
          <t>Askåterföring</t>
        </is>
      </c>
      <c r="D462" s="1" t="n">
        <v>44959</v>
      </c>
      <c r="E462" s="1" t="n">
        <v>46316</v>
      </c>
      <c r="F462" t="inlineStr">
        <is>
          <t>KRONOBERGS LÄN</t>
        </is>
      </c>
      <c r="G462" t="inlineStr">
        <is>
          <t>ALVESTA</t>
        </is>
      </c>
      <c r="I462" t="n">
        <v>73.3</v>
      </c>
      <c r="J462" t="n">
        <v>0</v>
      </c>
      <c r="K462" t="n">
        <v>0</v>
      </c>
      <c r="L462" t="n">
        <v>0</v>
      </c>
      <c r="M462" t="n">
        <v>0</v>
      </c>
      <c r="N462" t="n">
        <v>0</v>
      </c>
      <c r="O462" t="n">
        <v>1</v>
      </c>
      <c r="P462" t="n">
        <v>0</v>
      </c>
      <c r="Q462" t="n">
        <v>1</v>
      </c>
      <c r="R462" t="n">
        <v>1</v>
      </c>
      <c r="S462" t="n">
        <v>1</v>
      </c>
      <c r="T462" t="n">
        <v>3</v>
      </c>
      <c r="U462" t="n">
        <v>1</v>
      </c>
      <c r="V462" s="2" t="inlineStr">
        <is>
          <t>Bohuslind</t>
        </is>
      </c>
      <c r="W462">
        <f>HYPERLINK("https://klasma.github.io/Logging_0764/artfynd/S 395-2023 artfynd.xlsx", "S 395-2023")</f>
        <v/>
      </c>
      <c r="X462">
        <f>HYPERLINK("https://klasma.github.io/Logging_0764/kartor/S 395-2023 karta.png", "S 395-2023")</f>
        <v/>
      </c>
      <c r="Y462">
        <f>HYPERLINK("https://klasma.github.io/Logging_0764/kartor_geotiff/S 395-2023 georefererad karta.tif", "S 395-2023")</f>
        <v/>
      </c>
      <c r="AA462">
        <f>HYPERLINK("https://klasma.github.io/Logging_0764/klagomål/S 395-2023 FSC-klagomål.docx", "S 395-2023")</f>
        <v/>
      </c>
      <c r="AB462">
        <f>HYPERLINK("https://klasma.github.io/Logging_0764/klagomålsmail/S 395-2023 FSC-klagomål mail.docx", "S 395-2023")</f>
        <v/>
      </c>
      <c r="AC462">
        <f>HYPERLINK("https://klasma.github.io/Logging_0764/tillsyn/S 395-2023 tillsynsbegäran.docx", "S 395-2023")</f>
        <v/>
      </c>
      <c r="AD462">
        <f>HYPERLINK("https://klasma.github.io/Logging_0764/tillsynsmail/S 395-2023 tillsynsbegäran mail.docx", "S 395-2023")</f>
        <v/>
      </c>
    </row>
    <row r="463" ht="15" customHeight="1">
      <c r="A463" t="inlineStr">
        <is>
          <t>S 358-2024</t>
        </is>
      </c>
      <c r="B463" t="inlineStr">
        <is>
          <t>samrådsanmälan</t>
        </is>
      </c>
      <c r="C463" t="inlineStr">
        <is>
          <t>Askåterföring</t>
        </is>
      </c>
      <c r="D463" s="1" t="n">
        <v>45330</v>
      </c>
      <c r="E463" s="1" t="n">
        <v>46316</v>
      </c>
      <c r="F463" t="inlineStr">
        <is>
          <t>KRONOBERGS LÄN</t>
        </is>
      </c>
      <c r="G463" t="inlineStr">
        <is>
          <t>TINGSRYD</t>
        </is>
      </c>
      <c r="I463" t="n">
        <v>39.5</v>
      </c>
      <c r="J463" t="n">
        <v>1</v>
      </c>
      <c r="K463" t="n">
        <v>0</v>
      </c>
      <c r="L463" t="n">
        <v>0</v>
      </c>
      <c r="M463" t="n">
        <v>0</v>
      </c>
      <c r="N463" t="n">
        <v>0</v>
      </c>
      <c r="O463" t="n">
        <v>0</v>
      </c>
      <c r="P463" t="n">
        <v>0</v>
      </c>
      <c r="Q463" t="n">
        <v>0</v>
      </c>
      <c r="R463" t="n">
        <v>0</v>
      </c>
      <c r="S463" t="n">
        <v>1</v>
      </c>
      <c r="T463" t="n">
        <v>1</v>
      </c>
      <c r="U463" t="n">
        <v>1</v>
      </c>
      <c r="V463" s="2" t="inlineStr">
        <is>
          <t>Revlummer</t>
        </is>
      </c>
      <c r="W463">
        <f>HYPERLINK("https://klasma.github.io/Logging_0763/artfynd/S 358-2024 artfynd.xlsx", "S 358-2024")</f>
        <v/>
      </c>
      <c r="X463">
        <f>HYPERLINK("https://klasma.github.io/Logging_0763/kartor/S 358-2024 karta.png", "S 358-2024")</f>
        <v/>
      </c>
      <c r="Y463">
        <f>HYPERLINK("https://klasma.github.io/Logging_0763/kartor_geotiff/S 358-2024 georefererad karta.tif", "S 358-2024")</f>
        <v/>
      </c>
      <c r="AA463">
        <f>HYPERLINK("https://klasma.github.io/Logging_0763/klagomål/S 358-2024 FSC-klagomål.docx", "S 358-2024")</f>
        <v/>
      </c>
      <c r="AB463">
        <f>HYPERLINK("https://klasma.github.io/Logging_0763/klagomålsmail/S 358-2024 FSC-klagomål mail.docx", "S 358-2024")</f>
        <v/>
      </c>
      <c r="AC463">
        <f>HYPERLINK("https://klasma.github.io/Logging_0763/tillsyn/S 358-2024 tillsynsbegäran.docx", "S 358-2024")</f>
        <v/>
      </c>
      <c r="AD463">
        <f>HYPERLINK("https://klasma.github.io/Logging_0763/tillsynsmail/S 358-2024 tillsynsbegäran mail.docx", "S 358-2024")</f>
        <v/>
      </c>
    </row>
    <row r="464" ht="15" customHeight="1">
      <c r="A464" t="inlineStr">
        <is>
          <t>S 4800-2024</t>
        </is>
      </c>
      <c r="B464" t="inlineStr">
        <is>
          <t>samrådsanmälan</t>
        </is>
      </c>
      <c r="C464" t="inlineStr">
        <is>
          <t>Askåterföring</t>
        </is>
      </c>
      <c r="D464" s="1" t="n">
        <v>45611</v>
      </c>
      <c r="E464" s="1" t="n">
        <v>46316</v>
      </c>
      <c r="F464" t="inlineStr">
        <is>
          <t>KRONOBERGS LÄN</t>
        </is>
      </c>
      <c r="G464" t="inlineStr">
        <is>
          <t>LJUNGBY</t>
        </is>
      </c>
      <c r="I464" t="n">
        <v>25.1</v>
      </c>
      <c r="J464" t="n">
        <v>1</v>
      </c>
      <c r="K464" t="n">
        <v>0</v>
      </c>
      <c r="L464" t="n">
        <v>0</v>
      </c>
      <c r="M464" t="n">
        <v>0</v>
      </c>
      <c r="N464" t="n">
        <v>0</v>
      </c>
      <c r="O464" t="n">
        <v>0</v>
      </c>
      <c r="P464" t="n">
        <v>0</v>
      </c>
      <c r="Q464" t="n">
        <v>0</v>
      </c>
      <c r="R464" t="n">
        <v>0</v>
      </c>
      <c r="S464" t="n">
        <v>1</v>
      </c>
      <c r="T464" t="n">
        <v>1</v>
      </c>
      <c r="U464" t="n">
        <v>1</v>
      </c>
      <c r="V464" s="2" t="inlineStr">
        <is>
          <t>Vanlig padda</t>
        </is>
      </c>
      <c r="W464">
        <f>HYPERLINK("https://klasma.github.io/Logging_0781/artfynd/S 4800-2024 artfynd.xlsx", "S 4800-2024")</f>
        <v/>
      </c>
      <c r="X464">
        <f>HYPERLINK("https://klasma.github.io/Logging_0781/kartor/S 4800-2024 karta.png", "S 4800-2024")</f>
        <v/>
      </c>
      <c r="Y464">
        <f>HYPERLINK("https://klasma.github.io/Logging_0781/kartor_geotiff/S 4800-2024 georefererad karta.tif", "S 4800-2024")</f>
        <v/>
      </c>
      <c r="AA464">
        <f>HYPERLINK("https://klasma.github.io/Logging_0781/klagomål/S 4800-2024 FSC-klagomål.docx", "S 4800-2024")</f>
        <v/>
      </c>
      <c r="AB464">
        <f>HYPERLINK("https://klasma.github.io/Logging_0781/klagomålsmail/S 4800-2024 FSC-klagomål mail.docx", "S 4800-2024")</f>
        <v/>
      </c>
      <c r="AC464">
        <f>HYPERLINK("https://klasma.github.io/Logging_0781/tillsyn/S 4800-2024 tillsynsbegäran.docx", "S 4800-2024")</f>
        <v/>
      </c>
      <c r="AD464">
        <f>HYPERLINK("https://klasma.github.io/Logging_0781/tillsynsmail/S 4800-2024 tillsynsbegäran mail.docx", "S 4800-2024")</f>
        <v/>
      </c>
    </row>
    <row r="465" ht="15" customHeight="1">
      <c r="A465" t="inlineStr">
        <is>
          <t>S 1150-2022</t>
        </is>
      </c>
      <c r="B465" t="inlineStr">
        <is>
          <t>samrådsanmälan</t>
        </is>
      </c>
      <c r="C465" t="inlineStr">
        <is>
          <t>Askåterföring</t>
        </is>
      </c>
      <c r="D465" s="1" t="n">
        <v>44616</v>
      </c>
      <c r="E465" s="1" t="n">
        <v>46316</v>
      </c>
      <c r="F465" t="inlineStr">
        <is>
          <t>KRONOBERGS LÄN</t>
        </is>
      </c>
      <c r="G465" t="inlineStr">
        <is>
          <t>LJUNGBY</t>
        </is>
      </c>
      <c r="I465" t="n">
        <v>28.7</v>
      </c>
      <c r="J465" t="n">
        <v>0</v>
      </c>
      <c r="K465" t="n">
        <v>0</v>
      </c>
      <c r="L465" t="n">
        <v>0</v>
      </c>
      <c r="M465" t="n">
        <v>0</v>
      </c>
      <c r="N465" t="n">
        <v>1</v>
      </c>
      <c r="O465" t="n">
        <v>0</v>
      </c>
      <c r="P465" t="n">
        <v>0</v>
      </c>
      <c r="Q465" t="n">
        <v>1</v>
      </c>
      <c r="R465" t="n">
        <v>1</v>
      </c>
      <c r="S465" t="n">
        <v>1</v>
      </c>
      <c r="T465" t="n">
        <v>2</v>
      </c>
      <c r="U465" t="n">
        <v>2</v>
      </c>
      <c r="V465" s="2" t="inlineStr">
        <is>
          <t>Ljungögontröst</t>
        </is>
      </c>
      <c r="W465">
        <f>HYPERLINK("https://klasma.github.io/Logging_0781/artfynd/S 1150-2022 artfynd.xlsx", "S 1150-2022")</f>
        <v/>
      </c>
      <c r="X465">
        <f>HYPERLINK("https://klasma.github.io/Logging_0781/kartor/S 1150-2022 karta.png", "S 1150-2022")</f>
        <v/>
      </c>
      <c r="Y465">
        <f>HYPERLINK("https://klasma.github.io/Logging_0781/kartor_geotiff/S 1150-2022 georefererad karta.tif", "S 1150-2022")</f>
        <v/>
      </c>
      <c r="AA465">
        <f>HYPERLINK("https://klasma.github.io/Logging_0781/klagomål/S 1150-2022 FSC-klagomål.docx", "S 1150-2022")</f>
        <v/>
      </c>
      <c r="AB465">
        <f>HYPERLINK("https://klasma.github.io/Logging_0781/klagomålsmail/S 1150-2022 FSC-klagomål mail.docx", "S 1150-2022")</f>
        <v/>
      </c>
      <c r="AC465">
        <f>HYPERLINK("https://klasma.github.io/Logging_0781/tillsyn/S 1150-2022 tillsynsbegäran.docx", "S 1150-2022")</f>
        <v/>
      </c>
      <c r="AD465">
        <f>HYPERLINK("https://klasma.github.io/Logging_0781/tillsynsmail/S 1150-2022 tillsynsbegäran mail.docx", "S 1150-2022")</f>
        <v/>
      </c>
    </row>
    <row r="466" ht="15" customHeight="1">
      <c r="A466" t="inlineStr">
        <is>
          <t>S 3557-2023</t>
        </is>
      </c>
      <c r="B466" t="inlineStr">
        <is>
          <t>samrådsanmälan</t>
        </is>
      </c>
      <c r="C466" t="inlineStr">
        <is>
          <t>Annan skogsbruksåtgärd</t>
        </is>
      </c>
      <c r="D466" s="1" t="n">
        <v>45210</v>
      </c>
      <c r="E466" s="1" t="n">
        <v>46316</v>
      </c>
      <c r="F466" t="inlineStr">
        <is>
          <t>KRONOBERGS LÄN</t>
        </is>
      </c>
      <c r="G466" t="inlineStr">
        <is>
          <t>ALVESTA</t>
        </is>
      </c>
      <c r="I466" t="n">
        <v>1.3</v>
      </c>
      <c r="J466" t="n">
        <v>1</v>
      </c>
      <c r="K466" t="n">
        <v>0</v>
      </c>
      <c r="L466" t="n">
        <v>0</v>
      </c>
      <c r="M466" t="n">
        <v>0</v>
      </c>
      <c r="N466" t="n">
        <v>0</v>
      </c>
      <c r="O466" t="n">
        <v>0</v>
      </c>
      <c r="P466" t="n">
        <v>0</v>
      </c>
      <c r="Q466" t="n">
        <v>0</v>
      </c>
      <c r="R466" t="n">
        <v>0</v>
      </c>
      <c r="S466" t="n">
        <v>1</v>
      </c>
      <c r="T466" t="n">
        <v>4</v>
      </c>
      <c r="U466" t="n">
        <v>1</v>
      </c>
      <c r="V466" s="2" t="inlineStr">
        <is>
          <t>Blåsippa</t>
        </is>
      </c>
      <c r="W466">
        <f>HYPERLINK("https://klasma.github.io/Logging_0764/artfynd/S 3557-2023 artfynd.xlsx", "S 3557-2023")</f>
        <v/>
      </c>
      <c r="X466">
        <f>HYPERLINK("https://klasma.github.io/Logging_0764/kartor/S 3557-2023 karta.png", "S 3557-2023")</f>
        <v/>
      </c>
      <c r="Y466">
        <f>HYPERLINK("https://klasma.github.io/Logging_0764/kartor_geotiff/S 3557-2023 georefererad karta.tif", "S 3557-2023")</f>
        <v/>
      </c>
      <c r="AA466">
        <f>HYPERLINK("https://klasma.github.io/Logging_0764/klagomål/S 3557-2023 FSC-klagomål.docx", "S 3557-2023")</f>
        <v/>
      </c>
      <c r="AB466">
        <f>HYPERLINK("https://klasma.github.io/Logging_0764/klagomålsmail/S 3557-2023 FSC-klagomål mail.docx", "S 3557-2023")</f>
        <v/>
      </c>
      <c r="AC466">
        <f>HYPERLINK("https://klasma.github.io/Logging_0764/tillsyn/S 3557-2023 tillsynsbegäran.docx", "S 3557-2023")</f>
        <v/>
      </c>
      <c r="AD466">
        <f>HYPERLINK("https://klasma.github.io/Logging_0764/tillsynsmail/S 3557-2023 tillsynsbegäran mail.docx", "S 3557-2023")</f>
        <v/>
      </c>
    </row>
    <row r="467" ht="15" customHeight="1">
      <c r="A467" t="inlineStr">
        <is>
          <t>S 1866-2024</t>
        </is>
      </c>
      <c r="B467" t="inlineStr">
        <is>
          <t>samrådsanmälan</t>
        </is>
      </c>
      <c r="C467" t="inlineStr">
        <is>
          <t>Annan skogsbruksåtgärd</t>
        </is>
      </c>
      <c r="D467" s="1" t="n">
        <v>45440</v>
      </c>
      <c r="E467" s="1" t="n">
        <v>46316</v>
      </c>
      <c r="F467" t="inlineStr">
        <is>
          <t>KRONOBERGS LÄN</t>
        </is>
      </c>
      <c r="G467" t="inlineStr">
        <is>
          <t>UPPVIDINGE</t>
        </is>
      </c>
      <c r="I467" t="n">
        <v>1</v>
      </c>
      <c r="J467" t="n">
        <v>1</v>
      </c>
      <c r="K467" t="n">
        <v>0</v>
      </c>
      <c r="L467" t="n">
        <v>0</v>
      </c>
      <c r="M467" t="n">
        <v>0</v>
      </c>
      <c r="N467" t="n">
        <v>0</v>
      </c>
      <c r="O467" t="n">
        <v>0</v>
      </c>
      <c r="P467" t="n">
        <v>0</v>
      </c>
      <c r="Q467" t="n">
        <v>0</v>
      </c>
      <c r="R467" t="n">
        <v>0</v>
      </c>
      <c r="S467" t="n">
        <v>1</v>
      </c>
      <c r="T467" t="n">
        <v>1</v>
      </c>
      <c r="U467" t="n">
        <v>0</v>
      </c>
      <c r="V467" s="2" t="inlineStr">
        <is>
          <t>Blåsippa</t>
        </is>
      </c>
      <c r="W467">
        <f>HYPERLINK("https://klasma.github.io/Logging_0760/artfynd/S 1866-2024 artfynd.xlsx", "S 1866-2024")</f>
        <v/>
      </c>
      <c r="X467">
        <f>HYPERLINK("https://klasma.github.io/Logging_0760/kartor/S 1866-2024 karta.png", "S 1866-2024")</f>
        <v/>
      </c>
      <c r="Y467">
        <f>HYPERLINK("https://klasma.github.io/Logging_0760/kartor_geotiff/S 1866-2024 georefererad karta.tif", "S 1866-2024")</f>
        <v/>
      </c>
      <c r="AA467">
        <f>HYPERLINK("https://klasma.github.io/Logging_0760/klagomål/S 1866-2024 FSC-klagomål.docx", "S 1866-2024")</f>
        <v/>
      </c>
      <c r="AB467">
        <f>HYPERLINK("https://klasma.github.io/Logging_0760/klagomålsmail/S 1866-2024 FSC-klagomål mail.docx", "S 1866-2024")</f>
        <v/>
      </c>
      <c r="AC467">
        <f>HYPERLINK("https://klasma.github.io/Logging_0760/tillsyn/S 1866-2024 tillsynsbegäran.docx", "S 1866-2024")</f>
        <v/>
      </c>
      <c r="AD467">
        <f>HYPERLINK("https://klasma.github.io/Logging_0760/tillsynsmail/S 1866-2024 tillsynsbegäran mail.docx", "S 1866-2024")</f>
        <v/>
      </c>
    </row>
    <row r="468" ht="15" customHeight="1">
      <c r="A468" t="inlineStr">
        <is>
          <t>S 406-2024</t>
        </is>
      </c>
      <c r="B468" t="inlineStr">
        <is>
          <t>samrådsanmälan</t>
        </is>
      </c>
      <c r="C468" t="inlineStr">
        <is>
          <t>Askåterföring</t>
        </is>
      </c>
      <c r="D468" s="1" t="n">
        <v>45335</v>
      </c>
      <c r="E468" s="1" t="n">
        <v>46316</v>
      </c>
      <c r="F468" t="inlineStr">
        <is>
          <t>KRONOBERGS LÄN</t>
        </is>
      </c>
      <c r="G468" t="inlineStr">
        <is>
          <t>LJUNGBY</t>
        </is>
      </c>
      <c r="I468" t="n">
        <v>33.5</v>
      </c>
      <c r="J468" t="n">
        <v>1</v>
      </c>
      <c r="K468" t="n">
        <v>0</v>
      </c>
      <c r="L468" t="n">
        <v>0</v>
      </c>
      <c r="M468" t="n">
        <v>0</v>
      </c>
      <c r="N468" t="n">
        <v>1</v>
      </c>
      <c r="O468" t="n">
        <v>0</v>
      </c>
      <c r="P468" t="n">
        <v>0</v>
      </c>
      <c r="Q468" t="n">
        <v>1</v>
      </c>
      <c r="R468" t="n">
        <v>1</v>
      </c>
      <c r="S468" t="n">
        <v>1</v>
      </c>
      <c r="T468" t="n">
        <v>1</v>
      </c>
      <c r="U468" t="n">
        <v>1</v>
      </c>
      <c r="V468" s="2" t="inlineStr">
        <is>
          <t>Mosippa</t>
        </is>
      </c>
      <c r="W468">
        <f>HYPERLINK("https://klasma.github.io/Logging_0781/artfynd/S 406-2024 artfynd.xlsx", "S 406-2024")</f>
        <v/>
      </c>
      <c r="X468">
        <f>HYPERLINK("https://klasma.github.io/Logging_0781/kartor/S 406-2024 karta.png", "S 406-2024")</f>
        <v/>
      </c>
      <c r="Y468">
        <f>HYPERLINK("https://klasma.github.io/Logging_0781/kartor_geotiff/S 406-2024 georefererad karta.tif", "S 406-2024")</f>
        <v/>
      </c>
      <c r="AA468">
        <f>HYPERLINK("https://klasma.github.io/Logging_0781/klagomål/S 406-2024 FSC-klagomål.docx", "S 406-2024")</f>
        <v/>
      </c>
      <c r="AB468">
        <f>HYPERLINK("https://klasma.github.io/Logging_0781/klagomålsmail/S 406-2024 FSC-klagomål mail.docx", "S 406-2024")</f>
        <v/>
      </c>
      <c r="AC468">
        <f>HYPERLINK("https://klasma.github.io/Logging_0781/tillsyn/S 406-2024 tillsynsbegäran.docx", "S 406-2024")</f>
        <v/>
      </c>
      <c r="AD468">
        <f>HYPERLINK("https://klasma.github.io/Logging_0781/tillsynsmail/S 406-2024 tillsynsbegäran mail.docx", "S 406-2024")</f>
        <v/>
      </c>
    </row>
    <row r="469" ht="15" customHeight="1">
      <c r="A469" t="inlineStr">
        <is>
          <t>S 3374-2023</t>
        </is>
      </c>
      <c r="B469" t="inlineStr">
        <is>
          <t>samrådsanmälan</t>
        </is>
      </c>
      <c r="C469" t="inlineStr">
        <is>
          <t>Askåterföring</t>
        </is>
      </c>
      <c r="D469" s="1" t="n">
        <v>45198</v>
      </c>
      <c r="E469" s="1" t="n">
        <v>46316</v>
      </c>
      <c r="F469" t="inlineStr">
        <is>
          <t>KRONOBERGS LÄN</t>
        </is>
      </c>
      <c r="G469" t="inlineStr">
        <is>
          <t>ALVESTA</t>
        </is>
      </c>
      <c r="I469" t="n">
        <v>111.8</v>
      </c>
      <c r="J469" t="n">
        <v>0</v>
      </c>
      <c r="K469" t="n">
        <v>1</v>
      </c>
      <c r="L469" t="n">
        <v>0</v>
      </c>
      <c r="M469" t="n">
        <v>0</v>
      </c>
      <c r="N469" t="n">
        <v>0</v>
      </c>
      <c r="O469" t="n">
        <v>0</v>
      </c>
      <c r="P469" t="n">
        <v>0</v>
      </c>
      <c r="Q469" t="n">
        <v>0</v>
      </c>
      <c r="R469" t="n">
        <v>0</v>
      </c>
      <c r="S469" t="n">
        <v>1</v>
      </c>
      <c r="T469" t="n">
        <v>1</v>
      </c>
      <c r="U469" t="n">
        <v>0</v>
      </c>
      <c r="V469" s="2" t="inlineStr">
        <is>
          <t>Fällmossa</t>
        </is>
      </c>
      <c r="W469">
        <f>HYPERLINK("https://klasma.github.io/Logging_0764/artfynd/S 3374-2023 artfynd.xlsx", "S 3374-2023")</f>
        <v/>
      </c>
      <c r="X469">
        <f>HYPERLINK("https://klasma.github.io/Logging_0764/kartor/S 3374-2023 karta.png", "S 3374-2023")</f>
        <v/>
      </c>
      <c r="Y469">
        <f>HYPERLINK("https://klasma.github.io/Logging_0764/kartor_geotiff/S 3374-2023 georefererad karta.tif", "S 3374-2023")</f>
        <v/>
      </c>
      <c r="AA469">
        <f>HYPERLINK("https://klasma.github.io/Logging_0764/klagomål/S 3374-2023 FSC-klagomål.docx", "S 3374-2023")</f>
        <v/>
      </c>
      <c r="AB469">
        <f>HYPERLINK("https://klasma.github.io/Logging_0764/klagomålsmail/S 3374-2023 FSC-klagomål mail.docx", "S 3374-2023")</f>
        <v/>
      </c>
      <c r="AC469">
        <f>HYPERLINK("https://klasma.github.io/Logging_0764/tillsyn/S 3374-2023 tillsynsbegäran.docx", "S 3374-2023")</f>
        <v/>
      </c>
      <c r="AD469">
        <f>HYPERLINK("https://klasma.github.io/Logging_0764/tillsynsmail/S 3374-2023 tillsynsbegäran mail.docx", "S 3374-2023")</f>
        <v/>
      </c>
    </row>
    <row r="470" ht="15" customHeight="1">
      <c r="A470" t="inlineStr">
        <is>
          <t>S 218-2023</t>
        </is>
      </c>
      <c r="B470" t="inlineStr">
        <is>
          <t>samrådsanmälan</t>
        </is>
      </c>
      <c r="C470" t="inlineStr">
        <is>
          <t>Annan skogsbruksåtgärd</t>
        </is>
      </c>
      <c r="D470" s="1" t="n">
        <v>44950</v>
      </c>
      <c r="E470" s="1" t="n">
        <v>46316</v>
      </c>
      <c r="F470" t="inlineStr">
        <is>
          <t>KRONOBERGS LÄN</t>
        </is>
      </c>
      <c r="G470" t="inlineStr">
        <is>
          <t>VÄXJÖ</t>
        </is>
      </c>
      <c r="I470" t="n">
        <v>2</v>
      </c>
      <c r="J470" t="n">
        <v>0</v>
      </c>
      <c r="K470" t="n">
        <v>0</v>
      </c>
      <c r="L470" t="n">
        <v>1</v>
      </c>
      <c r="M470" t="n">
        <v>0</v>
      </c>
      <c r="N470" t="n">
        <v>0</v>
      </c>
      <c r="O470" t="n">
        <v>0</v>
      </c>
      <c r="P470" t="n">
        <v>0</v>
      </c>
      <c r="Q470" t="n">
        <v>1</v>
      </c>
      <c r="R470" t="n">
        <v>0</v>
      </c>
      <c r="S470" t="n">
        <v>1</v>
      </c>
      <c r="T470" t="n">
        <v>1</v>
      </c>
      <c r="U470" t="n">
        <v>0</v>
      </c>
      <c r="V470" s="2" t="inlineStr">
        <is>
          <t>Sydlig kantmusseron</t>
        </is>
      </c>
      <c r="W470">
        <f>HYPERLINK("https://klasma.github.io/Logging_0780/artfynd/S 218-2023 artfynd.xlsx", "S 218-2023")</f>
        <v/>
      </c>
      <c r="X470">
        <f>HYPERLINK("https://klasma.github.io/Logging_0780/kartor/S 218-2023 karta.png", "S 218-2023")</f>
        <v/>
      </c>
      <c r="Y470">
        <f>HYPERLINK("https://klasma.github.io/Logging_0780/kartor_geotiff/S 218-2023 georefererad karta.tif", "S 218-2023")</f>
        <v/>
      </c>
      <c r="AA470">
        <f>HYPERLINK("https://klasma.github.io/Logging_0780/klagomål/S 218-2023 FSC-klagomål.docx", "S 218-2023")</f>
        <v/>
      </c>
      <c r="AB470">
        <f>HYPERLINK("https://klasma.github.io/Logging_0780/klagomålsmail/S 218-2023 FSC-klagomål mail.docx", "S 218-2023")</f>
        <v/>
      </c>
      <c r="AC470">
        <f>HYPERLINK("https://klasma.github.io/Logging_0780/tillsyn/S 218-2023 tillsynsbegäran.docx", "S 218-2023")</f>
        <v/>
      </c>
      <c r="AD470">
        <f>HYPERLINK("https://klasma.github.io/Logging_0780/tillsynsmail/S 218-2023 tillsynsbegäran mail.docx", "S 218-2023")</f>
        <v/>
      </c>
    </row>
    <row r="471" ht="15" customHeight="1">
      <c r="A471" t="inlineStr">
        <is>
          <t>S 2358-2024</t>
        </is>
      </c>
      <c r="B471" t="inlineStr">
        <is>
          <t>samrådsanmälan</t>
        </is>
      </c>
      <c r="C471" t="inlineStr">
        <is>
          <t>Askåterföring</t>
        </is>
      </c>
      <c r="D471" s="1" t="n">
        <v>45467</v>
      </c>
      <c r="E471" s="1" t="n">
        <v>46316</v>
      </c>
      <c r="F471" t="inlineStr">
        <is>
          <t>KRONOBERGS LÄN</t>
        </is>
      </c>
      <c r="G471" t="inlineStr">
        <is>
          <t>TINGSRYD</t>
        </is>
      </c>
      <c r="I471" t="n">
        <v>9.4</v>
      </c>
      <c r="J471" t="n">
        <v>1</v>
      </c>
      <c r="K471" t="n">
        <v>0</v>
      </c>
      <c r="L471" t="n">
        <v>0</v>
      </c>
      <c r="M471" t="n">
        <v>0</v>
      </c>
      <c r="N471" t="n">
        <v>0</v>
      </c>
      <c r="O471" t="n">
        <v>0</v>
      </c>
      <c r="P471" t="n">
        <v>0</v>
      </c>
      <c r="Q471" t="n">
        <v>0</v>
      </c>
      <c r="R471" t="n">
        <v>0</v>
      </c>
      <c r="S471" t="n">
        <v>1</v>
      </c>
      <c r="T471" t="n">
        <v>1</v>
      </c>
      <c r="U471" t="n">
        <v>1</v>
      </c>
      <c r="V471" s="2" t="inlineStr">
        <is>
          <t>Mattlummer</t>
        </is>
      </c>
      <c r="W471">
        <f>HYPERLINK("https://klasma.github.io/Logging_0763/artfynd/S 2358-2024 artfynd.xlsx", "S 2358-2024")</f>
        <v/>
      </c>
      <c r="X471">
        <f>HYPERLINK("https://klasma.github.io/Logging_0763/kartor/S 2358-2024 karta.png", "S 2358-2024")</f>
        <v/>
      </c>
      <c r="Y471">
        <f>HYPERLINK("https://klasma.github.io/Logging_0763/kartor_geotiff/S 2358-2024 georefererad karta.tif", "S 2358-2024")</f>
        <v/>
      </c>
      <c r="AA471">
        <f>HYPERLINK("https://klasma.github.io/Logging_0763/klagomål/S 2358-2024 FSC-klagomål.docx", "S 2358-2024")</f>
        <v/>
      </c>
      <c r="AB471">
        <f>HYPERLINK("https://klasma.github.io/Logging_0763/klagomålsmail/S 2358-2024 FSC-klagomål mail.docx", "S 2358-2024")</f>
        <v/>
      </c>
      <c r="AC471">
        <f>HYPERLINK("https://klasma.github.io/Logging_0763/tillsyn/S 2358-2024 tillsynsbegäran.docx", "S 2358-2024")</f>
        <v/>
      </c>
      <c r="AD471">
        <f>HYPERLINK("https://klasma.github.io/Logging_0763/tillsynsmail/S 2358-2024 tillsynsbegäran mail.docx", "S 2358-2024")</f>
        <v/>
      </c>
    </row>
    <row r="472" ht="15" customHeight="1">
      <c r="A472" t="inlineStr">
        <is>
          <t>S 706-2023</t>
        </is>
      </c>
      <c r="B472" t="inlineStr">
        <is>
          <t>samrådsanmälan</t>
        </is>
      </c>
      <c r="C472" t="inlineStr">
        <is>
          <t>Askåterföring</t>
        </is>
      </c>
      <c r="D472" s="1" t="n">
        <v>44978</v>
      </c>
      <c r="E472" s="1" t="n">
        <v>46316</v>
      </c>
      <c r="F472" t="inlineStr">
        <is>
          <t>KRONOBERGS LÄN</t>
        </is>
      </c>
      <c r="G472" t="inlineStr">
        <is>
          <t>LJUNGBY</t>
        </is>
      </c>
      <c r="I472" t="n">
        <v>66.7</v>
      </c>
      <c r="J472" t="n">
        <v>1</v>
      </c>
      <c r="K472" t="n">
        <v>1</v>
      </c>
      <c r="L472" t="n">
        <v>0</v>
      </c>
      <c r="M472" t="n">
        <v>0</v>
      </c>
      <c r="N472" t="n">
        <v>0</v>
      </c>
      <c r="O472" t="n">
        <v>0</v>
      </c>
      <c r="P472" t="n">
        <v>0</v>
      </c>
      <c r="Q472" t="n">
        <v>0</v>
      </c>
      <c r="R472" t="n">
        <v>0</v>
      </c>
      <c r="S472" t="n">
        <v>1</v>
      </c>
      <c r="T472" t="n">
        <v>1</v>
      </c>
      <c r="U472" t="n">
        <v>0</v>
      </c>
      <c r="V472" s="2" t="inlineStr">
        <is>
          <t>Korallrot</t>
        </is>
      </c>
      <c r="W472">
        <f>HYPERLINK("https://klasma.github.io/Logging_0781/artfynd/S 706-2023 artfynd.xlsx", "S 706-2023")</f>
        <v/>
      </c>
      <c r="X472">
        <f>HYPERLINK("https://klasma.github.io/Logging_0781/kartor/S 706-2023 karta.png", "S 706-2023")</f>
        <v/>
      </c>
      <c r="Y472">
        <f>HYPERLINK("https://klasma.github.io/Logging_0781/kartor_geotiff/S 706-2023 georefererad karta.tif", "S 706-2023")</f>
        <v/>
      </c>
      <c r="AA472">
        <f>HYPERLINK("https://klasma.github.io/Logging_0781/klagomål/S 706-2023 FSC-klagomål.docx", "S 706-2023")</f>
        <v/>
      </c>
      <c r="AB472">
        <f>HYPERLINK("https://klasma.github.io/Logging_0781/klagomålsmail/S 706-2023 FSC-klagomål mail.docx", "S 706-2023")</f>
        <v/>
      </c>
      <c r="AC472">
        <f>HYPERLINK("https://klasma.github.io/Logging_0781/tillsyn/S 706-2023 tillsynsbegäran.docx", "S 706-2023")</f>
        <v/>
      </c>
      <c r="AD472">
        <f>HYPERLINK("https://klasma.github.io/Logging_0781/tillsynsmail/S 706-2023 tillsynsbegäran mail.docx", "S 706-2023")</f>
        <v/>
      </c>
    </row>
    <row r="473" ht="15" customHeight="1">
      <c r="A473" t="inlineStr">
        <is>
          <t>S 2682-2023</t>
        </is>
      </c>
      <c r="B473" t="inlineStr">
        <is>
          <t>samrådsanmälan</t>
        </is>
      </c>
      <c r="C473" t="n">
        <v/>
      </c>
      <c r="D473" s="1" t="n">
        <v>45153</v>
      </c>
      <c r="E473" s="1" t="n">
        <v>46316</v>
      </c>
      <c r="F473" t="inlineStr">
        <is>
          <t>KRONOBERGS LÄN</t>
        </is>
      </c>
      <c r="G473" t="inlineStr">
        <is>
          <t>TINGSRYD</t>
        </is>
      </c>
      <c r="I473" t="n">
        <v>47.7</v>
      </c>
      <c r="J473" t="n">
        <v>1</v>
      </c>
      <c r="K473" t="n">
        <v>0</v>
      </c>
      <c r="L473" t="n">
        <v>0</v>
      </c>
      <c r="M473" t="n">
        <v>0</v>
      </c>
      <c r="N473" t="n">
        <v>0</v>
      </c>
      <c r="O473" t="n">
        <v>0</v>
      </c>
      <c r="P473" t="n">
        <v>0</v>
      </c>
      <c r="Q473" t="n">
        <v>0</v>
      </c>
      <c r="R473" t="n">
        <v>0</v>
      </c>
      <c r="S473" t="n">
        <v>1</v>
      </c>
      <c r="T473" t="n">
        <v>1</v>
      </c>
      <c r="U473" t="n">
        <v>0</v>
      </c>
      <c r="V473" s="2" t="inlineStr">
        <is>
          <t>Huggorm</t>
        </is>
      </c>
      <c r="W473">
        <f>HYPERLINK("https://klasma.github.io/Logging_0763/artfynd/S 2682-2023 artfynd.xlsx", "S 2682-2023")</f>
        <v/>
      </c>
      <c r="X473">
        <f>HYPERLINK("https://klasma.github.io/Logging_0763/kartor/S 2682-2023 karta.png", "S 2682-2023")</f>
        <v/>
      </c>
      <c r="Y473">
        <f>HYPERLINK("https://klasma.github.io/Logging_0763/kartor_geotiff/S 2682-2023 georefererad karta.tif", "S 2682-2023")</f>
        <v/>
      </c>
      <c r="AA473">
        <f>HYPERLINK("https://klasma.github.io/Logging_0763/klagomål/S 2682-2023 FSC-klagomål.docx", "S 2682-2023")</f>
        <v/>
      </c>
      <c r="AB473">
        <f>HYPERLINK("https://klasma.github.io/Logging_0763/klagomålsmail/S 2682-2023 FSC-klagomål mail.docx", "S 2682-2023")</f>
        <v/>
      </c>
      <c r="AC473">
        <f>HYPERLINK("https://klasma.github.io/Logging_0763/tillsyn/S 2682-2023 tillsynsbegäran.docx", "S 2682-2023")</f>
        <v/>
      </c>
      <c r="AD473">
        <f>HYPERLINK("https://klasma.github.io/Logging_0763/tillsynsmail/S 2682-2023 tillsynsbegäran mail.docx", "S 2682-2023")</f>
        <v/>
      </c>
    </row>
    <row r="474" ht="15" customHeight="1">
      <c r="A474" t="inlineStr">
        <is>
          <t>S 5421-2022</t>
        </is>
      </c>
      <c r="B474" t="inlineStr">
        <is>
          <t>samrådsanmälan</t>
        </is>
      </c>
      <c r="C474" t="inlineStr">
        <is>
          <t>Askåterföring</t>
        </is>
      </c>
      <c r="D474" s="1" t="n">
        <v>44831</v>
      </c>
      <c r="E474" s="1" t="n">
        <v>46316</v>
      </c>
      <c r="F474" t="inlineStr">
        <is>
          <t>KRONOBERGS LÄN</t>
        </is>
      </c>
      <c r="G474" t="inlineStr">
        <is>
          <t>LJUNGBY</t>
        </is>
      </c>
      <c r="I474" t="n">
        <v>20.5</v>
      </c>
      <c r="J474" t="n">
        <v>1</v>
      </c>
      <c r="K474" t="n">
        <v>0</v>
      </c>
      <c r="L474" t="n">
        <v>0</v>
      </c>
      <c r="M474" t="n">
        <v>0</v>
      </c>
      <c r="N474" t="n">
        <v>0</v>
      </c>
      <c r="O474" t="n">
        <v>0</v>
      </c>
      <c r="P474" t="n">
        <v>0</v>
      </c>
      <c r="Q474" t="n">
        <v>0</v>
      </c>
      <c r="R474" t="n">
        <v>0</v>
      </c>
      <c r="S474" t="n">
        <v>1</v>
      </c>
      <c r="T474" t="n">
        <v>1</v>
      </c>
      <c r="U474" t="n">
        <v>1</v>
      </c>
      <c r="V474" s="2" t="inlineStr">
        <is>
          <t>Revlummer</t>
        </is>
      </c>
      <c r="W474">
        <f>HYPERLINK("https://klasma.github.io/Logging_0781/artfynd/S 5421-2022 artfynd.xlsx", "S 5421-2022")</f>
        <v/>
      </c>
      <c r="X474">
        <f>HYPERLINK("https://klasma.github.io/Logging_0781/kartor/S 5421-2022 karta.png", "S 5421-2022")</f>
        <v/>
      </c>
      <c r="Y474">
        <f>HYPERLINK("https://klasma.github.io/Logging_0781/kartor_geotiff/S 5421-2022 georefererad karta.tif", "S 5421-2022")</f>
        <v/>
      </c>
      <c r="AA474">
        <f>HYPERLINK("https://klasma.github.io/Logging_0781/klagomål/S 5421-2022 FSC-klagomål.docx", "S 5421-2022")</f>
        <v/>
      </c>
      <c r="AB474">
        <f>HYPERLINK("https://klasma.github.io/Logging_0781/klagomålsmail/S 5421-2022 FSC-klagomål mail.docx", "S 5421-2022")</f>
        <v/>
      </c>
      <c r="AC474">
        <f>HYPERLINK("https://klasma.github.io/Logging_0781/tillsyn/S 5421-2022 tillsynsbegäran.docx", "S 5421-2022")</f>
        <v/>
      </c>
      <c r="AD474">
        <f>HYPERLINK("https://klasma.github.io/Logging_0781/tillsynsmail/S 5421-2022 tillsynsbegäran mail.docx", "S 5421-2022")</f>
        <v/>
      </c>
    </row>
    <row r="475" ht="15" customHeight="1">
      <c r="A475" t="inlineStr">
        <is>
          <t>S 3747-2024</t>
        </is>
      </c>
      <c r="B475" t="inlineStr">
        <is>
          <t>samrådsanmälan</t>
        </is>
      </c>
      <c r="C475" t="inlineStr">
        <is>
          <t>Askåterföring</t>
        </is>
      </c>
      <c r="D475" s="1" t="n">
        <v>45555</v>
      </c>
      <c r="E475" s="1" t="n">
        <v>46316</v>
      </c>
      <c r="F475" t="inlineStr">
        <is>
          <t>KRONOBERGS LÄN</t>
        </is>
      </c>
      <c r="G475" t="inlineStr">
        <is>
          <t>TINGSRYD</t>
        </is>
      </c>
      <c r="I475" t="n">
        <v>32.3</v>
      </c>
      <c r="J475" t="n">
        <v>1</v>
      </c>
      <c r="K475" t="n">
        <v>0</v>
      </c>
      <c r="L475" t="n">
        <v>0</v>
      </c>
      <c r="M475" t="n">
        <v>0</v>
      </c>
      <c r="N475" t="n">
        <v>0</v>
      </c>
      <c r="O475" t="n">
        <v>0</v>
      </c>
      <c r="P475" t="n">
        <v>0</v>
      </c>
      <c r="Q475" t="n">
        <v>0</v>
      </c>
      <c r="R475" t="n">
        <v>0</v>
      </c>
      <c r="S475" t="n">
        <v>1</v>
      </c>
      <c r="T475" t="n">
        <v>2</v>
      </c>
      <c r="U475" t="n">
        <v>1</v>
      </c>
      <c r="V475" s="2" t="inlineStr">
        <is>
          <t>Glimmerört</t>
        </is>
      </c>
      <c r="W475">
        <f>HYPERLINK("https://klasma.github.io/Logging_0763/artfynd/S 3747-2024 artfynd.xlsx", "S 3747-2024")</f>
        <v/>
      </c>
      <c r="X475">
        <f>HYPERLINK("https://klasma.github.io/Logging_0763/kartor/S 3747-2024 karta.png", "S 3747-2024")</f>
        <v/>
      </c>
      <c r="Y475">
        <f>HYPERLINK("https://klasma.github.io/Logging_0763/kartor_geotiff/S 3747-2024 georefererad karta.tif", "S 3747-2024")</f>
        <v/>
      </c>
      <c r="AA475">
        <f>HYPERLINK("https://klasma.github.io/Logging_0763/klagomål/S 3747-2024 FSC-klagomål.docx", "S 3747-2024")</f>
        <v/>
      </c>
      <c r="AB475">
        <f>HYPERLINK("https://klasma.github.io/Logging_0763/klagomålsmail/S 3747-2024 FSC-klagomål mail.docx", "S 3747-2024")</f>
        <v/>
      </c>
      <c r="AC475">
        <f>HYPERLINK("https://klasma.github.io/Logging_0763/tillsyn/S 3747-2024 tillsynsbegäran.docx", "S 3747-2024")</f>
        <v/>
      </c>
      <c r="AD475">
        <f>HYPERLINK("https://klasma.github.io/Logging_0763/tillsynsmail/S 3747-2024 tillsynsbegäran mail.docx", "S 3747-2024")</f>
        <v/>
      </c>
    </row>
    <row r="476" ht="15" customHeight="1">
      <c r="A476" t="inlineStr">
        <is>
          <t>S 2062-2022</t>
        </is>
      </c>
      <c r="B476" t="inlineStr">
        <is>
          <t>samrådsanmälan</t>
        </is>
      </c>
      <c r="C476" t="inlineStr">
        <is>
          <t>Askåterföring</t>
        </is>
      </c>
      <c r="D476" s="1" t="n">
        <v>44672</v>
      </c>
      <c r="E476" s="1" t="n">
        <v>46316</v>
      </c>
      <c r="F476" t="inlineStr">
        <is>
          <t>KRONOBERGS LÄN</t>
        </is>
      </c>
      <c r="G476" t="inlineStr">
        <is>
          <t>LJUNGBY</t>
        </is>
      </c>
      <c r="I476" t="n">
        <v>5.2</v>
      </c>
      <c r="J476" t="n">
        <v>1</v>
      </c>
      <c r="K476" t="n">
        <v>0</v>
      </c>
      <c r="L476" t="n">
        <v>1</v>
      </c>
      <c r="M476" t="n">
        <v>0</v>
      </c>
      <c r="N476" t="n">
        <v>0</v>
      </c>
      <c r="O476" t="n">
        <v>0</v>
      </c>
      <c r="P476" t="n">
        <v>0</v>
      </c>
      <c r="Q476" t="n">
        <v>1</v>
      </c>
      <c r="R476" t="n">
        <v>0</v>
      </c>
      <c r="S476" t="n">
        <v>1</v>
      </c>
      <c r="T476" t="n">
        <v>1</v>
      </c>
      <c r="U476" t="n">
        <v>1</v>
      </c>
      <c r="V476" s="2" t="inlineStr">
        <is>
          <t>Talltita</t>
        </is>
      </c>
      <c r="W476">
        <f>HYPERLINK("https://klasma.github.io/Logging_0781/artfynd/S 2062-2022 artfynd.xlsx", "S 2062-2022")</f>
        <v/>
      </c>
      <c r="X476">
        <f>HYPERLINK("https://klasma.github.io/Logging_0781/kartor/S 2062-2022 karta.png", "S 2062-2022")</f>
        <v/>
      </c>
      <c r="Y476">
        <f>HYPERLINK("https://klasma.github.io/Logging_0781/kartor_geotiff/S 2062-2022 georefererad karta.tif", "S 2062-2022")</f>
        <v/>
      </c>
      <c r="AA476">
        <f>HYPERLINK("https://klasma.github.io/Logging_0781/klagomål/S 2062-2022 FSC-klagomål.docx", "S 2062-2022")</f>
        <v/>
      </c>
      <c r="AB476">
        <f>HYPERLINK("https://klasma.github.io/Logging_0781/klagomålsmail/S 2062-2022 FSC-klagomål mail.docx", "S 2062-2022")</f>
        <v/>
      </c>
      <c r="AC476">
        <f>HYPERLINK("https://klasma.github.io/Logging_0781/tillsyn/S 2062-2022 tillsynsbegäran.docx", "S 2062-2022")</f>
        <v/>
      </c>
      <c r="AD476">
        <f>HYPERLINK("https://klasma.github.io/Logging_0781/tillsynsmail/S 2062-2022 tillsynsbegäran mail.docx", "S 2062-2022")</f>
        <v/>
      </c>
      <c r="AE476">
        <f>HYPERLINK("https://klasma.github.io/Logging_0781/fåglar/S 2062-2022 prioriterade fågelarter.docx", "S 2062-2022")</f>
        <v/>
      </c>
    </row>
    <row r="477" ht="15" customHeight="1">
      <c r="A477" t="inlineStr">
        <is>
          <t>S 606-2023</t>
        </is>
      </c>
      <c r="B477" t="inlineStr">
        <is>
          <t>samrådsanmälan</t>
        </is>
      </c>
      <c r="C477" t="inlineStr">
        <is>
          <t>Askåterföring</t>
        </is>
      </c>
      <c r="D477" s="1" t="n">
        <v>44972</v>
      </c>
      <c r="E477" s="1" t="n">
        <v>46316</v>
      </c>
      <c r="F477" t="inlineStr">
        <is>
          <t>KRONOBERGS LÄN</t>
        </is>
      </c>
      <c r="G477" t="inlineStr">
        <is>
          <t>UPPVIDINGE</t>
        </is>
      </c>
      <c r="H477" t="inlineStr">
        <is>
          <t>Sveaskog</t>
        </is>
      </c>
      <c r="I477" t="n">
        <v>155</v>
      </c>
      <c r="J477" t="n">
        <v>1</v>
      </c>
      <c r="K477" t="n">
        <v>0</v>
      </c>
      <c r="L477" t="n">
        <v>0</v>
      </c>
      <c r="M477" t="n">
        <v>0</v>
      </c>
      <c r="N477" t="n">
        <v>0</v>
      </c>
      <c r="O477" t="n">
        <v>0</v>
      </c>
      <c r="P477" t="n">
        <v>0</v>
      </c>
      <c r="Q477" t="n">
        <v>0</v>
      </c>
      <c r="R477" t="n">
        <v>0</v>
      </c>
      <c r="S477" t="n">
        <v>1</v>
      </c>
      <c r="T477" t="n">
        <v>1</v>
      </c>
      <c r="U477" t="n">
        <v>0</v>
      </c>
      <c r="V477" s="2" t="inlineStr">
        <is>
          <t>Orre</t>
        </is>
      </c>
      <c r="W477">
        <f>HYPERLINK("https://klasma.github.io/Logging_0760/artfynd/S 606-2023 artfynd.xlsx", "S 606-2023")</f>
        <v/>
      </c>
      <c r="X477">
        <f>HYPERLINK("https://klasma.github.io/Logging_0760/kartor/S 606-2023 karta.png", "S 606-2023")</f>
        <v/>
      </c>
      <c r="Y477">
        <f>HYPERLINK("https://klasma.github.io/Logging_0760/kartor_geotiff/S 606-2023 georefererad karta.tif", "S 606-2023")</f>
        <v/>
      </c>
      <c r="AA477">
        <f>HYPERLINK("https://klasma.github.io/Logging_0760/klagomål/S 606-2023 FSC-klagomål.docx", "S 606-2023")</f>
        <v/>
      </c>
      <c r="AB477">
        <f>HYPERLINK("https://klasma.github.io/Logging_0760/klagomålsmail/S 606-2023 FSC-klagomål mail.docx", "S 606-2023")</f>
        <v/>
      </c>
      <c r="AC477">
        <f>HYPERLINK("https://klasma.github.io/Logging_0760/tillsyn/S 606-2023 tillsynsbegäran.docx", "S 606-2023")</f>
        <v/>
      </c>
      <c r="AD477">
        <f>HYPERLINK("https://klasma.github.io/Logging_0760/tillsynsmail/S 606-2023 tillsynsbegäran mail.docx", "S 606-2023")</f>
        <v/>
      </c>
      <c r="AE477">
        <f>HYPERLINK("https://klasma.github.io/Logging_0760/fåglar/S 606-2023 prioriterade fågelarter.docx", "S 606-2023")</f>
        <v/>
      </c>
    </row>
    <row r="478" ht="15" customHeight="1">
      <c r="A478" t="inlineStr">
        <is>
          <t>S 1793-2024</t>
        </is>
      </c>
      <c r="B478" t="inlineStr">
        <is>
          <t>samrådsanmälan</t>
        </is>
      </c>
      <c r="C478" t="inlineStr">
        <is>
          <t>Askåterföring</t>
        </is>
      </c>
      <c r="D478" s="1" t="n">
        <v>45436</v>
      </c>
      <c r="E478" s="1" t="n">
        <v>46316</v>
      </c>
      <c r="F478" t="inlineStr">
        <is>
          <t>KRONOBERGS LÄN</t>
        </is>
      </c>
      <c r="G478" t="inlineStr">
        <is>
          <t>VÄXJÖ</t>
        </is>
      </c>
      <c r="I478" t="n">
        <v>18.3</v>
      </c>
      <c r="J478" t="n">
        <v>0</v>
      </c>
      <c r="K478" t="n">
        <v>0</v>
      </c>
      <c r="L478" t="n">
        <v>1</v>
      </c>
      <c r="M478" t="n">
        <v>0</v>
      </c>
      <c r="N478" t="n">
        <v>0</v>
      </c>
      <c r="O478" t="n">
        <v>0</v>
      </c>
      <c r="P478" t="n">
        <v>0</v>
      </c>
      <c r="Q478" t="n">
        <v>1</v>
      </c>
      <c r="R478" t="n">
        <v>0</v>
      </c>
      <c r="S478" t="n">
        <v>1</v>
      </c>
      <c r="T478" t="n">
        <v>1</v>
      </c>
      <c r="U478" t="n">
        <v>1</v>
      </c>
      <c r="V478" s="2" t="inlineStr">
        <is>
          <t>Linmåra/småsnärjmåra</t>
        </is>
      </c>
      <c r="W478">
        <f>HYPERLINK("https://klasma.github.io/Logging_0780/artfynd/S 1793-2024 artfynd.xlsx", "S 1793-2024")</f>
        <v/>
      </c>
      <c r="X478">
        <f>HYPERLINK("https://klasma.github.io/Logging_0780/kartor/S 1793-2024 karta.png", "S 1793-2024")</f>
        <v/>
      </c>
      <c r="Y478">
        <f>HYPERLINK("https://klasma.github.io/Logging_0780/kartor_geotiff/S 1793-2024 georefererad karta.tif", "S 1793-2024")</f>
        <v/>
      </c>
      <c r="AA478">
        <f>HYPERLINK("https://klasma.github.io/Logging_0780/klagomål/S 1793-2024 FSC-klagomål.docx", "S 1793-2024")</f>
        <v/>
      </c>
      <c r="AB478">
        <f>HYPERLINK("https://klasma.github.io/Logging_0780/klagomålsmail/S 1793-2024 FSC-klagomål mail.docx", "S 1793-2024")</f>
        <v/>
      </c>
      <c r="AC478">
        <f>HYPERLINK("https://klasma.github.io/Logging_0780/tillsyn/S 1793-2024 tillsynsbegäran.docx", "S 1793-2024")</f>
        <v/>
      </c>
      <c r="AD478">
        <f>HYPERLINK("https://klasma.github.io/Logging_0780/tillsynsmail/S 1793-2024 tillsynsbegäran mail.docx", "S 1793-2024")</f>
        <v/>
      </c>
    </row>
    <row r="479" ht="15" customHeight="1">
      <c r="A479" t="inlineStr">
        <is>
          <t>S 6198-2022</t>
        </is>
      </c>
      <c r="B479" t="inlineStr">
        <is>
          <t>samrådsanmälan</t>
        </is>
      </c>
      <c r="C479" t="inlineStr">
        <is>
          <t>Askåterföring</t>
        </is>
      </c>
      <c r="D479" s="1" t="n">
        <v>44869</v>
      </c>
      <c r="E479" s="1" t="n">
        <v>46316</v>
      </c>
      <c r="F479" t="inlineStr">
        <is>
          <t>KRONOBERGS LÄN</t>
        </is>
      </c>
      <c r="G479" t="inlineStr">
        <is>
          <t>LJUNGBY</t>
        </is>
      </c>
      <c r="I479" t="n">
        <v>22.3</v>
      </c>
      <c r="J479" t="n">
        <v>0</v>
      </c>
      <c r="K479" t="n">
        <v>0</v>
      </c>
      <c r="L479" t="n">
        <v>1</v>
      </c>
      <c r="M479" t="n">
        <v>0</v>
      </c>
      <c r="N479" t="n">
        <v>0</v>
      </c>
      <c r="O479" t="n">
        <v>0</v>
      </c>
      <c r="P479" t="n">
        <v>0</v>
      </c>
      <c r="Q479" t="n">
        <v>1</v>
      </c>
      <c r="R479" t="n">
        <v>0</v>
      </c>
      <c r="S479" t="n">
        <v>1</v>
      </c>
      <c r="T479" t="n">
        <v>1</v>
      </c>
      <c r="U479" t="n">
        <v>1</v>
      </c>
      <c r="V479" s="2" t="inlineStr">
        <is>
          <t>Svinrot</t>
        </is>
      </c>
      <c r="W479">
        <f>HYPERLINK("https://klasma.github.io/Logging_0781/artfynd/S 6198-2022 artfynd.xlsx", "S 6198-2022")</f>
        <v/>
      </c>
      <c r="X479">
        <f>HYPERLINK("https://klasma.github.io/Logging_0781/kartor/S 6198-2022 karta.png", "S 6198-2022")</f>
        <v/>
      </c>
      <c r="Y479">
        <f>HYPERLINK("https://klasma.github.io/Logging_0781/kartor_geotiff/S 6198-2022 georefererad karta.tif", "S 6198-2022")</f>
        <v/>
      </c>
      <c r="AA479">
        <f>HYPERLINK("https://klasma.github.io/Logging_0781/klagomål/S 6198-2022 FSC-klagomål.docx", "S 6198-2022")</f>
        <v/>
      </c>
      <c r="AB479">
        <f>HYPERLINK("https://klasma.github.io/Logging_0781/klagomålsmail/S 6198-2022 FSC-klagomål mail.docx", "S 6198-2022")</f>
        <v/>
      </c>
      <c r="AC479">
        <f>HYPERLINK("https://klasma.github.io/Logging_0781/tillsyn/S 6198-2022 tillsynsbegäran.docx", "S 6198-2022")</f>
        <v/>
      </c>
      <c r="AD479">
        <f>HYPERLINK("https://klasma.github.io/Logging_0781/tillsynsmail/S 6198-2022 tillsynsbegäran mail.docx", "S 6198-2022")</f>
        <v/>
      </c>
    </row>
    <row r="480" ht="15" customHeight="1">
      <c r="A480" t="inlineStr">
        <is>
          <t>S 6203-2022</t>
        </is>
      </c>
      <c r="B480" t="inlineStr">
        <is>
          <t>samrådsanmälan</t>
        </is>
      </c>
      <c r="C480" t="inlineStr">
        <is>
          <t>Askåterföring</t>
        </is>
      </c>
      <c r="D480" s="1" t="n">
        <v>44869</v>
      </c>
      <c r="E480" s="1" t="n">
        <v>46316</v>
      </c>
      <c r="F480" t="inlineStr">
        <is>
          <t>KRONOBERGS LÄN</t>
        </is>
      </c>
      <c r="G480" t="inlineStr">
        <is>
          <t>ÄLMHULT</t>
        </is>
      </c>
      <c r="I480" t="n">
        <v>63.9</v>
      </c>
      <c r="J480" t="n">
        <v>0</v>
      </c>
      <c r="K480" t="n">
        <v>0</v>
      </c>
      <c r="L480" t="n">
        <v>1</v>
      </c>
      <c r="M480" t="n">
        <v>0</v>
      </c>
      <c r="N480" t="n">
        <v>0</v>
      </c>
      <c r="O480" t="n">
        <v>0</v>
      </c>
      <c r="P480" t="n">
        <v>0</v>
      </c>
      <c r="Q480" t="n">
        <v>1</v>
      </c>
      <c r="R480" t="n">
        <v>0</v>
      </c>
      <c r="S480" t="n">
        <v>1</v>
      </c>
      <c r="T480" t="n">
        <v>1</v>
      </c>
      <c r="U480" t="n">
        <v>1</v>
      </c>
      <c r="V480" s="2" t="inlineStr">
        <is>
          <t>Borsttåg</t>
        </is>
      </c>
      <c r="W480">
        <f>HYPERLINK("https://klasma.github.io/Logging_0765/artfynd/S 6203-2022 artfynd.xlsx", "S 6203-2022")</f>
        <v/>
      </c>
      <c r="X480">
        <f>HYPERLINK("https://klasma.github.io/Logging_0765/kartor/S 6203-2022 karta.png", "S 6203-2022")</f>
        <v/>
      </c>
      <c r="Y480">
        <f>HYPERLINK("https://klasma.github.io/Logging_0765/kartor_geotiff/S 6203-2022 georefererad karta.tif", "S 6203-2022")</f>
        <v/>
      </c>
      <c r="AA480">
        <f>HYPERLINK("https://klasma.github.io/Logging_0765/klagomål/S 6203-2022 FSC-klagomål.docx", "S 6203-2022")</f>
        <v/>
      </c>
      <c r="AB480">
        <f>HYPERLINK("https://klasma.github.io/Logging_0765/klagomålsmail/S 6203-2022 FSC-klagomål mail.docx", "S 6203-2022")</f>
        <v/>
      </c>
      <c r="AC480">
        <f>HYPERLINK("https://klasma.github.io/Logging_0765/tillsyn/S 6203-2022 tillsynsbegäran.docx", "S 6203-2022")</f>
        <v/>
      </c>
      <c r="AD480">
        <f>HYPERLINK("https://klasma.github.io/Logging_0765/tillsynsmail/S 6203-2022 tillsynsbegäran mail.docx", "S 6203-2022")</f>
        <v/>
      </c>
    </row>
    <row r="481" ht="15" customHeight="1">
      <c r="A481" t="inlineStr">
        <is>
          <t>S 1252-2025</t>
        </is>
      </c>
      <c r="B481" t="inlineStr">
        <is>
          <t>samrådsanmälan</t>
        </is>
      </c>
      <c r="C481" t="inlineStr">
        <is>
          <t>Askåterföring</t>
        </is>
      </c>
      <c r="D481" s="1" t="n">
        <v>45762</v>
      </c>
      <c r="E481" s="1" t="n">
        <v>46316</v>
      </c>
      <c r="F481" t="inlineStr">
        <is>
          <t>KRONOBERGS LÄN</t>
        </is>
      </c>
      <c r="G481" t="inlineStr">
        <is>
          <t>MARKARYD</t>
        </is>
      </c>
      <c r="H481" t="inlineStr">
        <is>
          <t>Kyrkan</t>
        </is>
      </c>
      <c r="I481" t="n">
        <v>61</v>
      </c>
      <c r="J481" t="n">
        <v>0</v>
      </c>
      <c r="K481" t="n">
        <v>0</v>
      </c>
      <c r="L481" t="n">
        <v>1</v>
      </c>
      <c r="M481" t="n">
        <v>0</v>
      </c>
      <c r="N481" t="n">
        <v>0</v>
      </c>
      <c r="O481" t="n">
        <v>0</v>
      </c>
      <c r="P481" t="n">
        <v>0</v>
      </c>
      <c r="Q481" t="n">
        <v>1</v>
      </c>
      <c r="R481" t="n">
        <v>0</v>
      </c>
      <c r="S481" t="n">
        <v>1</v>
      </c>
      <c r="T481" t="n">
        <v>1</v>
      </c>
      <c r="U481" t="n">
        <v>1</v>
      </c>
      <c r="V481" s="2" t="inlineStr">
        <is>
          <t>Borsttåg</t>
        </is>
      </c>
      <c r="W481">
        <f>HYPERLINK("https://klasma.github.io/Logging_0767/artfynd/S 1252-2025 artfynd.xlsx", "S 1252-2025")</f>
        <v/>
      </c>
      <c r="X481">
        <f>HYPERLINK("https://klasma.github.io/Logging_0767/kartor/S 1252-2025 karta.png", "S 1252-2025")</f>
        <v/>
      </c>
      <c r="Y481">
        <f>HYPERLINK("https://klasma.github.io/Logging_0767/kartor_geotiff/S 1252-2025 georefererad karta.tif", "S 1252-2025")</f>
        <v/>
      </c>
      <c r="AA481">
        <f>HYPERLINK("https://klasma.github.io/Logging_0767/klagomål/S 1252-2025 FSC-klagomål.docx", "S 1252-2025")</f>
        <v/>
      </c>
      <c r="AB481">
        <f>HYPERLINK("https://klasma.github.io/Logging_0767/klagomålsmail/S 1252-2025 FSC-klagomål mail.docx", "S 1252-2025")</f>
        <v/>
      </c>
      <c r="AC481">
        <f>HYPERLINK("https://klasma.github.io/Logging_0767/tillsyn/S 1252-2025 tillsynsbegäran.docx", "S 1252-2025")</f>
        <v/>
      </c>
      <c r="AD481">
        <f>HYPERLINK("https://klasma.github.io/Logging_0767/tillsynsmail/S 1252-2025 tillsynsbegäran mail.docx", "S 1252-2025")</f>
        <v/>
      </c>
    </row>
    <row r="482" ht="15" customHeight="1">
      <c r="A482" t="inlineStr">
        <is>
          <t>S 1338-2025</t>
        </is>
      </c>
      <c r="B482" t="inlineStr">
        <is>
          <t>samrådsanmälan</t>
        </is>
      </c>
      <c r="C482" t="inlineStr">
        <is>
          <t>Askåterföring</t>
        </is>
      </c>
      <c r="D482" s="1" t="n">
        <v>45772</v>
      </c>
      <c r="E482" s="1" t="n">
        <v>46316</v>
      </c>
      <c r="F482" t="inlineStr">
        <is>
          <t>KRONOBERGS LÄN</t>
        </is>
      </c>
      <c r="G482" t="inlineStr">
        <is>
          <t>LJUNGBY</t>
        </is>
      </c>
      <c r="I482" t="n">
        <v>14.5</v>
      </c>
      <c r="J482" t="n">
        <v>0</v>
      </c>
      <c r="K482" t="n">
        <v>0</v>
      </c>
      <c r="L482" t="n">
        <v>0</v>
      </c>
      <c r="M482" t="n">
        <v>1</v>
      </c>
      <c r="N482" t="n">
        <v>0</v>
      </c>
      <c r="O482" t="n">
        <v>0</v>
      </c>
      <c r="P482" t="n">
        <v>0</v>
      </c>
      <c r="Q482" t="n">
        <v>1</v>
      </c>
      <c r="R482" t="n">
        <v>1</v>
      </c>
      <c r="S482" t="n">
        <v>1</v>
      </c>
      <c r="T482" t="n">
        <v>1</v>
      </c>
      <c r="U482" t="n">
        <v>0</v>
      </c>
      <c r="V482" s="2" t="inlineStr">
        <is>
          <t>Sjötåtel</t>
        </is>
      </c>
      <c r="W482">
        <f>HYPERLINK("https://klasma.github.io/Logging_0781/artfynd/S 1338-2025 artfynd.xlsx", "S 1338-2025")</f>
        <v/>
      </c>
      <c r="X482">
        <f>HYPERLINK("https://klasma.github.io/Logging_0781/kartor/S 1338-2025 karta.png", "S 1338-2025")</f>
        <v/>
      </c>
      <c r="Y482">
        <f>HYPERLINK("https://klasma.github.io/Logging_0781/kartor_geotiff/S 1338-2025 georefererad karta.tif", "S 1338-2025")</f>
        <v/>
      </c>
      <c r="AA482">
        <f>HYPERLINK("https://klasma.github.io/Logging_0781/klagomål/S 1338-2025 FSC-klagomål.docx", "S 1338-2025")</f>
        <v/>
      </c>
      <c r="AB482">
        <f>HYPERLINK("https://klasma.github.io/Logging_0781/klagomålsmail/S 1338-2025 FSC-klagomål mail.docx", "S 1338-2025")</f>
        <v/>
      </c>
      <c r="AC482">
        <f>HYPERLINK("https://klasma.github.io/Logging_0781/tillsyn/S 1338-2025 tillsynsbegäran.docx", "S 1338-2025")</f>
        <v/>
      </c>
      <c r="AD482">
        <f>HYPERLINK("https://klasma.github.io/Logging_0781/tillsynsmail/S 1338-2025 tillsynsbegäran mail.docx", "S 1338-2025")</f>
        <v/>
      </c>
    </row>
    <row r="483" ht="15" customHeight="1">
      <c r="A483" t="inlineStr">
        <is>
          <t>S 313-2025</t>
        </is>
      </c>
      <c r="B483" t="inlineStr">
        <is>
          <t>samrådsanmälan</t>
        </is>
      </c>
      <c r="C483" t="inlineStr">
        <is>
          <t>Askåterföring</t>
        </is>
      </c>
      <c r="D483" s="1" t="n">
        <v>45688</v>
      </c>
      <c r="E483" s="1" t="n">
        <v>46316</v>
      </c>
      <c r="F483" t="inlineStr">
        <is>
          <t>KRONOBERGS LÄN</t>
        </is>
      </c>
      <c r="G483" t="inlineStr">
        <is>
          <t>LESSEBO</t>
        </is>
      </c>
      <c r="I483" t="n">
        <v>111.2</v>
      </c>
      <c r="J483" t="n">
        <v>1</v>
      </c>
      <c r="K483" t="n">
        <v>0</v>
      </c>
      <c r="L483" t="n">
        <v>0</v>
      </c>
      <c r="M483" t="n">
        <v>0</v>
      </c>
      <c r="N483" t="n">
        <v>0</v>
      </c>
      <c r="O483" t="n">
        <v>0</v>
      </c>
      <c r="P483" t="n">
        <v>0</v>
      </c>
      <c r="Q483" t="n">
        <v>0</v>
      </c>
      <c r="R483" t="n">
        <v>0</v>
      </c>
      <c r="S483" t="n">
        <v>1</v>
      </c>
      <c r="T483" t="n">
        <v>1</v>
      </c>
      <c r="U483" t="n">
        <v>0</v>
      </c>
      <c r="V483" s="2" t="inlineStr">
        <is>
          <t>Fläcknycklar</t>
        </is>
      </c>
      <c r="W483">
        <f>HYPERLINK("https://klasma.github.io/Logging_0761/artfynd/S 313-2025 artfynd.xlsx", "S 313-2025")</f>
        <v/>
      </c>
      <c r="X483">
        <f>HYPERLINK("https://klasma.github.io/Logging_0761/kartor/S 313-2025 karta.png", "S 313-2025")</f>
        <v/>
      </c>
      <c r="Y483">
        <f>HYPERLINK("https://klasma.github.io/Logging_0761/kartor_geotiff/S 313-2025 georefererad karta.tif", "S 313-2025")</f>
        <v/>
      </c>
      <c r="AA483">
        <f>HYPERLINK("https://klasma.github.io/Logging_0761/klagomål/S 313-2025 FSC-klagomål.docx", "S 313-2025")</f>
        <v/>
      </c>
      <c r="AB483">
        <f>HYPERLINK("https://klasma.github.io/Logging_0761/klagomålsmail/S 313-2025 FSC-klagomål mail.docx", "S 313-2025")</f>
        <v/>
      </c>
      <c r="AC483">
        <f>HYPERLINK("https://klasma.github.io/Logging_0761/tillsyn/S 313-2025 tillsynsbegäran.docx", "S 313-2025")</f>
        <v/>
      </c>
      <c r="AD483">
        <f>HYPERLINK("https://klasma.github.io/Logging_0761/tillsynsmail/S 313-2025 tillsynsbegäran mail.docx", "S 313-2025")</f>
        <v/>
      </c>
    </row>
    <row r="484" ht="15" customHeight="1">
      <c r="A484" t="inlineStr">
        <is>
          <t>S 754-2025</t>
        </is>
      </c>
      <c r="B484" t="inlineStr">
        <is>
          <t>samrådsanmälan</t>
        </is>
      </c>
      <c r="C484" t="inlineStr">
        <is>
          <t>Askåterföring</t>
        </is>
      </c>
      <c r="D484" s="1" t="n">
        <v>45726</v>
      </c>
      <c r="E484" s="1" t="n">
        <v>46316</v>
      </c>
      <c r="F484" t="inlineStr">
        <is>
          <t>KRONOBERGS LÄN</t>
        </is>
      </c>
      <c r="G484" t="inlineStr">
        <is>
          <t>VÄXJÖ</t>
        </is>
      </c>
      <c r="I484" t="n">
        <v>61.4</v>
      </c>
      <c r="J484" t="n">
        <v>1</v>
      </c>
      <c r="K484" t="n">
        <v>0</v>
      </c>
      <c r="L484" t="n">
        <v>0</v>
      </c>
      <c r="M484" t="n">
        <v>0</v>
      </c>
      <c r="N484" t="n">
        <v>0</v>
      </c>
      <c r="O484" t="n">
        <v>0</v>
      </c>
      <c r="P484" t="n">
        <v>0</v>
      </c>
      <c r="Q484" t="n">
        <v>0</v>
      </c>
      <c r="R484" t="n">
        <v>0</v>
      </c>
      <c r="S484" t="n">
        <v>1</v>
      </c>
      <c r="T484" t="n">
        <v>1</v>
      </c>
      <c r="U484" t="n">
        <v>1</v>
      </c>
      <c r="V484" s="2" t="inlineStr">
        <is>
          <t>Gullviva</t>
        </is>
      </c>
      <c r="W484">
        <f>HYPERLINK("https://klasma.github.io/Logging_0780/artfynd/S 754-2025 artfynd.xlsx", "S 754-2025")</f>
        <v/>
      </c>
      <c r="X484">
        <f>HYPERLINK("https://klasma.github.io/Logging_0780/kartor/S 754-2025 karta.png", "S 754-2025")</f>
        <v/>
      </c>
      <c r="Y484">
        <f>HYPERLINK("https://klasma.github.io/Logging_0780/kartor_geotiff/S 754-2025 georefererad karta.tif", "S 754-2025")</f>
        <v/>
      </c>
      <c r="AA484">
        <f>HYPERLINK("https://klasma.github.io/Logging_0780/klagomål/S 754-2025 FSC-klagomål.docx", "S 754-2025")</f>
        <v/>
      </c>
      <c r="AB484">
        <f>HYPERLINK("https://klasma.github.io/Logging_0780/klagomålsmail/S 754-2025 FSC-klagomål mail.docx", "S 754-2025")</f>
        <v/>
      </c>
      <c r="AC484">
        <f>HYPERLINK("https://klasma.github.io/Logging_0780/tillsyn/S 754-2025 tillsynsbegäran.docx", "S 754-2025")</f>
        <v/>
      </c>
      <c r="AD484">
        <f>HYPERLINK("https://klasma.github.io/Logging_0780/tillsynsmail/S 754-2025 tillsynsbegäran mail.docx", "S 754-2025")</f>
        <v/>
      </c>
    </row>
    <row r="485" ht="15" customHeight="1">
      <c r="A485" t="inlineStr">
        <is>
          <t>S 1473-2025</t>
        </is>
      </c>
      <c r="B485" t="inlineStr">
        <is>
          <t>samrådsanmälan</t>
        </is>
      </c>
      <c r="C485" t="inlineStr">
        <is>
          <t>Annan skogsbruksåtgärd</t>
        </is>
      </c>
      <c r="D485" s="1" t="n">
        <v>45786</v>
      </c>
      <c r="E485" s="1" t="n">
        <v>46316</v>
      </c>
      <c r="F485" t="inlineStr">
        <is>
          <t>KRONOBERGS LÄN</t>
        </is>
      </c>
      <c r="G485" t="inlineStr">
        <is>
          <t>ÄLMHULT</t>
        </is>
      </c>
      <c r="I485" t="n">
        <v>3</v>
      </c>
      <c r="J485" t="n">
        <v>1</v>
      </c>
      <c r="K485" t="n">
        <v>0</v>
      </c>
      <c r="L485" t="n">
        <v>0</v>
      </c>
      <c r="M485" t="n">
        <v>0</v>
      </c>
      <c r="N485" t="n">
        <v>0</v>
      </c>
      <c r="O485" t="n">
        <v>0</v>
      </c>
      <c r="P485" t="n">
        <v>0</v>
      </c>
      <c r="Q485" t="n">
        <v>0</v>
      </c>
      <c r="R485" t="n">
        <v>0</v>
      </c>
      <c r="S485" t="n">
        <v>1</v>
      </c>
      <c r="T485" t="n">
        <v>1</v>
      </c>
      <c r="U485" t="n">
        <v>1</v>
      </c>
      <c r="V485" s="2" t="inlineStr">
        <is>
          <t>Revlummer</t>
        </is>
      </c>
      <c r="W485">
        <f>HYPERLINK("https://klasma.github.io/Logging_0765/artfynd/S 1473-2025 artfynd.xlsx", "S 1473-2025")</f>
        <v/>
      </c>
      <c r="X485">
        <f>HYPERLINK("https://klasma.github.io/Logging_0765/kartor/S 1473-2025 karta.png", "S 1473-2025")</f>
        <v/>
      </c>
      <c r="Y485">
        <f>HYPERLINK("https://klasma.github.io/Logging_0765/kartor_geotiff/S 1473-2025 georefererad karta.tif", "S 1473-2025")</f>
        <v/>
      </c>
      <c r="AA485">
        <f>HYPERLINK("https://klasma.github.io/Logging_0765/klagomål/S 1473-2025 FSC-klagomål.docx", "S 1473-2025")</f>
        <v/>
      </c>
      <c r="AB485">
        <f>HYPERLINK("https://klasma.github.io/Logging_0765/klagomålsmail/S 1473-2025 FSC-klagomål mail.docx", "S 1473-2025")</f>
        <v/>
      </c>
      <c r="AC485">
        <f>HYPERLINK("https://klasma.github.io/Logging_0765/tillsyn/S 1473-2025 tillsynsbegäran.docx", "S 1473-2025")</f>
        <v/>
      </c>
      <c r="AD485">
        <f>HYPERLINK("https://klasma.github.io/Logging_0765/tillsynsmail/S 1473-2025 tillsynsbegäran mail.docx", "S 1473-2025")</f>
        <v/>
      </c>
    </row>
    <row r="486" ht="15" customHeight="1">
      <c r="A486" t="inlineStr">
        <is>
          <t>S 1709-2025</t>
        </is>
      </c>
      <c r="B486" t="inlineStr">
        <is>
          <t>samrådsanmälan</t>
        </is>
      </c>
      <c r="C486" t="inlineStr">
        <is>
          <t>Askåterföring</t>
        </is>
      </c>
      <c r="D486" s="1" t="n">
        <v>45805</v>
      </c>
      <c r="E486" s="1" t="n">
        <v>46316</v>
      </c>
      <c r="F486" t="inlineStr">
        <is>
          <t>KRONOBERGS LÄN</t>
        </is>
      </c>
      <c r="G486" t="inlineStr">
        <is>
          <t>VÄXJÖ</t>
        </is>
      </c>
      <c r="I486" t="n">
        <v>11.7</v>
      </c>
      <c r="J486" t="n">
        <v>1</v>
      </c>
      <c r="K486" t="n">
        <v>1</v>
      </c>
      <c r="L486" t="n">
        <v>0</v>
      </c>
      <c r="M486" t="n">
        <v>0</v>
      </c>
      <c r="N486" t="n">
        <v>0</v>
      </c>
      <c r="O486" t="n">
        <v>0</v>
      </c>
      <c r="P486" t="n">
        <v>0</v>
      </c>
      <c r="Q486" t="n">
        <v>0</v>
      </c>
      <c r="R486" t="n">
        <v>0</v>
      </c>
      <c r="S486" t="n">
        <v>1</v>
      </c>
      <c r="T486" t="n">
        <v>1</v>
      </c>
      <c r="U486" t="n">
        <v>0</v>
      </c>
      <c r="V486" s="2" t="inlineStr">
        <is>
          <t>Plattlummer</t>
        </is>
      </c>
      <c r="W486">
        <f>HYPERLINK("https://klasma.github.io/Logging_0780/artfynd/S 1709-2025 artfynd.xlsx", "S 1709-2025")</f>
        <v/>
      </c>
      <c r="X486">
        <f>HYPERLINK("https://klasma.github.io/Logging_0780/kartor/S 1709-2025 karta.png", "S 1709-2025")</f>
        <v/>
      </c>
      <c r="Y486">
        <f>HYPERLINK("https://klasma.github.io/Logging_0780/kartor_geotiff/S 1709-2025 georefererad karta.tif", "S 1709-2025")</f>
        <v/>
      </c>
      <c r="AA486">
        <f>HYPERLINK("https://klasma.github.io/Logging_0780/klagomål/S 1709-2025 FSC-klagomål.docx", "S 1709-2025")</f>
        <v/>
      </c>
      <c r="AB486">
        <f>HYPERLINK("https://klasma.github.io/Logging_0780/klagomålsmail/S 1709-2025 FSC-klagomål mail.docx", "S 1709-2025")</f>
        <v/>
      </c>
      <c r="AC486">
        <f>HYPERLINK("https://klasma.github.io/Logging_0780/tillsyn/S 1709-2025 tillsynsbegäran.docx", "S 1709-2025")</f>
        <v/>
      </c>
      <c r="AD486">
        <f>HYPERLINK("https://klasma.github.io/Logging_0780/tillsynsmail/S 1709-2025 tillsynsbegäran mail.docx", "S 1709-2025")</f>
        <v/>
      </c>
    </row>
    <row r="487" ht="15" customHeight="1">
      <c r="A487" t="inlineStr">
        <is>
          <t>S 2372-2025</t>
        </is>
      </c>
      <c r="B487" t="inlineStr">
        <is>
          <t>samrådsanmälan</t>
        </is>
      </c>
      <c r="C487" t="inlineStr">
        <is>
          <t>Askåterföring</t>
        </is>
      </c>
      <c r="D487" s="1" t="n">
        <v>45890</v>
      </c>
      <c r="E487" s="1" t="n">
        <v>46316</v>
      </c>
      <c r="F487" t="inlineStr">
        <is>
          <t>KRONOBERGS LÄN</t>
        </is>
      </c>
      <c r="G487" t="inlineStr">
        <is>
          <t>TINGSRYD</t>
        </is>
      </c>
      <c r="I487" t="n">
        <v>23.3</v>
      </c>
      <c r="J487" t="n">
        <v>0</v>
      </c>
      <c r="K487" t="n">
        <v>0</v>
      </c>
      <c r="L487" t="n">
        <v>1</v>
      </c>
      <c r="M487" t="n">
        <v>0</v>
      </c>
      <c r="N487" t="n">
        <v>0</v>
      </c>
      <c r="O487" t="n">
        <v>0</v>
      </c>
      <c r="P487" t="n">
        <v>0</v>
      </c>
      <c r="Q487" t="n">
        <v>1</v>
      </c>
      <c r="R487" t="n">
        <v>0</v>
      </c>
      <c r="S487" t="n">
        <v>1</v>
      </c>
      <c r="T487" t="n">
        <v>1</v>
      </c>
      <c r="U487" t="n">
        <v>1</v>
      </c>
      <c r="V487" s="2" t="inlineStr">
        <is>
          <t>Backruta</t>
        </is>
      </c>
      <c r="W487">
        <f>HYPERLINK("https://klasma.github.io/Logging_0763/artfynd/S 2372-2025 artfynd.xlsx", "S 2372-2025")</f>
        <v/>
      </c>
      <c r="X487">
        <f>HYPERLINK("https://klasma.github.io/Logging_0763/kartor/S 2372-2025 karta.png", "S 2372-2025")</f>
        <v/>
      </c>
      <c r="Y487">
        <f>HYPERLINK("https://klasma.github.io/Logging_0763/kartor_geotiff/S 2372-2025 georefererad karta.tif", "S 2372-2025")</f>
        <v/>
      </c>
      <c r="AA487">
        <f>HYPERLINK("https://klasma.github.io/Logging_0763/klagomål/S 2372-2025 FSC-klagomål.docx", "S 2372-2025")</f>
        <v/>
      </c>
      <c r="AB487">
        <f>HYPERLINK("https://klasma.github.io/Logging_0763/klagomålsmail/S 2372-2025 FSC-klagomål mail.docx", "S 2372-2025")</f>
        <v/>
      </c>
      <c r="AC487">
        <f>HYPERLINK("https://klasma.github.io/Logging_0763/tillsyn/S 2372-2025 tillsynsbegäran.docx", "S 2372-2025")</f>
        <v/>
      </c>
      <c r="AD487">
        <f>HYPERLINK("https://klasma.github.io/Logging_0763/tillsynsmail/S 2372-2025 tillsynsbegäran mail.docx", "S 2372-2025")</f>
        <v/>
      </c>
    </row>
    <row r="488" ht="15" customHeight="1">
      <c r="A488" t="inlineStr">
        <is>
          <t>S 2832-2025</t>
        </is>
      </c>
      <c r="B488" t="inlineStr">
        <is>
          <t>samrådsanmälan</t>
        </is>
      </c>
      <c r="C488" t="inlineStr">
        <is>
          <t>Annan skogsbruksåtgärd</t>
        </is>
      </c>
      <c r="D488" s="1" t="n">
        <v>45939</v>
      </c>
      <c r="E488" s="1" t="n">
        <v>46316</v>
      </c>
      <c r="F488" t="inlineStr">
        <is>
          <t>KRONOBERGS LÄN</t>
        </is>
      </c>
      <c r="G488" t="inlineStr">
        <is>
          <t>VÄXJÖ</t>
        </is>
      </c>
      <c r="I488" t="n">
        <v>0.1</v>
      </c>
      <c r="J488" t="n">
        <v>1</v>
      </c>
      <c r="K488" t="n">
        <v>0</v>
      </c>
      <c r="L488" t="n">
        <v>0</v>
      </c>
      <c r="M488" t="n">
        <v>0</v>
      </c>
      <c r="N488" t="n">
        <v>0</v>
      </c>
      <c r="O488" t="n">
        <v>0</v>
      </c>
      <c r="P488" t="n">
        <v>0</v>
      </c>
      <c r="Q488" t="n">
        <v>0</v>
      </c>
      <c r="R488" t="n">
        <v>0</v>
      </c>
      <c r="S488" t="n">
        <v>1</v>
      </c>
      <c r="T488" t="n">
        <v>1</v>
      </c>
      <c r="U488" t="n">
        <v>0</v>
      </c>
      <c r="V488" s="2" t="inlineStr">
        <is>
          <t>Havsörn</t>
        </is>
      </c>
      <c r="W488">
        <f>HYPERLINK("https://klasma.github.io/Logging_0780/artfynd/S 2832-2025 artfynd.xlsx", "S 2832-2025")</f>
        <v/>
      </c>
      <c r="X488">
        <f>HYPERLINK("https://klasma.github.io/Logging_0780/kartor/S 2832-2025 karta.png", "S 2832-2025")</f>
        <v/>
      </c>
      <c r="Y488">
        <f>HYPERLINK("https://klasma.github.io/Logging_0780/kartor_geotiff/S 2832-2025 georefererad karta.tif", "S 2832-2025")</f>
        <v/>
      </c>
      <c r="AA488">
        <f>HYPERLINK("https://klasma.github.io/Logging_0780/klagomål/S 2832-2025 FSC-klagomål.docx", "S 2832-2025")</f>
        <v/>
      </c>
      <c r="AB488">
        <f>HYPERLINK("https://klasma.github.io/Logging_0780/klagomålsmail/S 2832-2025 FSC-klagomål mail.docx", "S 2832-2025")</f>
        <v/>
      </c>
      <c r="AC488">
        <f>HYPERLINK("https://klasma.github.io/Logging_0780/tillsyn/S 2832-2025 tillsynsbegäran.docx", "S 2832-2025")</f>
        <v/>
      </c>
      <c r="AD488">
        <f>HYPERLINK("https://klasma.github.io/Logging_0780/tillsynsmail/S 2832-2025 tillsynsbegäran mail.docx", "S 2832-2025")</f>
        <v/>
      </c>
      <c r="AE488">
        <f>HYPERLINK("https://klasma.github.io/Logging_0780/fåglar/S 2832-2025 prioriterade fågelarter.docx", "S 2832-2025")</f>
        <v/>
      </c>
    </row>
    <row r="489" ht="15" customHeight="1">
      <c r="A489" t="inlineStr">
        <is>
          <t>S 270-2026</t>
        </is>
      </c>
      <c r="B489" t="inlineStr">
        <is>
          <t>samrådsanmälan</t>
        </is>
      </c>
      <c r="C489" t="inlineStr">
        <is>
          <t>Askåterföring</t>
        </is>
      </c>
      <c r="D489" s="1" t="n">
        <v>46056</v>
      </c>
      <c r="E489" s="1" t="n">
        <v>46316</v>
      </c>
      <c r="F489" t="inlineStr">
        <is>
          <t>KRONOBERGS LÄN</t>
        </is>
      </c>
      <c r="G489" t="inlineStr">
        <is>
          <t>TINGSRYD</t>
        </is>
      </c>
      <c r="I489" t="n">
        <v>43.9</v>
      </c>
      <c r="J489" t="n">
        <v>1</v>
      </c>
      <c r="K489" t="n">
        <v>0</v>
      </c>
      <c r="L489" t="n">
        <v>0</v>
      </c>
      <c r="M489" t="n">
        <v>0</v>
      </c>
      <c r="N489" t="n">
        <v>0</v>
      </c>
      <c r="O489" t="n">
        <v>0</v>
      </c>
      <c r="P489" t="n">
        <v>0</v>
      </c>
      <c r="Q489" t="n">
        <v>0</v>
      </c>
      <c r="R489" t="n">
        <v>0</v>
      </c>
      <c r="S489" t="n">
        <v>1</v>
      </c>
      <c r="T489" t="n">
        <v>1</v>
      </c>
      <c r="U489" t="n">
        <v>0</v>
      </c>
      <c r="V489" s="2" t="inlineStr">
        <is>
          <t>Kungsfågel</t>
        </is>
      </c>
      <c r="W489">
        <f>HYPERLINK("https://klasma.github.io/Logging_0763/artfynd/S 270-2026 artfynd.xlsx", "S 270-2026")</f>
        <v/>
      </c>
      <c r="X489">
        <f>HYPERLINK("https://klasma.github.io/Logging_0763/kartor/S 270-2026 karta.png", "S 270-2026")</f>
        <v/>
      </c>
      <c r="Y489">
        <f>HYPERLINK("https://klasma.github.io/Logging_0763/kartor_geotiff/S 270-2026 georefererad karta.tif", "S 270-2026")</f>
        <v/>
      </c>
      <c r="AA489">
        <f>HYPERLINK("https://klasma.github.io/Logging_0763/klagomål/S 270-2026 FSC-klagomål.docx", "S 270-2026")</f>
        <v/>
      </c>
      <c r="AB489">
        <f>HYPERLINK("https://klasma.github.io/Logging_0763/klagomålsmail/S 270-2026 FSC-klagomål mail.docx", "S 270-2026")</f>
        <v/>
      </c>
      <c r="AC489">
        <f>HYPERLINK("https://klasma.github.io/Logging_0763/tillsyn/S 270-2026 tillsynsbegäran.docx", "S 270-2026")</f>
        <v/>
      </c>
      <c r="AD489">
        <f>HYPERLINK("https://klasma.github.io/Logging_0763/tillsynsmail/S 270-2026 tillsynsbegäran mail.docx", "S 270-2026")</f>
        <v/>
      </c>
    </row>
    <row r="490" ht="15" customHeight="1">
      <c r="A490" t="inlineStr">
        <is>
          <t>S 811-2026</t>
        </is>
      </c>
      <c r="B490" t="inlineStr">
        <is>
          <t>samrådsanmälan</t>
        </is>
      </c>
      <c r="C490" t="inlineStr">
        <is>
          <t>Skogsgödsling</t>
        </is>
      </c>
      <c r="D490" s="1" t="n">
        <v>46100</v>
      </c>
      <c r="E490" s="1" t="n">
        <v>46316</v>
      </c>
      <c r="F490" t="inlineStr">
        <is>
          <t>KRONOBERGS LÄN</t>
        </is>
      </c>
      <c r="G490" t="inlineStr">
        <is>
          <t>VÄXJÖ</t>
        </is>
      </c>
      <c r="I490" t="n">
        <v>40.8</v>
      </c>
      <c r="J490" t="n">
        <v>1</v>
      </c>
      <c r="K490" t="n">
        <v>0</v>
      </c>
      <c r="L490" t="n">
        <v>1</v>
      </c>
      <c r="M490" t="n">
        <v>0</v>
      </c>
      <c r="N490" t="n">
        <v>0</v>
      </c>
      <c r="O490" t="n">
        <v>0</v>
      </c>
      <c r="P490" t="n">
        <v>0</v>
      </c>
      <c r="Q490" t="n">
        <v>1</v>
      </c>
      <c r="R490" t="n">
        <v>0</v>
      </c>
      <c r="S490" t="n">
        <v>1</v>
      </c>
      <c r="T490" t="n">
        <v>1</v>
      </c>
      <c r="U490" t="n">
        <v>0</v>
      </c>
      <c r="V490" s="2" t="inlineStr">
        <is>
          <t>Nordfladdermus</t>
        </is>
      </c>
      <c r="W490">
        <f>HYPERLINK("https://klasma.github.io/Logging_0780/artfynd/S 811-2026 artfynd.xlsx", "S 811-2026")</f>
        <v/>
      </c>
      <c r="X490">
        <f>HYPERLINK("https://klasma.github.io/Logging_0780/kartor/S 811-2026 karta.png", "S 811-2026")</f>
        <v/>
      </c>
      <c r="Y490">
        <f>HYPERLINK("https://klasma.github.io/Logging_0780/kartor_geotiff/S 811-2026 georefererad karta.tif", "S 811-2026")</f>
        <v/>
      </c>
      <c r="AA490">
        <f>HYPERLINK("https://klasma.github.io/Logging_0780/klagomål/S 811-2026 FSC-klagomål.docx", "S 811-2026")</f>
        <v/>
      </c>
      <c r="AB490">
        <f>HYPERLINK("https://klasma.github.io/Logging_0780/klagomålsmail/S 811-2026 FSC-klagomål mail.docx", "S 811-2026")</f>
        <v/>
      </c>
      <c r="AC490">
        <f>HYPERLINK("https://klasma.github.io/Logging_0780/tillsyn/S 811-2026 tillsynsbegäran.docx", "S 811-2026")</f>
        <v/>
      </c>
      <c r="AD490">
        <f>HYPERLINK("https://klasma.github.io/Logging_0780/tillsynsmail/S 811-2026 tillsynsbegäran mail.docx", "S 811-2026")</f>
        <v/>
      </c>
    </row>
    <row r="491" ht="15" customHeight="1">
      <c r="A491" t="inlineStr">
        <is>
          <t>S 1250-2026</t>
        </is>
      </c>
      <c r="B491" t="inlineStr">
        <is>
          <t>samrådsanmälan</t>
        </is>
      </c>
      <c r="C491" t="inlineStr">
        <is>
          <t>Askåterföring</t>
        </is>
      </c>
      <c r="D491" s="1" t="n">
        <v>46146</v>
      </c>
      <c r="E491" s="1" t="n">
        <v>46316</v>
      </c>
      <c r="F491" t="inlineStr">
        <is>
          <t>KRONOBERGS LÄN</t>
        </is>
      </c>
      <c r="G491" t="inlineStr">
        <is>
          <t>LJUNGBY</t>
        </is>
      </c>
      <c r="I491" t="n">
        <v>11.5</v>
      </c>
      <c r="J491" t="n">
        <v>0</v>
      </c>
      <c r="K491" t="n">
        <v>0</v>
      </c>
      <c r="L491" t="n">
        <v>1</v>
      </c>
      <c r="M491" t="n">
        <v>0</v>
      </c>
      <c r="N491" t="n">
        <v>0</v>
      </c>
      <c r="O491" t="n">
        <v>0</v>
      </c>
      <c r="P491" t="n">
        <v>0</v>
      </c>
      <c r="Q491" t="n">
        <v>1</v>
      </c>
      <c r="R491" t="n">
        <v>0</v>
      </c>
      <c r="S491" t="n">
        <v>1</v>
      </c>
      <c r="T491" t="n">
        <v>1</v>
      </c>
      <c r="U491" t="n">
        <v>0</v>
      </c>
      <c r="V491" s="2" t="inlineStr">
        <is>
          <t>Jungfrulin</t>
        </is>
      </c>
      <c r="W491">
        <f>HYPERLINK("https://klasma.github.io/Logging_0781/artfynd/S 1250-2026 artfynd.xlsx", "S 1250-2026")</f>
        <v/>
      </c>
      <c r="X491">
        <f>HYPERLINK("https://klasma.github.io/Logging_0781/kartor/S 1250-2026 karta.png", "S 1250-2026")</f>
        <v/>
      </c>
      <c r="Y491">
        <f>HYPERLINK("https://klasma.github.io/Logging_0781/kartor_geotiff/S 1250-2026 georefererad karta.tif", "S 1250-2026")</f>
        <v/>
      </c>
      <c r="AA491">
        <f>HYPERLINK("https://klasma.github.io/Logging_0781/klagomål/S 1250-2026 FSC-klagomål.docx", "S 1250-2026")</f>
        <v/>
      </c>
      <c r="AB491">
        <f>HYPERLINK("https://klasma.github.io/Logging_0781/klagomålsmail/S 1250-2026 FSC-klagomål mail.docx", "S 1250-2026")</f>
        <v/>
      </c>
      <c r="AC491">
        <f>HYPERLINK("https://klasma.github.io/Logging_0781/tillsyn/S 1250-2026 tillsynsbegäran.docx", "S 1250-2026")</f>
        <v/>
      </c>
      <c r="AD491">
        <f>HYPERLINK("https://klasma.github.io/Logging_0781/tillsynsmail/S 1250-2026 tillsynsbegäran mail.docx", "S 1250-2026")</f>
        <v/>
      </c>
    </row>
    <row r="492" ht="15" customHeight="1">
      <c r="A492" t="inlineStr">
        <is>
          <t>S 1560-2026</t>
        </is>
      </c>
      <c r="B492" t="inlineStr">
        <is>
          <t>samrådsanmälan</t>
        </is>
      </c>
      <c r="C492" t="inlineStr">
        <is>
          <t>Annan skogsbruksåtgärd</t>
        </is>
      </c>
      <c r="D492" s="1" t="n">
        <v>46168</v>
      </c>
      <c r="E492" s="1" t="n">
        <v>46316</v>
      </c>
      <c r="F492" t="inlineStr">
        <is>
          <t>KRONOBERGS LÄN</t>
        </is>
      </c>
      <c r="G492" t="inlineStr">
        <is>
          <t>LJUNGBY</t>
        </is>
      </c>
      <c r="I492" t="n">
        <v>8</v>
      </c>
      <c r="J492" t="n">
        <v>0</v>
      </c>
      <c r="K492" t="n">
        <v>0</v>
      </c>
      <c r="L492" t="n">
        <v>1</v>
      </c>
      <c r="M492" t="n">
        <v>0</v>
      </c>
      <c r="N492" t="n">
        <v>0</v>
      </c>
      <c r="O492" t="n">
        <v>0</v>
      </c>
      <c r="P492" t="n">
        <v>0</v>
      </c>
      <c r="Q492" t="n">
        <v>1</v>
      </c>
      <c r="R492" t="n">
        <v>0</v>
      </c>
      <c r="S492" t="n">
        <v>1</v>
      </c>
      <c r="T492" t="n">
        <v>9</v>
      </c>
      <c r="U492" t="n">
        <v>0</v>
      </c>
      <c r="V492" s="2" t="inlineStr">
        <is>
          <t>Gullpudra</t>
        </is>
      </c>
      <c r="W492">
        <f>HYPERLINK("https://klasma.github.io/Logging_0781/artfynd/S 1560-2026 artfynd.xlsx", "S 1560-2026")</f>
        <v/>
      </c>
      <c r="X492">
        <f>HYPERLINK("https://klasma.github.io/Logging_0781/kartor/S 1560-2026 karta.png", "S 1560-2026")</f>
        <v/>
      </c>
      <c r="Y492">
        <f>HYPERLINK("https://klasma.github.io/Logging_0781/kartor_geotiff/S 1560-2026 georefererad karta.tif", "S 1560-2026")</f>
        <v/>
      </c>
      <c r="AA492">
        <f>HYPERLINK("https://klasma.github.io/Logging_0781/klagomål/S 1560-2026 FSC-klagomål.docx", "S 1560-2026")</f>
        <v/>
      </c>
      <c r="AB492">
        <f>HYPERLINK("https://klasma.github.io/Logging_0781/klagomålsmail/S 1560-2026 FSC-klagomål mail.docx", "S 1560-2026")</f>
        <v/>
      </c>
      <c r="AC492">
        <f>HYPERLINK("https://klasma.github.io/Logging_0781/tillsyn/S 1560-2026 tillsynsbegäran.docx", "S 1560-2026")</f>
        <v/>
      </c>
      <c r="AD492">
        <f>HYPERLINK("https://klasma.github.io/Logging_0781/tillsynsmail/S 1560-2026 tillsynsbegäran mail.docx", "S 1560-2026")</f>
        <v/>
      </c>
    </row>
    <row r="493" ht="15" customHeight="1">
      <c r="A493" t="inlineStr">
        <is>
          <t>S 1733-2025</t>
        </is>
      </c>
      <c r="B493" t="inlineStr">
        <is>
          <t>samrådsanmälan</t>
        </is>
      </c>
      <c r="C493" t="inlineStr">
        <is>
          <t>Annan skogsbruksåtgärd</t>
        </is>
      </c>
      <c r="D493" s="1" t="n">
        <v>45810</v>
      </c>
      <c r="E493" s="1" t="n">
        <v>46316</v>
      </c>
      <c r="F493" t="inlineStr">
        <is>
          <t>KRONOBERGS LÄN</t>
        </is>
      </c>
      <c r="G493" t="inlineStr">
        <is>
          <t>UPPVIDINGE</t>
        </is>
      </c>
      <c r="I493" t="n">
        <v>3.1</v>
      </c>
      <c r="J493" t="n">
        <v>1</v>
      </c>
      <c r="K493" t="n">
        <v>0</v>
      </c>
      <c r="L493" t="n">
        <v>0</v>
      </c>
      <c r="M493" t="n">
        <v>0</v>
      </c>
      <c r="N493" t="n">
        <v>0</v>
      </c>
      <c r="O493" t="n">
        <v>0</v>
      </c>
      <c r="P493" t="n">
        <v>0</v>
      </c>
      <c r="Q493" t="n">
        <v>0</v>
      </c>
      <c r="R493" t="n">
        <v>0</v>
      </c>
      <c r="S493" t="n">
        <v>1</v>
      </c>
      <c r="T493" t="n">
        <v>1</v>
      </c>
      <c r="U493" t="n">
        <v>0</v>
      </c>
      <c r="V493" s="2" t="inlineStr">
        <is>
          <t>Större vattensalamander</t>
        </is>
      </c>
      <c r="W493">
        <f>HYPERLINK("https://klasma.github.io/Logging_0760/artfynd/S 1733-2025 artfynd.xlsx", "S 1733-2025")</f>
        <v/>
      </c>
      <c r="X493">
        <f>HYPERLINK("https://klasma.github.io/Logging_0760/kartor/S 1733-2025 karta.png", "S 1733-2025")</f>
        <v/>
      </c>
      <c r="Y493">
        <f>HYPERLINK("https://klasma.github.io/Logging_0760/kartor_geotiff/S 1733-2025 georefererad karta.tif", "S 1733-2025")</f>
        <v/>
      </c>
      <c r="AA493">
        <f>HYPERLINK("https://klasma.github.io/Logging_0760/klagomål/S 1733-2025 FSC-klagomål.docx", "S 1733-2025")</f>
        <v/>
      </c>
      <c r="AB493">
        <f>HYPERLINK("https://klasma.github.io/Logging_0760/klagomålsmail/S 1733-2025 FSC-klagomål mail.docx", "S 1733-2025")</f>
        <v/>
      </c>
      <c r="AC493">
        <f>HYPERLINK("https://klasma.github.io/Logging_0760/tillsyn/S 1733-2025 tillsynsbegäran.docx", "S 1733-2025")</f>
        <v/>
      </c>
      <c r="AD493">
        <f>HYPERLINK("https://klasma.github.io/Logging_0760/tillsynsmail/S 1733-2025 tillsynsbegäran mail.docx", "S 1733-2025")</f>
        <v/>
      </c>
    </row>
    <row r="494" ht="15" customHeight="1">
      <c r="A494" t="inlineStr">
        <is>
          <t>S 1877-2026</t>
        </is>
      </c>
      <c r="B494" t="inlineStr">
        <is>
          <t>samrådsanmälan</t>
        </is>
      </c>
      <c r="C494" t="inlineStr">
        <is>
          <t>Annan skogsbruksåtgärd</t>
        </is>
      </c>
      <c r="D494" s="1" t="n">
        <v>46202</v>
      </c>
      <c r="E494" s="1" t="n">
        <v>46316</v>
      </c>
      <c r="F494" t="inlineStr">
        <is>
          <t>KRONOBERGS LÄN</t>
        </is>
      </c>
      <c r="G494" t="inlineStr">
        <is>
          <t>LJUNGBY</t>
        </is>
      </c>
      <c r="I494" t="n">
        <v>6.5</v>
      </c>
      <c r="J494" t="n">
        <v>0</v>
      </c>
      <c r="K494" t="n">
        <v>1</v>
      </c>
      <c r="L494" t="n">
        <v>0</v>
      </c>
      <c r="M494" t="n">
        <v>0</v>
      </c>
      <c r="N494" t="n">
        <v>0</v>
      </c>
      <c r="O494" t="n">
        <v>0</v>
      </c>
      <c r="P494" t="n">
        <v>0</v>
      </c>
      <c r="Q494" t="n">
        <v>0</v>
      </c>
      <c r="R494" t="n">
        <v>0</v>
      </c>
      <c r="S494" t="n">
        <v>1</v>
      </c>
      <c r="T494" t="n">
        <v>1</v>
      </c>
      <c r="U494" t="n">
        <v>0</v>
      </c>
      <c r="V494" s="2" t="inlineStr">
        <is>
          <t>Rostfläck</t>
        </is>
      </c>
      <c r="W494">
        <f>HYPERLINK("https://klasma.github.io/Logging_0781/artfynd/S 1877-2026 artfynd.xlsx", "S 1877-2026")</f>
        <v/>
      </c>
      <c r="X494">
        <f>HYPERLINK("https://klasma.github.io/Logging_0781/kartor/S 1877-2026 karta.png", "S 1877-2026")</f>
        <v/>
      </c>
      <c r="Y494">
        <f>HYPERLINK("https://klasma.github.io/Logging_0781/kartor_geotiff/S 1877-2026 georefererad karta.tif", "S 1877-2026")</f>
        <v/>
      </c>
      <c r="AA494">
        <f>HYPERLINK("https://klasma.github.io/Logging_0781/klagomål/S 1877-2026 FSC-klagomål.docx", "S 1877-2026")</f>
        <v/>
      </c>
      <c r="AB494">
        <f>HYPERLINK("https://klasma.github.io/Logging_0781/klagomålsmail/S 1877-2026 FSC-klagomål mail.docx", "S 1877-2026")</f>
        <v/>
      </c>
      <c r="AC494">
        <f>HYPERLINK("https://klasma.github.io/Logging_0781/tillsyn/S 1877-2026 tillsynsbegäran.docx", "S 1877-2026")</f>
        <v/>
      </c>
      <c r="AD494">
        <f>HYPERLINK("https://klasma.github.io/Logging_0781/tillsynsmail/S 1877-2026 tillsynsbegäran mail.docx", "S 1877-2026")</f>
        <v/>
      </c>
    </row>
    <row r="495" ht="15" customHeight="1">
      <c r="A495" t="inlineStr">
        <is>
          <t>S 1934-2026</t>
        </is>
      </c>
      <c r="B495" t="inlineStr">
        <is>
          <t>samrådsanmälan</t>
        </is>
      </c>
      <c r="C495" t="inlineStr">
        <is>
          <t>Annan skogsbruksåtgärd</t>
        </is>
      </c>
      <c r="D495" s="1" t="n">
        <v>46206</v>
      </c>
      <c r="E495" s="1" t="n">
        <v>46316</v>
      </c>
      <c r="F495" t="inlineStr">
        <is>
          <t>KRONOBERGS LÄN</t>
        </is>
      </c>
      <c r="G495" t="inlineStr">
        <is>
          <t>LJUNGBY</t>
        </is>
      </c>
      <c r="I495" t="n">
        <v>0.2</v>
      </c>
      <c r="J495" t="n">
        <v>0</v>
      </c>
      <c r="K495" t="n">
        <v>1</v>
      </c>
      <c r="L495" t="n">
        <v>0</v>
      </c>
      <c r="M495" t="n">
        <v>0</v>
      </c>
      <c r="N495" t="n">
        <v>0</v>
      </c>
      <c r="O495" t="n">
        <v>0</v>
      </c>
      <c r="P495" t="n">
        <v>0</v>
      </c>
      <c r="Q495" t="n">
        <v>0</v>
      </c>
      <c r="R495" t="n">
        <v>0</v>
      </c>
      <c r="S495" t="n">
        <v>1</v>
      </c>
      <c r="T495" t="n">
        <v>1</v>
      </c>
      <c r="U495" t="n">
        <v>0</v>
      </c>
      <c r="V495" s="2" t="inlineStr">
        <is>
          <t>Fällmossa</t>
        </is>
      </c>
      <c r="W495">
        <f>HYPERLINK("https://klasma.github.io/Logging_0781/artfynd/S 1934-2026 artfynd.xlsx", "S 1934-2026")</f>
        <v/>
      </c>
      <c r="X495">
        <f>HYPERLINK("https://klasma.github.io/Logging_0781/kartor/S 1934-2026 karta.png", "S 1934-2026")</f>
        <v/>
      </c>
      <c r="Y495">
        <f>HYPERLINK("https://klasma.github.io/Logging_0781/kartor_geotiff/S 1934-2026 georefererad karta.tif", "S 1934-2026")</f>
        <v/>
      </c>
      <c r="AA495">
        <f>HYPERLINK("https://klasma.github.io/Logging_0781/klagomål/S 1934-2026 FSC-klagomål.docx", "S 1934-2026")</f>
        <v/>
      </c>
      <c r="AB495">
        <f>HYPERLINK("https://klasma.github.io/Logging_0781/klagomålsmail/S 1934-2026 FSC-klagomål mail.docx", "S 1934-2026")</f>
        <v/>
      </c>
      <c r="AC495">
        <f>HYPERLINK("https://klasma.github.io/Logging_0781/tillsyn/S 1934-2026 tillsynsbegäran.docx", "S 1934-2026")</f>
        <v/>
      </c>
      <c r="AD495">
        <f>HYPERLINK("https://klasma.github.io/Logging_0781/tillsynsmail/S 1934-2026 tillsynsbegäran mail.docx", "S 1934-2026")</f>
        <v/>
      </c>
    </row>
    <row r="496" ht="15" customHeight="1">
      <c r="A496" t="inlineStr">
        <is>
          <t>S 2024-2026</t>
        </is>
      </c>
      <c r="B496" t="inlineStr">
        <is>
          <t>samrådsanmälan</t>
        </is>
      </c>
      <c r="C496" t="inlineStr">
        <is>
          <t>Askåterföring</t>
        </is>
      </c>
      <c r="D496" s="1" t="n">
        <v>46210</v>
      </c>
      <c r="E496" s="1" t="n">
        <v>46316</v>
      </c>
      <c r="F496" t="inlineStr">
        <is>
          <t>KRONOBERGS LÄN</t>
        </is>
      </c>
      <c r="G496" t="inlineStr">
        <is>
          <t>LJUNGBY</t>
        </is>
      </c>
      <c r="I496" t="n">
        <v>25.5</v>
      </c>
      <c r="J496" t="n">
        <v>1</v>
      </c>
      <c r="K496" t="n">
        <v>1</v>
      </c>
      <c r="L496" t="n">
        <v>0</v>
      </c>
      <c r="M496" t="n">
        <v>0</v>
      </c>
      <c r="N496" t="n">
        <v>0</v>
      </c>
      <c r="O496" t="n">
        <v>0</v>
      </c>
      <c r="P496" t="n">
        <v>0</v>
      </c>
      <c r="Q496" t="n">
        <v>0</v>
      </c>
      <c r="R496" t="n">
        <v>0</v>
      </c>
      <c r="S496" t="n">
        <v>1</v>
      </c>
      <c r="T496" t="n">
        <v>1</v>
      </c>
      <c r="U496" t="n">
        <v>0</v>
      </c>
      <c r="V496" s="2" t="inlineStr">
        <is>
          <t>Korallrot</t>
        </is>
      </c>
      <c r="W496">
        <f>HYPERLINK("https://klasma.github.io/Logging_0781/artfynd/S 2024-2026 artfynd.xlsx", "S 2024-2026")</f>
        <v/>
      </c>
      <c r="X496">
        <f>HYPERLINK("https://klasma.github.io/Logging_0781/kartor/S 2024-2026 karta.png", "S 2024-2026")</f>
        <v/>
      </c>
      <c r="Y496">
        <f>HYPERLINK("https://klasma.github.io/Logging_0781/kartor_geotiff/S 2024-2026 georefererad karta.tif", "S 2024-2026")</f>
        <v/>
      </c>
      <c r="AA496">
        <f>HYPERLINK("https://klasma.github.io/Logging_0781/klagomål/S 2024-2026 FSC-klagomål.docx", "S 2024-2026")</f>
        <v/>
      </c>
      <c r="AB496">
        <f>HYPERLINK("https://klasma.github.io/Logging_0781/klagomålsmail/S 2024-2026 FSC-klagomål mail.docx", "S 2024-2026")</f>
        <v/>
      </c>
      <c r="AC496">
        <f>HYPERLINK("https://klasma.github.io/Logging_0781/tillsyn/S 2024-2026 tillsynsbegäran.docx", "S 2024-2026")</f>
        <v/>
      </c>
      <c r="AD496">
        <f>HYPERLINK("https://klasma.github.io/Logging_0781/tillsynsmail/S 2024-2026 tillsynsbegäran mail.docx", "S 2024-2026")</f>
        <v/>
      </c>
    </row>
    <row r="497" ht="15" customHeight="1">
      <c r="A497" t="inlineStr">
        <is>
          <t>S 2035-2026</t>
        </is>
      </c>
      <c r="B497" t="inlineStr">
        <is>
          <t>samrådsanmälan</t>
        </is>
      </c>
      <c r="C497" t="inlineStr">
        <is>
          <t>Askåterföring</t>
        </is>
      </c>
      <c r="D497" s="1" t="n">
        <v>46211</v>
      </c>
      <c r="E497" s="1" t="n">
        <v>46316</v>
      </c>
      <c r="F497" t="inlineStr">
        <is>
          <t>KRONOBERGS LÄN</t>
        </is>
      </c>
      <c r="G497" t="inlineStr">
        <is>
          <t>LJUNGBY</t>
        </is>
      </c>
      <c r="I497" t="n">
        <v>56.5</v>
      </c>
      <c r="J497" t="n">
        <v>0</v>
      </c>
      <c r="K497" t="n">
        <v>0</v>
      </c>
      <c r="L497" t="n">
        <v>1</v>
      </c>
      <c r="M497" t="n">
        <v>0</v>
      </c>
      <c r="N497" t="n">
        <v>0</v>
      </c>
      <c r="O497" t="n">
        <v>0</v>
      </c>
      <c r="P497" t="n">
        <v>0</v>
      </c>
      <c r="Q497" t="n">
        <v>1</v>
      </c>
      <c r="R497" t="n">
        <v>0</v>
      </c>
      <c r="S497" t="n">
        <v>1</v>
      </c>
      <c r="T497" t="n">
        <v>1</v>
      </c>
      <c r="U497" t="n">
        <v>0</v>
      </c>
      <c r="V497" s="2" t="inlineStr">
        <is>
          <t>Brunag</t>
        </is>
      </c>
      <c r="W497">
        <f>HYPERLINK("https://klasma.github.io/Logging_0781/artfynd/S 2035-2026 artfynd.xlsx", "S 2035-2026")</f>
        <v/>
      </c>
      <c r="X497">
        <f>HYPERLINK("https://klasma.github.io/Logging_0781/kartor/S 2035-2026 karta.png", "S 2035-2026")</f>
        <v/>
      </c>
      <c r="Y497">
        <f>HYPERLINK("https://klasma.github.io/Logging_0781/kartor_geotiff/S 2035-2026 georefererad karta.tif", "S 2035-2026")</f>
        <v/>
      </c>
      <c r="AA497">
        <f>HYPERLINK("https://klasma.github.io/Logging_0781/klagomål/S 2035-2026 FSC-klagomål.docx", "S 2035-2026")</f>
        <v/>
      </c>
      <c r="AB497">
        <f>HYPERLINK("https://klasma.github.io/Logging_0781/klagomålsmail/S 2035-2026 FSC-klagomål mail.docx", "S 2035-2026")</f>
        <v/>
      </c>
      <c r="AC497">
        <f>HYPERLINK("https://klasma.github.io/Logging_0781/tillsyn/S 2035-2026 tillsynsbegäran.docx", "S 2035-2026")</f>
        <v/>
      </c>
      <c r="AD497">
        <f>HYPERLINK("https://klasma.github.io/Logging_0781/tillsynsmail/S 2035-2026 tillsynsbegäran mail.docx", "S 2035-2026")</f>
        <v/>
      </c>
    </row>
    <row r="498" ht="15" customHeight="1">
      <c r="A498" t="inlineStr">
        <is>
          <t>S 1978-2026</t>
        </is>
      </c>
      <c r="B498" t="inlineStr">
        <is>
          <t>samrådsanmälan</t>
        </is>
      </c>
      <c r="C498" t="inlineStr">
        <is>
          <t>Askåterföring</t>
        </is>
      </c>
      <c r="D498" s="1" t="n">
        <v>46211</v>
      </c>
      <c r="E498" s="1" t="n">
        <v>46316</v>
      </c>
      <c r="F498" t="inlineStr">
        <is>
          <t>KRONOBERGS LÄN</t>
        </is>
      </c>
      <c r="G498" t="inlineStr">
        <is>
          <t>LESSEBO</t>
        </is>
      </c>
      <c r="I498" t="n">
        <v>95.7</v>
      </c>
      <c r="J498" t="n">
        <v>1</v>
      </c>
      <c r="K498" t="n">
        <v>1</v>
      </c>
      <c r="L498" t="n">
        <v>0</v>
      </c>
      <c r="M498" t="n">
        <v>0</v>
      </c>
      <c r="N498" t="n">
        <v>0</v>
      </c>
      <c r="O498" t="n">
        <v>0</v>
      </c>
      <c r="P498" t="n">
        <v>0</v>
      </c>
      <c r="Q498" t="n">
        <v>0</v>
      </c>
      <c r="R498" t="n">
        <v>0</v>
      </c>
      <c r="S498" t="n">
        <v>1</v>
      </c>
      <c r="T498" t="n">
        <v>1</v>
      </c>
      <c r="U498" t="n">
        <v>0</v>
      </c>
      <c r="V498" s="2" t="inlineStr">
        <is>
          <t>Korallrot</t>
        </is>
      </c>
      <c r="W498">
        <f>HYPERLINK("https://klasma.github.io/Logging_0761/artfynd/S 1978-2026 artfynd.xlsx", "S 1978-2026")</f>
        <v/>
      </c>
      <c r="X498">
        <f>HYPERLINK("https://klasma.github.io/Logging_0761/kartor/S 1978-2026 karta.png", "S 1978-2026")</f>
        <v/>
      </c>
      <c r="Y498">
        <f>HYPERLINK("https://klasma.github.io/Logging_0761/kartor_geotiff/S 1978-2026 georefererad karta.tif", "S 1978-2026")</f>
        <v/>
      </c>
      <c r="Z498">
        <f>HYPERLINK("https://klasma.github.io/Logging_0761/knärot/S 1978-2026 karta knärot.png", "S 1978-2026")</f>
        <v/>
      </c>
      <c r="AA498">
        <f>HYPERLINK("https://klasma.github.io/Logging_0761/klagomål/S 1978-2026 FSC-klagomål.docx", "S 1978-2026")</f>
        <v/>
      </c>
      <c r="AB498">
        <f>HYPERLINK("https://klasma.github.io/Logging_0761/klagomålsmail/S 1978-2026 FSC-klagomål mail.docx", "S 1978-2026")</f>
        <v/>
      </c>
      <c r="AC498">
        <f>HYPERLINK("https://klasma.github.io/Logging_0761/tillsyn/S 1978-2026 tillsynsbegäran.docx", "S 1978-2026")</f>
        <v/>
      </c>
      <c r="AD498">
        <f>HYPERLINK("https://klasma.github.io/Logging_0761/tillsynsmail/S 1978-2026 tillsynsbegäran mail.docx", "S 1978-2026")</f>
        <v/>
      </c>
    </row>
    <row r="499" ht="15" customHeight="1">
      <c r="A499" t="inlineStr">
        <is>
          <t>S 2409-2026</t>
        </is>
      </c>
      <c r="B499" t="inlineStr">
        <is>
          <t>samrådsanmälan</t>
        </is>
      </c>
      <c r="C499" t="inlineStr">
        <is>
          <t>Annan skogsbruksåtgärd</t>
        </is>
      </c>
      <c r="D499" s="1" t="n">
        <v>46279</v>
      </c>
      <c r="E499" s="1" t="n">
        <v>46316</v>
      </c>
      <c r="F499" t="inlineStr">
        <is>
          <t>KRONOBERGS LÄN</t>
        </is>
      </c>
      <c r="G499" t="inlineStr">
        <is>
          <t>LJUNGBY</t>
        </is>
      </c>
      <c r="H499" t="inlineStr">
        <is>
          <t>Sveaskog</t>
        </is>
      </c>
      <c r="I499" t="n">
        <v>1.5</v>
      </c>
      <c r="J499" t="n">
        <v>0</v>
      </c>
      <c r="K499" t="n">
        <v>1</v>
      </c>
      <c r="L499" t="n">
        <v>0</v>
      </c>
      <c r="M499" t="n">
        <v>0</v>
      </c>
      <c r="N499" t="n">
        <v>0</v>
      </c>
      <c r="O499" t="n">
        <v>0</v>
      </c>
      <c r="P499" t="n">
        <v>0</v>
      </c>
      <c r="Q499" t="n">
        <v>0</v>
      </c>
      <c r="R499" t="n">
        <v>0</v>
      </c>
      <c r="S499" t="n">
        <v>1</v>
      </c>
      <c r="T499" t="n">
        <v>1</v>
      </c>
      <c r="U499" t="n">
        <v>0</v>
      </c>
      <c r="V499" s="2" t="inlineStr">
        <is>
          <t>Klippfrullania</t>
        </is>
      </c>
      <c r="W499">
        <f>HYPERLINK("https://klasma.github.io/Logging_0781/artfynd/S 2409-2026 artfynd.xlsx", "S 2409-2026")</f>
        <v/>
      </c>
      <c r="X499">
        <f>HYPERLINK("https://klasma.github.io/Logging_0781/kartor/S 2409-2026 karta.png", "S 2409-2026")</f>
        <v/>
      </c>
      <c r="Y499">
        <f>HYPERLINK("https://klasma.github.io/Logging_0781/kartor_geotiff/S 2409-2026 georefererad karta.tif", "S 2409-2026")</f>
        <v/>
      </c>
      <c r="AA499">
        <f>HYPERLINK("https://klasma.github.io/Logging_0781/klagomål/S 2409-2026 FSC-klagomål.docx", "S 2409-2026")</f>
        <v/>
      </c>
      <c r="AB499">
        <f>HYPERLINK("https://klasma.github.io/Logging_0781/klagomålsmail/S 2409-2026 FSC-klagomål mail.docx", "S 2409-2026")</f>
        <v/>
      </c>
      <c r="AC499">
        <f>HYPERLINK("https://klasma.github.io/Logging_0781/tillsyn/S 2409-2026 tillsynsbegäran.docx", "S 2409-2026")</f>
        <v/>
      </c>
      <c r="AD499">
        <f>HYPERLINK("https://klasma.github.io/Logging_0781/tillsynsmail/S 2409-2026 tillsynsbegäran mail.docx", "S 2409-2026")</f>
        <v/>
      </c>
    </row>
    <row r="500" ht="15" customHeight="1">
      <c r="A500" t="inlineStr">
        <is>
          <t>S 2612-2026</t>
        </is>
      </c>
      <c r="B500" t="inlineStr">
        <is>
          <t>samrådsanmälan</t>
        </is>
      </c>
      <c r="C500" t="inlineStr">
        <is>
          <t>Askåterföring</t>
        </is>
      </c>
      <c r="D500" s="1" t="n">
        <v>46300</v>
      </c>
      <c r="E500" s="1" t="n">
        <v>46316</v>
      </c>
      <c r="F500" t="inlineStr">
        <is>
          <t>KRONOBERGS LÄN</t>
        </is>
      </c>
      <c r="G500" t="inlineStr">
        <is>
          <t>UPPVIDINGE</t>
        </is>
      </c>
      <c r="H500" t="inlineStr">
        <is>
          <t>Kyrkan</t>
        </is>
      </c>
      <c r="I500" t="n">
        <v>111.3</v>
      </c>
      <c r="J500" t="n">
        <v>1</v>
      </c>
      <c r="K500" t="n">
        <v>0</v>
      </c>
      <c r="L500" t="n">
        <v>0</v>
      </c>
      <c r="M500" t="n">
        <v>0</v>
      </c>
      <c r="N500" t="n">
        <v>0</v>
      </c>
      <c r="O500" t="n">
        <v>0</v>
      </c>
      <c r="P500" t="n">
        <v>0</v>
      </c>
      <c r="Q500" t="n">
        <v>0</v>
      </c>
      <c r="R500" t="n">
        <v>0</v>
      </c>
      <c r="S500" t="n">
        <v>1</v>
      </c>
      <c r="T500" t="n">
        <v>1</v>
      </c>
      <c r="U500" t="n">
        <v>0</v>
      </c>
      <c r="V500" s="2" t="inlineStr">
        <is>
          <t>Revlummer</t>
        </is>
      </c>
      <c r="W500">
        <f>HYPERLINK("https://klasma.github.io/Logging_0760/artfynd/S 2612-2026 artfynd.xlsx", "S 2612-2026")</f>
        <v/>
      </c>
      <c r="X500">
        <f>HYPERLINK("https://klasma.github.io/Logging_0760/kartor/S 2612-2026 karta.png", "S 2612-2026")</f>
        <v/>
      </c>
      <c r="Y500">
        <f>HYPERLINK("https://klasma.github.io/Logging_0760/kartor_geotiff/S 2612-2026 georefererad karta.tif", "S 2612-2026")</f>
        <v/>
      </c>
      <c r="AA500">
        <f>HYPERLINK("https://klasma.github.io/Logging_0760/klagomål/S 2612-2026 FSC-klagomål.docx", "S 2612-2026")</f>
        <v/>
      </c>
      <c r="AB500">
        <f>HYPERLINK("https://klasma.github.io/Logging_0760/klagomålsmail/S 2612-2026 FSC-klagomål mail.docx", "S 2612-2026")</f>
        <v/>
      </c>
      <c r="AC500">
        <f>HYPERLINK("https://klasma.github.io/Logging_0760/tillsyn/S 2612-2026 tillsynsbegäran.docx", "S 2612-2026")</f>
        <v/>
      </c>
      <c r="AD500">
        <f>HYPERLINK("https://klasma.github.io/Logging_0760/tillsynsmail/S 2612-2026 tillsynsbegäran mail.docx", "S 2612-2026")</f>
        <v/>
      </c>
    </row>
    <row r="501" ht="15" customHeight="1">
      <c r="A501" t="inlineStr">
        <is>
          <t>S 2314-2026</t>
        </is>
      </c>
      <c r="B501" t="inlineStr">
        <is>
          <t>samrådsanmälan</t>
        </is>
      </c>
      <c r="C501" t="inlineStr">
        <is>
          <t>Annan skogsbruksåtgärd</t>
        </is>
      </c>
      <c r="D501" s="1" t="n">
        <v>46269</v>
      </c>
      <c r="E501" s="1" t="n">
        <v>46316</v>
      </c>
      <c r="F501" t="inlineStr">
        <is>
          <t>KRONOBERGS LÄN</t>
        </is>
      </c>
      <c r="G501" t="inlineStr">
        <is>
          <t>ALVESTA</t>
        </is>
      </c>
      <c r="I501" t="n">
        <v>2.3</v>
      </c>
      <c r="J501" t="n">
        <v>0</v>
      </c>
      <c r="K501" t="n">
        <v>0</v>
      </c>
      <c r="L501" t="n">
        <v>1</v>
      </c>
      <c r="M501" t="n">
        <v>0</v>
      </c>
      <c r="N501" t="n">
        <v>0</v>
      </c>
      <c r="O501" t="n">
        <v>0</v>
      </c>
      <c r="P501" t="n">
        <v>0</v>
      </c>
      <c r="Q501" t="n">
        <v>1</v>
      </c>
      <c r="R501" t="n">
        <v>0</v>
      </c>
      <c r="S501" t="n">
        <v>1</v>
      </c>
      <c r="T501" t="n">
        <v>1</v>
      </c>
      <c r="U501" t="n">
        <v>0</v>
      </c>
      <c r="V501" s="2" t="inlineStr">
        <is>
          <t>Ängsstarr</t>
        </is>
      </c>
      <c r="W501">
        <f>HYPERLINK("https://klasma.github.io/Logging_0764/artfynd/S 2314-2026 artfynd.xlsx", "S 2314-2026")</f>
        <v/>
      </c>
      <c r="X501">
        <f>HYPERLINK("https://klasma.github.io/Logging_0764/kartor/S 2314-2026 karta.png", "S 2314-2026")</f>
        <v/>
      </c>
      <c r="Y501">
        <f>HYPERLINK("https://klasma.github.io/Logging_0764/kartor_geotiff/S 2314-2026 georefererad karta.tif", "S 2314-2026")</f>
        <v/>
      </c>
      <c r="AA501">
        <f>HYPERLINK("https://klasma.github.io/Logging_0764/klagomål/S 2314-2026 FSC-klagomål.docx", "S 2314-2026")</f>
        <v/>
      </c>
      <c r="AB501">
        <f>HYPERLINK("https://klasma.github.io/Logging_0764/klagomålsmail/S 2314-2026 FSC-klagomål mail.docx", "S 2314-2026")</f>
        <v/>
      </c>
      <c r="AC501">
        <f>HYPERLINK("https://klasma.github.io/Logging_0764/tillsyn/S 2314-2026 tillsynsbegäran.docx", "S 2314-2026")</f>
        <v/>
      </c>
      <c r="AD501">
        <f>HYPERLINK("https://klasma.github.io/Logging_0764/tillsynsmail/S 2314-2026 tillsynsbegäran mail.docx", "S 2314-2026")</f>
        <v/>
      </c>
    </row>
    <row r="502" ht="15" customHeight="1">
      <c r="A502" t="inlineStr">
        <is>
          <t>A 19472-2022</t>
        </is>
      </c>
      <c r="B502" t="inlineStr">
        <is>
          <t>avverkningsanmälan</t>
        </is>
      </c>
      <c r="C502" t="inlineStr">
        <is>
          <t>Föryngringsavverkning</t>
        </is>
      </c>
      <c r="D502" s="1" t="n">
        <v>44693</v>
      </c>
      <c r="E502" s="1" t="n">
        <v>46316</v>
      </c>
      <c r="F502" t="inlineStr">
        <is>
          <t>KRONOBERGS LÄN</t>
        </is>
      </c>
      <c r="G502" t="inlineStr">
        <is>
          <t>VÄXJÖ</t>
        </is>
      </c>
      <c r="I502" t="n">
        <v>0.7</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30989-2022</t>
        </is>
      </c>
      <c r="B503" t="inlineStr">
        <is>
          <t>avverkningsanmälan</t>
        </is>
      </c>
      <c r="C503" t="inlineStr">
        <is>
          <t>Föryngringsavverkning</t>
        </is>
      </c>
      <c r="D503" s="1" t="n">
        <v>44768</v>
      </c>
      <c r="E503" s="1" t="n">
        <v>46316</v>
      </c>
      <c r="F503" t="inlineStr">
        <is>
          <t>KRONOBERGS LÄN</t>
        </is>
      </c>
      <c r="G503" t="inlineStr">
        <is>
          <t>ALVESTA</t>
        </is>
      </c>
      <c r="I503" t="n">
        <v>12.8</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36764-2022</t>
        </is>
      </c>
      <c r="B504" t="inlineStr">
        <is>
          <t>avverkningsanmälan</t>
        </is>
      </c>
      <c r="C504" t="inlineStr">
        <is>
          <t>Föryngringsavverkning</t>
        </is>
      </c>
      <c r="D504" s="1" t="n">
        <v>44805</v>
      </c>
      <c r="E504" s="1" t="n">
        <v>46316</v>
      </c>
      <c r="F504" t="inlineStr">
        <is>
          <t>KRONOBERGS LÄN</t>
        </is>
      </c>
      <c r="G504" t="inlineStr">
        <is>
          <t>ALVESTA</t>
        </is>
      </c>
      <c r="I504" t="n">
        <v>0.7</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38397-2022</t>
        </is>
      </c>
      <c r="B505" t="inlineStr">
        <is>
          <t>avverkningsanmälan</t>
        </is>
      </c>
      <c r="C505" t="inlineStr">
        <is>
          <t>Föryngringsavverkning</t>
        </is>
      </c>
      <c r="D505" s="1" t="n">
        <v>44812</v>
      </c>
      <c r="E505" s="1" t="n">
        <v>46316</v>
      </c>
      <c r="F505" t="inlineStr">
        <is>
          <t>KRONOBERGS LÄN</t>
        </is>
      </c>
      <c r="G505" t="inlineStr">
        <is>
          <t>VÄXJÖ</t>
        </is>
      </c>
      <c r="I505" t="n">
        <v>1.2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44576-2022</t>
        </is>
      </c>
      <c r="B506" t="inlineStr">
        <is>
          <t>avverkningsanmälan</t>
        </is>
      </c>
      <c r="C506" t="inlineStr">
        <is>
          <t>Föryngringsavverkning</t>
        </is>
      </c>
      <c r="D506" s="1" t="n">
        <v>44840</v>
      </c>
      <c r="E506" s="1" t="n">
        <v>46316</v>
      </c>
      <c r="F506" t="inlineStr">
        <is>
          <t>KRONOBERGS LÄN</t>
        </is>
      </c>
      <c r="G506" t="inlineStr">
        <is>
          <t>LESSEBO</t>
        </is>
      </c>
      <c r="I506" t="n">
        <v>0.6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55602-2022</t>
        </is>
      </c>
      <c r="B507" t="inlineStr">
        <is>
          <t>avverkningsanmälan</t>
        </is>
      </c>
      <c r="C507" t="inlineStr">
        <is>
          <t>Föryngringsavverkning</t>
        </is>
      </c>
      <c r="D507" s="1" t="n">
        <v>44888</v>
      </c>
      <c r="E507" s="1" t="n">
        <v>46316</v>
      </c>
      <c r="F507" t="inlineStr">
        <is>
          <t>KRONOBERGS LÄN</t>
        </is>
      </c>
      <c r="G507" t="inlineStr">
        <is>
          <t>TINGSRYD</t>
        </is>
      </c>
      <c r="I507" t="n">
        <v>0.5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74041-2021</t>
        </is>
      </c>
      <c r="B508" t="inlineStr">
        <is>
          <t>avverkningsanmälan</t>
        </is>
      </c>
      <c r="C508" t="inlineStr">
        <is>
          <t>Föryngringsavverkning</t>
        </is>
      </c>
      <c r="D508" s="1" t="n">
        <v>44557</v>
      </c>
      <c r="E508" s="1" t="n">
        <v>46316</v>
      </c>
      <c r="F508" t="inlineStr">
        <is>
          <t>KRONOBERGS LÄN</t>
        </is>
      </c>
      <c r="G508" t="inlineStr">
        <is>
          <t>TINGSRYD</t>
        </is>
      </c>
      <c r="I508" t="n">
        <v>0.4</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8060-2022</t>
        </is>
      </c>
      <c r="B509" t="inlineStr">
        <is>
          <t>avverkningsanmälan</t>
        </is>
      </c>
      <c r="C509" t="inlineStr">
        <is>
          <t>Föryngringsavverkning</t>
        </is>
      </c>
      <c r="D509" s="1" t="n">
        <v>44609</v>
      </c>
      <c r="E509" s="1" t="n">
        <v>46316</v>
      </c>
      <c r="F509" t="inlineStr">
        <is>
          <t>KRONOBERGS LÄN</t>
        </is>
      </c>
      <c r="G509" t="inlineStr">
        <is>
          <t>ÄLMHULT</t>
        </is>
      </c>
      <c r="I509" t="n">
        <v>0.4</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66328-2021</t>
        </is>
      </c>
      <c r="B510" t="inlineStr">
        <is>
          <t>avverkningsanmälan</t>
        </is>
      </c>
      <c r="C510" t="inlineStr">
        <is>
          <t>Föryngringsavverkning</t>
        </is>
      </c>
      <c r="D510" s="1" t="n">
        <v>44518</v>
      </c>
      <c r="E510" s="1" t="n">
        <v>46316</v>
      </c>
      <c r="F510" t="inlineStr">
        <is>
          <t>KRONOBERGS LÄN</t>
        </is>
      </c>
      <c r="G510" t="inlineStr">
        <is>
          <t>VÄXJÖ</t>
        </is>
      </c>
      <c r="I510" t="n">
        <v>1</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1032-2022</t>
        </is>
      </c>
      <c r="B511" t="inlineStr">
        <is>
          <t>avverkningsanmälan</t>
        </is>
      </c>
      <c r="C511" t="inlineStr">
        <is>
          <t>Föryngringsavverkning</t>
        </is>
      </c>
      <c r="D511" s="1" t="n">
        <v>44571</v>
      </c>
      <c r="E511" s="1" t="n">
        <v>46316</v>
      </c>
      <c r="F511" t="inlineStr">
        <is>
          <t>KRONOBERGS LÄN</t>
        </is>
      </c>
      <c r="G511" t="inlineStr">
        <is>
          <t>LJUNGBY</t>
        </is>
      </c>
      <c r="I511" t="n">
        <v>0.7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44896-2022</t>
        </is>
      </c>
      <c r="B512" t="inlineStr">
        <is>
          <t>avverkningsanmälan</t>
        </is>
      </c>
      <c r="C512" t="inlineStr">
        <is>
          <t>Föryngringsavverkning</t>
        </is>
      </c>
      <c r="D512" s="1" t="n">
        <v>44841</v>
      </c>
      <c r="E512" s="1" t="n">
        <v>46316</v>
      </c>
      <c r="F512" t="inlineStr">
        <is>
          <t>KRONOBERGS LÄN</t>
        </is>
      </c>
      <c r="G512" t="inlineStr">
        <is>
          <t>TINGSRYD</t>
        </is>
      </c>
      <c r="I512" t="n">
        <v>0.7</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70395-2021</t>
        </is>
      </c>
      <c r="B513" t="inlineStr">
        <is>
          <t>avverkningsanmälan</t>
        </is>
      </c>
      <c r="C513" t="inlineStr">
        <is>
          <t>Föryngringsavverkning</t>
        </is>
      </c>
      <c r="D513" s="1" t="n">
        <v>44536</v>
      </c>
      <c r="E513" s="1" t="n">
        <v>46316</v>
      </c>
      <c r="F513" t="inlineStr">
        <is>
          <t>KRONOBERGS LÄN</t>
        </is>
      </c>
      <c r="G513" t="inlineStr">
        <is>
          <t>VÄXJÖ</t>
        </is>
      </c>
      <c r="I513" t="n">
        <v>0.4</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22796-2022</t>
        </is>
      </c>
      <c r="B514" t="inlineStr">
        <is>
          <t>avverkningsanmälan</t>
        </is>
      </c>
      <c r="C514" t="inlineStr">
        <is>
          <t>Föryngringsavverkning</t>
        </is>
      </c>
      <c r="D514" s="1" t="n">
        <v>44715</v>
      </c>
      <c r="E514" s="1" t="n">
        <v>46316</v>
      </c>
      <c r="F514" t="inlineStr">
        <is>
          <t>KRONOBERGS LÄN</t>
        </is>
      </c>
      <c r="G514" t="inlineStr">
        <is>
          <t>LJUNGBY</t>
        </is>
      </c>
      <c r="I514" t="n">
        <v>0</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67867-2021</t>
        </is>
      </c>
      <c r="B515" t="inlineStr">
        <is>
          <t>avverkningsanmälan</t>
        </is>
      </c>
      <c r="C515" t="inlineStr">
        <is>
          <t>Föryngringsavverkning</t>
        </is>
      </c>
      <c r="D515" s="1" t="n">
        <v>44525</v>
      </c>
      <c r="E515" s="1" t="n">
        <v>46316</v>
      </c>
      <c r="F515" t="inlineStr">
        <is>
          <t>KRONOBERGS LÄN</t>
        </is>
      </c>
      <c r="G515" t="inlineStr">
        <is>
          <t>ÄLMHULT</t>
        </is>
      </c>
      <c r="I515" t="n">
        <v>1.9</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36856-2022</t>
        </is>
      </c>
      <c r="B516" t="inlineStr">
        <is>
          <t>avverkningsanmälan</t>
        </is>
      </c>
      <c r="C516" t="inlineStr">
        <is>
          <t>Föryngringsavverkning</t>
        </is>
      </c>
      <c r="D516" s="1" t="n">
        <v>44805</v>
      </c>
      <c r="E516" s="1" t="n">
        <v>46316</v>
      </c>
      <c r="F516" t="inlineStr">
        <is>
          <t>KRONOBERGS LÄN</t>
        </is>
      </c>
      <c r="G516" t="inlineStr">
        <is>
          <t>ALVESTA</t>
        </is>
      </c>
      <c r="H516" t="inlineStr">
        <is>
          <t>Kyrkan</t>
        </is>
      </c>
      <c r="I516" t="n">
        <v>0.8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53489-2022</t>
        </is>
      </c>
      <c r="B517" t="inlineStr">
        <is>
          <t>avverkningsanmälan</t>
        </is>
      </c>
      <c r="C517" t="inlineStr">
        <is>
          <t>Föryngringsavverkning</t>
        </is>
      </c>
      <c r="D517" s="1" t="n">
        <v>44875</v>
      </c>
      <c r="E517" s="1" t="n">
        <v>46316</v>
      </c>
      <c r="F517" t="inlineStr">
        <is>
          <t>KRONOBERGS LÄN</t>
        </is>
      </c>
      <c r="G517" t="inlineStr">
        <is>
          <t>TINGSRYD</t>
        </is>
      </c>
      <c r="I517" t="n">
        <v>2.1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9863-2022</t>
        </is>
      </c>
      <c r="B518" t="inlineStr">
        <is>
          <t>avverkningsanmälan</t>
        </is>
      </c>
      <c r="C518" t="inlineStr">
        <is>
          <t>Föryngringsavverkning</t>
        </is>
      </c>
      <c r="D518" s="1" t="n">
        <v>44620</v>
      </c>
      <c r="E518" s="1" t="n">
        <v>46316</v>
      </c>
      <c r="F518" t="inlineStr">
        <is>
          <t>KRONOBERGS LÄN</t>
        </is>
      </c>
      <c r="G518" t="inlineStr">
        <is>
          <t>TINGSRYD</t>
        </is>
      </c>
      <c r="H518" t="inlineStr">
        <is>
          <t>Kommuner</t>
        </is>
      </c>
      <c r="I518" t="n">
        <v>3.3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9868-2022</t>
        </is>
      </c>
      <c r="B519" t="inlineStr">
        <is>
          <t>avverkningsanmälan</t>
        </is>
      </c>
      <c r="C519" t="inlineStr">
        <is>
          <t>Föryngringsavverkning</t>
        </is>
      </c>
      <c r="D519" s="1" t="n">
        <v>44620</v>
      </c>
      <c r="E519" s="1" t="n">
        <v>46316</v>
      </c>
      <c r="F519" t="inlineStr">
        <is>
          <t>KRONOBERGS LÄN</t>
        </is>
      </c>
      <c r="G519" t="inlineStr">
        <is>
          <t>TINGSRYD</t>
        </is>
      </c>
      <c r="H519" t="inlineStr">
        <is>
          <t>Kommuner</t>
        </is>
      </c>
      <c r="I519" t="n">
        <v>0.5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25399-2022</t>
        </is>
      </c>
      <c r="B520" t="inlineStr">
        <is>
          <t>avverkningsanmälan</t>
        </is>
      </c>
      <c r="C520" t="inlineStr">
        <is>
          <t>Föryngringsavverkning</t>
        </is>
      </c>
      <c r="D520" s="1" t="n">
        <v>44732</v>
      </c>
      <c r="E520" s="1" t="n">
        <v>46316</v>
      </c>
      <c r="F520" t="inlineStr">
        <is>
          <t>KRONOBERGS LÄN</t>
        </is>
      </c>
      <c r="G520" t="inlineStr">
        <is>
          <t>TINGSRYD</t>
        </is>
      </c>
      <c r="I520" t="n">
        <v>1.5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663-2022</t>
        </is>
      </c>
      <c r="B521" t="inlineStr">
        <is>
          <t>avverkningsanmälan</t>
        </is>
      </c>
      <c r="C521" t="inlineStr">
        <is>
          <t>Föryngringsavverkning</t>
        </is>
      </c>
      <c r="D521" s="1" t="n">
        <v>44568</v>
      </c>
      <c r="E521" s="1" t="n">
        <v>46316</v>
      </c>
      <c r="F521" t="inlineStr">
        <is>
          <t>KRONOBERGS LÄN</t>
        </is>
      </c>
      <c r="G521" t="inlineStr">
        <is>
          <t>LJUNGBY</t>
        </is>
      </c>
      <c r="I521" t="n">
        <v>1.6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33401-2022</t>
        </is>
      </c>
      <c r="B522" t="inlineStr">
        <is>
          <t>avverkningsanmälan</t>
        </is>
      </c>
      <c r="C522" t="inlineStr">
        <is>
          <t>Föryngringsavverkning</t>
        </is>
      </c>
      <c r="D522" s="1" t="n">
        <v>44785</v>
      </c>
      <c r="E522" s="1" t="n">
        <v>46316</v>
      </c>
      <c r="F522" t="inlineStr">
        <is>
          <t>KRONOBERGS LÄN</t>
        </is>
      </c>
      <c r="G522" t="inlineStr">
        <is>
          <t>ÄLMHULT</t>
        </is>
      </c>
      <c r="I522" t="n">
        <v>1.1</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33406-2022</t>
        </is>
      </c>
      <c r="B523" t="inlineStr">
        <is>
          <t>avverkningsanmälan</t>
        </is>
      </c>
      <c r="C523" t="inlineStr">
        <is>
          <t>Föryngringsavverkning</t>
        </is>
      </c>
      <c r="D523" s="1" t="n">
        <v>44785</v>
      </c>
      <c r="E523" s="1" t="n">
        <v>46316</v>
      </c>
      <c r="F523" t="inlineStr">
        <is>
          <t>KRONOBERGS LÄN</t>
        </is>
      </c>
      <c r="G523" t="inlineStr">
        <is>
          <t>ÄLMHULT</t>
        </is>
      </c>
      <c r="I523" t="n">
        <v>2.1</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47398-2022</t>
        </is>
      </c>
      <c r="B524" t="inlineStr">
        <is>
          <t>avverkningsanmälan</t>
        </is>
      </c>
      <c r="C524" t="inlineStr">
        <is>
          <t>Föryngringsavverkning</t>
        </is>
      </c>
      <c r="D524" s="1" t="n">
        <v>44853</v>
      </c>
      <c r="E524" s="1" t="n">
        <v>46316</v>
      </c>
      <c r="F524" t="inlineStr">
        <is>
          <t>KRONOBERGS LÄN</t>
        </is>
      </c>
      <c r="G524" t="inlineStr">
        <is>
          <t>LJUNGBY</t>
        </is>
      </c>
      <c r="I524" t="n">
        <v>0.3</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33410-2022</t>
        </is>
      </c>
      <c r="B525" t="inlineStr">
        <is>
          <t>avverkningsanmälan</t>
        </is>
      </c>
      <c r="C525" t="inlineStr">
        <is>
          <t>Föryngringsavverkning</t>
        </is>
      </c>
      <c r="D525" s="1" t="n">
        <v>44785</v>
      </c>
      <c r="E525" s="1" t="n">
        <v>46316</v>
      </c>
      <c r="F525" t="inlineStr">
        <is>
          <t>KRONOBERGS LÄN</t>
        </is>
      </c>
      <c r="G525" t="inlineStr">
        <is>
          <t>ÄLMHULT</t>
        </is>
      </c>
      <c r="I525" t="n">
        <v>0.6</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50146-2022</t>
        </is>
      </c>
      <c r="B526" t="inlineStr">
        <is>
          <t>avverkningsanmälan</t>
        </is>
      </c>
      <c r="C526" t="inlineStr">
        <is>
          <t>Föryngringsavverkning</t>
        </is>
      </c>
      <c r="D526" s="1" t="n">
        <v>44865</v>
      </c>
      <c r="E526" s="1" t="n">
        <v>46316</v>
      </c>
      <c r="F526" t="inlineStr">
        <is>
          <t>KRONOBERGS LÄN</t>
        </is>
      </c>
      <c r="G526" t="inlineStr">
        <is>
          <t>UPPVIDINGE</t>
        </is>
      </c>
      <c r="I526" t="n">
        <v>1.6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30757-2022</t>
        </is>
      </c>
      <c r="B527" t="inlineStr">
        <is>
          <t>avverkningsanmälan</t>
        </is>
      </c>
      <c r="C527" t="inlineStr">
        <is>
          <t>Föryngringsavverkning</t>
        </is>
      </c>
      <c r="D527" s="1" t="n">
        <v>44764</v>
      </c>
      <c r="E527" s="1" t="n">
        <v>46316</v>
      </c>
      <c r="F527" t="inlineStr">
        <is>
          <t>KRONOBERGS LÄN</t>
        </is>
      </c>
      <c r="G527" t="inlineStr">
        <is>
          <t>VÄXJÖ</t>
        </is>
      </c>
      <c r="I527" t="n">
        <v>0.5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38460-2022</t>
        </is>
      </c>
      <c r="B528" t="inlineStr">
        <is>
          <t>avverkningsanmälan</t>
        </is>
      </c>
      <c r="C528" t="inlineStr">
        <is>
          <t>Föryngringsavverkning</t>
        </is>
      </c>
      <c r="D528" s="1" t="n">
        <v>44813</v>
      </c>
      <c r="E528" s="1" t="n">
        <v>46316</v>
      </c>
      <c r="F528" t="inlineStr">
        <is>
          <t>KRONOBERGS LÄN</t>
        </is>
      </c>
      <c r="G528" t="inlineStr">
        <is>
          <t>TINGSRYD</t>
        </is>
      </c>
      <c r="I528" t="n">
        <v>1.6</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63572-2021</t>
        </is>
      </c>
      <c r="B529" t="inlineStr">
        <is>
          <t>avverkningsanmälan</t>
        </is>
      </c>
      <c r="C529" t="inlineStr">
        <is>
          <t>Föryngringsavverkning</t>
        </is>
      </c>
      <c r="D529" s="1" t="n">
        <v>44508</v>
      </c>
      <c r="E529" s="1" t="n">
        <v>46316</v>
      </c>
      <c r="F529" t="inlineStr">
        <is>
          <t>KRONOBERGS LÄN</t>
        </is>
      </c>
      <c r="G529" t="inlineStr">
        <is>
          <t>TINGSRYD</t>
        </is>
      </c>
      <c r="I529" t="n">
        <v>1.4</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10295-2022</t>
        </is>
      </c>
      <c r="B530" t="inlineStr">
        <is>
          <t>avverkningsanmälan</t>
        </is>
      </c>
      <c r="C530" t="inlineStr">
        <is>
          <t>Föryngringsavverkning</t>
        </is>
      </c>
      <c r="D530" s="1" t="n">
        <v>44622</v>
      </c>
      <c r="E530" s="1" t="n">
        <v>46316</v>
      </c>
      <c r="F530" t="inlineStr">
        <is>
          <t>KRONOBERGS LÄN</t>
        </is>
      </c>
      <c r="G530" t="inlineStr">
        <is>
          <t>LJUNGBY</t>
        </is>
      </c>
      <c r="I530" t="n">
        <v>1.2</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53481-2022</t>
        </is>
      </c>
      <c r="B531" t="inlineStr">
        <is>
          <t>avverkningsanmälan</t>
        </is>
      </c>
      <c r="C531" t="inlineStr">
        <is>
          <t>Avverkning för annat ändamål</t>
        </is>
      </c>
      <c r="D531" s="1" t="n">
        <v>44879</v>
      </c>
      <c r="E531" s="1" t="n">
        <v>46316</v>
      </c>
      <c r="F531" t="inlineStr">
        <is>
          <t>KRONOBERGS LÄN</t>
        </is>
      </c>
      <c r="G531" t="inlineStr">
        <is>
          <t>MARKARYD</t>
        </is>
      </c>
      <c r="I531" t="n">
        <v>0.4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37696-2022</t>
        </is>
      </c>
      <c r="B532" t="inlineStr">
        <is>
          <t>avverkningsanmälan</t>
        </is>
      </c>
      <c r="C532" t="inlineStr">
        <is>
          <t>Föryngringsavverkning</t>
        </is>
      </c>
      <c r="D532" s="1" t="n">
        <v>44810</v>
      </c>
      <c r="E532" s="1" t="n">
        <v>46316</v>
      </c>
      <c r="F532" t="inlineStr">
        <is>
          <t>KRONOBERGS LÄN</t>
        </is>
      </c>
      <c r="G532" t="inlineStr">
        <is>
          <t>ALVESTA</t>
        </is>
      </c>
      <c r="H532" t="inlineStr">
        <is>
          <t>Kyrkan</t>
        </is>
      </c>
      <c r="I532" t="n">
        <v>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64777-2021</t>
        </is>
      </c>
      <c r="B533" t="inlineStr">
        <is>
          <t>avverkningsanmälan</t>
        </is>
      </c>
      <c r="C533" t="inlineStr">
        <is>
          <t>Föryngringsavverkning</t>
        </is>
      </c>
      <c r="D533" s="1" t="n">
        <v>44512</v>
      </c>
      <c r="E533" s="1" t="n">
        <v>46316</v>
      </c>
      <c r="F533" t="inlineStr">
        <is>
          <t>KRONOBERGS LÄN</t>
        </is>
      </c>
      <c r="G533" t="inlineStr">
        <is>
          <t>ALVESTA</t>
        </is>
      </c>
      <c r="I533" t="n">
        <v>0.5</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63296-2021</t>
        </is>
      </c>
      <c r="B534" t="inlineStr">
        <is>
          <t>avverkningsanmälan</t>
        </is>
      </c>
      <c r="C534" t="inlineStr">
        <is>
          <t>Avverkning för att bevara och utveckla /försöksver</t>
        </is>
      </c>
      <c r="D534" s="1" t="n">
        <v>44508</v>
      </c>
      <c r="E534" s="1" t="n">
        <v>46316</v>
      </c>
      <c r="F534" t="inlineStr">
        <is>
          <t>KRONOBERGS LÄN</t>
        </is>
      </c>
      <c r="G534" t="inlineStr">
        <is>
          <t>LJUNGBY</t>
        </is>
      </c>
      <c r="H534" t="inlineStr">
        <is>
          <t>Sveaskog</t>
        </is>
      </c>
      <c r="I534" t="n">
        <v>1.7</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52849-2022</t>
        </is>
      </c>
      <c r="B535" t="inlineStr">
        <is>
          <t>avverkningsanmälan</t>
        </is>
      </c>
      <c r="C535" t="inlineStr">
        <is>
          <t>Föryngringsavverkning</t>
        </is>
      </c>
      <c r="D535" s="1" t="n">
        <v>44875</v>
      </c>
      <c r="E535" s="1" t="n">
        <v>46316</v>
      </c>
      <c r="F535" t="inlineStr">
        <is>
          <t>KRONOBERGS LÄN</t>
        </is>
      </c>
      <c r="G535" t="inlineStr">
        <is>
          <t>TINGSRYD</t>
        </is>
      </c>
      <c r="I535" t="n">
        <v>0</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55322-2022</t>
        </is>
      </c>
      <c r="B536" t="inlineStr">
        <is>
          <t>avverkningsanmälan</t>
        </is>
      </c>
      <c r="C536" t="inlineStr">
        <is>
          <t>Föryngringsavverkning</t>
        </is>
      </c>
      <c r="D536" s="1" t="n">
        <v>44887</v>
      </c>
      <c r="E536" s="1" t="n">
        <v>46316</v>
      </c>
      <c r="F536" t="inlineStr">
        <is>
          <t>KRONOBERGS LÄN</t>
        </is>
      </c>
      <c r="G536" t="inlineStr">
        <is>
          <t>UPPVIDINGE</t>
        </is>
      </c>
      <c r="I536" t="n">
        <v>1.7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55324-2022</t>
        </is>
      </c>
      <c r="B537" t="inlineStr">
        <is>
          <t>avverkningsanmälan</t>
        </is>
      </c>
      <c r="C537" t="inlineStr">
        <is>
          <t>Föryngringsavverkning</t>
        </is>
      </c>
      <c r="D537" s="1" t="n">
        <v>44887</v>
      </c>
      <c r="E537" s="1" t="n">
        <v>46316</v>
      </c>
      <c r="F537" t="inlineStr">
        <is>
          <t>KRONOBERGS LÄN</t>
        </is>
      </c>
      <c r="G537" t="inlineStr">
        <is>
          <t>UPPVIDINGE</t>
        </is>
      </c>
      <c r="I537" t="n">
        <v>1.9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66677-2021</t>
        </is>
      </c>
      <c r="B538" t="inlineStr">
        <is>
          <t>avverkningsanmälan</t>
        </is>
      </c>
      <c r="C538" t="inlineStr">
        <is>
          <t>Föryngringsavverkning</t>
        </is>
      </c>
      <c r="D538" s="1" t="n">
        <v>44519</v>
      </c>
      <c r="E538" s="1" t="n">
        <v>46316</v>
      </c>
      <c r="F538" t="inlineStr">
        <is>
          <t>KRONOBERGS LÄN</t>
        </is>
      </c>
      <c r="G538" t="inlineStr">
        <is>
          <t>VÄXJÖ</t>
        </is>
      </c>
      <c r="I538" t="n">
        <v>0.8</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60357-2021</t>
        </is>
      </c>
      <c r="B539" t="inlineStr">
        <is>
          <t>avverkningsanmälan</t>
        </is>
      </c>
      <c r="C539" t="inlineStr">
        <is>
          <t>Avverkning för annat ändamål</t>
        </is>
      </c>
      <c r="D539" s="1" t="n">
        <v>44501</v>
      </c>
      <c r="E539" s="1" t="n">
        <v>46316</v>
      </c>
      <c r="F539" t="inlineStr">
        <is>
          <t>KRONOBERGS LÄN</t>
        </is>
      </c>
      <c r="G539" t="inlineStr">
        <is>
          <t>VÄXJÖ</t>
        </is>
      </c>
      <c r="I539" t="n">
        <v>0.7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71126-2021</t>
        </is>
      </c>
      <c r="B540" t="inlineStr">
        <is>
          <t>avverkningsanmälan</t>
        </is>
      </c>
      <c r="C540" t="inlineStr">
        <is>
          <t>Föryngringsavverkning</t>
        </is>
      </c>
      <c r="D540" s="1" t="n">
        <v>44539</v>
      </c>
      <c r="E540" s="1" t="n">
        <v>46316</v>
      </c>
      <c r="F540" t="inlineStr">
        <is>
          <t>KRONOBERGS LÄN</t>
        </is>
      </c>
      <c r="G540" t="inlineStr">
        <is>
          <t>TINGSRYD</t>
        </is>
      </c>
      <c r="I540" t="n">
        <v>3.7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5917-2022</t>
        </is>
      </c>
      <c r="B541" t="inlineStr">
        <is>
          <t>avverkningsanmälan</t>
        </is>
      </c>
      <c r="C541" t="inlineStr">
        <is>
          <t>Föryngringsavverkning</t>
        </is>
      </c>
      <c r="D541" s="1" t="n">
        <v>44597</v>
      </c>
      <c r="E541" s="1" t="n">
        <v>46316</v>
      </c>
      <c r="F541" t="inlineStr">
        <is>
          <t>KRONOBERGS LÄN</t>
        </is>
      </c>
      <c r="G541" t="inlineStr">
        <is>
          <t>ALVESTA</t>
        </is>
      </c>
      <c r="I541" t="n">
        <v>0.5</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8652-2022</t>
        </is>
      </c>
      <c r="B542" t="inlineStr">
        <is>
          <t>avverkningsanmälan</t>
        </is>
      </c>
      <c r="C542" t="inlineStr">
        <is>
          <t>Föryngringsavverkning</t>
        </is>
      </c>
      <c r="D542" s="1" t="n">
        <v>44613</v>
      </c>
      <c r="E542" s="1" t="n">
        <v>46316</v>
      </c>
      <c r="F542" t="inlineStr">
        <is>
          <t>KRONOBERGS LÄN</t>
        </is>
      </c>
      <c r="G542" t="inlineStr">
        <is>
          <t>UPPVIDINGE</t>
        </is>
      </c>
      <c r="I542" t="n">
        <v>0.4</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67427-2021</t>
        </is>
      </c>
      <c r="B543" t="inlineStr">
        <is>
          <t>avverkningsanmälan</t>
        </is>
      </c>
      <c r="C543" t="inlineStr">
        <is>
          <t>Föryngringsavverkning</t>
        </is>
      </c>
      <c r="D543" s="1" t="n">
        <v>44524</v>
      </c>
      <c r="E543" s="1" t="n">
        <v>46316</v>
      </c>
      <c r="F543" t="inlineStr">
        <is>
          <t>KRONOBERGS LÄN</t>
        </is>
      </c>
      <c r="G543" t="inlineStr">
        <is>
          <t>UPPVIDINGE</t>
        </is>
      </c>
      <c r="I543" t="n">
        <v>0.9</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29698-2022</t>
        </is>
      </c>
      <c r="B544" t="inlineStr">
        <is>
          <t>avverkningsanmälan</t>
        </is>
      </c>
      <c r="C544" t="inlineStr">
        <is>
          <t>Föryngringsavverkning</t>
        </is>
      </c>
      <c r="D544" s="1" t="n">
        <v>44755</v>
      </c>
      <c r="E544" s="1" t="n">
        <v>46316</v>
      </c>
      <c r="F544" t="inlineStr">
        <is>
          <t>KRONOBERGS LÄN</t>
        </is>
      </c>
      <c r="G544" t="inlineStr">
        <is>
          <t>TINGSRYD</t>
        </is>
      </c>
      <c r="I544" t="n">
        <v>0.5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22384-2022</t>
        </is>
      </c>
      <c r="B545" t="inlineStr">
        <is>
          <t>avverkningsanmälan</t>
        </is>
      </c>
      <c r="C545" t="inlineStr">
        <is>
          <t>Föryngringsavverkning</t>
        </is>
      </c>
      <c r="D545" s="1" t="n">
        <v>44713</v>
      </c>
      <c r="E545" s="1" t="n">
        <v>46316</v>
      </c>
      <c r="F545" t="inlineStr">
        <is>
          <t>KRONOBERGS LÄN</t>
        </is>
      </c>
      <c r="G545" t="inlineStr">
        <is>
          <t>TINGSRYD</t>
        </is>
      </c>
      <c r="I545" t="n">
        <v>0.8</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38691-2022</t>
        </is>
      </c>
      <c r="B546" t="inlineStr">
        <is>
          <t>avverkningsanmälan</t>
        </is>
      </c>
      <c r="C546" t="inlineStr">
        <is>
          <t>Föryngringsavverkning</t>
        </is>
      </c>
      <c r="D546" s="1" t="n">
        <v>44814</v>
      </c>
      <c r="E546" s="1" t="n">
        <v>46316</v>
      </c>
      <c r="F546" t="inlineStr">
        <is>
          <t>KRONOBERGS LÄN</t>
        </is>
      </c>
      <c r="G546" t="inlineStr">
        <is>
          <t>VÄXJÖ</t>
        </is>
      </c>
      <c r="I546" t="n">
        <v>1.2</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8627-2022</t>
        </is>
      </c>
      <c r="B547" t="inlineStr">
        <is>
          <t>avverkningsanmälan</t>
        </is>
      </c>
      <c r="C547" t="inlineStr">
        <is>
          <t>Föryngringsavverkning</t>
        </is>
      </c>
      <c r="D547" s="1" t="n">
        <v>44613</v>
      </c>
      <c r="E547" s="1" t="n">
        <v>46316</v>
      </c>
      <c r="F547" t="inlineStr">
        <is>
          <t>KRONOBERGS LÄN</t>
        </is>
      </c>
      <c r="G547" t="inlineStr">
        <is>
          <t>ALVESTA</t>
        </is>
      </c>
      <c r="H547" t="inlineStr">
        <is>
          <t>Kommuner</t>
        </is>
      </c>
      <c r="I547" t="n">
        <v>0.6</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13379-2022</t>
        </is>
      </c>
      <c r="B548" t="inlineStr">
        <is>
          <t>avverkningsanmälan</t>
        </is>
      </c>
      <c r="C548" t="inlineStr">
        <is>
          <t>Föryngringsavverkning</t>
        </is>
      </c>
      <c r="D548" s="1" t="n">
        <v>44645</v>
      </c>
      <c r="E548" s="1" t="n">
        <v>46316</v>
      </c>
      <c r="F548" t="inlineStr">
        <is>
          <t>KRONOBERGS LÄN</t>
        </is>
      </c>
      <c r="G548" t="inlineStr">
        <is>
          <t>VÄXJÖ</t>
        </is>
      </c>
      <c r="I548" t="n">
        <v>0.5</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73660-2021</t>
        </is>
      </c>
      <c r="B549" t="inlineStr">
        <is>
          <t>avverkningsanmälan</t>
        </is>
      </c>
      <c r="C549" t="inlineStr">
        <is>
          <t>Föryngringsavverkning</t>
        </is>
      </c>
      <c r="D549" s="1" t="n">
        <v>44552</v>
      </c>
      <c r="E549" s="1" t="n">
        <v>46316</v>
      </c>
      <c r="F549" t="inlineStr">
        <is>
          <t>KRONOBERGS LÄN</t>
        </is>
      </c>
      <c r="G549" t="inlineStr">
        <is>
          <t>UPPVIDINGE</t>
        </is>
      </c>
      <c r="I549" t="n">
        <v>2.8</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64288-2021</t>
        </is>
      </c>
      <c r="B550" t="inlineStr">
        <is>
          <t>avverkningsanmälan</t>
        </is>
      </c>
      <c r="C550" t="inlineStr">
        <is>
          <t>Föryngringsavverkning</t>
        </is>
      </c>
      <c r="D550" s="1" t="n">
        <v>44510</v>
      </c>
      <c r="E550" s="1" t="n">
        <v>46316</v>
      </c>
      <c r="F550" t="inlineStr">
        <is>
          <t>KRONOBERGS LÄN</t>
        </is>
      </c>
      <c r="G550" t="inlineStr">
        <is>
          <t>LJUNGBY</t>
        </is>
      </c>
      <c r="I550" t="n">
        <v>0.5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70324-2021</t>
        </is>
      </c>
      <c r="B551" t="inlineStr">
        <is>
          <t>avverkningsanmälan</t>
        </is>
      </c>
      <c r="C551" t="inlineStr">
        <is>
          <t>Föryngringsavverkning</t>
        </is>
      </c>
      <c r="D551" s="1" t="n">
        <v>44536</v>
      </c>
      <c r="E551" s="1" t="n">
        <v>46316</v>
      </c>
      <c r="F551" t="inlineStr">
        <is>
          <t>KRONOBERGS LÄN</t>
        </is>
      </c>
      <c r="G551" t="inlineStr">
        <is>
          <t>UPPVIDINGE</t>
        </is>
      </c>
      <c r="I551" t="n">
        <v>1.1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35965-2022</t>
        </is>
      </c>
      <c r="B552" t="inlineStr">
        <is>
          <t>avverkningsanmälan</t>
        </is>
      </c>
      <c r="C552" t="inlineStr">
        <is>
          <t>Föryngringsavverkning</t>
        </is>
      </c>
      <c r="D552" s="1" t="n">
        <v>44802</v>
      </c>
      <c r="E552" s="1" t="n">
        <v>46316</v>
      </c>
      <c r="F552" t="inlineStr">
        <is>
          <t>KRONOBERGS LÄN</t>
        </is>
      </c>
      <c r="G552" t="inlineStr">
        <is>
          <t>ÄLMHULT</t>
        </is>
      </c>
      <c r="I552" t="n">
        <v>0.3</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1719-2022</t>
        </is>
      </c>
      <c r="B553" t="inlineStr">
        <is>
          <t>avverkningsanmälan</t>
        </is>
      </c>
      <c r="C553" t="inlineStr">
        <is>
          <t>Föryngringsavverkning</t>
        </is>
      </c>
      <c r="D553" s="1" t="n">
        <v>44574</v>
      </c>
      <c r="E553" s="1" t="n">
        <v>46316</v>
      </c>
      <c r="F553" t="inlineStr">
        <is>
          <t>KRONOBERGS LÄN</t>
        </is>
      </c>
      <c r="G553" t="inlineStr">
        <is>
          <t>UPPVIDINGE</t>
        </is>
      </c>
      <c r="I553" t="n">
        <v>0.4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40770-2022</t>
        </is>
      </c>
      <c r="B554" t="inlineStr">
        <is>
          <t>avverkningsanmälan</t>
        </is>
      </c>
      <c r="C554" t="inlineStr">
        <is>
          <t>Föryngringsavverkning</t>
        </is>
      </c>
      <c r="D554" s="1" t="n">
        <v>44824</v>
      </c>
      <c r="E554" s="1" t="n">
        <v>46316</v>
      </c>
      <c r="F554" t="inlineStr">
        <is>
          <t>KRONOBERGS LÄN</t>
        </is>
      </c>
      <c r="G554" t="inlineStr">
        <is>
          <t>LESSEBO</t>
        </is>
      </c>
      <c r="I554" t="n">
        <v>2.3</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7623-2022</t>
        </is>
      </c>
      <c r="B555" t="inlineStr">
        <is>
          <t>avverkningsanmälan</t>
        </is>
      </c>
      <c r="C555" t="inlineStr">
        <is>
          <t>Föryngringsavverkning</t>
        </is>
      </c>
      <c r="D555" s="1" t="n">
        <v>44607</v>
      </c>
      <c r="E555" s="1" t="n">
        <v>46316</v>
      </c>
      <c r="F555" t="inlineStr">
        <is>
          <t>KRONOBERGS LÄN</t>
        </is>
      </c>
      <c r="G555" t="inlineStr">
        <is>
          <t>LJUNGBY</t>
        </is>
      </c>
      <c r="I555" t="n">
        <v>2.1</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37481-2022</t>
        </is>
      </c>
      <c r="B556" t="inlineStr">
        <is>
          <t>avverkningsanmälan</t>
        </is>
      </c>
      <c r="C556" t="inlineStr">
        <is>
          <t>Föryngringsavverkning</t>
        </is>
      </c>
      <c r="D556" s="1" t="n">
        <v>44809</v>
      </c>
      <c r="E556" s="1" t="n">
        <v>46316</v>
      </c>
      <c r="F556" t="inlineStr">
        <is>
          <t>KRONOBERGS LÄN</t>
        </is>
      </c>
      <c r="G556" t="inlineStr">
        <is>
          <t>LJUNGBY</t>
        </is>
      </c>
      <c r="I556" t="n">
        <v>0.6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35967-2022</t>
        </is>
      </c>
      <c r="B557" t="inlineStr">
        <is>
          <t>avverkningsanmälan</t>
        </is>
      </c>
      <c r="C557" t="inlineStr">
        <is>
          <t>Föryngringsavverkning</t>
        </is>
      </c>
      <c r="D557" s="1" t="n">
        <v>44802</v>
      </c>
      <c r="E557" s="1" t="n">
        <v>46316</v>
      </c>
      <c r="F557" t="inlineStr">
        <is>
          <t>KRONOBERGS LÄN</t>
        </is>
      </c>
      <c r="G557" t="inlineStr">
        <is>
          <t>ÄLMHULT</t>
        </is>
      </c>
      <c r="I557" t="n">
        <v>0.4</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33403-2022</t>
        </is>
      </c>
      <c r="B558" t="inlineStr">
        <is>
          <t>avverkningsanmälan</t>
        </is>
      </c>
      <c r="C558" t="inlineStr">
        <is>
          <t>Föryngringsavverkning</t>
        </is>
      </c>
      <c r="D558" s="1" t="n">
        <v>44785</v>
      </c>
      <c r="E558" s="1" t="n">
        <v>46316</v>
      </c>
      <c r="F558" t="inlineStr">
        <is>
          <t>KRONOBERGS LÄN</t>
        </is>
      </c>
      <c r="G558" t="inlineStr">
        <is>
          <t>ÄLMHULT</t>
        </is>
      </c>
      <c r="I558" t="n">
        <v>0.7</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65192-2021</t>
        </is>
      </c>
      <c r="B559" t="inlineStr">
        <is>
          <t>avverkningsanmälan</t>
        </is>
      </c>
      <c r="C559" t="inlineStr">
        <is>
          <t>Föryngringsavverkning</t>
        </is>
      </c>
      <c r="D559" s="1" t="n">
        <v>44515</v>
      </c>
      <c r="E559" s="1" t="n">
        <v>46316</v>
      </c>
      <c r="F559" t="inlineStr">
        <is>
          <t>KRONOBERGS LÄN</t>
        </is>
      </c>
      <c r="G559" t="inlineStr">
        <is>
          <t>ÄLMHULT</t>
        </is>
      </c>
      <c r="I559" t="n">
        <v>1.5</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28931-2022</t>
        </is>
      </c>
      <c r="B560" t="inlineStr">
        <is>
          <t>avverkningsanmälan</t>
        </is>
      </c>
      <c r="C560" t="inlineStr">
        <is>
          <t>Föryngringsavverkning</t>
        </is>
      </c>
      <c r="D560" s="1" t="n">
        <v>44749</v>
      </c>
      <c r="E560" s="1" t="n">
        <v>46316</v>
      </c>
      <c r="F560" t="inlineStr">
        <is>
          <t>KRONOBERGS LÄN</t>
        </is>
      </c>
      <c r="G560" t="inlineStr">
        <is>
          <t>ÄLMHULT</t>
        </is>
      </c>
      <c r="I560" t="n">
        <v>0</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64153-2021</t>
        </is>
      </c>
      <c r="B561" t="inlineStr">
        <is>
          <t>avverkningsanmälan</t>
        </is>
      </c>
      <c r="C561" t="inlineStr">
        <is>
          <t>Föryngringsavverkning</t>
        </is>
      </c>
      <c r="D561" s="1" t="n">
        <v>44510</v>
      </c>
      <c r="E561" s="1" t="n">
        <v>46316</v>
      </c>
      <c r="F561" t="inlineStr">
        <is>
          <t>KRONOBERGS LÄN</t>
        </is>
      </c>
      <c r="G561" t="inlineStr">
        <is>
          <t>LJUNGBY</t>
        </is>
      </c>
      <c r="I561" t="n">
        <v>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64155-2021</t>
        </is>
      </c>
      <c r="B562" t="inlineStr">
        <is>
          <t>avverkningsanmälan</t>
        </is>
      </c>
      <c r="C562" t="inlineStr">
        <is>
          <t>Föryngringsavverkning</t>
        </is>
      </c>
      <c r="D562" s="1" t="n">
        <v>44510</v>
      </c>
      <c r="E562" s="1" t="n">
        <v>46316</v>
      </c>
      <c r="F562" t="inlineStr">
        <is>
          <t>KRONOBERGS LÄN</t>
        </is>
      </c>
      <c r="G562" t="inlineStr">
        <is>
          <t>LESSEBO</t>
        </is>
      </c>
      <c r="H562" t="inlineStr">
        <is>
          <t>Kyrkan</t>
        </is>
      </c>
      <c r="I562" t="n">
        <v>1.4</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13033-2022</t>
        </is>
      </c>
      <c r="B563" t="inlineStr">
        <is>
          <t>avverkningsanmälan</t>
        </is>
      </c>
      <c r="C563" t="inlineStr">
        <is>
          <t>Föryngringsavverkning</t>
        </is>
      </c>
      <c r="D563" s="1" t="n">
        <v>44643</v>
      </c>
      <c r="E563" s="1" t="n">
        <v>46316</v>
      </c>
      <c r="F563" t="inlineStr">
        <is>
          <t>KRONOBERGS LÄN</t>
        </is>
      </c>
      <c r="G563" t="inlineStr">
        <is>
          <t>VÄXJÖ</t>
        </is>
      </c>
      <c r="I563" t="n">
        <v>0.5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64688-2021</t>
        </is>
      </c>
      <c r="B564" t="inlineStr">
        <is>
          <t>avverkningsanmälan</t>
        </is>
      </c>
      <c r="C564" t="inlineStr">
        <is>
          <t>Föryngringsavverkning</t>
        </is>
      </c>
      <c r="D564" s="1" t="n">
        <v>44510</v>
      </c>
      <c r="E564" s="1" t="n">
        <v>46316</v>
      </c>
      <c r="F564" t="inlineStr">
        <is>
          <t>KRONOBERGS LÄN</t>
        </is>
      </c>
      <c r="G564" t="inlineStr">
        <is>
          <t>UPPVIDINGE</t>
        </is>
      </c>
      <c r="I564" t="n">
        <v>0.6</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23634-2022</t>
        </is>
      </c>
      <c r="B565" t="inlineStr">
        <is>
          <t>avverkningsanmälan</t>
        </is>
      </c>
      <c r="C565" t="inlineStr">
        <is>
          <t>Föryngringsavverkning</t>
        </is>
      </c>
      <c r="D565" s="1" t="n">
        <v>44721</v>
      </c>
      <c r="E565" s="1" t="n">
        <v>46316</v>
      </c>
      <c r="F565" t="inlineStr">
        <is>
          <t>KRONOBERGS LÄN</t>
        </is>
      </c>
      <c r="G565" t="inlineStr">
        <is>
          <t>LJUNGBY</t>
        </is>
      </c>
      <c r="I565" t="n">
        <v>0.6</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19332-2022</t>
        </is>
      </c>
      <c r="B566" t="inlineStr">
        <is>
          <t>avverkningsanmälan</t>
        </is>
      </c>
      <c r="C566" t="inlineStr">
        <is>
          <t>Avverkning för annat ändamål</t>
        </is>
      </c>
      <c r="D566" s="1" t="n">
        <v>44692</v>
      </c>
      <c r="E566" s="1" t="n">
        <v>46316</v>
      </c>
      <c r="F566" t="inlineStr">
        <is>
          <t>KRONOBERGS LÄN</t>
        </is>
      </c>
      <c r="G566" t="inlineStr">
        <is>
          <t>MARKARYD</t>
        </is>
      </c>
      <c r="I566" t="n">
        <v>0.2</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65204-2021</t>
        </is>
      </c>
      <c r="B567" t="inlineStr">
        <is>
          <t>avverkningsanmälan</t>
        </is>
      </c>
      <c r="C567" t="inlineStr">
        <is>
          <t>Föryngringsavverkning</t>
        </is>
      </c>
      <c r="D567" s="1" t="n">
        <v>44515</v>
      </c>
      <c r="E567" s="1" t="n">
        <v>46316</v>
      </c>
      <c r="F567" t="inlineStr">
        <is>
          <t>KRONOBERGS LÄN</t>
        </is>
      </c>
      <c r="G567" t="inlineStr">
        <is>
          <t>VÄXJÖ</t>
        </is>
      </c>
      <c r="I567" t="n">
        <v>0.7</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66390-2021</t>
        </is>
      </c>
      <c r="B568" t="inlineStr">
        <is>
          <t>avverkningsanmälan</t>
        </is>
      </c>
      <c r="C568" t="inlineStr">
        <is>
          <t>Föryngringsavverkning</t>
        </is>
      </c>
      <c r="D568" s="1" t="n">
        <v>44518</v>
      </c>
      <c r="E568" s="1" t="n">
        <v>46316</v>
      </c>
      <c r="F568" t="inlineStr">
        <is>
          <t>KRONOBERGS LÄN</t>
        </is>
      </c>
      <c r="G568" t="inlineStr">
        <is>
          <t>LESSEBO</t>
        </is>
      </c>
      <c r="I568" t="n">
        <v>0.4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38687-2022</t>
        </is>
      </c>
      <c r="B569" t="inlineStr">
        <is>
          <t>avverkningsanmälan</t>
        </is>
      </c>
      <c r="C569" t="inlineStr">
        <is>
          <t>Föryngringsavverkning</t>
        </is>
      </c>
      <c r="D569" s="1" t="n">
        <v>44814</v>
      </c>
      <c r="E569" s="1" t="n">
        <v>46316</v>
      </c>
      <c r="F569" t="inlineStr">
        <is>
          <t>KRONOBERGS LÄN</t>
        </is>
      </c>
      <c r="G569" t="inlineStr">
        <is>
          <t>VÄXJÖ</t>
        </is>
      </c>
      <c r="I569" t="n">
        <v>0.4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65371-2021</t>
        </is>
      </c>
      <c r="B570" t="inlineStr">
        <is>
          <t>avverkningsanmälan</t>
        </is>
      </c>
      <c r="C570" t="inlineStr">
        <is>
          <t>Föryngringsavverkning</t>
        </is>
      </c>
      <c r="D570" s="1" t="n">
        <v>44515</v>
      </c>
      <c r="E570" s="1" t="n">
        <v>46316</v>
      </c>
      <c r="F570" t="inlineStr">
        <is>
          <t>KRONOBERGS LÄN</t>
        </is>
      </c>
      <c r="G570" t="inlineStr">
        <is>
          <t>ALVESTA</t>
        </is>
      </c>
      <c r="I570" t="n">
        <v>0.6</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35251-2022</t>
        </is>
      </c>
      <c r="B571" t="inlineStr">
        <is>
          <t>avverkningsanmälan</t>
        </is>
      </c>
      <c r="C571" t="inlineStr">
        <is>
          <t>Föryngringsavverkning</t>
        </is>
      </c>
      <c r="D571" s="1" t="n">
        <v>44798</v>
      </c>
      <c r="E571" s="1" t="n">
        <v>46316</v>
      </c>
      <c r="F571" t="inlineStr">
        <is>
          <t>KRONOBERGS LÄN</t>
        </is>
      </c>
      <c r="G571" t="inlineStr">
        <is>
          <t>ÄLMHULT</t>
        </is>
      </c>
      <c r="I571" t="n">
        <v>3.3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35254-2022</t>
        </is>
      </c>
      <c r="B572" t="inlineStr">
        <is>
          <t>avverkningsanmälan</t>
        </is>
      </c>
      <c r="C572" t="inlineStr">
        <is>
          <t>Föryngringsavverkning</t>
        </is>
      </c>
      <c r="D572" s="1" t="n">
        <v>44798</v>
      </c>
      <c r="E572" s="1" t="n">
        <v>46316</v>
      </c>
      <c r="F572" t="inlineStr">
        <is>
          <t>KRONOBERGS LÄN</t>
        </is>
      </c>
      <c r="G572" t="inlineStr">
        <is>
          <t>ALVESTA</t>
        </is>
      </c>
      <c r="I572" t="n">
        <v>1</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38267-2022</t>
        </is>
      </c>
      <c r="B573" t="inlineStr">
        <is>
          <t>avverkningsanmälan</t>
        </is>
      </c>
      <c r="C573" t="inlineStr">
        <is>
          <t>Föryngringsavverkning</t>
        </is>
      </c>
      <c r="D573" s="1" t="n">
        <v>44812</v>
      </c>
      <c r="E573" s="1" t="n">
        <v>46316</v>
      </c>
      <c r="F573" t="inlineStr">
        <is>
          <t>KRONOBERGS LÄN</t>
        </is>
      </c>
      <c r="G573" t="inlineStr">
        <is>
          <t>UPPVIDINGE</t>
        </is>
      </c>
      <c r="I573" t="n">
        <v>3.1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38461-2022</t>
        </is>
      </c>
      <c r="B574" t="inlineStr">
        <is>
          <t>avverkningsanmälan</t>
        </is>
      </c>
      <c r="C574" t="inlineStr">
        <is>
          <t>Föryngringsavverkning</t>
        </is>
      </c>
      <c r="D574" s="1" t="n">
        <v>44813</v>
      </c>
      <c r="E574" s="1" t="n">
        <v>46316</v>
      </c>
      <c r="F574" t="inlineStr">
        <is>
          <t>KRONOBERGS LÄN</t>
        </is>
      </c>
      <c r="G574" t="inlineStr">
        <is>
          <t>TINGSRYD</t>
        </is>
      </c>
      <c r="I574" t="n">
        <v>4.4</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68062-2021</t>
        </is>
      </c>
      <c r="B575" t="inlineStr">
        <is>
          <t>avverkningsanmälan</t>
        </is>
      </c>
      <c r="C575" t="inlineStr">
        <is>
          <t>Föryngringsavverkning</t>
        </is>
      </c>
      <c r="D575" s="1" t="n">
        <v>44525</v>
      </c>
      <c r="E575" s="1" t="n">
        <v>46316</v>
      </c>
      <c r="F575" t="inlineStr">
        <is>
          <t>KRONOBERGS LÄN</t>
        </is>
      </c>
      <c r="G575" t="inlineStr">
        <is>
          <t>VÄXJÖ</t>
        </is>
      </c>
      <c r="I575" t="n">
        <v>1.5</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64459-2021</t>
        </is>
      </c>
      <c r="B576" t="inlineStr">
        <is>
          <t>avverkningsanmälan</t>
        </is>
      </c>
      <c r="C576" t="inlineStr">
        <is>
          <t>Föryngringsavverkning</t>
        </is>
      </c>
      <c r="D576" s="1" t="n">
        <v>44511</v>
      </c>
      <c r="E576" s="1" t="n">
        <v>46316</v>
      </c>
      <c r="F576" t="inlineStr">
        <is>
          <t>KRONOBERGS LÄN</t>
        </is>
      </c>
      <c r="G576" t="inlineStr">
        <is>
          <t>ALVESTA</t>
        </is>
      </c>
      <c r="I576" t="n">
        <v>2</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49917-2022</t>
        </is>
      </c>
      <c r="B577" t="inlineStr">
        <is>
          <t>avverkningsanmälan</t>
        </is>
      </c>
      <c r="C577" t="inlineStr">
        <is>
          <t>Föryngringsavverkning</t>
        </is>
      </c>
      <c r="D577" s="1" t="n">
        <v>44865</v>
      </c>
      <c r="E577" s="1" t="n">
        <v>46316</v>
      </c>
      <c r="F577" t="inlineStr">
        <is>
          <t>KRONOBERGS LÄN</t>
        </is>
      </c>
      <c r="G577" t="inlineStr">
        <is>
          <t>TINGSRYD</t>
        </is>
      </c>
      <c r="I577" t="n">
        <v>0.5</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29506-2022</t>
        </is>
      </c>
      <c r="B578" t="inlineStr">
        <is>
          <t>avverkningsanmälan</t>
        </is>
      </c>
      <c r="C578" t="inlineStr">
        <is>
          <t>Föryngringsavverkning</t>
        </is>
      </c>
      <c r="D578" s="1" t="n">
        <v>44753</v>
      </c>
      <c r="E578" s="1" t="n">
        <v>46316</v>
      </c>
      <c r="F578" t="inlineStr">
        <is>
          <t>KRONOBERGS LÄN</t>
        </is>
      </c>
      <c r="G578" t="inlineStr">
        <is>
          <t>TINGSRYD</t>
        </is>
      </c>
      <c r="I578" t="n">
        <v>0.5</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67344-2021</t>
        </is>
      </c>
      <c r="B579" t="inlineStr">
        <is>
          <t>avverkningsanmälan</t>
        </is>
      </c>
      <c r="C579" t="inlineStr">
        <is>
          <t>Föryngringsavverkning</t>
        </is>
      </c>
      <c r="D579" s="1" t="n">
        <v>44523</v>
      </c>
      <c r="E579" s="1" t="n">
        <v>46316</v>
      </c>
      <c r="F579" t="inlineStr">
        <is>
          <t>KRONOBERGS LÄN</t>
        </is>
      </c>
      <c r="G579" t="inlineStr">
        <is>
          <t>ÄLMHULT</t>
        </is>
      </c>
      <c r="I579" t="n">
        <v>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49720-2022</t>
        </is>
      </c>
      <c r="B580" t="inlineStr">
        <is>
          <t>avverkningsanmälan</t>
        </is>
      </c>
      <c r="C580" t="inlineStr">
        <is>
          <t>Föryngringsavverkning</t>
        </is>
      </c>
      <c r="D580" s="1" t="n">
        <v>44859</v>
      </c>
      <c r="E580" s="1" t="n">
        <v>46316</v>
      </c>
      <c r="F580" t="inlineStr">
        <is>
          <t>KRONOBERGS LÄN</t>
        </is>
      </c>
      <c r="G580" t="inlineStr">
        <is>
          <t>UPPVIDINGE</t>
        </is>
      </c>
      <c r="I580" t="n">
        <v>1.2</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67593-2021</t>
        </is>
      </c>
      <c r="B581" t="inlineStr">
        <is>
          <t>avverkningsanmälan</t>
        </is>
      </c>
      <c r="C581" t="inlineStr">
        <is>
          <t>Föryngringsavverkning</t>
        </is>
      </c>
      <c r="D581" s="1" t="n">
        <v>44524</v>
      </c>
      <c r="E581" s="1" t="n">
        <v>46316</v>
      </c>
      <c r="F581" t="inlineStr">
        <is>
          <t>KRONOBERGS LÄN</t>
        </is>
      </c>
      <c r="G581" t="inlineStr">
        <is>
          <t>TINGSRYD</t>
        </is>
      </c>
      <c r="I581" t="n">
        <v>5.1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2212-2022</t>
        </is>
      </c>
      <c r="B582" t="inlineStr">
        <is>
          <t>avverkningsanmälan</t>
        </is>
      </c>
      <c r="C582" t="inlineStr">
        <is>
          <t>Föryngringsavverkning</t>
        </is>
      </c>
      <c r="D582" s="1" t="n">
        <v>44578</v>
      </c>
      <c r="E582" s="1" t="n">
        <v>46316</v>
      </c>
      <c r="F582" t="inlineStr">
        <is>
          <t>KRONOBERGS LÄN</t>
        </is>
      </c>
      <c r="G582" t="inlineStr">
        <is>
          <t>VÄXJÖ</t>
        </is>
      </c>
      <c r="I582" t="n">
        <v>1</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65672-2021</t>
        </is>
      </c>
      <c r="B583" t="inlineStr">
        <is>
          <t>avverkningsanmälan</t>
        </is>
      </c>
      <c r="C583" t="inlineStr">
        <is>
          <t>Föryngringsavverkning</t>
        </is>
      </c>
      <c r="D583" s="1" t="n">
        <v>44516</v>
      </c>
      <c r="E583" s="1" t="n">
        <v>46316</v>
      </c>
      <c r="F583" t="inlineStr">
        <is>
          <t>KRONOBERGS LÄN</t>
        </is>
      </c>
      <c r="G583" t="inlineStr">
        <is>
          <t>VÄXJÖ</t>
        </is>
      </c>
      <c r="H583" t="inlineStr">
        <is>
          <t>Sveaskog</t>
        </is>
      </c>
      <c r="I583" t="n">
        <v>1.1</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69957-2021</t>
        </is>
      </c>
      <c r="B584" t="inlineStr">
        <is>
          <t>avverkningsanmälan</t>
        </is>
      </c>
      <c r="C584" t="inlineStr">
        <is>
          <t>Föryngringsavverkning</t>
        </is>
      </c>
      <c r="D584" s="1" t="n">
        <v>44533</v>
      </c>
      <c r="E584" s="1" t="n">
        <v>46316</v>
      </c>
      <c r="F584" t="inlineStr">
        <is>
          <t>KRONOBERGS LÄN</t>
        </is>
      </c>
      <c r="G584" t="inlineStr">
        <is>
          <t>TINGSRYD</t>
        </is>
      </c>
      <c r="I584" t="n">
        <v>1.2</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39706-2022</t>
        </is>
      </c>
      <c r="B585" t="inlineStr">
        <is>
          <t>avverkningsanmälan</t>
        </is>
      </c>
      <c r="C585" t="inlineStr">
        <is>
          <t>Föryngringsavverkning</t>
        </is>
      </c>
      <c r="D585" s="1" t="n">
        <v>44818</v>
      </c>
      <c r="E585" s="1" t="n">
        <v>46316</v>
      </c>
      <c r="F585" t="inlineStr">
        <is>
          <t>KRONOBERGS LÄN</t>
        </is>
      </c>
      <c r="G585" t="inlineStr">
        <is>
          <t>LJUNGBY</t>
        </is>
      </c>
      <c r="I585" t="n">
        <v>0.6</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2029-2022</t>
        </is>
      </c>
      <c r="B586" t="inlineStr">
        <is>
          <t>avverkningsanmälan</t>
        </is>
      </c>
      <c r="C586" t="inlineStr">
        <is>
          <t>Föryngringsavverkning</t>
        </is>
      </c>
      <c r="D586" s="1" t="n">
        <v>44575</v>
      </c>
      <c r="E586" s="1" t="n">
        <v>46316</v>
      </c>
      <c r="F586" t="inlineStr">
        <is>
          <t>KRONOBERGS LÄN</t>
        </is>
      </c>
      <c r="G586" t="inlineStr">
        <is>
          <t>TINGSRYD</t>
        </is>
      </c>
      <c r="I586" t="n">
        <v>2.5</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39909-2022</t>
        </is>
      </c>
      <c r="B587" t="inlineStr">
        <is>
          <t>avverkningsanmälan</t>
        </is>
      </c>
      <c r="C587" t="inlineStr">
        <is>
          <t>Föryngringsavverkning</t>
        </is>
      </c>
      <c r="D587" s="1" t="n">
        <v>44819</v>
      </c>
      <c r="E587" s="1" t="n">
        <v>46316</v>
      </c>
      <c r="F587" t="inlineStr">
        <is>
          <t>KRONOBERGS LÄN</t>
        </is>
      </c>
      <c r="G587" t="inlineStr">
        <is>
          <t>TINGSRYD</t>
        </is>
      </c>
      <c r="I587" t="n">
        <v>1.5</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46357-2022</t>
        </is>
      </c>
      <c r="B588" t="inlineStr">
        <is>
          <t>avverkningsanmälan</t>
        </is>
      </c>
      <c r="C588" t="inlineStr">
        <is>
          <t>Föryngringsavverkning</t>
        </is>
      </c>
      <c r="D588" s="1" t="n">
        <v>44848</v>
      </c>
      <c r="E588" s="1" t="n">
        <v>46316</v>
      </c>
      <c r="F588" t="inlineStr">
        <is>
          <t>KRONOBERGS LÄN</t>
        </is>
      </c>
      <c r="G588" t="inlineStr">
        <is>
          <t>LJUNGBY</t>
        </is>
      </c>
      <c r="I588" t="n">
        <v>1.8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36334-2022</t>
        </is>
      </c>
      <c r="B589" t="inlineStr">
        <is>
          <t>avverkningsanmälan</t>
        </is>
      </c>
      <c r="C589" t="inlineStr">
        <is>
          <t>Föryngringsavverkning</t>
        </is>
      </c>
      <c r="D589" s="1" t="n">
        <v>44803</v>
      </c>
      <c r="E589" s="1" t="n">
        <v>46316</v>
      </c>
      <c r="F589" t="inlineStr">
        <is>
          <t>KRONOBERGS LÄN</t>
        </is>
      </c>
      <c r="G589" t="inlineStr">
        <is>
          <t>VÄXJÖ</t>
        </is>
      </c>
      <c r="I589" t="n">
        <v>1.1</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62244-2021</t>
        </is>
      </c>
      <c r="B590" t="inlineStr">
        <is>
          <t>avverkningsanmälan</t>
        </is>
      </c>
      <c r="C590" t="inlineStr">
        <is>
          <t>Föryngringsavverkning</t>
        </is>
      </c>
      <c r="D590" s="1" t="n">
        <v>44503</v>
      </c>
      <c r="E590" s="1" t="n">
        <v>46316</v>
      </c>
      <c r="F590" t="inlineStr">
        <is>
          <t>KRONOBERGS LÄN</t>
        </is>
      </c>
      <c r="G590" t="inlineStr">
        <is>
          <t>ÄLMHULT</t>
        </is>
      </c>
      <c r="I590" t="n">
        <v>0.7</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777-2022</t>
        </is>
      </c>
      <c r="B591" t="inlineStr">
        <is>
          <t>avverkningsanmälan</t>
        </is>
      </c>
      <c r="C591" t="inlineStr">
        <is>
          <t>Föryngringsavverkning</t>
        </is>
      </c>
      <c r="D591" s="1" t="n">
        <v>44570</v>
      </c>
      <c r="E591" s="1" t="n">
        <v>46316</v>
      </c>
      <c r="F591" t="inlineStr">
        <is>
          <t>KRONOBERGS LÄN</t>
        </is>
      </c>
      <c r="G591" t="inlineStr">
        <is>
          <t>TINGSRYD</t>
        </is>
      </c>
      <c r="I591" t="n">
        <v>0.8</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1718-2022</t>
        </is>
      </c>
      <c r="B592" t="inlineStr">
        <is>
          <t>avverkningsanmälan</t>
        </is>
      </c>
      <c r="C592" t="inlineStr">
        <is>
          <t>Föryngringsavverkning</t>
        </is>
      </c>
      <c r="D592" s="1" t="n">
        <v>44574</v>
      </c>
      <c r="E592" s="1" t="n">
        <v>46316</v>
      </c>
      <c r="F592" t="inlineStr">
        <is>
          <t>KRONOBERGS LÄN</t>
        </is>
      </c>
      <c r="G592" t="inlineStr">
        <is>
          <t>UPPVIDINGE</t>
        </is>
      </c>
      <c r="I592" t="n">
        <v>0.3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9089-2022</t>
        </is>
      </c>
      <c r="B593" t="inlineStr">
        <is>
          <t>avverkningsanmälan</t>
        </is>
      </c>
      <c r="C593" t="inlineStr">
        <is>
          <t>Föryngringsavverkning</t>
        </is>
      </c>
      <c r="D593" s="1" t="n">
        <v>44615</v>
      </c>
      <c r="E593" s="1" t="n">
        <v>46316</v>
      </c>
      <c r="F593" t="inlineStr">
        <is>
          <t>KRONOBERGS LÄN</t>
        </is>
      </c>
      <c r="G593" t="inlineStr">
        <is>
          <t>ALVESTA</t>
        </is>
      </c>
      <c r="H593" t="inlineStr">
        <is>
          <t>Kommuner</t>
        </is>
      </c>
      <c r="I593" t="n">
        <v>0.8</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59724-2021</t>
        </is>
      </c>
      <c r="B594" t="inlineStr">
        <is>
          <t>avverkningsanmälan</t>
        </is>
      </c>
      <c r="C594" t="inlineStr">
        <is>
          <t>Föryngringsavverkning</t>
        </is>
      </c>
      <c r="D594" s="1" t="n">
        <v>44494</v>
      </c>
      <c r="E594" s="1" t="n">
        <v>46316</v>
      </c>
      <c r="F594" t="inlineStr">
        <is>
          <t>KRONOBERGS LÄN</t>
        </is>
      </c>
      <c r="G594" t="inlineStr">
        <is>
          <t>TINGSRYD</t>
        </is>
      </c>
      <c r="I594" t="n">
        <v>0.7</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12014-2022</t>
        </is>
      </c>
      <c r="B595" t="inlineStr">
        <is>
          <t>avverkningsanmälan</t>
        </is>
      </c>
      <c r="C595" t="inlineStr">
        <is>
          <t>Föryngringsavverkning</t>
        </is>
      </c>
      <c r="D595" s="1" t="n">
        <v>44635</v>
      </c>
      <c r="E595" s="1" t="n">
        <v>46316</v>
      </c>
      <c r="F595" t="inlineStr">
        <is>
          <t>KRONOBERGS LÄN</t>
        </is>
      </c>
      <c r="G595" t="inlineStr">
        <is>
          <t>LJUNGBY</t>
        </is>
      </c>
      <c r="I595" t="n">
        <v>0.4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12627-2022</t>
        </is>
      </c>
      <c r="B596" t="inlineStr">
        <is>
          <t>avverkningsanmälan</t>
        </is>
      </c>
      <c r="C596" t="inlineStr">
        <is>
          <t>Föryngringsavverkning</t>
        </is>
      </c>
      <c r="D596" s="1" t="n">
        <v>44641</v>
      </c>
      <c r="E596" s="1" t="n">
        <v>46316</v>
      </c>
      <c r="F596" t="inlineStr">
        <is>
          <t>KRONOBERGS LÄN</t>
        </is>
      </c>
      <c r="G596" t="inlineStr">
        <is>
          <t>TINGSRYD</t>
        </is>
      </c>
      <c r="I596" t="n">
        <v>1.4</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19342-2022</t>
        </is>
      </c>
      <c r="B597" t="inlineStr">
        <is>
          <t>avverkningsanmälan</t>
        </is>
      </c>
      <c r="C597" t="inlineStr">
        <is>
          <t>Föryngringsavverkning</t>
        </is>
      </c>
      <c r="D597" s="1" t="n">
        <v>44692</v>
      </c>
      <c r="E597" s="1" t="n">
        <v>46316</v>
      </c>
      <c r="F597" t="inlineStr">
        <is>
          <t>KRONOBERGS LÄN</t>
        </is>
      </c>
      <c r="G597" t="inlineStr">
        <is>
          <t>TINGSRYD</t>
        </is>
      </c>
      <c r="I597" t="n">
        <v>1.3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49748-2022</t>
        </is>
      </c>
      <c r="B598" t="inlineStr">
        <is>
          <t>avverkningsanmälan</t>
        </is>
      </c>
      <c r="C598" t="inlineStr">
        <is>
          <t>Föryngringsavverkning</t>
        </is>
      </c>
      <c r="D598" s="1" t="n">
        <v>44859</v>
      </c>
      <c r="E598" s="1" t="n">
        <v>46316</v>
      </c>
      <c r="F598" t="inlineStr">
        <is>
          <t>KRONOBERGS LÄN</t>
        </is>
      </c>
      <c r="G598" t="inlineStr">
        <is>
          <t>UPPVIDINGE</t>
        </is>
      </c>
      <c r="I598" t="n">
        <v>0.6</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49921-2022</t>
        </is>
      </c>
      <c r="B599" t="inlineStr">
        <is>
          <t>avverkningsanmälan</t>
        </is>
      </c>
      <c r="C599" t="inlineStr">
        <is>
          <t>Föryngringsavverkning</t>
        </is>
      </c>
      <c r="D599" s="1" t="n">
        <v>44865</v>
      </c>
      <c r="E599" s="1" t="n">
        <v>46316</v>
      </c>
      <c r="F599" t="inlineStr">
        <is>
          <t>KRONOBERGS LÄN</t>
        </is>
      </c>
      <c r="G599" t="inlineStr">
        <is>
          <t>LESSEBO</t>
        </is>
      </c>
      <c r="I599" t="n">
        <v>1.5</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60870-2021</t>
        </is>
      </c>
      <c r="B600" t="inlineStr">
        <is>
          <t>avverkningsanmälan</t>
        </is>
      </c>
      <c r="C600" t="inlineStr">
        <is>
          <t>Föryngringsavverkning</t>
        </is>
      </c>
      <c r="D600" s="1" t="n">
        <v>44497</v>
      </c>
      <c r="E600" s="1" t="n">
        <v>46316</v>
      </c>
      <c r="F600" t="inlineStr">
        <is>
          <t>KRONOBERGS LÄN</t>
        </is>
      </c>
      <c r="G600" t="inlineStr">
        <is>
          <t>ALVESTA</t>
        </is>
      </c>
      <c r="I600" t="n">
        <v>2.2</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18832-2022</t>
        </is>
      </c>
      <c r="B601" t="inlineStr">
        <is>
          <t>avverkningsanmälan</t>
        </is>
      </c>
      <c r="C601" t="inlineStr">
        <is>
          <t>Föryngringsavverkning</t>
        </is>
      </c>
      <c r="D601" s="1" t="n">
        <v>44690</v>
      </c>
      <c r="E601" s="1" t="n">
        <v>46316</v>
      </c>
      <c r="F601" t="inlineStr">
        <is>
          <t>KRONOBERGS LÄN</t>
        </is>
      </c>
      <c r="G601" t="inlineStr">
        <is>
          <t>TINGSRYD</t>
        </is>
      </c>
      <c r="I601" t="n">
        <v>0.6</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62624-2021</t>
        </is>
      </c>
      <c r="B602" t="inlineStr">
        <is>
          <t>avverkningsanmälan</t>
        </is>
      </c>
      <c r="C602" t="inlineStr">
        <is>
          <t>Föryngringsavverkning</t>
        </is>
      </c>
      <c r="D602" s="1" t="n">
        <v>44503</v>
      </c>
      <c r="E602" s="1" t="n">
        <v>46316</v>
      </c>
      <c r="F602" t="inlineStr">
        <is>
          <t>KRONOBERGS LÄN</t>
        </is>
      </c>
      <c r="G602" t="inlineStr">
        <is>
          <t>LJUNGBY</t>
        </is>
      </c>
      <c r="I602" t="n">
        <v>0.5</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16968-2022</t>
        </is>
      </c>
      <c r="B603" t="inlineStr">
        <is>
          <t>avverkningsanmälan</t>
        </is>
      </c>
      <c r="C603" t="inlineStr">
        <is>
          <t>Föryngringsavverkning</t>
        </is>
      </c>
      <c r="D603" s="1" t="n">
        <v>44676</v>
      </c>
      <c r="E603" s="1" t="n">
        <v>46316</v>
      </c>
      <c r="F603" t="inlineStr">
        <is>
          <t>KRONOBERGS LÄN</t>
        </is>
      </c>
      <c r="G603" t="inlineStr">
        <is>
          <t>UPPVIDINGE</t>
        </is>
      </c>
      <c r="I603" t="n">
        <v>1.5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64233-2021</t>
        </is>
      </c>
      <c r="B604" t="inlineStr">
        <is>
          <t>avverkningsanmälan</t>
        </is>
      </c>
      <c r="C604" t="inlineStr">
        <is>
          <t>Föryngringsavverkning</t>
        </is>
      </c>
      <c r="D604" s="1" t="n">
        <v>44510</v>
      </c>
      <c r="E604" s="1" t="n">
        <v>46316</v>
      </c>
      <c r="F604" t="inlineStr">
        <is>
          <t>KRONOBERGS LÄN</t>
        </is>
      </c>
      <c r="G604" t="inlineStr">
        <is>
          <t>LJUNGBY</t>
        </is>
      </c>
      <c r="I604" t="n">
        <v>0.6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19096-2022</t>
        </is>
      </c>
      <c r="B605" t="inlineStr">
        <is>
          <t>avverkningsanmälan</t>
        </is>
      </c>
      <c r="C605" t="inlineStr">
        <is>
          <t>Föryngringsavverkning</t>
        </is>
      </c>
      <c r="D605" s="1" t="n">
        <v>44691</v>
      </c>
      <c r="E605" s="1" t="n">
        <v>46316</v>
      </c>
      <c r="F605" t="inlineStr">
        <is>
          <t>KRONOBERGS LÄN</t>
        </is>
      </c>
      <c r="G605" t="inlineStr">
        <is>
          <t>VÄXJÖ</t>
        </is>
      </c>
      <c r="I605" t="n">
        <v>3.6</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49715-2022</t>
        </is>
      </c>
      <c r="B606" t="inlineStr">
        <is>
          <t>avverkningsanmälan</t>
        </is>
      </c>
      <c r="C606" t="inlineStr">
        <is>
          <t>Föryngringsavverkning</t>
        </is>
      </c>
      <c r="D606" s="1" t="n">
        <v>44859</v>
      </c>
      <c r="E606" s="1" t="n">
        <v>46316</v>
      </c>
      <c r="F606" t="inlineStr">
        <is>
          <t>KRONOBERGS LÄN</t>
        </is>
      </c>
      <c r="G606" t="inlineStr">
        <is>
          <t>UPPVIDINGE</t>
        </is>
      </c>
      <c r="I606" t="n">
        <v>0.7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49744-2022</t>
        </is>
      </c>
      <c r="B607" t="inlineStr">
        <is>
          <t>avverkningsanmälan</t>
        </is>
      </c>
      <c r="C607" t="inlineStr">
        <is>
          <t>Föryngringsavverkning</t>
        </is>
      </c>
      <c r="D607" s="1" t="n">
        <v>44859</v>
      </c>
      <c r="E607" s="1" t="n">
        <v>46316</v>
      </c>
      <c r="F607" t="inlineStr">
        <is>
          <t>KRONOBERGS LÄN</t>
        </is>
      </c>
      <c r="G607" t="inlineStr">
        <is>
          <t>UPPVIDINGE</t>
        </is>
      </c>
      <c r="I607" t="n">
        <v>2.8</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49963-2022</t>
        </is>
      </c>
      <c r="B608" t="inlineStr">
        <is>
          <t>avverkningsanmälan</t>
        </is>
      </c>
      <c r="C608" t="inlineStr">
        <is>
          <t>Föryngringsavverkning</t>
        </is>
      </c>
      <c r="D608" s="1" t="n">
        <v>44865</v>
      </c>
      <c r="E608" s="1" t="n">
        <v>46316</v>
      </c>
      <c r="F608" t="inlineStr">
        <is>
          <t>KRONOBERGS LÄN</t>
        </is>
      </c>
      <c r="G608" t="inlineStr">
        <is>
          <t>TINGSRYD</t>
        </is>
      </c>
      <c r="I608" t="n">
        <v>2.1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5472-2022</t>
        </is>
      </c>
      <c r="B609" t="inlineStr">
        <is>
          <t>avverkningsanmälan</t>
        </is>
      </c>
      <c r="C609" t="inlineStr">
        <is>
          <t>Föryngringsavverkning</t>
        </is>
      </c>
      <c r="D609" s="1" t="n">
        <v>44595</v>
      </c>
      <c r="E609" s="1" t="n">
        <v>46316</v>
      </c>
      <c r="F609" t="inlineStr">
        <is>
          <t>KRONOBERGS LÄN</t>
        </is>
      </c>
      <c r="G609" t="inlineStr">
        <is>
          <t>MARKARYD</t>
        </is>
      </c>
      <c r="I609" t="n">
        <v>0.5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62403-2021</t>
        </is>
      </c>
      <c r="B610" t="inlineStr">
        <is>
          <t>avverkningsanmälan</t>
        </is>
      </c>
      <c r="C610" t="inlineStr">
        <is>
          <t>Föryngringsavverkning</t>
        </is>
      </c>
      <c r="D610" s="1" t="n">
        <v>44503</v>
      </c>
      <c r="E610" s="1" t="n">
        <v>46316</v>
      </c>
      <c r="F610" t="inlineStr">
        <is>
          <t>KRONOBERGS LÄN</t>
        </is>
      </c>
      <c r="G610" t="inlineStr">
        <is>
          <t>ÄLMHULT</t>
        </is>
      </c>
      <c r="I610" t="n">
        <v>0.4</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28767-2022</t>
        </is>
      </c>
      <c r="B611" t="inlineStr">
        <is>
          <t>avverkningsanmälan</t>
        </is>
      </c>
      <c r="C611" t="inlineStr">
        <is>
          <t>Föryngringsavverkning</t>
        </is>
      </c>
      <c r="D611" s="1" t="n">
        <v>44749</v>
      </c>
      <c r="E611" s="1" t="n">
        <v>46316</v>
      </c>
      <c r="F611" t="inlineStr">
        <is>
          <t>KRONOBERGS LÄN</t>
        </is>
      </c>
      <c r="G611" t="inlineStr">
        <is>
          <t>UPPVIDINGE</t>
        </is>
      </c>
      <c r="I611" t="n">
        <v>3.8</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8366-2022</t>
        </is>
      </c>
      <c r="B612" t="inlineStr">
        <is>
          <t>avverkningsanmälan</t>
        </is>
      </c>
      <c r="C612" t="inlineStr">
        <is>
          <t>Föryngringsavverkning</t>
        </is>
      </c>
      <c r="D612" s="1" t="n">
        <v>44610</v>
      </c>
      <c r="E612" s="1" t="n">
        <v>46316</v>
      </c>
      <c r="F612" t="inlineStr">
        <is>
          <t>KRONOBERGS LÄN</t>
        </is>
      </c>
      <c r="G612" t="inlineStr">
        <is>
          <t>TINGSRYD</t>
        </is>
      </c>
      <c r="I612" t="n">
        <v>1.3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26505-2022</t>
        </is>
      </c>
      <c r="B613" t="inlineStr">
        <is>
          <t>avverkningsanmälan</t>
        </is>
      </c>
      <c r="C613" t="inlineStr">
        <is>
          <t>Föryngringsavverkning</t>
        </is>
      </c>
      <c r="D613" s="1" t="n">
        <v>44739</v>
      </c>
      <c r="E613" s="1" t="n">
        <v>46316</v>
      </c>
      <c r="F613" t="inlineStr">
        <is>
          <t>KRONOBERGS LÄN</t>
        </is>
      </c>
      <c r="G613" t="inlineStr">
        <is>
          <t>VÄXJÖ</t>
        </is>
      </c>
      <c r="I613" t="n">
        <v>0.5</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3602-2022</t>
        </is>
      </c>
      <c r="B614" t="inlineStr">
        <is>
          <t>avverkningsanmälan</t>
        </is>
      </c>
      <c r="C614" t="inlineStr">
        <is>
          <t>Föryngringsavverkning</t>
        </is>
      </c>
      <c r="D614" s="1" t="n">
        <v>44586</v>
      </c>
      <c r="E614" s="1" t="n">
        <v>46316</v>
      </c>
      <c r="F614" t="inlineStr">
        <is>
          <t>KRONOBERGS LÄN</t>
        </is>
      </c>
      <c r="G614" t="inlineStr">
        <is>
          <t>ALVESTA</t>
        </is>
      </c>
      <c r="I614" t="n">
        <v>0.9</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33385-2022</t>
        </is>
      </c>
      <c r="B615" t="inlineStr">
        <is>
          <t>avverkningsanmälan</t>
        </is>
      </c>
      <c r="C615" t="inlineStr">
        <is>
          <t>Föryngringsavverkning</t>
        </is>
      </c>
      <c r="D615" s="1" t="n">
        <v>44785</v>
      </c>
      <c r="E615" s="1" t="n">
        <v>46316</v>
      </c>
      <c r="F615" t="inlineStr">
        <is>
          <t>KRONOBERGS LÄN</t>
        </is>
      </c>
      <c r="G615" t="inlineStr">
        <is>
          <t>ÄLMHULT</t>
        </is>
      </c>
      <c r="I615" t="n">
        <v>2.6</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1709-2022</t>
        </is>
      </c>
      <c r="B616" t="inlineStr">
        <is>
          <t>avverkningsanmälan</t>
        </is>
      </c>
      <c r="C616" t="inlineStr">
        <is>
          <t>Föryngringsavverkning</t>
        </is>
      </c>
      <c r="D616" s="1" t="n">
        <v>44574</v>
      </c>
      <c r="E616" s="1" t="n">
        <v>46316</v>
      </c>
      <c r="F616" t="inlineStr">
        <is>
          <t>KRONOBERGS LÄN</t>
        </is>
      </c>
      <c r="G616" t="inlineStr">
        <is>
          <t>UPPVIDINGE</t>
        </is>
      </c>
      <c r="I616" t="n">
        <v>0.7</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3956-2022</t>
        </is>
      </c>
      <c r="B617" t="inlineStr">
        <is>
          <t>avverkningsanmälan</t>
        </is>
      </c>
      <c r="C617" t="inlineStr">
        <is>
          <t>Föryngringsavverkning</t>
        </is>
      </c>
      <c r="D617" s="1" t="n">
        <v>44587</v>
      </c>
      <c r="E617" s="1" t="n">
        <v>46316</v>
      </c>
      <c r="F617" t="inlineStr">
        <is>
          <t>KRONOBERGS LÄN</t>
        </is>
      </c>
      <c r="G617" t="inlineStr">
        <is>
          <t>LJUNGBY</t>
        </is>
      </c>
      <c r="I617" t="n">
        <v>0.3</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4547-2022</t>
        </is>
      </c>
      <c r="B618" t="inlineStr">
        <is>
          <t>avverkningsanmälan</t>
        </is>
      </c>
      <c r="C618" t="inlineStr">
        <is>
          <t>Avverkning för annat ändamål</t>
        </is>
      </c>
      <c r="D618" s="1" t="n">
        <v>44590</v>
      </c>
      <c r="E618" s="1" t="n">
        <v>46316</v>
      </c>
      <c r="F618" t="inlineStr">
        <is>
          <t>KRONOBERGS LÄN</t>
        </is>
      </c>
      <c r="G618" t="inlineStr">
        <is>
          <t>VÄXJÖ</t>
        </is>
      </c>
      <c r="H618" t="inlineStr">
        <is>
          <t>Kommuner</t>
        </is>
      </c>
      <c r="I618" t="n">
        <v>0.7</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4801-2022</t>
        </is>
      </c>
      <c r="B619" t="inlineStr">
        <is>
          <t>avverkningsanmälan</t>
        </is>
      </c>
      <c r="C619" t="inlineStr">
        <is>
          <t>Föryngringsavverkning</t>
        </is>
      </c>
      <c r="D619" s="1" t="n">
        <v>44592</v>
      </c>
      <c r="E619" s="1" t="n">
        <v>46316</v>
      </c>
      <c r="F619" t="inlineStr">
        <is>
          <t>KRONOBERGS LÄN</t>
        </is>
      </c>
      <c r="G619" t="inlineStr">
        <is>
          <t>LJUNGBY</t>
        </is>
      </c>
      <c r="H619" t="inlineStr">
        <is>
          <t>Kommuner</t>
        </is>
      </c>
      <c r="I619" t="n">
        <v>1.5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20664-2022</t>
        </is>
      </c>
      <c r="B620" t="inlineStr">
        <is>
          <t>avverkningsanmälan</t>
        </is>
      </c>
      <c r="C620" t="inlineStr">
        <is>
          <t>Föryngringsavverkning</t>
        </is>
      </c>
      <c r="D620" s="1" t="n">
        <v>44700</v>
      </c>
      <c r="E620" s="1" t="n">
        <v>46316</v>
      </c>
      <c r="F620" t="inlineStr">
        <is>
          <t>KRONOBERGS LÄN</t>
        </is>
      </c>
      <c r="G620" t="inlineStr">
        <is>
          <t>MARKARYD</t>
        </is>
      </c>
      <c r="I620" t="n">
        <v>0.6</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34126-2022</t>
        </is>
      </c>
      <c r="B621" t="inlineStr">
        <is>
          <t>avverkningsanmälan</t>
        </is>
      </c>
      <c r="C621" t="inlineStr">
        <is>
          <t>Föryngringsavverkning</t>
        </is>
      </c>
      <c r="D621" s="1" t="n">
        <v>44791</v>
      </c>
      <c r="E621" s="1" t="n">
        <v>46316</v>
      </c>
      <c r="F621" t="inlineStr">
        <is>
          <t>KRONOBERGS LÄN</t>
        </is>
      </c>
      <c r="G621" t="inlineStr">
        <is>
          <t>TINGSRYD</t>
        </is>
      </c>
      <c r="I621" t="n">
        <v>1.4</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13138-2022</t>
        </is>
      </c>
      <c r="B622" t="inlineStr">
        <is>
          <t>avverkningsanmälan</t>
        </is>
      </c>
      <c r="C622" t="inlineStr">
        <is>
          <t>Föryngringsavverkning</t>
        </is>
      </c>
      <c r="D622" s="1" t="n">
        <v>44644</v>
      </c>
      <c r="E622" s="1" t="n">
        <v>46316</v>
      </c>
      <c r="F622" t="inlineStr">
        <is>
          <t>KRONOBERGS LÄN</t>
        </is>
      </c>
      <c r="G622" t="inlineStr">
        <is>
          <t>TINGSRYD</t>
        </is>
      </c>
      <c r="I622" t="n">
        <v>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27606-2022</t>
        </is>
      </c>
      <c r="B623" t="inlineStr">
        <is>
          <t>avverkningsanmälan</t>
        </is>
      </c>
      <c r="C623" t="inlineStr">
        <is>
          <t>Föryngringsavverkning</t>
        </is>
      </c>
      <c r="D623" s="1" t="n">
        <v>44742</v>
      </c>
      <c r="E623" s="1" t="n">
        <v>46316</v>
      </c>
      <c r="F623" t="inlineStr">
        <is>
          <t>KRONOBERGS LÄN</t>
        </is>
      </c>
      <c r="G623" t="inlineStr">
        <is>
          <t>LJUNGBY</t>
        </is>
      </c>
      <c r="I623" t="n">
        <v>0.7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6929-2022</t>
        </is>
      </c>
      <c r="B624" t="inlineStr">
        <is>
          <t>avverkningsanmälan</t>
        </is>
      </c>
      <c r="C624" t="inlineStr">
        <is>
          <t>Föryngringsavverkning</t>
        </is>
      </c>
      <c r="D624" s="1" t="n">
        <v>44602</v>
      </c>
      <c r="E624" s="1" t="n">
        <v>46316</v>
      </c>
      <c r="F624" t="inlineStr">
        <is>
          <t>KRONOBERGS LÄN</t>
        </is>
      </c>
      <c r="G624" t="inlineStr">
        <is>
          <t>UPPVIDINGE</t>
        </is>
      </c>
      <c r="I624" t="n">
        <v>1.5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6952-2022</t>
        </is>
      </c>
      <c r="B625" t="inlineStr">
        <is>
          <t>avverkningsanmälan</t>
        </is>
      </c>
      <c r="C625" t="inlineStr">
        <is>
          <t>Föryngringsavverkning</t>
        </is>
      </c>
      <c r="D625" s="1" t="n">
        <v>44603</v>
      </c>
      <c r="E625" s="1" t="n">
        <v>46316</v>
      </c>
      <c r="F625" t="inlineStr">
        <is>
          <t>KRONOBERGS LÄN</t>
        </is>
      </c>
      <c r="G625" t="inlineStr">
        <is>
          <t>TINGSRYD</t>
        </is>
      </c>
      <c r="I625" t="n">
        <v>1.9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16069-2022</t>
        </is>
      </c>
      <c r="B626" t="inlineStr">
        <is>
          <t>avverkningsanmälan</t>
        </is>
      </c>
      <c r="C626" t="inlineStr">
        <is>
          <t>Avverkning för att bevara och utveckla /försöksver</t>
        </is>
      </c>
      <c r="D626" s="1" t="n">
        <v>44665</v>
      </c>
      <c r="E626" s="1" t="n">
        <v>46316</v>
      </c>
      <c r="F626" t="inlineStr">
        <is>
          <t>KRONOBERGS LÄN</t>
        </is>
      </c>
      <c r="G626" t="inlineStr">
        <is>
          <t>ÄLMHULT</t>
        </is>
      </c>
      <c r="H626" t="inlineStr">
        <is>
          <t>Sveaskog</t>
        </is>
      </c>
      <c r="I626" t="n">
        <v>1.5</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40019-2022</t>
        </is>
      </c>
      <c r="B627" t="inlineStr">
        <is>
          <t>avverkningsanmälan</t>
        </is>
      </c>
      <c r="C627" t="inlineStr">
        <is>
          <t>Föryngringsavverkning</t>
        </is>
      </c>
      <c r="D627" s="1" t="n">
        <v>44820</v>
      </c>
      <c r="E627" s="1" t="n">
        <v>46316</v>
      </c>
      <c r="F627" t="inlineStr">
        <is>
          <t>KRONOBERGS LÄN</t>
        </is>
      </c>
      <c r="G627" t="inlineStr">
        <is>
          <t>VÄXJÖ</t>
        </is>
      </c>
      <c r="H627" t="inlineStr">
        <is>
          <t>Sveaskog</t>
        </is>
      </c>
      <c r="I627" t="n">
        <v>2.2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13952-2022</t>
        </is>
      </c>
      <c r="B628" t="inlineStr">
        <is>
          <t>avverkningsanmälan</t>
        </is>
      </c>
      <c r="C628" t="inlineStr">
        <is>
          <t>Föryngringsavverkning</t>
        </is>
      </c>
      <c r="D628" s="1" t="n">
        <v>44650</v>
      </c>
      <c r="E628" s="1" t="n">
        <v>46316</v>
      </c>
      <c r="F628" t="inlineStr">
        <is>
          <t>KRONOBERGS LÄN</t>
        </is>
      </c>
      <c r="G628" t="inlineStr">
        <is>
          <t>LJUNGBY</t>
        </is>
      </c>
      <c r="I628" t="n">
        <v>0.7</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2666-2022</t>
        </is>
      </c>
      <c r="B629" t="inlineStr">
        <is>
          <t>avverkningsanmälan</t>
        </is>
      </c>
      <c r="C629" t="inlineStr">
        <is>
          <t>Föryngringsavverkning</t>
        </is>
      </c>
      <c r="D629" s="1" t="n">
        <v>44580</v>
      </c>
      <c r="E629" s="1" t="n">
        <v>46316</v>
      </c>
      <c r="F629" t="inlineStr">
        <is>
          <t>KRONOBERGS LÄN</t>
        </is>
      </c>
      <c r="G629" t="inlineStr">
        <is>
          <t>UPPVIDINGE</t>
        </is>
      </c>
      <c r="I629" t="n">
        <v>3.6</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22722-2022</t>
        </is>
      </c>
      <c r="B630" t="inlineStr">
        <is>
          <t>avverkningsanmälan</t>
        </is>
      </c>
      <c r="C630" t="inlineStr">
        <is>
          <t>Föryngringsavverkning</t>
        </is>
      </c>
      <c r="D630" s="1" t="n">
        <v>44714</v>
      </c>
      <c r="E630" s="1" t="n">
        <v>46316</v>
      </c>
      <c r="F630" t="inlineStr">
        <is>
          <t>KRONOBERGS LÄN</t>
        </is>
      </c>
      <c r="G630" t="inlineStr">
        <is>
          <t>LJUNGBY</t>
        </is>
      </c>
      <c r="I630" t="n">
        <v>0</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10420-2022</t>
        </is>
      </c>
      <c r="B631" t="inlineStr">
        <is>
          <t>avverkningsanmälan</t>
        </is>
      </c>
      <c r="C631" t="inlineStr">
        <is>
          <t>Föryngringsavverkning</t>
        </is>
      </c>
      <c r="D631" s="1" t="n">
        <v>44623</v>
      </c>
      <c r="E631" s="1" t="n">
        <v>46316</v>
      </c>
      <c r="F631" t="inlineStr">
        <is>
          <t>KRONOBERGS LÄN</t>
        </is>
      </c>
      <c r="G631" t="inlineStr">
        <is>
          <t>LJUNGBY</t>
        </is>
      </c>
      <c r="I631" t="n">
        <v>0.6</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38692-2022</t>
        </is>
      </c>
      <c r="B632" t="inlineStr">
        <is>
          <t>avverkningsanmälan</t>
        </is>
      </c>
      <c r="C632" t="inlineStr">
        <is>
          <t>Föryngringsavverkning</t>
        </is>
      </c>
      <c r="D632" s="1" t="n">
        <v>44814</v>
      </c>
      <c r="E632" s="1" t="n">
        <v>46316</v>
      </c>
      <c r="F632" t="inlineStr">
        <is>
          <t>KRONOBERGS LÄN</t>
        </is>
      </c>
      <c r="G632" t="inlineStr">
        <is>
          <t>VÄXJÖ</t>
        </is>
      </c>
      <c r="I632" t="n">
        <v>0.6</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6807-2022</t>
        </is>
      </c>
      <c r="B633" t="inlineStr">
        <is>
          <t>avverkningsanmälan</t>
        </is>
      </c>
      <c r="C633" t="inlineStr">
        <is>
          <t>Föryngringsavverkning</t>
        </is>
      </c>
      <c r="D633" s="1" t="n">
        <v>44602</v>
      </c>
      <c r="E633" s="1" t="n">
        <v>46316</v>
      </c>
      <c r="F633" t="inlineStr">
        <is>
          <t>KRONOBERGS LÄN</t>
        </is>
      </c>
      <c r="G633" t="inlineStr">
        <is>
          <t>UPPVIDINGE</t>
        </is>
      </c>
      <c r="I633" t="n">
        <v>0.7</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10762-2022</t>
        </is>
      </c>
      <c r="B634" t="inlineStr">
        <is>
          <t>avverkningsanmälan</t>
        </is>
      </c>
      <c r="C634" t="inlineStr">
        <is>
          <t>Föryngringsavverkning</t>
        </is>
      </c>
      <c r="D634" s="1" t="n">
        <v>44627</v>
      </c>
      <c r="E634" s="1" t="n">
        <v>46316</v>
      </c>
      <c r="F634" t="inlineStr">
        <is>
          <t>KRONOBERGS LÄN</t>
        </is>
      </c>
      <c r="G634" t="inlineStr">
        <is>
          <t>TINGSRYD</t>
        </is>
      </c>
      <c r="I634" t="n">
        <v>1.1</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45962-2022</t>
        </is>
      </c>
      <c r="B635" t="inlineStr">
        <is>
          <t>avverkningsanmälan</t>
        </is>
      </c>
      <c r="C635" t="inlineStr">
        <is>
          <t>Föryngringsavverkning</t>
        </is>
      </c>
      <c r="D635" s="1" t="n">
        <v>44846</v>
      </c>
      <c r="E635" s="1" t="n">
        <v>46316</v>
      </c>
      <c r="F635" t="inlineStr">
        <is>
          <t>KRONOBERGS LÄN</t>
        </is>
      </c>
      <c r="G635" t="inlineStr">
        <is>
          <t>ÄLMHULT</t>
        </is>
      </c>
      <c r="I635" t="n">
        <v>0.5</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45963-2022</t>
        </is>
      </c>
      <c r="B636" t="inlineStr">
        <is>
          <t>avverkningsanmälan</t>
        </is>
      </c>
      <c r="C636" t="inlineStr">
        <is>
          <t>Föryngringsavverkning</t>
        </is>
      </c>
      <c r="D636" s="1" t="n">
        <v>44846</v>
      </c>
      <c r="E636" s="1" t="n">
        <v>46316</v>
      </c>
      <c r="F636" t="inlineStr">
        <is>
          <t>KRONOBERGS LÄN</t>
        </is>
      </c>
      <c r="G636" t="inlineStr">
        <is>
          <t>LESSEBO</t>
        </is>
      </c>
      <c r="I636" t="n">
        <v>0.5</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46309-2022</t>
        </is>
      </c>
      <c r="B637" t="inlineStr">
        <is>
          <t>avverkningsanmälan</t>
        </is>
      </c>
      <c r="C637" t="inlineStr">
        <is>
          <t>Föryngringsavverkning</t>
        </is>
      </c>
      <c r="D637" s="1" t="n">
        <v>44847</v>
      </c>
      <c r="E637" s="1" t="n">
        <v>46316</v>
      </c>
      <c r="F637" t="inlineStr">
        <is>
          <t>KRONOBERGS LÄN</t>
        </is>
      </c>
      <c r="G637" t="inlineStr">
        <is>
          <t>LJUNGBY</t>
        </is>
      </c>
      <c r="I637" t="n">
        <v>0.5</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46311-2022</t>
        </is>
      </c>
      <c r="B638" t="inlineStr">
        <is>
          <t>avverkningsanmälan</t>
        </is>
      </c>
      <c r="C638" t="inlineStr">
        <is>
          <t>Föryngringsavverkning</t>
        </is>
      </c>
      <c r="D638" s="1" t="n">
        <v>44847</v>
      </c>
      <c r="E638" s="1" t="n">
        <v>46316</v>
      </c>
      <c r="F638" t="inlineStr">
        <is>
          <t>KRONOBERGS LÄN</t>
        </is>
      </c>
      <c r="G638" t="inlineStr">
        <is>
          <t>LJUNGBY</t>
        </is>
      </c>
      <c r="I638" t="n">
        <v>0.6</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49706-2022</t>
        </is>
      </c>
      <c r="B639" t="inlineStr">
        <is>
          <t>avverkningsanmälan</t>
        </is>
      </c>
      <c r="C639" t="inlineStr">
        <is>
          <t>Föryngringsavverkning</t>
        </is>
      </c>
      <c r="D639" s="1" t="n">
        <v>44859</v>
      </c>
      <c r="E639" s="1" t="n">
        <v>46316</v>
      </c>
      <c r="F639" t="inlineStr">
        <is>
          <t>KRONOBERGS LÄN</t>
        </is>
      </c>
      <c r="G639" t="inlineStr">
        <is>
          <t>UPPVIDINGE</t>
        </is>
      </c>
      <c r="I639" t="n">
        <v>4.1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36468-2022</t>
        </is>
      </c>
      <c r="B640" t="inlineStr">
        <is>
          <t>avverkningsanmälan</t>
        </is>
      </c>
      <c r="C640" t="inlineStr">
        <is>
          <t>Föryngringsavverkning</t>
        </is>
      </c>
      <c r="D640" s="1" t="n">
        <v>44804</v>
      </c>
      <c r="E640" s="1" t="n">
        <v>46316</v>
      </c>
      <c r="F640" t="inlineStr">
        <is>
          <t>KRONOBERGS LÄN</t>
        </is>
      </c>
      <c r="G640" t="inlineStr">
        <is>
          <t>TINGSRYD</t>
        </is>
      </c>
      <c r="I640" t="n">
        <v>1.1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31099-2022</t>
        </is>
      </c>
      <c r="B641" t="inlineStr">
        <is>
          <t>avverkningsanmälan</t>
        </is>
      </c>
      <c r="C641" t="inlineStr">
        <is>
          <t>Föryngringsavverkning</t>
        </is>
      </c>
      <c r="D641" s="1" t="n">
        <v>44769</v>
      </c>
      <c r="E641" s="1" t="n">
        <v>46316</v>
      </c>
      <c r="F641" t="inlineStr">
        <is>
          <t>KRONOBERGS LÄN</t>
        </is>
      </c>
      <c r="G641" t="inlineStr">
        <is>
          <t>VÄXJÖ</t>
        </is>
      </c>
      <c r="H641" t="inlineStr">
        <is>
          <t>Sveaskog</t>
        </is>
      </c>
      <c r="I641" t="n">
        <v>1</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28988-2022</t>
        </is>
      </c>
      <c r="B642" t="inlineStr">
        <is>
          <t>avverkningsanmälan</t>
        </is>
      </c>
      <c r="C642" t="inlineStr">
        <is>
          <t>Föryngringsavverkning</t>
        </is>
      </c>
      <c r="D642" s="1" t="n">
        <v>44749</v>
      </c>
      <c r="E642" s="1" t="n">
        <v>46316</v>
      </c>
      <c r="F642" t="inlineStr">
        <is>
          <t>KRONOBERGS LÄN</t>
        </is>
      </c>
      <c r="G642" t="inlineStr">
        <is>
          <t>LJUNGBY</t>
        </is>
      </c>
      <c r="I642" t="n">
        <v>1.1</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34669-2022</t>
        </is>
      </c>
      <c r="B643" t="inlineStr">
        <is>
          <t>avverkningsanmälan</t>
        </is>
      </c>
      <c r="C643" t="inlineStr">
        <is>
          <t>Föryngringsavverkning</t>
        </is>
      </c>
      <c r="D643" s="1" t="n">
        <v>44795</v>
      </c>
      <c r="E643" s="1" t="n">
        <v>46316</v>
      </c>
      <c r="F643" t="inlineStr">
        <is>
          <t>KRONOBERGS LÄN</t>
        </is>
      </c>
      <c r="G643" t="inlineStr">
        <is>
          <t>UPPVIDINGE</t>
        </is>
      </c>
      <c r="I643" t="n">
        <v>0.6</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33663-2022</t>
        </is>
      </c>
      <c r="B644" t="inlineStr">
        <is>
          <t>avverkningsanmälan</t>
        </is>
      </c>
      <c r="C644" t="inlineStr">
        <is>
          <t>Föryngringsavverkning</t>
        </is>
      </c>
      <c r="D644" s="1" t="n">
        <v>44789</v>
      </c>
      <c r="E644" s="1" t="n">
        <v>46316</v>
      </c>
      <c r="F644" t="inlineStr">
        <is>
          <t>KRONOBERGS LÄN</t>
        </is>
      </c>
      <c r="G644" t="inlineStr">
        <is>
          <t>TINGSRYD</t>
        </is>
      </c>
      <c r="I644" t="n">
        <v>0.5</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30111-2022</t>
        </is>
      </c>
      <c r="B645" t="inlineStr">
        <is>
          <t>avverkningsanmälan</t>
        </is>
      </c>
      <c r="C645" t="inlineStr">
        <is>
          <t>Föryngringsavverkning</t>
        </is>
      </c>
      <c r="D645" s="1" t="n">
        <v>44757</v>
      </c>
      <c r="E645" s="1" t="n">
        <v>46316</v>
      </c>
      <c r="F645" t="inlineStr">
        <is>
          <t>KRONOBERGS LÄN</t>
        </is>
      </c>
      <c r="G645" t="inlineStr">
        <is>
          <t>UPPVIDINGE</t>
        </is>
      </c>
      <c r="H645" t="inlineStr">
        <is>
          <t>Sveaskog</t>
        </is>
      </c>
      <c r="I645" t="n">
        <v>1.1</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40697-2022</t>
        </is>
      </c>
      <c r="B646" t="inlineStr">
        <is>
          <t>avverkningsanmälan</t>
        </is>
      </c>
      <c r="C646" t="inlineStr">
        <is>
          <t>Föryngringsavverkning</t>
        </is>
      </c>
      <c r="D646" s="1" t="n">
        <v>44820</v>
      </c>
      <c r="E646" s="1" t="n">
        <v>46316</v>
      </c>
      <c r="F646" t="inlineStr">
        <is>
          <t>KRONOBERGS LÄN</t>
        </is>
      </c>
      <c r="G646" t="inlineStr">
        <is>
          <t>VÄXJÖ</t>
        </is>
      </c>
      <c r="I646" t="n">
        <v>5.1</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21932-2022</t>
        </is>
      </c>
      <c r="B647" t="inlineStr">
        <is>
          <t>avverkningsanmälan</t>
        </is>
      </c>
      <c r="C647" t="inlineStr">
        <is>
          <t>Föryngringsavverkning</t>
        </is>
      </c>
      <c r="D647" s="1" t="n">
        <v>44711</v>
      </c>
      <c r="E647" s="1" t="n">
        <v>46316</v>
      </c>
      <c r="F647" t="inlineStr">
        <is>
          <t>KRONOBERGS LÄN</t>
        </is>
      </c>
      <c r="G647" t="inlineStr">
        <is>
          <t>VÄXJÖ</t>
        </is>
      </c>
      <c r="I647" t="n">
        <v>0.6</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63571-2021</t>
        </is>
      </c>
      <c r="B648" t="inlineStr">
        <is>
          <t>avverkningsanmälan</t>
        </is>
      </c>
      <c r="C648" t="inlineStr">
        <is>
          <t>Föryngringsavverkning</t>
        </is>
      </c>
      <c r="D648" s="1" t="n">
        <v>44508</v>
      </c>
      <c r="E648" s="1" t="n">
        <v>46316</v>
      </c>
      <c r="F648" t="inlineStr">
        <is>
          <t>KRONOBERGS LÄN</t>
        </is>
      </c>
      <c r="G648" t="inlineStr">
        <is>
          <t>TINGSRYD</t>
        </is>
      </c>
      <c r="I648" t="n">
        <v>2.5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46170-2022</t>
        </is>
      </c>
      <c r="B649" t="inlineStr">
        <is>
          <t>avverkningsanmälan</t>
        </is>
      </c>
      <c r="C649" t="inlineStr">
        <is>
          <t>Föryngringsavverkning</t>
        </is>
      </c>
      <c r="D649" s="1" t="n">
        <v>44847</v>
      </c>
      <c r="E649" s="1" t="n">
        <v>46316</v>
      </c>
      <c r="F649" t="inlineStr">
        <is>
          <t>KRONOBERGS LÄN</t>
        </is>
      </c>
      <c r="G649" t="inlineStr">
        <is>
          <t>ÄLMHULT</t>
        </is>
      </c>
      <c r="I649" t="n">
        <v>0.5</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63420-2021</t>
        </is>
      </c>
      <c r="B650" t="inlineStr">
        <is>
          <t>avverkningsanmälan</t>
        </is>
      </c>
      <c r="C650" t="inlineStr">
        <is>
          <t>Föryngringsavverkning</t>
        </is>
      </c>
      <c r="D650" s="1" t="n">
        <v>44508</v>
      </c>
      <c r="E650" s="1" t="n">
        <v>46316</v>
      </c>
      <c r="F650" t="inlineStr">
        <is>
          <t>KRONOBERGS LÄN</t>
        </is>
      </c>
      <c r="G650" t="inlineStr">
        <is>
          <t>VÄXJÖ</t>
        </is>
      </c>
      <c r="I650" t="n">
        <v>2.8</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53683-2022</t>
        </is>
      </c>
      <c r="B651" t="inlineStr">
        <is>
          <t>avverkningsanmälan</t>
        </is>
      </c>
      <c r="C651" t="inlineStr">
        <is>
          <t>Föryngringsavverkning</t>
        </is>
      </c>
      <c r="D651" s="1" t="n">
        <v>44880</v>
      </c>
      <c r="E651" s="1" t="n">
        <v>46316</v>
      </c>
      <c r="F651" t="inlineStr">
        <is>
          <t>KRONOBERGS LÄN</t>
        </is>
      </c>
      <c r="G651" t="inlineStr">
        <is>
          <t>VÄXJÖ</t>
        </is>
      </c>
      <c r="I651" t="n">
        <v>0.7</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61084-2021</t>
        </is>
      </c>
      <c r="B652" t="inlineStr">
        <is>
          <t>avverkningsanmälan</t>
        </is>
      </c>
      <c r="C652" t="inlineStr">
        <is>
          <t>Föryngringsavverkning</t>
        </is>
      </c>
      <c r="D652" s="1" t="n">
        <v>44498</v>
      </c>
      <c r="E652" s="1" t="n">
        <v>46316</v>
      </c>
      <c r="F652" t="inlineStr">
        <is>
          <t>KRONOBERGS LÄN</t>
        </is>
      </c>
      <c r="G652" t="inlineStr">
        <is>
          <t>ÄLMHULT</t>
        </is>
      </c>
      <c r="I652" t="n">
        <v>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60233-2021</t>
        </is>
      </c>
      <c r="B653" t="inlineStr">
        <is>
          <t>avverkningsanmälan</t>
        </is>
      </c>
      <c r="C653" t="inlineStr">
        <is>
          <t>Föryngringsavverkning</t>
        </is>
      </c>
      <c r="D653" s="1" t="n">
        <v>44495</v>
      </c>
      <c r="E653" s="1" t="n">
        <v>46316</v>
      </c>
      <c r="F653" t="inlineStr">
        <is>
          <t>KRONOBERGS LÄN</t>
        </is>
      </c>
      <c r="G653" t="inlineStr">
        <is>
          <t>VÄXJÖ</t>
        </is>
      </c>
      <c r="I653" t="n">
        <v>0.4</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60237-2021</t>
        </is>
      </c>
      <c r="B654" t="inlineStr">
        <is>
          <t>avverkningsanmälan</t>
        </is>
      </c>
      <c r="C654" t="inlineStr">
        <is>
          <t>Föryngringsavverkning</t>
        </is>
      </c>
      <c r="D654" s="1" t="n">
        <v>44495</v>
      </c>
      <c r="E654" s="1" t="n">
        <v>46316</v>
      </c>
      <c r="F654" t="inlineStr">
        <is>
          <t>KRONOBERGS LÄN</t>
        </is>
      </c>
      <c r="G654" t="inlineStr">
        <is>
          <t>MARKARYD</t>
        </is>
      </c>
      <c r="I654" t="n">
        <v>0.6</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53777-2022</t>
        </is>
      </c>
      <c r="B655" t="inlineStr">
        <is>
          <t>avverkningsanmälan</t>
        </is>
      </c>
      <c r="C655" t="inlineStr">
        <is>
          <t>Föryngringsavverkning</t>
        </is>
      </c>
      <c r="D655" s="1" t="n">
        <v>44880</v>
      </c>
      <c r="E655" s="1" t="n">
        <v>46316</v>
      </c>
      <c r="F655" t="inlineStr">
        <is>
          <t>KRONOBERGS LÄN</t>
        </is>
      </c>
      <c r="G655" t="inlineStr">
        <is>
          <t>LJUNGBY</t>
        </is>
      </c>
      <c r="I655" t="n">
        <v>0.5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43546-2022</t>
        </is>
      </c>
      <c r="B656" t="inlineStr">
        <is>
          <t>avverkningsanmälan</t>
        </is>
      </c>
      <c r="C656" t="inlineStr">
        <is>
          <t>Föryngringsavverkning</t>
        </is>
      </c>
      <c r="D656" s="1" t="n">
        <v>44837</v>
      </c>
      <c r="E656" s="1" t="n">
        <v>46316</v>
      </c>
      <c r="F656" t="inlineStr">
        <is>
          <t>KRONOBERGS LÄN</t>
        </is>
      </c>
      <c r="G656" t="inlineStr">
        <is>
          <t>LJUNGBY</t>
        </is>
      </c>
      <c r="I656" t="n">
        <v>0.6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64428-2021</t>
        </is>
      </c>
      <c r="B657" t="inlineStr">
        <is>
          <t>avverkningsanmälan</t>
        </is>
      </c>
      <c r="C657" t="inlineStr">
        <is>
          <t>Föryngringsavverkning</t>
        </is>
      </c>
      <c r="D657" s="1" t="n">
        <v>44511</v>
      </c>
      <c r="E657" s="1" t="n">
        <v>46316</v>
      </c>
      <c r="F657" t="inlineStr">
        <is>
          <t>KRONOBERGS LÄN</t>
        </is>
      </c>
      <c r="G657" t="inlineStr">
        <is>
          <t>ALVESTA</t>
        </is>
      </c>
      <c r="I657" t="n">
        <v>0.9</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49510-2022</t>
        </is>
      </c>
      <c r="B658" t="inlineStr">
        <is>
          <t>avverkningsanmälan</t>
        </is>
      </c>
      <c r="C658" t="inlineStr">
        <is>
          <t>Föryngringsavverkning</t>
        </is>
      </c>
      <c r="D658" s="1" t="n">
        <v>44861</v>
      </c>
      <c r="E658" s="1" t="n">
        <v>46316</v>
      </c>
      <c r="F658" t="inlineStr">
        <is>
          <t>KRONOBERGS LÄN</t>
        </is>
      </c>
      <c r="G658" t="inlineStr">
        <is>
          <t>LJUNGBY</t>
        </is>
      </c>
      <c r="I658" t="n">
        <v>0.6</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45956-2022</t>
        </is>
      </c>
      <c r="B659" t="inlineStr">
        <is>
          <t>avverkningsanmälan</t>
        </is>
      </c>
      <c r="C659" t="inlineStr">
        <is>
          <t>Föryngringsavverkning</t>
        </is>
      </c>
      <c r="D659" s="1" t="n">
        <v>44846</v>
      </c>
      <c r="E659" s="1" t="n">
        <v>46316</v>
      </c>
      <c r="F659" t="inlineStr">
        <is>
          <t>KRONOBERGS LÄN</t>
        </is>
      </c>
      <c r="G659" t="inlineStr">
        <is>
          <t>LESSEBO</t>
        </is>
      </c>
      <c r="I659" t="n">
        <v>0.6</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45958-2022</t>
        </is>
      </c>
      <c r="B660" t="inlineStr">
        <is>
          <t>avverkningsanmälan</t>
        </is>
      </c>
      <c r="C660" t="inlineStr">
        <is>
          <t>Föryngringsavverkning</t>
        </is>
      </c>
      <c r="D660" s="1" t="n">
        <v>44846</v>
      </c>
      <c r="E660" s="1" t="n">
        <v>46316</v>
      </c>
      <c r="F660" t="inlineStr">
        <is>
          <t>KRONOBERGS LÄN</t>
        </is>
      </c>
      <c r="G660" t="inlineStr">
        <is>
          <t>MARKARYD</t>
        </is>
      </c>
      <c r="I660" t="n">
        <v>0.5</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65206-2021</t>
        </is>
      </c>
      <c r="B661" t="inlineStr">
        <is>
          <t>avverkningsanmälan</t>
        </is>
      </c>
      <c r="C661" t="inlineStr">
        <is>
          <t>Föryngringsavverkning</t>
        </is>
      </c>
      <c r="D661" s="1" t="n">
        <v>44515</v>
      </c>
      <c r="E661" s="1" t="n">
        <v>46316</v>
      </c>
      <c r="F661" t="inlineStr">
        <is>
          <t>KRONOBERGS LÄN</t>
        </is>
      </c>
      <c r="G661" t="inlineStr">
        <is>
          <t>VÄXJÖ</t>
        </is>
      </c>
      <c r="I661" t="n">
        <v>0.4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72908-2021</t>
        </is>
      </c>
      <c r="B662" t="inlineStr">
        <is>
          <t>avverkningsanmälan</t>
        </is>
      </c>
      <c r="C662" t="inlineStr">
        <is>
          <t>Föryngringsavverkning</t>
        </is>
      </c>
      <c r="D662" s="1" t="n">
        <v>44546</v>
      </c>
      <c r="E662" s="1" t="n">
        <v>46316</v>
      </c>
      <c r="F662" t="inlineStr">
        <is>
          <t>KRONOBERGS LÄN</t>
        </is>
      </c>
      <c r="G662" t="inlineStr">
        <is>
          <t>TINGSRYD</t>
        </is>
      </c>
      <c r="I662" t="n">
        <v>1.1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9146-2022</t>
        </is>
      </c>
      <c r="B663" t="inlineStr">
        <is>
          <t>avverkningsanmälan</t>
        </is>
      </c>
      <c r="C663" t="inlineStr">
        <is>
          <t>Föryngringsavverkning</t>
        </is>
      </c>
      <c r="D663" s="1" t="n">
        <v>44615</v>
      </c>
      <c r="E663" s="1" t="n">
        <v>46316</v>
      </c>
      <c r="F663" t="inlineStr">
        <is>
          <t>KRONOBERGS LÄN</t>
        </is>
      </c>
      <c r="G663" t="inlineStr">
        <is>
          <t>ALVESTA</t>
        </is>
      </c>
      <c r="I663" t="n">
        <v>2</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8653-2022</t>
        </is>
      </c>
      <c r="B664" t="inlineStr">
        <is>
          <t>avverkningsanmälan</t>
        </is>
      </c>
      <c r="C664" t="inlineStr">
        <is>
          <t>Föryngringsavverkning</t>
        </is>
      </c>
      <c r="D664" s="1" t="n">
        <v>44613</v>
      </c>
      <c r="E664" s="1" t="n">
        <v>46316</v>
      </c>
      <c r="F664" t="inlineStr">
        <is>
          <t>KRONOBERGS LÄN</t>
        </is>
      </c>
      <c r="G664" t="inlineStr">
        <is>
          <t>ALVESTA</t>
        </is>
      </c>
      <c r="I664" t="n">
        <v>1.9</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5003-2022</t>
        </is>
      </c>
      <c r="B665" t="inlineStr">
        <is>
          <t>avverkningsanmälan</t>
        </is>
      </c>
      <c r="C665" t="inlineStr">
        <is>
          <t>Föryngringsavverkning</t>
        </is>
      </c>
      <c r="D665" s="1" t="n">
        <v>44593</v>
      </c>
      <c r="E665" s="1" t="n">
        <v>46316</v>
      </c>
      <c r="F665" t="inlineStr">
        <is>
          <t>KRONOBERGS LÄN</t>
        </is>
      </c>
      <c r="G665" t="inlineStr">
        <is>
          <t>ALVESTA</t>
        </is>
      </c>
      <c r="I665" t="n">
        <v>2.6</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6131-2022</t>
        </is>
      </c>
      <c r="B666" t="inlineStr">
        <is>
          <t>avverkningsanmälan</t>
        </is>
      </c>
      <c r="C666" t="inlineStr">
        <is>
          <t>Föryngringsavverkning</t>
        </is>
      </c>
      <c r="D666" s="1" t="n">
        <v>44599</v>
      </c>
      <c r="E666" s="1" t="n">
        <v>46316</v>
      </c>
      <c r="F666" t="inlineStr">
        <is>
          <t>KRONOBERGS LÄN</t>
        </is>
      </c>
      <c r="G666" t="inlineStr">
        <is>
          <t>VÄXJÖ</t>
        </is>
      </c>
      <c r="I666" t="n">
        <v>2.1</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55325-2022</t>
        </is>
      </c>
      <c r="B667" t="inlineStr">
        <is>
          <t>avverkningsanmälan</t>
        </is>
      </c>
      <c r="C667" t="inlineStr">
        <is>
          <t>Föryngringsavverkning</t>
        </is>
      </c>
      <c r="D667" s="1" t="n">
        <v>44887</v>
      </c>
      <c r="E667" s="1" t="n">
        <v>46316</v>
      </c>
      <c r="F667" t="inlineStr">
        <is>
          <t>KRONOBERGS LÄN</t>
        </is>
      </c>
      <c r="G667" t="inlineStr">
        <is>
          <t>UPPVIDINGE</t>
        </is>
      </c>
      <c r="H667" t="inlineStr">
        <is>
          <t>Sveaskog</t>
        </is>
      </c>
      <c r="I667" t="n">
        <v>0.7</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18969-2022</t>
        </is>
      </c>
      <c r="B668" t="inlineStr">
        <is>
          <t>avverkningsanmälan</t>
        </is>
      </c>
      <c r="C668" t="inlineStr">
        <is>
          <t>Föryngringsavverkning</t>
        </is>
      </c>
      <c r="D668" s="1" t="n">
        <v>44690</v>
      </c>
      <c r="E668" s="1" t="n">
        <v>46316</v>
      </c>
      <c r="F668" t="inlineStr">
        <is>
          <t>KRONOBERGS LÄN</t>
        </is>
      </c>
      <c r="G668" t="inlineStr">
        <is>
          <t>ÄLMHULT</t>
        </is>
      </c>
      <c r="I668" t="n">
        <v>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24680-2022</t>
        </is>
      </c>
      <c r="B669" t="inlineStr">
        <is>
          <t>avverkningsanmälan</t>
        </is>
      </c>
      <c r="C669" t="inlineStr">
        <is>
          <t>Föryngringsavverkning</t>
        </is>
      </c>
      <c r="D669" s="1" t="n">
        <v>44727</v>
      </c>
      <c r="E669" s="1" t="n">
        <v>46316</v>
      </c>
      <c r="F669" t="inlineStr">
        <is>
          <t>KRONOBERGS LÄN</t>
        </is>
      </c>
      <c r="G669" t="inlineStr">
        <is>
          <t>LESSEBO</t>
        </is>
      </c>
      <c r="I669" t="n">
        <v>3.4</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4234-2022</t>
        </is>
      </c>
      <c r="B670" t="inlineStr">
        <is>
          <t>avverkningsanmälan</t>
        </is>
      </c>
      <c r="C670" t="inlineStr">
        <is>
          <t>Föryngringsavverkning</t>
        </is>
      </c>
      <c r="D670" s="1" t="n">
        <v>44588</v>
      </c>
      <c r="E670" s="1" t="n">
        <v>46316</v>
      </c>
      <c r="F670" t="inlineStr">
        <is>
          <t>KRONOBERGS LÄN</t>
        </is>
      </c>
      <c r="G670" t="inlineStr">
        <is>
          <t>UPPVIDINGE</t>
        </is>
      </c>
      <c r="I670" t="n">
        <v>2.9</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3741-2022</t>
        </is>
      </c>
      <c r="B671" t="inlineStr">
        <is>
          <t>avverkningsanmälan</t>
        </is>
      </c>
      <c r="C671" t="inlineStr">
        <is>
          <t>Föryngringsavverkning</t>
        </is>
      </c>
      <c r="D671" s="1" t="n">
        <v>44586</v>
      </c>
      <c r="E671" s="1" t="n">
        <v>46316</v>
      </c>
      <c r="F671" t="inlineStr">
        <is>
          <t>KRONOBERGS LÄN</t>
        </is>
      </c>
      <c r="G671" t="inlineStr">
        <is>
          <t>LESSEBO</t>
        </is>
      </c>
      <c r="H671" t="inlineStr">
        <is>
          <t>Kommuner</t>
        </is>
      </c>
      <c r="I671" t="n">
        <v>3.3</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67192-2021</t>
        </is>
      </c>
      <c r="B672" t="inlineStr">
        <is>
          <t>avverkningsanmälan</t>
        </is>
      </c>
      <c r="C672" t="inlineStr">
        <is>
          <t>Föryngringsavverkning</t>
        </is>
      </c>
      <c r="D672" s="1" t="n">
        <v>44523</v>
      </c>
      <c r="E672" s="1" t="n">
        <v>46316</v>
      </c>
      <c r="F672" t="inlineStr">
        <is>
          <t>KRONOBERGS LÄN</t>
        </is>
      </c>
      <c r="G672" t="inlineStr">
        <is>
          <t>ALVESTA</t>
        </is>
      </c>
      <c r="I672" t="n">
        <v>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23806-2022</t>
        </is>
      </c>
      <c r="B673" t="inlineStr">
        <is>
          <t>avverkningsanmälan</t>
        </is>
      </c>
      <c r="C673" t="inlineStr">
        <is>
          <t>Föryngringsavverkning</t>
        </is>
      </c>
      <c r="D673" s="1" t="n">
        <v>44722</v>
      </c>
      <c r="E673" s="1" t="n">
        <v>46316</v>
      </c>
      <c r="F673" t="inlineStr">
        <is>
          <t>KRONOBERGS LÄN</t>
        </is>
      </c>
      <c r="G673" t="inlineStr">
        <is>
          <t>TINGSRYD</t>
        </is>
      </c>
      <c r="I673" t="n">
        <v>0.7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23812-2022</t>
        </is>
      </c>
      <c r="B674" t="inlineStr">
        <is>
          <t>avverkningsanmälan</t>
        </is>
      </c>
      <c r="C674" t="inlineStr">
        <is>
          <t>Föryngringsavverkning</t>
        </is>
      </c>
      <c r="D674" s="1" t="n">
        <v>44722</v>
      </c>
      <c r="E674" s="1" t="n">
        <v>46316</v>
      </c>
      <c r="F674" t="inlineStr">
        <is>
          <t>KRONOBERGS LÄN</t>
        </is>
      </c>
      <c r="G674" t="inlineStr">
        <is>
          <t>TINGSRYD</t>
        </is>
      </c>
      <c r="I674" t="n">
        <v>0.5</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50819-2022</t>
        </is>
      </c>
      <c r="B675" t="inlineStr">
        <is>
          <t>avverkningsanmälan</t>
        </is>
      </c>
      <c r="C675" t="inlineStr">
        <is>
          <t>Föryngringsavverkning</t>
        </is>
      </c>
      <c r="D675" s="1" t="n">
        <v>44867</v>
      </c>
      <c r="E675" s="1" t="n">
        <v>46316</v>
      </c>
      <c r="F675" t="inlineStr">
        <is>
          <t>KRONOBERGS LÄN</t>
        </is>
      </c>
      <c r="G675" t="inlineStr">
        <is>
          <t>TINGSRYD</t>
        </is>
      </c>
      <c r="I675" t="n">
        <v>0.5</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64462-2021</t>
        </is>
      </c>
      <c r="B676" t="inlineStr">
        <is>
          <t>avverkningsanmälan</t>
        </is>
      </c>
      <c r="C676" t="inlineStr">
        <is>
          <t>Föryngringsavverkning</t>
        </is>
      </c>
      <c r="D676" s="1" t="n">
        <v>44511</v>
      </c>
      <c r="E676" s="1" t="n">
        <v>46316</v>
      </c>
      <c r="F676" t="inlineStr">
        <is>
          <t>KRONOBERGS LÄN</t>
        </is>
      </c>
      <c r="G676" t="inlineStr">
        <is>
          <t>TINGSRYD</t>
        </is>
      </c>
      <c r="I676" t="n">
        <v>0.5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36065-2022</t>
        </is>
      </c>
      <c r="B677" t="inlineStr">
        <is>
          <t>avverkningsanmälan</t>
        </is>
      </c>
      <c r="C677" t="inlineStr">
        <is>
          <t>Föryngringsavverkning</t>
        </is>
      </c>
      <c r="D677" s="1" t="n">
        <v>44802</v>
      </c>
      <c r="E677" s="1" t="n">
        <v>46316</v>
      </c>
      <c r="F677" t="inlineStr">
        <is>
          <t>KRONOBERGS LÄN</t>
        </is>
      </c>
      <c r="G677" t="inlineStr">
        <is>
          <t>MARKARYD</t>
        </is>
      </c>
      <c r="I677" t="n">
        <v>2.1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36067-2022</t>
        </is>
      </c>
      <c r="B678" t="inlineStr">
        <is>
          <t>avverkningsanmälan</t>
        </is>
      </c>
      <c r="C678" t="inlineStr">
        <is>
          <t>Föryngringsavverkning</t>
        </is>
      </c>
      <c r="D678" s="1" t="n">
        <v>44802</v>
      </c>
      <c r="E678" s="1" t="n">
        <v>46316</v>
      </c>
      <c r="F678" t="inlineStr">
        <is>
          <t>KRONOBERGS LÄN</t>
        </is>
      </c>
      <c r="G678" t="inlineStr">
        <is>
          <t>MARKARYD</t>
        </is>
      </c>
      <c r="I678" t="n">
        <v>2.7</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36069-2022</t>
        </is>
      </c>
      <c r="B679" t="inlineStr">
        <is>
          <t>avverkningsanmälan</t>
        </is>
      </c>
      <c r="C679" t="inlineStr">
        <is>
          <t>Föryngringsavverkning</t>
        </is>
      </c>
      <c r="D679" s="1" t="n">
        <v>44802</v>
      </c>
      <c r="E679" s="1" t="n">
        <v>46316</v>
      </c>
      <c r="F679" t="inlineStr">
        <is>
          <t>KRONOBERGS LÄN</t>
        </is>
      </c>
      <c r="G679" t="inlineStr">
        <is>
          <t>MARKARYD</t>
        </is>
      </c>
      <c r="I679" t="n">
        <v>0.6</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44803-2022</t>
        </is>
      </c>
      <c r="B680" t="inlineStr">
        <is>
          <t>avverkningsanmälan</t>
        </is>
      </c>
      <c r="C680" t="inlineStr">
        <is>
          <t>Föryngringsavverkning</t>
        </is>
      </c>
      <c r="D680" s="1" t="n">
        <v>44839</v>
      </c>
      <c r="E680" s="1" t="n">
        <v>46316</v>
      </c>
      <c r="F680" t="inlineStr">
        <is>
          <t>KRONOBERGS LÄN</t>
        </is>
      </c>
      <c r="G680" t="inlineStr">
        <is>
          <t>TINGSRYD</t>
        </is>
      </c>
      <c r="H680" t="inlineStr">
        <is>
          <t>Kyrkan</t>
        </is>
      </c>
      <c r="I680" t="n">
        <v>2</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38352-2022</t>
        </is>
      </c>
      <c r="B681" t="inlineStr">
        <is>
          <t>avverkningsanmälan</t>
        </is>
      </c>
      <c r="C681" t="inlineStr">
        <is>
          <t>Föryngringsavverkning</t>
        </is>
      </c>
      <c r="D681" s="1" t="n">
        <v>44812</v>
      </c>
      <c r="E681" s="1" t="n">
        <v>46316</v>
      </c>
      <c r="F681" t="inlineStr">
        <is>
          <t>KRONOBERGS LÄN</t>
        </is>
      </c>
      <c r="G681" t="inlineStr">
        <is>
          <t>ÄLMHULT</t>
        </is>
      </c>
      <c r="I681" t="n">
        <v>0.7</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40791-2022</t>
        </is>
      </c>
      <c r="B682" t="inlineStr">
        <is>
          <t>avverkningsanmälan</t>
        </is>
      </c>
      <c r="C682" t="inlineStr">
        <is>
          <t>Avverkning för annat ändamål</t>
        </is>
      </c>
      <c r="D682" s="1" t="n">
        <v>44824</v>
      </c>
      <c r="E682" s="1" t="n">
        <v>46316</v>
      </c>
      <c r="F682" t="inlineStr">
        <is>
          <t>KRONOBERGS LÄN</t>
        </is>
      </c>
      <c r="G682" t="inlineStr">
        <is>
          <t>ALVESTA</t>
        </is>
      </c>
      <c r="I682" t="n">
        <v>0.5</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64161-2021</t>
        </is>
      </c>
      <c r="B683" t="inlineStr">
        <is>
          <t>avverkningsanmälan</t>
        </is>
      </c>
      <c r="C683" t="inlineStr">
        <is>
          <t>Föryngringsavverkning</t>
        </is>
      </c>
      <c r="D683" s="1" t="n">
        <v>44510</v>
      </c>
      <c r="E683" s="1" t="n">
        <v>46316</v>
      </c>
      <c r="F683" t="inlineStr">
        <is>
          <t>KRONOBERGS LÄN</t>
        </is>
      </c>
      <c r="G683" t="inlineStr">
        <is>
          <t>LESSEBO</t>
        </is>
      </c>
      <c r="I683" t="n">
        <v>0.3</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53405-2022</t>
        </is>
      </c>
      <c r="B684" t="inlineStr">
        <is>
          <t>avverkningsanmälan</t>
        </is>
      </c>
      <c r="C684" t="inlineStr">
        <is>
          <t>Föryngringsavverkning</t>
        </is>
      </c>
      <c r="D684" s="1" t="n">
        <v>44879</v>
      </c>
      <c r="E684" s="1" t="n">
        <v>46316</v>
      </c>
      <c r="F684" t="inlineStr">
        <is>
          <t>KRONOBERGS LÄN</t>
        </is>
      </c>
      <c r="G684" t="inlineStr">
        <is>
          <t>TINGSRYD</t>
        </is>
      </c>
      <c r="I684" t="n">
        <v>0.9</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34124-2022</t>
        </is>
      </c>
      <c r="B685" t="inlineStr">
        <is>
          <t>avverkningsanmälan</t>
        </is>
      </c>
      <c r="C685" t="inlineStr">
        <is>
          <t>Föryngringsavverkning</t>
        </is>
      </c>
      <c r="D685" s="1" t="n">
        <v>44791</v>
      </c>
      <c r="E685" s="1" t="n">
        <v>46316</v>
      </c>
      <c r="F685" t="inlineStr">
        <is>
          <t>KRONOBERGS LÄN</t>
        </is>
      </c>
      <c r="G685" t="inlineStr">
        <is>
          <t>TINGSRYD</t>
        </is>
      </c>
      <c r="I685" t="n">
        <v>2.6</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46173-2022</t>
        </is>
      </c>
      <c r="B686" t="inlineStr">
        <is>
          <t>avverkningsanmälan</t>
        </is>
      </c>
      <c r="C686" t="inlineStr">
        <is>
          <t>Föryngringsavverkning</t>
        </is>
      </c>
      <c r="D686" s="1" t="n">
        <v>44845</v>
      </c>
      <c r="E686" s="1" t="n">
        <v>46316</v>
      </c>
      <c r="F686" t="inlineStr">
        <is>
          <t>KRONOBERGS LÄN</t>
        </is>
      </c>
      <c r="G686" t="inlineStr">
        <is>
          <t>UPPVIDINGE</t>
        </is>
      </c>
      <c r="H686" t="inlineStr">
        <is>
          <t>Kyrkan</t>
        </is>
      </c>
      <c r="I686" t="n">
        <v>0.7</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52859-2022</t>
        </is>
      </c>
      <c r="B687" t="inlineStr">
        <is>
          <t>avverkningsanmälan</t>
        </is>
      </c>
      <c r="C687" t="inlineStr">
        <is>
          <t>Föryngringsavverkning</t>
        </is>
      </c>
      <c r="D687" s="1" t="n">
        <v>44875</v>
      </c>
      <c r="E687" s="1" t="n">
        <v>46316</v>
      </c>
      <c r="F687" t="inlineStr">
        <is>
          <t>KRONOBERGS LÄN</t>
        </is>
      </c>
      <c r="G687" t="inlineStr">
        <is>
          <t>TINGSRYD</t>
        </is>
      </c>
      <c r="I687" t="n">
        <v>0.4</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69768-2021</t>
        </is>
      </c>
      <c r="B688" t="inlineStr">
        <is>
          <t>avverkningsanmälan</t>
        </is>
      </c>
      <c r="C688" t="inlineStr">
        <is>
          <t>Föryngringsavverkning</t>
        </is>
      </c>
      <c r="D688" s="1" t="n">
        <v>44532</v>
      </c>
      <c r="E688" s="1" t="n">
        <v>46316</v>
      </c>
      <c r="F688" t="inlineStr">
        <is>
          <t>KRONOBERGS LÄN</t>
        </is>
      </c>
      <c r="G688" t="inlineStr">
        <is>
          <t>TINGSRYD</t>
        </is>
      </c>
      <c r="I688" t="n">
        <v>2.4</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48845-2022</t>
        </is>
      </c>
      <c r="B689" t="inlineStr">
        <is>
          <t>avverkningsanmälan</t>
        </is>
      </c>
      <c r="C689" t="inlineStr">
        <is>
          <t>Föryngringsavverkning</t>
        </is>
      </c>
      <c r="D689" s="1" t="n">
        <v>44859</v>
      </c>
      <c r="E689" s="1" t="n">
        <v>46316</v>
      </c>
      <c r="F689" t="inlineStr">
        <is>
          <t>KRONOBERGS LÄN</t>
        </is>
      </c>
      <c r="G689" t="inlineStr">
        <is>
          <t>MARKARYD</t>
        </is>
      </c>
      <c r="I689" t="n">
        <v>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60165-2021</t>
        </is>
      </c>
      <c r="B690" t="inlineStr">
        <is>
          <t>avverkningsanmälan</t>
        </is>
      </c>
      <c r="C690" t="inlineStr">
        <is>
          <t>Föryngringsavverkning</t>
        </is>
      </c>
      <c r="D690" s="1" t="n">
        <v>44495</v>
      </c>
      <c r="E690" s="1" t="n">
        <v>46316</v>
      </c>
      <c r="F690" t="inlineStr">
        <is>
          <t>KRONOBERGS LÄN</t>
        </is>
      </c>
      <c r="G690" t="inlineStr">
        <is>
          <t>VÄXJÖ</t>
        </is>
      </c>
      <c r="I690" t="n">
        <v>0.5</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6058-2022</t>
        </is>
      </c>
      <c r="B691" t="inlineStr">
        <is>
          <t>avverkningsanmälan</t>
        </is>
      </c>
      <c r="C691" t="inlineStr">
        <is>
          <t>Föryngringsavverkning</t>
        </is>
      </c>
      <c r="D691" s="1" t="n">
        <v>44599</v>
      </c>
      <c r="E691" s="1" t="n">
        <v>46316</v>
      </c>
      <c r="F691" t="inlineStr">
        <is>
          <t>KRONOBERGS LÄN</t>
        </is>
      </c>
      <c r="G691" t="inlineStr">
        <is>
          <t>VÄXJÖ</t>
        </is>
      </c>
      <c r="I691" t="n">
        <v>3.1</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62684-2021</t>
        </is>
      </c>
      <c r="B692" t="inlineStr">
        <is>
          <t>avverkningsanmälan</t>
        </is>
      </c>
      <c r="C692" t="inlineStr">
        <is>
          <t>Föryngringsavverkning</t>
        </is>
      </c>
      <c r="D692" s="1" t="n">
        <v>44504</v>
      </c>
      <c r="E692" s="1" t="n">
        <v>46316</v>
      </c>
      <c r="F692" t="inlineStr">
        <is>
          <t>KRONOBERGS LÄN</t>
        </is>
      </c>
      <c r="G692" t="inlineStr">
        <is>
          <t>ÄLMHULT</t>
        </is>
      </c>
      <c r="I692" t="n">
        <v>0.5</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62695-2021</t>
        </is>
      </c>
      <c r="B693" t="inlineStr">
        <is>
          <t>avverkningsanmälan</t>
        </is>
      </c>
      <c r="C693" t="inlineStr">
        <is>
          <t>Föryngringsavverkning</t>
        </is>
      </c>
      <c r="D693" s="1" t="n">
        <v>44504</v>
      </c>
      <c r="E693" s="1" t="n">
        <v>46316</v>
      </c>
      <c r="F693" t="inlineStr">
        <is>
          <t>KRONOBERGS LÄN</t>
        </is>
      </c>
      <c r="G693" t="inlineStr">
        <is>
          <t>ALVESTA</t>
        </is>
      </c>
      <c r="I693" t="n">
        <v>5.5</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6823-2022</t>
        </is>
      </c>
      <c r="B694" t="inlineStr">
        <is>
          <t>avverkningsanmälan</t>
        </is>
      </c>
      <c r="C694" t="inlineStr">
        <is>
          <t>Föryngringsavverkning</t>
        </is>
      </c>
      <c r="D694" s="1" t="n">
        <v>44602</v>
      </c>
      <c r="E694" s="1" t="n">
        <v>46316</v>
      </c>
      <c r="F694" t="inlineStr">
        <is>
          <t>KRONOBERGS LÄN</t>
        </is>
      </c>
      <c r="G694" t="inlineStr">
        <is>
          <t>ÄLMHULT</t>
        </is>
      </c>
      <c r="I694" t="n">
        <v>2.3</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8140-2022</t>
        </is>
      </c>
      <c r="B695" t="inlineStr">
        <is>
          <t>avverkningsanmälan</t>
        </is>
      </c>
      <c r="C695" t="inlineStr">
        <is>
          <t>Föryngringsavverkning</t>
        </is>
      </c>
      <c r="D695" s="1" t="n">
        <v>44609</v>
      </c>
      <c r="E695" s="1" t="n">
        <v>46316</v>
      </c>
      <c r="F695" t="inlineStr">
        <is>
          <t>KRONOBERGS LÄN</t>
        </is>
      </c>
      <c r="G695" t="inlineStr">
        <is>
          <t>ALVESTA</t>
        </is>
      </c>
      <c r="I695" t="n">
        <v>0.7</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61906-2021</t>
        </is>
      </c>
      <c r="B696" t="inlineStr">
        <is>
          <t>avverkningsanmälan</t>
        </is>
      </c>
      <c r="C696" t="inlineStr">
        <is>
          <t>Föryngringsavverkning</t>
        </is>
      </c>
      <c r="D696" s="1" t="n">
        <v>44502</v>
      </c>
      <c r="E696" s="1" t="n">
        <v>46316</v>
      </c>
      <c r="F696" t="inlineStr">
        <is>
          <t>KRONOBERGS LÄN</t>
        </is>
      </c>
      <c r="G696" t="inlineStr">
        <is>
          <t>LJUNGBY</t>
        </is>
      </c>
      <c r="I696" t="n">
        <v>5.6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14247-2022</t>
        </is>
      </c>
      <c r="B697" t="inlineStr">
        <is>
          <t>avverkningsanmälan</t>
        </is>
      </c>
      <c r="C697" t="inlineStr">
        <is>
          <t>Föryngringsavverkning</t>
        </is>
      </c>
      <c r="D697" s="1" t="n">
        <v>44651</v>
      </c>
      <c r="E697" s="1" t="n">
        <v>46316</v>
      </c>
      <c r="F697" t="inlineStr">
        <is>
          <t>KRONOBERGS LÄN</t>
        </is>
      </c>
      <c r="G697" t="inlineStr">
        <is>
          <t>VÄXJÖ</t>
        </is>
      </c>
      <c r="I697" t="n">
        <v>2.5</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53251-2022</t>
        </is>
      </c>
      <c r="B698" t="inlineStr">
        <is>
          <t>avverkningsanmälan</t>
        </is>
      </c>
      <c r="C698" t="inlineStr">
        <is>
          <t>Föryngringsavverkning</t>
        </is>
      </c>
      <c r="D698" s="1" t="n">
        <v>44876</v>
      </c>
      <c r="E698" s="1" t="n">
        <v>46316</v>
      </c>
      <c r="F698" t="inlineStr">
        <is>
          <t>KRONOBERGS LÄN</t>
        </is>
      </c>
      <c r="G698" t="inlineStr">
        <is>
          <t>VÄXJÖ</t>
        </is>
      </c>
      <c r="H698" t="inlineStr">
        <is>
          <t>Sveaskog</t>
        </is>
      </c>
      <c r="I698" t="n">
        <v>3.6</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53352-2022</t>
        </is>
      </c>
      <c r="B699" t="inlineStr">
        <is>
          <t>avverkningsanmälan</t>
        </is>
      </c>
      <c r="C699" t="inlineStr">
        <is>
          <t>Föryngringsavverkning</t>
        </is>
      </c>
      <c r="D699" s="1" t="n">
        <v>44879</v>
      </c>
      <c r="E699" s="1" t="n">
        <v>46316</v>
      </c>
      <c r="F699" t="inlineStr">
        <is>
          <t>KRONOBERGS LÄN</t>
        </is>
      </c>
      <c r="G699" t="inlineStr">
        <is>
          <t>TINGSRYD</t>
        </is>
      </c>
      <c r="I699" t="n">
        <v>1</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5494-2022</t>
        </is>
      </c>
      <c r="B700" t="inlineStr">
        <is>
          <t>avverkningsanmälan</t>
        </is>
      </c>
      <c r="C700" t="inlineStr">
        <is>
          <t>Föryngringsavverkning</t>
        </is>
      </c>
      <c r="D700" s="1" t="n">
        <v>44595</v>
      </c>
      <c r="E700" s="1" t="n">
        <v>46316</v>
      </c>
      <c r="F700" t="inlineStr">
        <is>
          <t>KRONOBERGS LÄN</t>
        </is>
      </c>
      <c r="G700" t="inlineStr">
        <is>
          <t>TINGSRYD</t>
        </is>
      </c>
      <c r="I700" t="n">
        <v>0.6</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16462-2022</t>
        </is>
      </c>
      <c r="B701" t="inlineStr">
        <is>
          <t>avverkningsanmälan</t>
        </is>
      </c>
      <c r="C701" t="inlineStr">
        <is>
          <t>Föryngringsavverkning</t>
        </is>
      </c>
      <c r="D701" s="1" t="n">
        <v>44671</v>
      </c>
      <c r="E701" s="1" t="n">
        <v>46316</v>
      </c>
      <c r="F701" t="inlineStr">
        <is>
          <t>KRONOBERGS LÄN</t>
        </is>
      </c>
      <c r="G701" t="inlineStr">
        <is>
          <t>VÄXJÖ</t>
        </is>
      </c>
      <c r="I701" t="n">
        <v>0.4</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59721-2021</t>
        </is>
      </c>
      <c r="B702" t="inlineStr">
        <is>
          <t>avverkningsanmälan</t>
        </is>
      </c>
      <c r="C702" t="inlineStr">
        <is>
          <t>Föryngringsavverkning</t>
        </is>
      </c>
      <c r="D702" s="1" t="n">
        <v>44494</v>
      </c>
      <c r="E702" s="1" t="n">
        <v>46316</v>
      </c>
      <c r="F702" t="inlineStr">
        <is>
          <t>KRONOBERGS LÄN</t>
        </is>
      </c>
      <c r="G702" t="inlineStr">
        <is>
          <t>TINGSRYD</t>
        </is>
      </c>
      <c r="I702" t="n">
        <v>0.5</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52870-2022</t>
        </is>
      </c>
      <c r="B703" t="inlineStr">
        <is>
          <t>avverkningsanmälan</t>
        </is>
      </c>
      <c r="C703" t="inlineStr">
        <is>
          <t>Föryngringsavverkning</t>
        </is>
      </c>
      <c r="D703" s="1" t="n">
        <v>44875</v>
      </c>
      <c r="E703" s="1" t="n">
        <v>46316</v>
      </c>
      <c r="F703" t="inlineStr">
        <is>
          <t>KRONOBERGS LÄN</t>
        </is>
      </c>
      <c r="G703" t="inlineStr">
        <is>
          <t>MARKARYD</t>
        </is>
      </c>
      <c r="I703" t="n">
        <v>0.6</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60273-2021</t>
        </is>
      </c>
      <c r="B704" t="inlineStr">
        <is>
          <t>avverkningsanmälan</t>
        </is>
      </c>
      <c r="C704" t="inlineStr">
        <is>
          <t>Föryngringsavverkning</t>
        </is>
      </c>
      <c r="D704" s="1" t="n">
        <v>44495</v>
      </c>
      <c r="E704" s="1" t="n">
        <v>46316</v>
      </c>
      <c r="F704" t="inlineStr">
        <is>
          <t>KRONOBERGS LÄN</t>
        </is>
      </c>
      <c r="G704" t="inlineStr">
        <is>
          <t>LJUNGBY</t>
        </is>
      </c>
      <c r="I704" t="n">
        <v>1.4</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67889-2021</t>
        </is>
      </c>
      <c r="B705" t="inlineStr">
        <is>
          <t>avverkningsanmälan</t>
        </is>
      </c>
      <c r="C705" t="inlineStr">
        <is>
          <t>Föryngringsavverkning</t>
        </is>
      </c>
      <c r="D705" s="1" t="n">
        <v>44525</v>
      </c>
      <c r="E705" s="1" t="n">
        <v>46316</v>
      </c>
      <c r="F705" t="inlineStr">
        <is>
          <t>KRONOBERGS LÄN</t>
        </is>
      </c>
      <c r="G705" t="inlineStr">
        <is>
          <t>ALVESTA</t>
        </is>
      </c>
      <c r="I705" t="n">
        <v>0.6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60349-2021</t>
        </is>
      </c>
      <c r="B706" t="inlineStr">
        <is>
          <t>avverkningsanmälan</t>
        </is>
      </c>
      <c r="C706" t="inlineStr">
        <is>
          <t>Föryngringsavverkning</t>
        </is>
      </c>
      <c r="D706" s="1" t="n">
        <v>44496</v>
      </c>
      <c r="E706" s="1" t="n">
        <v>46316</v>
      </c>
      <c r="F706" t="inlineStr">
        <is>
          <t>KRONOBERGS LÄN</t>
        </is>
      </c>
      <c r="G706" t="inlineStr">
        <is>
          <t>VÄXJÖ</t>
        </is>
      </c>
      <c r="I706" t="n">
        <v>0.5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73661-2021</t>
        </is>
      </c>
      <c r="B707" t="inlineStr">
        <is>
          <t>avverkningsanmälan</t>
        </is>
      </c>
      <c r="C707" t="inlineStr">
        <is>
          <t>Föryngringsavverkning</t>
        </is>
      </c>
      <c r="D707" s="1" t="n">
        <v>44552</v>
      </c>
      <c r="E707" s="1" t="n">
        <v>46316</v>
      </c>
      <c r="F707" t="inlineStr">
        <is>
          <t>KRONOBERGS LÄN</t>
        </is>
      </c>
      <c r="G707" t="inlineStr">
        <is>
          <t>UPPVIDINGE</t>
        </is>
      </c>
      <c r="I707" t="n">
        <v>0.8</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29160-2022</t>
        </is>
      </c>
      <c r="B708" t="inlineStr">
        <is>
          <t>avverkningsanmälan</t>
        </is>
      </c>
      <c r="C708" t="inlineStr">
        <is>
          <t>Föryngringsavverkning</t>
        </is>
      </c>
      <c r="D708" s="1" t="n">
        <v>44750</v>
      </c>
      <c r="E708" s="1" t="n">
        <v>46316</v>
      </c>
      <c r="F708" t="inlineStr">
        <is>
          <t>KRONOBERGS LÄN</t>
        </is>
      </c>
      <c r="G708" t="inlineStr">
        <is>
          <t>VÄXJÖ</t>
        </is>
      </c>
      <c r="I708" t="n">
        <v>0.6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68683-2021</t>
        </is>
      </c>
      <c r="B709" t="inlineStr">
        <is>
          <t>avverkningsanmälan</t>
        </is>
      </c>
      <c r="C709" t="inlineStr">
        <is>
          <t>Föryngringsavverkning</t>
        </is>
      </c>
      <c r="D709" s="1" t="n">
        <v>44529</v>
      </c>
      <c r="E709" s="1" t="n">
        <v>46316</v>
      </c>
      <c r="F709" t="inlineStr">
        <is>
          <t>KRONOBERGS LÄN</t>
        </is>
      </c>
      <c r="G709" t="inlineStr">
        <is>
          <t>TINGSRYD</t>
        </is>
      </c>
      <c r="I709" t="n">
        <v>0.6</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62479-2021</t>
        </is>
      </c>
      <c r="B710" t="inlineStr">
        <is>
          <t>avverkningsanmälan</t>
        </is>
      </c>
      <c r="C710" t="inlineStr">
        <is>
          <t>Föryngringsavverkning</t>
        </is>
      </c>
      <c r="D710" s="1" t="n">
        <v>44503</v>
      </c>
      <c r="E710" s="1" t="n">
        <v>46316</v>
      </c>
      <c r="F710" t="inlineStr">
        <is>
          <t>KRONOBERGS LÄN</t>
        </is>
      </c>
      <c r="G710" t="inlineStr">
        <is>
          <t>UPPVIDINGE</t>
        </is>
      </c>
      <c r="I710" t="n">
        <v>2.3</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13589-2022</t>
        </is>
      </c>
      <c r="B711" t="inlineStr">
        <is>
          <t>avverkningsanmälan</t>
        </is>
      </c>
      <c r="C711" t="inlineStr">
        <is>
          <t>Föryngringsavverkning</t>
        </is>
      </c>
      <c r="D711" s="1" t="n">
        <v>44648</v>
      </c>
      <c r="E711" s="1" t="n">
        <v>46316</v>
      </c>
      <c r="F711" t="inlineStr">
        <is>
          <t>KRONOBERGS LÄN</t>
        </is>
      </c>
      <c r="G711" t="inlineStr">
        <is>
          <t>TINGSRYD</t>
        </is>
      </c>
      <c r="I711" t="n">
        <v>1.1</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11580-2022</t>
        </is>
      </c>
      <c r="B712" t="inlineStr">
        <is>
          <t>avverkningsanmälan</t>
        </is>
      </c>
      <c r="C712" t="inlineStr">
        <is>
          <t>Föryngringsavverkning</t>
        </is>
      </c>
      <c r="D712" s="1" t="n">
        <v>44631</v>
      </c>
      <c r="E712" s="1" t="n">
        <v>46316</v>
      </c>
      <c r="F712" t="inlineStr">
        <is>
          <t>KRONOBERGS LÄN</t>
        </is>
      </c>
      <c r="G712" t="inlineStr">
        <is>
          <t>TINGSRYD</t>
        </is>
      </c>
      <c r="I712" t="n">
        <v>0.6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35334-2022</t>
        </is>
      </c>
      <c r="B713" t="inlineStr">
        <is>
          <t>avverkningsanmälan</t>
        </is>
      </c>
      <c r="C713" t="inlineStr">
        <is>
          <t>Föryngringsavverkning</t>
        </is>
      </c>
      <c r="D713" s="1" t="n">
        <v>44798</v>
      </c>
      <c r="E713" s="1" t="n">
        <v>46316</v>
      </c>
      <c r="F713" t="inlineStr">
        <is>
          <t>KRONOBERGS LÄN</t>
        </is>
      </c>
      <c r="G713" t="inlineStr">
        <is>
          <t>TINGSRYD</t>
        </is>
      </c>
      <c r="I713" t="n">
        <v>0.1</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707-2022</t>
        </is>
      </c>
      <c r="B714" t="inlineStr">
        <is>
          <t>avverkningsanmälan</t>
        </is>
      </c>
      <c r="C714" t="inlineStr">
        <is>
          <t>Föryngringsavverkning</t>
        </is>
      </c>
      <c r="D714" s="1" t="n">
        <v>44568</v>
      </c>
      <c r="E714" s="1" t="n">
        <v>46316</v>
      </c>
      <c r="F714" t="inlineStr">
        <is>
          <t>KRONOBERGS LÄN</t>
        </is>
      </c>
      <c r="G714" t="inlineStr">
        <is>
          <t>VÄXJÖ</t>
        </is>
      </c>
      <c r="I714" t="n">
        <v>0.6</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64679-2021</t>
        </is>
      </c>
      <c r="B715" t="inlineStr">
        <is>
          <t>avverkningsanmälan</t>
        </is>
      </c>
      <c r="C715" t="inlineStr">
        <is>
          <t>Föryngringsavverkning</t>
        </is>
      </c>
      <c r="D715" s="1" t="n">
        <v>44510</v>
      </c>
      <c r="E715" s="1" t="n">
        <v>46316</v>
      </c>
      <c r="F715" t="inlineStr">
        <is>
          <t>KRONOBERGS LÄN</t>
        </is>
      </c>
      <c r="G715" t="inlineStr">
        <is>
          <t>UPPVIDINGE</t>
        </is>
      </c>
      <c r="I715" t="n">
        <v>0.5</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64686-2021</t>
        </is>
      </c>
      <c r="B716" t="inlineStr">
        <is>
          <t>avverkningsanmälan</t>
        </is>
      </c>
      <c r="C716" t="inlineStr">
        <is>
          <t>Föryngringsavverkning</t>
        </is>
      </c>
      <c r="D716" s="1" t="n">
        <v>44512</v>
      </c>
      <c r="E716" s="1" t="n">
        <v>46316</v>
      </c>
      <c r="F716" t="inlineStr">
        <is>
          <t>KRONOBERGS LÄN</t>
        </is>
      </c>
      <c r="G716" t="inlineStr">
        <is>
          <t>ÄLMHULT</t>
        </is>
      </c>
      <c r="I716" t="n">
        <v>0.5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7755-2022</t>
        </is>
      </c>
      <c r="B717" t="inlineStr">
        <is>
          <t>avverkningsanmälan</t>
        </is>
      </c>
      <c r="C717" t="inlineStr">
        <is>
          <t>Föryngringsavverkning</t>
        </is>
      </c>
      <c r="D717" s="1" t="n">
        <v>44608</v>
      </c>
      <c r="E717" s="1" t="n">
        <v>46316</v>
      </c>
      <c r="F717" t="inlineStr">
        <is>
          <t>KRONOBERGS LÄN</t>
        </is>
      </c>
      <c r="G717" t="inlineStr">
        <is>
          <t>TINGSRYD</t>
        </is>
      </c>
      <c r="I717" t="n">
        <v>3.2</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9967-2022</t>
        </is>
      </c>
      <c r="B718" t="inlineStr">
        <is>
          <t>avverkningsanmälan</t>
        </is>
      </c>
      <c r="C718" t="inlineStr">
        <is>
          <t>Föryngringsavverkning</t>
        </is>
      </c>
      <c r="D718" s="1" t="n">
        <v>44621</v>
      </c>
      <c r="E718" s="1" t="n">
        <v>46316</v>
      </c>
      <c r="F718" t="inlineStr">
        <is>
          <t>KRONOBERGS LÄN</t>
        </is>
      </c>
      <c r="G718" t="inlineStr">
        <is>
          <t>ÄLMHULT</t>
        </is>
      </c>
      <c r="I718" t="n">
        <v>0.8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2082-2022</t>
        </is>
      </c>
      <c r="B719" t="inlineStr">
        <is>
          <t>avverkningsanmälan</t>
        </is>
      </c>
      <c r="C719" t="inlineStr">
        <is>
          <t>Föryngringsavverkning</t>
        </is>
      </c>
      <c r="D719" s="1" t="n">
        <v>44576</v>
      </c>
      <c r="E719" s="1" t="n">
        <v>46316</v>
      </c>
      <c r="F719" t="inlineStr">
        <is>
          <t>KRONOBERGS LÄN</t>
        </is>
      </c>
      <c r="G719" t="inlineStr">
        <is>
          <t>LJUNGBY</t>
        </is>
      </c>
      <c r="I719" t="n">
        <v>0.9</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71874-2021</t>
        </is>
      </c>
      <c r="B720" t="inlineStr">
        <is>
          <t>avverkningsanmälan</t>
        </is>
      </c>
      <c r="C720" t="inlineStr">
        <is>
          <t>Föryngringsavverkning</t>
        </is>
      </c>
      <c r="D720" s="1" t="n">
        <v>44543</v>
      </c>
      <c r="E720" s="1" t="n">
        <v>46316</v>
      </c>
      <c r="F720" t="inlineStr">
        <is>
          <t>KRONOBERGS LÄN</t>
        </is>
      </c>
      <c r="G720" t="inlineStr">
        <is>
          <t>VÄXJÖ</t>
        </is>
      </c>
      <c r="I720" t="n">
        <v>1.2</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7388-2022</t>
        </is>
      </c>
      <c r="B721" t="inlineStr">
        <is>
          <t>avverkningsanmälan</t>
        </is>
      </c>
      <c r="C721" t="inlineStr">
        <is>
          <t>Föryngringsavverkning</t>
        </is>
      </c>
      <c r="D721" s="1" t="n">
        <v>44606</v>
      </c>
      <c r="E721" s="1" t="n">
        <v>46316</v>
      </c>
      <c r="F721" t="inlineStr">
        <is>
          <t>KRONOBERGS LÄN</t>
        </is>
      </c>
      <c r="G721" t="inlineStr">
        <is>
          <t>ALVESTA</t>
        </is>
      </c>
      <c r="H721" t="inlineStr">
        <is>
          <t>Kommuner</t>
        </is>
      </c>
      <c r="I721" t="n">
        <v>3</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7245-2022</t>
        </is>
      </c>
      <c r="B722" t="inlineStr">
        <is>
          <t>avverkningsanmälan</t>
        </is>
      </c>
      <c r="C722" t="inlineStr">
        <is>
          <t>Föryngringsavverkning</t>
        </is>
      </c>
      <c r="D722" s="1" t="n">
        <v>44606</v>
      </c>
      <c r="E722" s="1" t="n">
        <v>46316</v>
      </c>
      <c r="F722" t="inlineStr">
        <is>
          <t>KRONOBERGS LÄN</t>
        </is>
      </c>
      <c r="G722" t="inlineStr">
        <is>
          <t>VÄXJÖ</t>
        </is>
      </c>
      <c r="I722" t="n">
        <v>0.6</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9841-2022</t>
        </is>
      </c>
      <c r="B723" t="inlineStr">
        <is>
          <t>avverkningsanmälan</t>
        </is>
      </c>
      <c r="C723" t="inlineStr">
        <is>
          <t>Föryngringsavverkning</t>
        </is>
      </c>
      <c r="D723" s="1" t="n">
        <v>44620</v>
      </c>
      <c r="E723" s="1" t="n">
        <v>46316</v>
      </c>
      <c r="F723" t="inlineStr">
        <is>
          <t>KRONOBERGS LÄN</t>
        </is>
      </c>
      <c r="G723" t="inlineStr">
        <is>
          <t>TINGSRYD</t>
        </is>
      </c>
      <c r="H723" t="inlineStr">
        <is>
          <t>Kommuner</t>
        </is>
      </c>
      <c r="I723" t="n">
        <v>0.4</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9870-2022</t>
        </is>
      </c>
      <c r="B724" t="inlineStr">
        <is>
          <t>avverkningsanmälan</t>
        </is>
      </c>
      <c r="C724" t="inlineStr">
        <is>
          <t>Föryngringsavverkning</t>
        </is>
      </c>
      <c r="D724" s="1" t="n">
        <v>44620</v>
      </c>
      <c r="E724" s="1" t="n">
        <v>46316</v>
      </c>
      <c r="F724" t="inlineStr">
        <is>
          <t>KRONOBERGS LÄN</t>
        </is>
      </c>
      <c r="G724" t="inlineStr">
        <is>
          <t>TINGSRYD</t>
        </is>
      </c>
      <c r="H724" t="inlineStr">
        <is>
          <t>Kommuner</t>
        </is>
      </c>
      <c r="I724" t="n">
        <v>0.7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8216-2022</t>
        </is>
      </c>
      <c r="B725" t="inlineStr">
        <is>
          <t>avverkningsanmälan</t>
        </is>
      </c>
      <c r="C725" t="inlineStr">
        <is>
          <t>Föryngringsavverkning</t>
        </is>
      </c>
      <c r="D725" s="1" t="n">
        <v>44609</v>
      </c>
      <c r="E725" s="1" t="n">
        <v>46316</v>
      </c>
      <c r="F725" t="inlineStr">
        <is>
          <t>KRONOBERGS LÄN</t>
        </is>
      </c>
      <c r="G725" t="inlineStr">
        <is>
          <t>ÄLMHULT</t>
        </is>
      </c>
      <c r="I725" t="n">
        <v>0.6</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12187-2022</t>
        </is>
      </c>
      <c r="B726" t="inlineStr">
        <is>
          <t>avverkningsanmälan</t>
        </is>
      </c>
      <c r="C726" t="inlineStr">
        <is>
          <t>Föryngringsavverkning</t>
        </is>
      </c>
      <c r="D726" s="1" t="n">
        <v>44636</v>
      </c>
      <c r="E726" s="1" t="n">
        <v>46316</v>
      </c>
      <c r="F726" t="inlineStr">
        <is>
          <t>KRONOBERGS LÄN</t>
        </is>
      </c>
      <c r="G726" t="inlineStr">
        <is>
          <t>TINGSRYD</t>
        </is>
      </c>
      <c r="I726" t="n">
        <v>1</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50908-2022</t>
        </is>
      </c>
      <c r="B727" t="inlineStr">
        <is>
          <t>avverkningsanmälan</t>
        </is>
      </c>
      <c r="C727" t="inlineStr">
        <is>
          <t>Föryngringsavverkning</t>
        </is>
      </c>
      <c r="D727" s="1" t="n">
        <v>44867</v>
      </c>
      <c r="E727" s="1" t="n">
        <v>46316</v>
      </c>
      <c r="F727" t="inlineStr">
        <is>
          <t>KRONOBERGS LÄN</t>
        </is>
      </c>
      <c r="G727" t="inlineStr">
        <is>
          <t>ALVESTA</t>
        </is>
      </c>
      <c r="I727" t="n">
        <v>2.4</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55838-2022</t>
        </is>
      </c>
      <c r="B728" t="inlineStr">
        <is>
          <t>avverkningsanmälan</t>
        </is>
      </c>
      <c r="C728" t="inlineStr">
        <is>
          <t>Föryngringsavverkning</t>
        </is>
      </c>
      <c r="D728" s="1" t="n">
        <v>44888</v>
      </c>
      <c r="E728" s="1" t="n">
        <v>46316</v>
      </c>
      <c r="F728" t="inlineStr">
        <is>
          <t>KRONOBERGS LÄN</t>
        </is>
      </c>
      <c r="G728" t="inlineStr">
        <is>
          <t>LJUNGBY</t>
        </is>
      </c>
      <c r="I728" t="n">
        <v>0.7</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28080-2022</t>
        </is>
      </c>
      <c r="B729" t="inlineStr">
        <is>
          <t>avverkningsanmälan</t>
        </is>
      </c>
      <c r="C729" t="inlineStr">
        <is>
          <t>Föryngringsavverkning</t>
        </is>
      </c>
      <c r="D729" s="1" t="n">
        <v>44746</v>
      </c>
      <c r="E729" s="1" t="n">
        <v>46316</v>
      </c>
      <c r="F729" t="inlineStr">
        <is>
          <t>KRONOBERGS LÄN</t>
        </is>
      </c>
      <c r="G729" t="inlineStr">
        <is>
          <t>VÄXJÖ</t>
        </is>
      </c>
      <c r="I729" t="n">
        <v>0.4</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66548-2021</t>
        </is>
      </c>
      <c r="B730" t="inlineStr">
        <is>
          <t>avverkningsanmälan</t>
        </is>
      </c>
      <c r="C730" t="inlineStr">
        <is>
          <t>Föryngringsavverkning</t>
        </is>
      </c>
      <c r="D730" s="1" t="n">
        <v>44519</v>
      </c>
      <c r="E730" s="1" t="n">
        <v>46316</v>
      </c>
      <c r="F730" t="inlineStr">
        <is>
          <t>KRONOBERGS LÄN</t>
        </is>
      </c>
      <c r="G730" t="inlineStr">
        <is>
          <t>TINGSRYD</t>
        </is>
      </c>
      <c r="I730" t="n">
        <v>0.7</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8480-2022</t>
        </is>
      </c>
      <c r="B731" t="inlineStr">
        <is>
          <t>avverkningsanmälan</t>
        </is>
      </c>
      <c r="C731" t="inlineStr">
        <is>
          <t>Föryngringsavverkning</t>
        </is>
      </c>
      <c r="D731" s="1" t="n">
        <v>44613</v>
      </c>
      <c r="E731" s="1" t="n">
        <v>46316</v>
      </c>
      <c r="F731" t="inlineStr">
        <is>
          <t>KRONOBERGS LÄN</t>
        </is>
      </c>
      <c r="G731" t="inlineStr">
        <is>
          <t>VÄXJÖ</t>
        </is>
      </c>
      <c r="I731" t="n">
        <v>10.7</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36141-2022</t>
        </is>
      </c>
      <c r="B732" t="inlineStr">
        <is>
          <t>avverkningsanmälan</t>
        </is>
      </c>
      <c r="C732" t="inlineStr">
        <is>
          <t>Föryngringsavverkning</t>
        </is>
      </c>
      <c r="D732" s="1" t="n">
        <v>44803</v>
      </c>
      <c r="E732" s="1" t="n">
        <v>46316</v>
      </c>
      <c r="F732" t="inlineStr">
        <is>
          <t>KRONOBERGS LÄN</t>
        </is>
      </c>
      <c r="G732" t="inlineStr">
        <is>
          <t>UPPVIDINGE</t>
        </is>
      </c>
      <c r="I732" t="n">
        <v>1</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55317-2022</t>
        </is>
      </c>
      <c r="B733" t="inlineStr">
        <is>
          <t>avverkningsanmälan</t>
        </is>
      </c>
      <c r="C733" t="inlineStr">
        <is>
          <t>Föryngringsavverkning</t>
        </is>
      </c>
      <c r="D733" s="1" t="n">
        <v>44887</v>
      </c>
      <c r="E733" s="1" t="n">
        <v>46316</v>
      </c>
      <c r="F733" t="inlineStr">
        <is>
          <t>KRONOBERGS LÄN</t>
        </is>
      </c>
      <c r="G733" t="inlineStr">
        <is>
          <t>UPPVIDINGE</t>
        </is>
      </c>
      <c r="I733" t="n">
        <v>2.1</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40892-2022</t>
        </is>
      </c>
      <c r="B734" t="inlineStr">
        <is>
          <t>avverkningsanmälan</t>
        </is>
      </c>
      <c r="C734" t="inlineStr">
        <is>
          <t>Föryngringsavverkning</t>
        </is>
      </c>
      <c r="D734" s="1" t="n">
        <v>44825</v>
      </c>
      <c r="E734" s="1" t="n">
        <v>46316</v>
      </c>
      <c r="F734" t="inlineStr">
        <is>
          <t>KRONOBERGS LÄN</t>
        </is>
      </c>
      <c r="G734" t="inlineStr">
        <is>
          <t>LJUNGBY</t>
        </is>
      </c>
      <c r="I734" t="n">
        <v>0.7</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26092-2022</t>
        </is>
      </c>
      <c r="B735" t="inlineStr">
        <is>
          <t>avverkningsanmälan</t>
        </is>
      </c>
      <c r="C735" t="inlineStr">
        <is>
          <t>Föryngringsavverkning</t>
        </is>
      </c>
      <c r="D735" s="1" t="n">
        <v>44734</v>
      </c>
      <c r="E735" s="1" t="n">
        <v>46316</v>
      </c>
      <c r="F735" t="inlineStr">
        <is>
          <t>KRONOBERGS LÄN</t>
        </is>
      </c>
      <c r="G735" t="inlineStr">
        <is>
          <t>ALVESTA</t>
        </is>
      </c>
      <c r="I735" t="n">
        <v>0.9</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19266-2022</t>
        </is>
      </c>
      <c r="B736" t="inlineStr">
        <is>
          <t>avverkningsanmälan</t>
        </is>
      </c>
      <c r="C736" t="inlineStr">
        <is>
          <t>Föryngringsavverkning</t>
        </is>
      </c>
      <c r="D736" s="1" t="n">
        <v>44692</v>
      </c>
      <c r="E736" s="1" t="n">
        <v>46316</v>
      </c>
      <c r="F736" t="inlineStr">
        <is>
          <t>KRONOBERGS LÄN</t>
        </is>
      </c>
      <c r="G736" t="inlineStr">
        <is>
          <t>ALVESTA</t>
        </is>
      </c>
      <c r="I736" t="n">
        <v>1.6</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34134-2022</t>
        </is>
      </c>
      <c r="B737" t="inlineStr">
        <is>
          <t>avverkningsanmälan</t>
        </is>
      </c>
      <c r="C737" t="inlineStr">
        <is>
          <t>Avverkning för annat ändamål</t>
        </is>
      </c>
      <c r="D737" s="1" t="n">
        <v>44791</v>
      </c>
      <c r="E737" s="1" t="n">
        <v>46316</v>
      </c>
      <c r="F737" t="inlineStr">
        <is>
          <t>KRONOBERGS LÄN</t>
        </is>
      </c>
      <c r="G737" t="inlineStr">
        <is>
          <t>TINGSRYD</t>
        </is>
      </c>
      <c r="I737" t="n">
        <v>0.6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23565-2022</t>
        </is>
      </c>
      <c r="B738" t="inlineStr">
        <is>
          <t>avverkningsanmälan</t>
        </is>
      </c>
      <c r="C738" t="inlineStr">
        <is>
          <t>Föryngringsavverkning</t>
        </is>
      </c>
      <c r="D738" s="1" t="n">
        <v>44721</v>
      </c>
      <c r="E738" s="1" t="n">
        <v>46316</v>
      </c>
      <c r="F738" t="inlineStr">
        <is>
          <t>KRONOBERGS LÄN</t>
        </is>
      </c>
      <c r="G738" t="inlineStr">
        <is>
          <t>ÄLMHULT</t>
        </is>
      </c>
      <c r="I738" t="n">
        <v>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28509-2022</t>
        </is>
      </c>
      <c r="B739" t="inlineStr">
        <is>
          <t>avverkningsanmälan</t>
        </is>
      </c>
      <c r="C739" t="inlineStr">
        <is>
          <t>Föryngringsavverkning</t>
        </is>
      </c>
      <c r="D739" s="1" t="n">
        <v>44748</v>
      </c>
      <c r="E739" s="1" t="n">
        <v>46316</v>
      </c>
      <c r="F739" t="inlineStr">
        <is>
          <t>KRONOBERGS LÄN</t>
        </is>
      </c>
      <c r="G739" t="inlineStr">
        <is>
          <t>TINGSRYD</t>
        </is>
      </c>
      <c r="I739" t="n">
        <v>1.7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8092-2022</t>
        </is>
      </c>
      <c r="B740" t="inlineStr">
        <is>
          <t>avverkningsanmälan</t>
        </is>
      </c>
      <c r="C740" t="inlineStr">
        <is>
          <t>Föryngringsavverkning</t>
        </is>
      </c>
      <c r="D740" s="1" t="n">
        <v>44609</v>
      </c>
      <c r="E740" s="1" t="n">
        <v>46316</v>
      </c>
      <c r="F740" t="inlineStr">
        <is>
          <t>KRONOBERGS LÄN</t>
        </is>
      </c>
      <c r="G740" t="inlineStr">
        <is>
          <t>UPPVIDINGE</t>
        </is>
      </c>
      <c r="I740" t="n">
        <v>0.5</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347-2022</t>
        </is>
      </c>
      <c r="B741" t="inlineStr">
        <is>
          <t>avverkningsanmälan</t>
        </is>
      </c>
      <c r="C741" t="inlineStr">
        <is>
          <t>Föryngringsavverkning</t>
        </is>
      </c>
      <c r="D741" s="1" t="n">
        <v>44565</v>
      </c>
      <c r="E741" s="1" t="n">
        <v>46316</v>
      </c>
      <c r="F741" t="inlineStr">
        <is>
          <t>KRONOBERGS LÄN</t>
        </is>
      </c>
      <c r="G741" t="inlineStr">
        <is>
          <t>LJUNGBY</t>
        </is>
      </c>
      <c r="I741" t="n">
        <v>0.5</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8299-2022</t>
        </is>
      </c>
      <c r="B742" t="inlineStr">
        <is>
          <t>avverkningsanmälan</t>
        </is>
      </c>
      <c r="C742" t="inlineStr">
        <is>
          <t>Avverkning för annat ändamål</t>
        </is>
      </c>
      <c r="D742" s="1" t="n">
        <v>44610</v>
      </c>
      <c r="E742" s="1" t="n">
        <v>46316</v>
      </c>
      <c r="F742" t="inlineStr">
        <is>
          <t>KRONOBERGS LÄN</t>
        </is>
      </c>
      <c r="G742" t="inlineStr">
        <is>
          <t>UPPVIDINGE</t>
        </is>
      </c>
      <c r="I742" t="n">
        <v>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8324-2022</t>
        </is>
      </c>
      <c r="B743" t="inlineStr">
        <is>
          <t>avverkningsanmälan</t>
        </is>
      </c>
      <c r="C743" t="inlineStr">
        <is>
          <t>Föryngringsavverkning</t>
        </is>
      </c>
      <c r="D743" s="1" t="n">
        <v>44610</v>
      </c>
      <c r="E743" s="1" t="n">
        <v>46316</v>
      </c>
      <c r="F743" t="inlineStr">
        <is>
          <t>KRONOBERGS LÄN</t>
        </is>
      </c>
      <c r="G743" t="inlineStr">
        <is>
          <t>VÄXJÖ</t>
        </is>
      </c>
      <c r="I743" t="n">
        <v>0.7</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9000-2022</t>
        </is>
      </c>
      <c r="B744" t="inlineStr">
        <is>
          <t>avverkningsanmälan</t>
        </is>
      </c>
      <c r="C744" t="inlineStr">
        <is>
          <t>Föryngringsavverkning</t>
        </is>
      </c>
      <c r="D744" s="1" t="n">
        <v>44615</v>
      </c>
      <c r="E744" s="1" t="n">
        <v>46316</v>
      </c>
      <c r="F744" t="inlineStr">
        <is>
          <t>KRONOBERGS LÄN</t>
        </is>
      </c>
      <c r="G744" t="inlineStr">
        <is>
          <t>ALVESTA</t>
        </is>
      </c>
      <c r="I744" t="n">
        <v>2</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4200-2022</t>
        </is>
      </c>
      <c r="B745" t="inlineStr">
        <is>
          <t>avverkningsanmälan</t>
        </is>
      </c>
      <c r="C745" t="inlineStr">
        <is>
          <t>Föryngringsavverkning</t>
        </is>
      </c>
      <c r="D745" s="1" t="n">
        <v>44588</v>
      </c>
      <c r="E745" s="1" t="n">
        <v>46316</v>
      </c>
      <c r="F745" t="inlineStr">
        <is>
          <t>KRONOBERGS LÄN</t>
        </is>
      </c>
      <c r="G745" t="inlineStr">
        <is>
          <t>LESSEBO</t>
        </is>
      </c>
      <c r="I745" t="n">
        <v>1.2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3918-2022</t>
        </is>
      </c>
      <c r="B746" t="inlineStr">
        <is>
          <t>avverkningsanmälan</t>
        </is>
      </c>
      <c r="C746" t="inlineStr">
        <is>
          <t>Avverkning för att bevara och utveckla /försöksver</t>
        </is>
      </c>
      <c r="D746" s="1" t="n">
        <v>44587</v>
      </c>
      <c r="E746" s="1" t="n">
        <v>46316</v>
      </c>
      <c r="F746" t="inlineStr">
        <is>
          <t>KRONOBERGS LÄN</t>
        </is>
      </c>
      <c r="G746" t="inlineStr">
        <is>
          <t>ÄLMHULT</t>
        </is>
      </c>
      <c r="H746" t="inlineStr">
        <is>
          <t>Sveaskog</t>
        </is>
      </c>
      <c r="I746" t="n">
        <v>1.6</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55646-2022</t>
        </is>
      </c>
      <c r="B747" t="inlineStr">
        <is>
          <t>avverkningsanmälan</t>
        </is>
      </c>
      <c r="C747" t="inlineStr">
        <is>
          <t>Föryngringsavverkning</t>
        </is>
      </c>
      <c r="D747" s="1" t="n">
        <v>44888</v>
      </c>
      <c r="E747" s="1" t="n">
        <v>46316</v>
      </c>
      <c r="F747" t="inlineStr">
        <is>
          <t>KRONOBERGS LÄN</t>
        </is>
      </c>
      <c r="G747" t="inlineStr">
        <is>
          <t>TINGSRYD</t>
        </is>
      </c>
      <c r="I747" t="n">
        <v>0.7</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8312-2022</t>
        </is>
      </c>
      <c r="B748" t="inlineStr">
        <is>
          <t>avverkningsanmälan</t>
        </is>
      </c>
      <c r="C748" t="inlineStr">
        <is>
          <t>Avverkning för annat ändamål</t>
        </is>
      </c>
      <c r="D748" s="1" t="n">
        <v>44610</v>
      </c>
      <c r="E748" s="1" t="n">
        <v>46316</v>
      </c>
      <c r="F748" t="inlineStr">
        <is>
          <t>KRONOBERGS LÄN</t>
        </is>
      </c>
      <c r="G748" t="inlineStr">
        <is>
          <t>VÄXJÖ</t>
        </is>
      </c>
      <c r="I748" t="n">
        <v>1.1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34734-2022</t>
        </is>
      </c>
      <c r="B749" t="inlineStr">
        <is>
          <t>avverkningsanmälan</t>
        </is>
      </c>
      <c r="C749" t="inlineStr">
        <is>
          <t>Föryngringsavverkning</t>
        </is>
      </c>
      <c r="D749" s="1" t="n">
        <v>44795</v>
      </c>
      <c r="E749" s="1" t="n">
        <v>46316</v>
      </c>
      <c r="F749" t="inlineStr">
        <is>
          <t>KRONOBERGS LÄN</t>
        </is>
      </c>
      <c r="G749" t="inlineStr">
        <is>
          <t>UPPVIDINGE</t>
        </is>
      </c>
      <c r="I749" t="n">
        <v>1.7</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34735-2022</t>
        </is>
      </c>
      <c r="B750" t="inlineStr">
        <is>
          <t>avverkningsanmälan</t>
        </is>
      </c>
      <c r="C750" t="inlineStr">
        <is>
          <t>Föryngringsavverkning</t>
        </is>
      </c>
      <c r="D750" s="1" t="n">
        <v>44795</v>
      </c>
      <c r="E750" s="1" t="n">
        <v>46316</v>
      </c>
      <c r="F750" t="inlineStr">
        <is>
          <t>KRONOBERGS LÄN</t>
        </is>
      </c>
      <c r="G750" t="inlineStr">
        <is>
          <t>UPPVIDINGE</t>
        </is>
      </c>
      <c r="I750" t="n">
        <v>0.6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36019-2022</t>
        </is>
      </c>
      <c r="B751" t="inlineStr">
        <is>
          <t>avverkningsanmälan</t>
        </is>
      </c>
      <c r="C751" t="inlineStr">
        <is>
          <t>Föryngringsavverkning</t>
        </is>
      </c>
      <c r="D751" s="1" t="n">
        <v>44802</v>
      </c>
      <c r="E751" s="1" t="n">
        <v>46316</v>
      </c>
      <c r="F751" t="inlineStr">
        <is>
          <t>KRONOBERGS LÄN</t>
        </is>
      </c>
      <c r="G751" t="inlineStr">
        <is>
          <t>ÄLMHULT</t>
        </is>
      </c>
      <c r="I751" t="n">
        <v>0.7</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59529-2021</t>
        </is>
      </c>
      <c r="B752" t="inlineStr">
        <is>
          <t>avverkningsanmälan</t>
        </is>
      </c>
      <c r="C752" t="inlineStr">
        <is>
          <t>Föryngringsavverkning</t>
        </is>
      </c>
      <c r="D752" s="1" t="n">
        <v>44491</v>
      </c>
      <c r="E752" s="1" t="n">
        <v>46316</v>
      </c>
      <c r="F752" t="inlineStr">
        <is>
          <t>KRONOBERGS LÄN</t>
        </is>
      </c>
      <c r="G752" t="inlineStr">
        <is>
          <t>VÄXJÖ</t>
        </is>
      </c>
      <c r="I752" t="n">
        <v>0.5</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30388-2022</t>
        </is>
      </c>
      <c r="B753" t="inlineStr">
        <is>
          <t>avverkningsanmälan</t>
        </is>
      </c>
      <c r="C753" t="inlineStr">
        <is>
          <t>Föryngringsavverkning</t>
        </is>
      </c>
      <c r="D753" s="1" t="n">
        <v>44760</v>
      </c>
      <c r="E753" s="1" t="n">
        <v>46316</v>
      </c>
      <c r="F753" t="inlineStr">
        <is>
          <t>KRONOBERGS LÄN</t>
        </is>
      </c>
      <c r="G753" t="inlineStr">
        <is>
          <t>LJUNGBY</t>
        </is>
      </c>
      <c r="I753" t="n">
        <v>4.3</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3153-2022</t>
        </is>
      </c>
      <c r="B754" t="inlineStr">
        <is>
          <t>avverkningsanmälan</t>
        </is>
      </c>
      <c r="C754" t="inlineStr">
        <is>
          <t>Föryngringsavverkning</t>
        </is>
      </c>
      <c r="D754" s="1" t="n">
        <v>44582</v>
      </c>
      <c r="E754" s="1" t="n">
        <v>46316</v>
      </c>
      <c r="F754" t="inlineStr">
        <is>
          <t>KRONOBERGS LÄN</t>
        </is>
      </c>
      <c r="G754" t="inlineStr">
        <is>
          <t>UPPVIDINGE</t>
        </is>
      </c>
      <c r="I754" t="n">
        <v>1</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40180-2022</t>
        </is>
      </c>
      <c r="B755" t="inlineStr">
        <is>
          <t>avverkningsanmälan</t>
        </is>
      </c>
      <c r="C755" t="inlineStr">
        <is>
          <t>Föryngringsavverkning</t>
        </is>
      </c>
      <c r="D755" s="1" t="n">
        <v>44820</v>
      </c>
      <c r="E755" s="1" t="n">
        <v>46316</v>
      </c>
      <c r="F755" t="inlineStr">
        <is>
          <t>KRONOBERGS LÄN</t>
        </is>
      </c>
      <c r="G755" t="inlineStr">
        <is>
          <t>TINGSRYD</t>
        </is>
      </c>
      <c r="I755" t="n">
        <v>0.7</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12447-2022</t>
        </is>
      </c>
      <c r="B756" t="inlineStr">
        <is>
          <t>avverkningsanmälan</t>
        </is>
      </c>
      <c r="C756" t="inlineStr">
        <is>
          <t>Föryngringsavverkning</t>
        </is>
      </c>
      <c r="D756" s="1" t="n">
        <v>44638</v>
      </c>
      <c r="E756" s="1" t="n">
        <v>46316</v>
      </c>
      <c r="F756" t="inlineStr">
        <is>
          <t>KRONOBERGS LÄN</t>
        </is>
      </c>
      <c r="G756" t="inlineStr">
        <is>
          <t>MARKARYD</t>
        </is>
      </c>
      <c r="I756" t="n">
        <v>4.4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26965-2022</t>
        </is>
      </c>
      <c r="B757" t="inlineStr">
        <is>
          <t>avverkningsanmälan</t>
        </is>
      </c>
      <c r="C757" t="inlineStr">
        <is>
          <t>Föryngringsavverkning</t>
        </is>
      </c>
      <c r="D757" s="1" t="n">
        <v>44740</v>
      </c>
      <c r="E757" s="1" t="n">
        <v>46316</v>
      </c>
      <c r="F757" t="inlineStr">
        <is>
          <t>KRONOBERGS LÄN</t>
        </is>
      </c>
      <c r="G757" t="inlineStr">
        <is>
          <t>VÄXJÖ</t>
        </is>
      </c>
      <c r="I757" t="n">
        <v>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63746-2021</t>
        </is>
      </c>
      <c r="B758" t="inlineStr">
        <is>
          <t>avverkningsanmälan</t>
        </is>
      </c>
      <c r="C758" t="inlineStr">
        <is>
          <t>Föryngringsavverkning</t>
        </is>
      </c>
      <c r="D758" s="1" t="n">
        <v>44509</v>
      </c>
      <c r="E758" s="1" t="n">
        <v>46316</v>
      </c>
      <c r="F758" t="inlineStr">
        <is>
          <t>KRONOBERGS LÄN</t>
        </is>
      </c>
      <c r="G758" t="inlineStr">
        <is>
          <t>ÄLMHULT</t>
        </is>
      </c>
      <c r="I758" t="n">
        <v>1.9</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25402-2022</t>
        </is>
      </c>
      <c r="B759" t="inlineStr">
        <is>
          <t>avverkningsanmälan</t>
        </is>
      </c>
      <c r="C759" t="inlineStr">
        <is>
          <t>Föryngringsavverkning</t>
        </is>
      </c>
      <c r="D759" s="1" t="n">
        <v>44732</v>
      </c>
      <c r="E759" s="1" t="n">
        <v>46316</v>
      </c>
      <c r="F759" t="inlineStr">
        <is>
          <t>KRONOBERGS LÄN</t>
        </is>
      </c>
      <c r="G759" t="inlineStr">
        <is>
          <t>LJUNGBY</t>
        </is>
      </c>
      <c r="I759" t="n">
        <v>0.7</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9566-2022</t>
        </is>
      </c>
      <c r="B760" t="inlineStr">
        <is>
          <t>avverkningsanmälan</t>
        </is>
      </c>
      <c r="C760" t="inlineStr">
        <is>
          <t>Föryngringsavverkning</t>
        </is>
      </c>
      <c r="D760" s="1" t="n">
        <v>44617</v>
      </c>
      <c r="E760" s="1" t="n">
        <v>46316</v>
      </c>
      <c r="F760" t="inlineStr">
        <is>
          <t>KRONOBERGS LÄN</t>
        </is>
      </c>
      <c r="G760" t="inlineStr">
        <is>
          <t>VÄXJÖ</t>
        </is>
      </c>
      <c r="I760" t="n">
        <v>0.6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48561-2022</t>
        </is>
      </c>
      <c r="B761" t="inlineStr">
        <is>
          <t>avverkningsanmälan</t>
        </is>
      </c>
      <c r="C761" t="inlineStr">
        <is>
          <t>Föryngringsavverkning</t>
        </is>
      </c>
      <c r="D761" s="1" t="n">
        <v>44859</v>
      </c>
      <c r="E761" s="1" t="n">
        <v>46316</v>
      </c>
      <c r="F761" t="inlineStr">
        <is>
          <t>KRONOBERGS LÄN</t>
        </is>
      </c>
      <c r="G761" t="inlineStr">
        <is>
          <t>ALVESTA</t>
        </is>
      </c>
      <c r="I761" t="n">
        <v>0.5</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24448-2022</t>
        </is>
      </c>
      <c r="B762" t="inlineStr">
        <is>
          <t>avverkningsanmälan</t>
        </is>
      </c>
      <c r="C762" t="inlineStr">
        <is>
          <t>Föryngringsavverkning</t>
        </is>
      </c>
      <c r="D762" s="1" t="n">
        <v>44726</v>
      </c>
      <c r="E762" s="1" t="n">
        <v>46316</v>
      </c>
      <c r="F762" t="inlineStr">
        <is>
          <t>KRONOBERGS LÄN</t>
        </is>
      </c>
      <c r="G762" t="inlineStr">
        <is>
          <t>VÄXJÖ</t>
        </is>
      </c>
      <c r="I762" t="n">
        <v>0.7</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26709-2022</t>
        </is>
      </c>
      <c r="B763" t="inlineStr">
        <is>
          <t>avverkningsanmälan</t>
        </is>
      </c>
      <c r="C763" t="inlineStr">
        <is>
          <t>Föryngringsavverkning</t>
        </is>
      </c>
      <c r="D763" s="1" t="n">
        <v>44739</v>
      </c>
      <c r="E763" s="1" t="n">
        <v>46316</v>
      </c>
      <c r="F763" t="inlineStr">
        <is>
          <t>KRONOBERGS LÄN</t>
        </is>
      </c>
      <c r="G763" t="inlineStr">
        <is>
          <t>ÄLMHULT</t>
        </is>
      </c>
      <c r="I763" t="n">
        <v>0.8</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73248-2021</t>
        </is>
      </c>
      <c r="B764" t="inlineStr">
        <is>
          <t>avverkningsanmälan</t>
        </is>
      </c>
      <c r="C764" t="inlineStr">
        <is>
          <t>Föryngringsavverkning</t>
        </is>
      </c>
      <c r="D764" s="1" t="n">
        <v>44550</v>
      </c>
      <c r="E764" s="1" t="n">
        <v>46316</v>
      </c>
      <c r="F764" t="inlineStr">
        <is>
          <t>KRONOBERGS LÄN</t>
        </is>
      </c>
      <c r="G764" t="inlineStr">
        <is>
          <t>LJUNGBY</t>
        </is>
      </c>
      <c r="I764" t="n">
        <v>1.2</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73366-2021</t>
        </is>
      </c>
      <c r="B765" t="inlineStr">
        <is>
          <t>avverkningsanmälan</t>
        </is>
      </c>
      <c r="C765" t="inlineStr">
        <is>
          <t>Föryngringsavverkning</t>
        </is>
      </c>
      <c r="D765" s="1" t="n">
        <v>44551</v>
      </c>
      <c r="E765" s="1" t="n">
        <v>46316</v>
      </c>
      <c r="F765" t="inlineStr">
        <is>
          <t>KRONOBERGS LÄN</t>
        </is>
      </c>
      <c r="G765" t="inlineStr">
        <is>
          <t>ÄLMHULT</t>
        </is>
      </c>
      <c r="I765" t="n">
        <v>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73428-2021</t>
        </is>
      </c>
      <c r="B766" t="inlineStr">
        <is>
          <t>avverkningsanmälan</t>
        </is>
      </c>
      <c r="C766" t="inlineStr">
        <is>
          <t>Föryngringsavverkning</t>
        </is>
      </c>
      <c r="D766" s="1" t="n">
        <v>44551</v>
      </c>
      <c r="E766" s="1" t="n">
        <v>46316</v>
      </c>
      <c r="F766" t="inlineStr">
        <is>
          <t>KRONOBERGS LÄN</t>
        </is>
      </c>
      <c r="G766" t="inlineStr">
        <is>
          <t>VÄXJÖ</t>
        </is>
      </c>
      <c r="I766" t="n">
        <v>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25812-2022</t>
        </is>
      </c>
      <c r="B767" t="inlineStr">
        <is>
          <t>avverkningsanmälan</t>
        </is>
      </c>
      <c r="C767" t="inlineStr">
        <is>
          <t>Avverkning för annat ändamål</t>
        </is>
      </c>
      <c r="D767" s="1" t="n">
        <v>44733</v>
      </c>
      <c r="E767" s="1" t="n">
        <v>46316</v>
      </c>
      <c r="F767" t="inlineStr">
        <is>
          <t>KRONOBERGS LÄN</t>
        </is>
      </c>
      <c r="G767" t="inlineStr">
        <is>
          <t>ÄLMHULT</t>
        </is>
      </c>
      <c r="I767" t="n">
        <v>4.6</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37649-2022</t>
        </is>
      </c>
      <c r="B768" t="inlineStr">
        <is>
          <t>avverkningsanmälan</t>
        </is>
      </c>
      <c r="C768" t="inlineStr">
        <is>
          <t>Föryngringsavverkning</t>
        </is>
      </c>
      <c r="D768" s="1" t="n">
        <v>44810</v>
      </c>
      <c r="E768" s="1" t="n">
        <v>46316</v>
      </c>
      <c r="F768" t="inlineStr">
        <is>
          <t>KRONOBERGS LÄN</t>
        </is>
      </c>
      <c r="G768" t="inlineStr">
        <is>
          <t>LJUNGBY</t>
        </is>
      </c>
      <c r="I768" t="n">
        <v>0.3</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70400-2021</t>
        </is>
      </c>
      <c r="B769" t="inlineStr">
        <is>
          <t>avverkningsanmälan</t>
        </is>
      </c>
      <c r="C769" t="inlineStr">
        <is>
          <t>Avverkning för annat ändamål</t>
        </is>
      </c>
      <c r="D769" s="1" t="n">
        <v>44536</v>
      </c>
      <c r="E769" s="1" t="n">
        <v>46316</v>
      </c>
      <c r="F769" t="inlineStr">
        <is>
          <t>KRONOBERGS LÄN</t>
        </is>
      </c>
      <c r="G769" t="inlineStr">
        <is>
          <t>LJUNGBY</t>
        </is>
      </c>
      <c r="I769" t="n">
        <v>2.2</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37627-2022</t>
        </is>
      </c>
      <c r="B770" t="inlineStr">
        <is>
          <t>avverkningsanmälan</t>
        </is>
      </c>
      <c r="C770" t="inlineStr">
        <is>
          <t>Föryngringsavverkning</t>
        </is>
      </c>
      <c r="D770" s="1" t="n">
        <v>44810</v>
      </c>
      <c r="E770" s="1" t="n">
        <v>46316</v>
      </c>
      <c r="F770" t="inlineStr">
        <is>
          <t>KRONOBERGS LÄN</t>
        </is>
      </c>
      <c r="G770" t="inlineStr">
        <is>
          <t>LJUNGBY</t>
        </is>
      </c>
      <c r="I770" t="n">
        <v>2</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6132-2022</t>
        </is>
      </c>
      <c r="B771" t="inlineStr">
        <is>
          <t>avverkningsanmälan</t>
        </is>
      </c>
      <c r="C771" t="inlineStr">
        <is>
          <t>Föryngringsavverkning</t>
        </is>
      </c>
      <c r="D771" s="1" t="n">
        <v>44599</v>
      </c>
      <c r="E771" s="1" t="n">
        <v>46316</v>
      </c>
      <c r="F771" t="inlineStr">
        <is>
          <t>KRONOBERGS LÄN</t>
        </is>
      </c>
      <c r="G771" t="inlineStr">
        <is>
          <t>VÄXJÖ</t>
        </is>
      </c>
      <c r="I771" t="n">
        <v>1.4</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4073-2022</t>
        </is>
      </c>
      <c r="B772" t="inlineStr">
        <is>
          <t>avverkningsanmälan</t>
        </is>
      </c>
      <c r="C772" t="inlineStr">
        <is>
          <t>Föryngringsavverkning</t>
        </is>
      </c>
      <c r="D772" s="1" t="n">
        <v>44588</v>
      </c>
      <c r="E772" s="1" t="n">
        <v>46316</v>
      </c>
      <c r="F772" t="inlineStr">
        <is>
          <t>KRONOBERGS LÄN</t>
        </is>
      </c>
      <c r="G772" t="inlineStr">
        <is>
          <t>LJUNGBY</t>
        </is>
      </c>
      <c r="I772" t="n">
        <v>0.5</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36066-2022</t>
        </is>
      </c>
      <c r="B773" t="inlineStr">
        <is>
          <t>avverkningsanmälan</t>
        </is>
      </c>
      <c r="C773" t="inlineStr">
        <is>
          <t>Föryngringsavverkning</t>
        </is>
      </c>
      <c r="D773" s="1" t="n">
        <v>44802</v>
      </c>
      <c r="E773" s="1" t="n">
        <v>46316</v>
      </c>
      <c r="F773" t="inlineStr">
        <is>
          <t>KRONOBERGS LÄN</t>
        </is>
      </c>
      <c r="G773" t="inlineStr">
        <is>
          <t>MARKARYD</t>
        </is>
      </c>
      <c r="I773" t="n">
        <v>8.4</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36068-2022</t>
        </is>
      </c>
      <c r="B774" t="inlineStr">
        <is>
          <t>avverkningsanmälan</t>
        </is>
      </c>
      <c r="C774" t="inlineStr">
        <is>
          <t>Föryngringsavverkning</t>
        </is>
      </c>
      <c r="D774" s="1" t="n">
        <v>44802</v>
      </c>
      <c r="E774" s="1" t="n">
        <v>46316</v>
      </c>
      <c r="F774" t="inlineStr">
        <is>
          <t>KRONOBERGS LÄN</t>
        </is>
      </c>
      <c r="G774" t="inlineStr">
        <is>
          <t>MARKARYD</t>
        </is>
      </c>
      <c r="I774" t="n">
        <v>4.6</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43000-2022</t>
        </is>
      </c>
      <c r="B775" t="inlineStr">
        <is>
          <t>avverkningsanmälan</t>
        </is>
      </c>
      <c r="C775" t="inlineStr">
        <is>
          <t>Avverkning för annat ändamål</t>
        </is>
      </c>
      <c r="D775" s="1" t="n">
        <v>44833</v>
      </c>
      <c r="E775" s="1" t="n">
        <v>46316</v>
      </c>
      <c r="F775" t="inlineStr">
        <is>
          <t>KRONOBERGS LÄN</t>
        </is>
      </c>
      <c r="G775" t="inlineStr">
        <is>
          <t>ALVESTA</t>
        </is>
      </c>
      <c r="I775" t="n">
        <v>0.5</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45664-2022</t>
        </is>
      </c>
      <c r="B776" t="inlineStr">
        <is>
          <t>avverkningsanmälan</t>
        </is>
      </c>
      <c r="C776" t="inlineStr">
        <is>
          <t>Föryngringsavverkning</t>
        </is>
      </c>
      <c r="D776" s="1" t="n">
        <v>44845</v>
      </c>
      <c r="E776" s="1" t="n">
        <v>46316</v>
      </c>
      <c r="F776" t="inlineStr">
        <is>
          <t>KRONOBERGS LÄN</t>
        </is>
      </c>
      <c r="G776" t="inlineStr">
        <is>
          <t>LJUNGBY</t>
        </is>
      </c>
      <c r="I776" t="n">
        <v>0.5</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36064-2022</t>
        </is>
      </c>
      <c r="B777" t="inlineStr">
        <is>
          <t>avverkningsanmälan</t>
        </is>
      </c>
      <c r="C777" t="inlineStr">
        <is>
          <t>Föryngringsavverkning</t>
        </is>
      </c>
      <c r="D777" s="1" t="n">
        <v>44802</v>
      </c>
      <c r="E777" s="1" t="n">
        <v>46316</v>
      </c>
      <c r="F777" t="inlineStr">
        <is>
          <t>KRONOBERGS LÄN</t>
        </is>
      </c>
      <c r="G777" t="inlineStr">
        <is>
          <t>MARKARYD</t>
        </is>
      </c>
      <c r="I777" t="n">
        <v>2.2</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6622-2022</t>
        </is>
      </c>
      <c r="B778" t="inlineStr">
        <is>
          <t>avverkningsanmälan</t>
        </is>
      </c>
      <c r="C778" t="inlineStr">
        <is>
          <t>Föryngringsavverkning</t>
        </is>
      </c>
      <c r="D778" s="1" t="n">
        <v>44601</v>
      </c>
      <c r="E778" s="1" t="n">
        <v>46316</v>
      </c>
      <c r="F778" t="inlineStr">
        <is>
          <t>KRONOBERGS LÄN</t>
        </is>
      </c>
      <c r="G778" t="inlineStr">
        <is>
          <t>UPPVIDINGE</t>
        </is>
      </c>
      <c r="I778" t="n">
        <v>0.4</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9970-2022</t>
        </is>
      </c>
      <c r="B779" t="inlineStr">
        <is>
          <t>avverkningsanmälan</t>
        </is>
      </c>
      <c r="C779" t="inlineStr">
        <is>
          <t>Föryngringsavverkning</t>
        </is>
      </c>
      <c r="D779" s="1" t="n">
        <v>44621</v>
      </c>
      <c r="E779" s="1" t="n">
        <v>46316</v>
      </c>
      <c r="F779" t="inlineStr">
        <is>
          <t>KRONOBERGS LÄN</t>
        </is>
      </c>
      <c r="G779" t="inlineStr">
        <is>
          <t>ÄLMHULT</t>
        </is>
      </c>
      <c r="I779" t="n">
        <v>0.3</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48273-2022</t>
        </is>
      </c>
      <c r="B780" t="inlineStr">
        <is>
          <t>avverkningsanmälan</t>
        </is>
      </c>
      <c r="C780" t="inlineStr">
        <is>
          <t>Föryngringsavverkning</t>
        </is>
      </c>
      <c r="D780" s="1" t="n">
        <v>44858</v>
      </c>
      <c r="E780" s="1" t="n">
        <v>46316</v>
      </c>
      <c r="F780" t="inlineStr">
        <is>
          <t>KRONOBERGS LÄN</t>
        </is>
      </c>
      <c r="G780" t="inlineStr">
        <is>
          <t>UPPVIDINGE</t>
        </is>
      </c>
      <c r="I780" t="n">
        <v>0.6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49593-2022</t>
        </is>
      </c>
      <c r="B781" t="inlineStr">
        <is>
          <t>avverkningsanmälan</t>
        </is>
      </c>
      <c r="C781" t="inlineStr">
        <is>
          <t>Föryngringsavverkning</t>
        </is>
      </c>
      <c r="D781" s="1" t="n">
        <v>44862</v>
      </c>
      <c r="E781" s="1" t="n">
        <v>46316</v>
      </c>
      <c r="F781" t="inlineStr">
        <is>
          <t>KRONOBERGS LÄN</t>
        </is>
      </c>
      <c r="G781" t="inlineStr">
        <is>
          <t>LJUNGBY</t>
        </is>
      </c>
      <c r="I781" t="n">
        <v>0.6</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47728-2022</t>
        </is>
      </c>
      <c r="B782" t="inlineStr">
        <is>
          <t>avverkningsanmälan</t>
        </is>
      </c>
      <c r="C782" t="inlineStr">
        <is>
          <t>Föryngringsavverkning</t>
        </is>
      </c>
      <c r="D782" s="1" t="n">
        <v>44854</v>
      </c>
      <c r="E782" s="1" t="n">
        <v>46316</v>
      </c>
      <c r="F782" t="inlineStr">
        <is>
          <t>KRONOBERGS LÄN</t>
        </is>
      </c>
      <c r="G782" t="inlineStr">
        <is>
          <t>ÄLMHULT</t>
        </is>
      </c>
      <c r="I782" t="n">
        <v>1.2</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3133-2022</t>
        </is>
      </c>
      <c r="B783" t="inlineStr">
        <is>
          <t>avverkningsanmälan</t>
        </is>
      </c>
      <c r="C783" t="inlineStr">
        <is>
          <t>Föryngringsavverkning</t>
        </is>
      </c>
      <c r="D783" s="1" t="n">
        <v>44582</v>
      </c>
      <c r="E783" s="1" t="n">
        <v>46316</v>
      </c>
      <c r="F783" t="inlineStr">
        <is>
          <t>KRONOBERGS LÄN</t>
        </is>
      </c>
      <c r="G783" t="inlineStr">
        <is>
          <t>MARKARYD</t>
        </is>
      </c>
      <c r="I783" t="n">
        <v>1.2</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48763-2022</t>
        </is>
      </c>
      <c r="B784" t="inlineStr">
        <is>
          <t>avverkningsanmälan</t>
        </is>
      </c>
      <c r="C784" t="inlineStr">
        <is>
          <t>Föryngringsavverkning</t>
        </is>
      </c>
      <c r="D784" s="1" t="n">
        <v>44859</v>
      </c>
      <c r="E784" s="1" t="n">
        <v>46316</v>
      </c>
      <c r="F784" t="inlineStr">
        <is>
          <t>KRONOBERGS LÄN</t>
        </is>
      </c>
      <c r="G784" t="inlineStr">
        <is>
          <t>ALVESTA</t>
        </is>
      </c>
      <c r="I784" t="n">
        <v>0.4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45095-2022</t>
        </is>
      </c>
      <c r="B785" t="inlineStr">
        <is>
          <t>avverkningsanmälan</t>
        </is>
      </c>
      <c r="C785" t="inlineStr">
        <is>
          <t>Föryngringsavverkning</t>
        </is>
      </c>
      <c r="D785" s="1" t="n">
        <v>44842</v>
      </c>
      <c r="E785" s="1" t="n">
        <v>46316</v>
      </c>
      <c r="F785" t="inlineStr">
        <is>
          <t>KRONOBERGS LÄN</t>
        </is>
      </c>
      <c r="G785" t="inlineStr">
        <is>
          <t>LESSEBO</t>
        </is>
      </c>
      <c r="H785" t="inlineStr">
        <is>
          <t>Sveaskog</t>
        </is>
      </c>
      <c r="I785" t="n">
        <v>1.5</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59408-2021</t>
        </is>
      </c>
      <c r="B786" t="inlineStr">
        <is>
          <t>avverkningsanmälan</t>
        </is>
      </c>
      <c r="C786" t="inlineStr">
        <is>
          <t>Föryngringsavverkning</t>
        </is>
      </c>
      <c r="D786" s="1" t="n">
        <v>44491</v>
      </c>
      <c r="E786" s="1" t="n">
        <v>46316</v>
      </c>
      <c r="F786" t="inlineStr">
        <is>
          <t>KRONOBERGS LÄN</t>
        </is>
      </c>
      <c r="G786" t="inlineStr">
        <is>
          <t>LESSEBO</t>
        </is>
      </c>
      <c r="I786" t="n">
        <v>1.8</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26695-2022</t>
        </is>
      </c>
      <c r="B787" t="inlineStr">
        <is>
          <t>avverkningsanmälan</t>
        </is>
      </c>
      <c r="C787" t="inlineStr">
        <is>
          <t>Föryngringsavverkning</t>
        </is>
      </c>
      <c r="D787" s="1" t="n">
        <v>44739</v>
      </c>
      <c r="E787" s="1" t="n">
        <v>46316</v>
      </c>
      <c r="F787" t="inlineStr">
        <is>
          <t>KRONOBERGS LÄN</t>
        </is>
      </c>
      <c r="G787" t="inlineStr">
        <is>
          <t>ALVESTA</t>
        </is>
      </c>
      <c r="I787" t="n">
        <v>0.4</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59719-2021</t>
        </is>
      </c>
      <c r="B788" t="inlineStr">
        <is>
          <t>avverkningsanmälan</t>
        </is>
      </c>
      <c r="C788" t="inlineStr">
        <is>
          <t>Föryngringsavverkning</t>
        </is>
      </c>
      <c r="D788" s="1" t="n">
        <v>44494</v>
      </c>
      <c r="E788" s="1" t="n">
        <v>46316</v>
      </c>
      <c r="F788" t="inlineStr">
        <is>
          <t>KRONOBERGS LÄN</t>
        </is>
      </c>
      <c r="G788" t="inlineStr">
        <is>
          <t>TINGSRYD</t>
        </is>
      </c>
      <c r="I788" t="n">
        <v>1.1</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32222-2022</t>
        </is>
      </c>
      <c r="B789" t="inlineStr">
        <is>
          <t>avverkningsanmälan</t>
        </is>
      </c>
      <c r="C789" t="inlineStr">
        <is>
          <t>Föryngringsavverkning</t>
        </is>
      </c>
      <c r="D789" s="1" t="n">
        <v>44781</v>
      </c>
      <c r="E789" s="1" t="n">
        <v>46316</v>
      </c>
      <c r="F789" t="inlineStr">
        <is>
          <t>KRONOBERGS LÄN</t>
        </is>
      </c>
      <c r="G789" t="inlineStr">
        <is>
          <t>VÄXJÖ</t>
        </is>
      </c>
      <c r="I789" t="n">
        <v>2</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21867-2022</t>
        </is>
      </c>
      <c r="B790" t="inlineStr">
        <is>
          <t>avverkningsanmälan</t>
        </is>
      </c>
      <c r="C790" t="inlineStr">
        <is>
          <t>Föryngringsavverkning</t>
        </is>
      </c>
      <c r="D790" s="1" t="n">
        <v>44711</v>
      </c>
      <c r="E790" s="1" t="n">
        <v>46316</v>
      </c>
      <c r="F790" t="inlineStr">
        <is>
          <t>KRONOBERGS LÄN</t>
        </is>
      </c>
      <c r="G790" t="inlineStr">
        <is>
          <t>UPPVIDINGE</t>
        </is>
      </c>
      <c r="I790" t="n">
        <v>1.3</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47747-2022</t>
        </is>
      </c>
      <c r="B791" t="inlineStr">
        <is>
          <t>avverkningsanmälan</t>
        </is>
      </c>
      <c r="C791" t="inlineStr">
        <is>
          <t>Föryngringsavverkning</t>
        </is>
      </c>
      <c r="D791" s="1" t="n">
        <v>44854</v>
      </c>
      <c r="E791" s="1" t="n">
        <v>46316</v>
      </c>
      <c r="F791" t="inlineStr">
        <is>
          <t>KRONOBERGS LÄN</t>
        </is>
      </c>
      <c r="G791" t="inlineStr">
        <is>
          <t>ÄLMHULT</t>
        </is>
      </c>
      <c r="I791" t="n">
        <v>0.8</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63820-2021</t>
        </is>
      </c>
      <c r="B792" t="inlineStr">
        <is>
          <t>avverkningsanmälan</t>
        </is>
      </c>
      <c r="C792" t="inlineStr">
        <is>
          <t>Föryngringsavverkning</t>
        </is>
      </c>
      <c r="D792" s="1" t="n">
        <v>44509</v>
      </c>
      <c r="E792" s="1" t="n">
        <v>46316</v>
      </c>
      <c r="F792" t="inlineStr">
        <is>
          <t>KRONOBERGS LÄN</t>
        </is>
      </c>
      <c r="G792" t="inlineStr">
        <is>
          <t>TINGSRYD</t>
        </is>
      </c>
      <c r="I792" t="n">
        <v>0.8</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65372-2021</t>
        </is>
      </c>
      <c r="B793" t="inlineStr">
        <is>
          <t>avverkningsanmälan</t>
        </is>
      </c>
      <c r="C793" t="inlineStr">
        <is>
          <t>Föryngringsavverkning</t>
        </is>
      </c>
      <c r="D793" s="1" t="n">
        <v>44515</v>
      </c>
      <c r="E793" s="1" t="n">
        <v>46316</v>
      </c>
      <c r="F793" t="inlineStr">
        <is>
          <t>KRONOBERGS LÄN</t>
        </is>
      </c>
      <c r="G793" t="inlineStr">
        <is>
          <t>ALVESTA</t>
        </is>
      </c>
      <c r="I793" t="n">
        <v>0.8</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30763-2022</t>
        </is>
      </c>
      <c r="B794" t="inlineStr">
        <is>
          <t>avverkningsanmälan</t>
        </is>
      </c>
      <c r="C794" t="inlineStr">
        <is>
          <t>Föryngringsavverkning</t>
        </is>
      </c>
      <c r="D794" s="1" t="n">
        <v>44764</v>
      </c>
      <c r="E794" s="1" t="n">
        <v>46316</v>
      </c>
      <c r="F794" t="inlineStr">
        <is>
          <t>KRONOBERGS LÄN</t>
        </is>
      </c>
      <c r="G794" t="inlineStr">
        <is>
          <t>LJUNGBY</t>
        </is>
      </c>
      <c r="I794" t="n">
        <v>1.5</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59667-2021</t>
        </is>
      </c>
      <c r="B795" t="inlineStr">
        <is>
          <t>avverkningsanmälan</t>
        </is>
      </c>
      <c r="C795" t="inlineStr">
        <is>
          <t>Föryngringsavverkning</t>
        </is>
      </c>
      <c r="D795" s="1" t="n">
        <v>44494</v>
      </c>
      <c r="E795" s="1" t="n">
        <v>46316</v>
      </c>
      <c r="F795" t="inlineStr">
        <is>
          <t>KRONOBERGS LÄN</t>
        </is>
      </c>
      <c r="G795" t="inlineStr">
        <is>
          <t>VÄXJÖ</t>
        </is>
      </c>
      <c r="I795" t="n">
        <v>5.4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17727-2022</t>
        </is>
      </c>
      <c r="B796" t="inlineStr">
        <is>
          <t>avverkningsanmälan</t>
        </is>
      </c>
      <c r="C796" t="inlineStr">
        <is>
          <t>Föryngringsavverkning</t>
        </is>
      </c>
      <c r="D796" s="1" t="n">
        <v>44680</v>
      </c>
      <c r="E796" s="1" t="n">
        <v>46316</v>
      </c>
      <c r="F796" t="inlineStr">
        <is>
          <t>KRONOBERGS LÄN</t>
        </is>
      </c>
      <c r="G796" t="inlineStr">
        <is>
          <t>ÄLMHULT</t>
        </is>
      </c>
      <c r="I796" t="n">
        <v>1</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21014-2022</t>
        </is>
      </c>
      <c r="B797" t="inlineStr">
        <is>
          <t>avverkningsanmälan</t>
        </is>
      </c>
      <c r="C797" t="inlineStr">
        <is>
          <t>Föryngringsavverkning</t>
        </is>
      </c>
      <c r="D797" s="1" t="n">
        <v>44704</v>
      </c>
      <c r="E797" s="1" t="n">
        <v>46316</v>
      </c>
      <c r="F797" t="inlineStr">
        <is>
          <t>KRONOBERGS LÄN</t>
        </is>
      </c>
      <c r="G797" t="inlineStr">
        <is>
          <t>VÄXJÖ</t>
        </is>
      </c>
      <c r="I797" t="n">
        <v>0.4</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66862-2021</t>
        </is>
      </c>
      <c r="B798" t="inlineStr">
        <is>
          <t>avverkningsanmälan</t>
        </is>
      </c>
      <c r="C798" t="inlineStr">
        <is>
          <t>Föryngringsavverkning</t>
        </is>
      </c>
      <c r="D798" s="1" t="n">
        <v>44522</v>
      </c>
      <c r="E798" s="1" t="n">
        <v>46316</v>
      </c>
      <c r="F798" t="inlineStr">
        <is>
          <t>KRONOBERGS LÄN</t>
        </is>
      </c>
      <c r="G798" t="inlineStr">
        <is>
          <t>VÄXJÖ</t>
        </is>
      </c>
      <c r="I798" t="n">
        <v>1.4</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66981-2021</t>
        </is>
      </c>
      <c r="B799" t="inlineStr">
        <is>
          <t>avverkningsanmälan</t>
        </is>
      </c>
      <c r="C799" t="inlineStr">
        <is>
          <t>Föryngringsavverkning</t>
        </is>
      </c>
      <c r="D799" s="1" t="n">
        <v>44522</v>
      </c>
      <c r="E799" s="1" t="n">
        <v>46316</v>
      </c>
      <c r="F799" t="inlineStr">
        <is>
          <t>KRONOBERGS LÄN</t>
        </is>
      </c>
      <c r="G799" t="inlineStr">
        <is>
          <t>UPPVIDINGE</t>
        </is>
      </c>
      <c r="I799" t="n">
        <v>0.6</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26470-2022</t>
        </is>
      </c>
      <c r="B800" t="inlineStr">
        <is>
          <t>avverkningsanmälan</t>
        </is>
      </c>
      <c r="C800" t="inlineStr">
        <is>
          <t>Föryngringsavverkning</t>
        </is>
      </c>
      <c r="D800" s="1" t="n">
        <v>44739</v>
      </c>
      <c r="E800" s="1" t="n">
        <v>46316</v>
      </c>
      <c r="F800" t="inlineStr">
        <is>
          <t>KRONOBERGS LÄN</t>
        </is>
      </c>
      <c r="G800" t="inlineStr">
        <is>
          <t>LJUNGBY</t>
        </is>
      </c>
      <c r="I800" t="n">
        <v>1.6</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26376-2022</t>
        </is>
      </c>
      <c r="B801" t="inlineStr">
        <is>
          <t>avverkningsanmälan</t>
        </is>
      </c>
      <c r="C801" t="inlineStr">
        <is>
          <t>Föryngringsavverkning</t>
        </is>
      </c>
      <c r="D801" s="1" t="n">
        <v>44735</v>
      </c>
      <c r="E801" s="1" t="n">
        <v>46316</v>
      </c>
      <c r="F801" t="inlineStr">
        <is>
          <t>KRONOBERGS LÄN</t>
        </is>
      </c>
      <c r="G801" t="inlineStr">
        <is>
          <t>ALVESTA</t>
        </is>
      </c>
      <c r="I801" t="n">
        <v>0.6</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66829-2021</t>
        </is>
      </c>
      <c r="B802" t="inlineStr">
        <is>
          <t>avverkningsanmälan</t>
        </is>
      </c>
      <c r="C802" t="inlineStr">
        <is>
          <t>Föryngringsavverkning</t>
        </is>
      </c>
      <c r="D802" s="1" t="n">
        <v>44522</v>
      </c>
      <c r="E802" s="1" t="n">
        <v>46316</v>
      </c>
      <c r="F802" t="inlineStr">
        <is>
          <t>KRONOBERGS LÄN</t>
        </is>
      </c>
      <c r="G802" t="inlineStr">
        <is>
          <t>TINGSRYD</t>
        </is>
      </c>
      <c r="I802" t="n">
        <v>1.8</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67506-2021</t>
        </is>
      </c>
      <c r="B803" t="inlineStr">
        <is>
          <t>avverkningsanmälan</t>
        </is>
      </c>
      <c r="C803" t="inlineStr">
        <is>
          <t>Föryngringsavverkning</t>
        </is>
      </c>
      <c r="D803" s="1" t="n">
        <v>44524</v>
      </c>
      <c r="E803" s="1" t="n">
        <v>46316</v>
      </c>
      <c r="F803" t="inlineStr">
        <is>
          <t>KRONOBERGS LÄN</t>
        </is>
      </c>
      <c r="G803" t="inlineStr">
        <is>
          <t>ÄLMHULT</t>
        </is>
      </c>
      <c r="I803" t="n">
        <v>0.5</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23830-2022</t>
        </is>
      </c>
      <c r="B804" t="inlineStr">
        <is>
          <t>avverkningsanmälan</t>
        </is>
      </c>
      <c r="C804" t="inlineStr">
        <is>
          <t>Föryngringsavverkning</t>
        </is>
      </c>
      <c r="D804" s="1" t="n">
        <v>44722</v>
      </c>
      <c r="E804" s="1" t="n">
        <v>46316</v>
      </c>
      <c r="F804" t="inlineStr">
        <is>
          <t>KRONOBERGS LÄN</t>
        </is>
      </c>
      <c r="G804" t="inlineStr">
        <is>
          <t>TINGSRYD</t>
        </is>
      </c>
      <c r="I804" t="n">
        <v>6.8</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69951-2021</t>
        </is>
      </c>
      <c r="B805" t="inlineStr">
        <is>
          <t>avverkningsanmälan</t>
        </is>
      </c>
      <c r="C805" t="inlineStr">
        <is>
          <t>Föryngringsavverkning</t>
        </is>
      </c>
      <c r="D805" s="1" t="n">
        <v>44533</v>
      </c>
      <c r="E805" s="1" t="n">
        <v>46316</v>
      </c>
      <c r="F805" t="inlineStr">
        <is>
          <t>KRONOBERGS LÄN</t>
        </is>
      </c>
      <c r="G805" t="inlineStr">
        <is>
          <t>TINGSRYD</t>
        </is>
      </c>
      <c r="I805" t="n">
        <v>1.7</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69842-2021</t>
        </is>
      </c>
      <c r="B806" t="inlineStr">
        <is>
          <t>avverkningsanmälan</t>
        </is>
      </c>
      <c r="C806" t="inlineStr">
        <is>
          <t>Föryngringsavverkning</t>
        </is>
      </c>
      <c r="D806" s="1" t="n">
        <v>44532</v>
      </c>
      <c r="E806" s="1" t="n">
        <v>46316</v>
      </c>
      <c r="F806" t="inlineStr">
        <is>
          <t>KRONOBERGS LÄN</t>
        </is>
      </c>
      <c r="G806" t="inlineStr">
        <is>
          <t>VÄXJÖ</t>
        </is>
      </c>
      <c r="I806" t="n">
        <v>1.2</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69844-2021</t>
        </is>
      </c>
      <c r="B807" t="inlineStr">
        <is>
          <t>avverkningsanmälan</t>
        </is>
      </c>
      <c r="C807" t="inlineStr">
        <is>
          <t>Föryngringsavverkning</t>
        </is>
      </c>
      <c r="D807" s="1" t="n">
        <v>44532</v>
      </c>
      <c r="E807" s="1" t="n">
        <v>46316</v>
      </c>
      <c r="F807" t="inlineStr">
        <is>
          <t>KRONOBERGS LÄN</t>
        </is>
      </c>
      <c r="G807" t="inlineStr">
        <is>
          <t>VÄXJÖ</t>
        </is>
      </c>
      <c r="I807" t="n">
        <v>3.9</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18966-2022</t>
        </is>
      </c>
      <c r="B808" t="inlineStr">
        <is>
          <t>avverkningsanmälan</t>
        </is>
      </c>
      <c r="C808" t="inlineStr">
        <is>
          <t>Föryngringsavverkning</t>
        </is>
      </c>
      <c r="D808" s="1" t="n">
        <v>44690</v>
      </c>
      <c r="E808" s="1" t="n">
        <v>46316</v>
      </c>
      <c r="F808" t="inlineStr">
        <is>
          <t>KRONOBERGS LÄN</t>
        </is>
      </c>
      <c r="G808" t="inlineStr">
        <is>
          <t>ÄLMHULT</t>
        </is>
      </c>
      <c r="I808" t="n">
        <v>0.9</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18968-2022</t>
        </is>
      </c>
      <c r="B809" t="inlineStr">
        <is>
          <t>avverkningsanmälan</t>
        </is>
      </c>
      <c r="C809" t="inlineStr">
        <is>
          <t>Föryngringsavverkning</t>
        </is>
      </c>
      <c r="D809" s="1" t="n">
        <v>44690</v>
      </c>
      <c r="E809" s="1" t="n">
        <v>46316</v>
      </c>
      <c r="F809" t="inlineStr">
        <is>
          <t>KRONOBERGS LÄN</t>
        </is>
      </c>
      <c r="G809" t="inlineStr">
        <is>
          <t>ÄLMHULT</t>
        </is>
      </c>
      <c r="I809" t="n">
        <v>1.4</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27541-2022</t>
        </is>
      </c>
      <c r="B810" t="inlineStr">
        <is>
          <t>avverkningsanmälan</t>
        </is>
      </c>
      <c r="C810" t="inlineStr">
        <is>
          <t>Föryngringsavverkning</t>
        </is>
      </c>
      <c r="D810" s="1" t="n">
        <v>44742</v>
      </c>
      <c r="E810" s="1" t="n">
        <v>46316</v>
      </c>
      <c r="F810" t="inlineStr">
        <is>
          <t>KRONOBERGS LÄN</t>
        </is>
      </c>
      <c r="G810" t="inlineStr">
        <is>
          <t>LJUNGBY</t>
        </is>
      </c>
      <c r="I810" t="n">
        <v>0.8</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43549-2022</t>
        </is>
      </c>
      <c r="B811" t="inlineStr">
        <is>
          <t>avverkningsanmälan</t>
        </is>
      </c>
      <c r="C811" t="inlineStr">
        <is>
          <t>Föryngringsavverkning</t>
        </is>
      </c>
      <c r="D811" s="1" t="n">
        <v>44837</v>
      </c>
      <c r="E811" s="1" t="n">
        <v>46316</v>
      </c>
      <c r="F811" t="inlineStr">
        <is>
          <t>KRONOBERGS LÄN</t>
        </is>
      </c>
      <c r="G811" t="inlineStr">
        <is>
          <t>UPPVIDINGE</t>
        </is>
      </c>
      <c r="I811" t="n">
        <v>0.7</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68513-2021</t>
        </is>
      </c>
      <c r="B812" t="inlineStr">
        <is>
          <t>avverkningsanmälan</t>
        </is>
      </c>
      <c r="C812" t="inlineStr">
        <is>
          <t>Föryngringsavverkning</t>
        </is>
      </c>
      <c r="D812" s="1" t="n">
        <v>44529</v>
      </c>
      <c r="E812" s="1" t="n">
        <v>46316</v>
      </c>
      <c r="F812" t="inlineStr">
        <is>
          <t>KRONOBERGS LÄN</t>
        </is>
      </c>
      <c r="G812" t="inlineStr">
        <is>
          <t>LESSEBO</t>
        </is>
      </c>
      <c r="I812" t="n">
        <v>1.3</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61339-2021</t>
        </is>
      </c>
      <c r="B813" t="inlineStr">
        <is>
          <t>avverkningsanmälan</t>
        </is>
      </c>
      <c r="C813" t="inlineStr">
        <is>
          <t>Föryngringsavverkning</t>
        </is>
      </c>
      <c r="D813" s="1" t="n">
        <v>44498</v>
      </c>
      <c r="E813" s="1" t="n">
        <v>46316</v>
      </c>
      <c r="F813" t="inlineStr">
        <is>
          <t>KRONOBERGS LÄN</t>
        </is>
      </c>
      <c r="G813" t="inlineStr">
        <is>
          <t>VÄXJÖ</t>
        </is>
      </c>
      <c r="I813" t="n">
        <v>0.7</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50026-2022</t>
        </is>
      </c>
      <c r="B814" t="inlineStr">
        <is>
          <t>avverkningsanmälan</t>
        </is>
      </c>
      <c r="C814" t="inlineStr">
        <is>
          <t>Föryngringsavverkning</t>
        </is>
      </c>
      <c r="D814" s="1" t="n">
        <v>44865</v>
      </c>
      <c r="E814" s="1" t="n">
        <v>46316</v>
      </c>
      <c r="F814" t="inlineStr">
        <is>
          <t>KRONOBERGS LÄN</t>
        </is>
      </c>
      <c r="G814" t="inlineStr">
        <is>
          <t>ÄLMHULT</t>
        </is>
      </c>
      <c r="I814" t="n">
        <v>0.5</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47691-2022</t>
        </is>
      </c>
      <c r="B815" t="inlineStr">
        <is>
          <t>avverkningsanmälan</t>
        </is>
      </c>
      <c r="C815" t="inlineStr">
        <is>
          <t>Föryngringsavverkning</t>
        </is>
      </c>
      <c r="D815" s="1" t="n">
        <v>44854</v>
      </c>
      <c r="E815" s="1" t="n">
        <v>46316</v>
      </c>
      <c r="F815" t="inlineStr">
        <is>
          <t>KRONOBERGS LÄN</t>
        </is>
      </c>
      <c r="G815" t="inlineStr">
        <is>
          <t>ALVESTA</t>
        </is>
      </c>
      <c r="I815" t="n">
        <v>0.5</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24856-2022</t>
        </is>
      </c>
      <c r="B816" t="inlineStr">
        <is>
          <t>avverkningsanmälan</t>
        </is>
      </c>
      <c r="C816" t="inlineStr">
        <is>
          <t>Föryngringsavverkning</t>
        </is>
      </c>
      <c r="D816" s="1" t="n">
        <v>44728</v>
      </c>
      <c r="E816" s="1" t="n">
        <v>46316</v>
      </c>
      <c r="F816" t="inlineStr">
        <is>
          <t>KRONOBERGS LÄN</t>
        </is>
      </c>
      <c r="G816" t="inlineStr">
        <is>
          <t>ALVESTA</t>
        </is>
      </c>
      <c r="I816" t="n">
        <v>0.6</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49037-2022</t>
        </is>
      </c>
      <c r="B817" t="inlineStr">
        <is>
          <t>avverkningsanmälan</t>
        </is>
      </c>
      <c r="C817" t="inlineStr">
        <is>
          <t>Föryngringsavverkning</t>
        </is>
      </c>
      <c r="D817" s="1" t="n">
        <v>44860</v>
      </c>
      <c r="E817" s="1" t="n">
        <v>46316</v>
      </c>
      <c r="F817" t="inlineStr">
        <is>
          <t>KRONOBERGS LÄN</t>
        </is>
      </c>
      <c r="G817" t="inlineStr">
        <is>
          <t>VÄXJÖ</t>
        </is>
      </c>
      <c r="I817" t="n">
        <v>0.9</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49724-2022</t>
        </is>
      </c>
      <c r="B818" t="inlineStr">
        <is>
          <t>avverkningsanmälan</t>
        </is>
      </c>
      <c r="C818" t="inlineStr">
        <is>
          <t>Föryngringsavverkning</t>
        </is>
      </c>
      <c r="D818" s="1" t="n">
        <v>44859</v>
      </c>
      <c r="E818" s="1" t="n">
        <v>46316</v>
      </c>
      <c r="F818" t="inlineStr">
        <is>
          <t>KRONOBERGS LÄN</t>
        </is>
      </c>
      <c r="G818" t="inlineStr">
        <is>
          <t>UPPVIDINGE</t>
        </is>
      </c>
      <c r="I818" t="n">
        <v>3</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65037-2021</t>
        </is>
      </c>
      <c r="B819" t="inlineStr">
        <is>
          <t>avverkningsanmälan</t>
        </is>
      </c>
      <c r="C819" t="inlineStr">
        <is>
          <t>Avverkning för att bevara och utveckla /försöksver</t>
        </is>
      </c>
      <c r="D819" s="1" t="n">
        <v>44515</v>
      </c>
      <c r="E819" s="1" t="n">
        <v>46316</v>
      </c>
      <c r="F819" t="inlineStr">
        <is>
          <t>KRONOBERGS LÄN</t>
        </is>
      </c>
      <c r="G819" t="inlineStr">
        <is>
          <t>LJUNGBY</t>
        </is>
      </c>
      <c r="I819" t="n">
        <v>1</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20114-2022</t>
        </is>
      </c>
      <c r="B820" t="inlineStr">
        <is>
          <t>avverkningsanmälan</t>
        </is>
      </c>
      <c r="C820" t="inlineStr">
        <is>
          <t>Föryngringsavverkning</t>
        </is>
      </c>
      <c r="D820" s="1" t="n">
        <v>44698</v>
      </c>
      <c r="E820" s="1" t="n">
        <v>46316</v>
      </c>
      <c r="F820" t="inlineStr">
        <is>
          <t>KRONOBERGS LÄN</t>
        </is>
      </c>
      <c r="G820" t="inlineStr">
        <is>
          <t>TINGSRYD</t>
        </is>
      </c>
      <c r="I820" t="n">
        <v>1.1</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11628-2022</t>
        </is>
      </c>
      <c r="B821" t="inlineStr">
        <is>
          <t>avverkningsanmälan</t>
        </is>
      </c>
      <c r="C821" t="inlineStr">
        <is>
          <t>Föryngringsavverkning</t>
        </is>
      </c>
      <c r="D821" s="1" t="n">
        <v>44631</v>
      </c>
      <c r="E821" s="1" t="n">
        <v>46316</v>
      </c>
      <c r="F821" t="inlineStr">
        <is>
          <t>KRONOBERGS LÄN</t>
        </is>
      </c>
      <c r="G821" t="inlineStr">
        <is>
          <t>TINGSRYD</t>
        </is>
      </c>
      <c r="I821" t="n">
        <v>0.7</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65988-2021</t>
        </is>
      </c>
      <c r="B822" t="inlineStr">
        <is>
          <t>avverkningsanmälan</t>
        </is>
      </c>
      <c r="C822" t="inlineStr">
        <is>
          <t>Föryngringsavverkning</t>
        </is>
      </c>
      <c r="D822" s="1" t="n">
        <v>44517</v>
      </c>
      <c r="E822" s="1" t="n">
        <v>46316</v>
      </c>
      <c r="F822" t="inlineStr">
        <is>
          <t>KRONOBERGS LÄN</t>
        </is>
      </c>
      <c r="G822" t="inlineStr">
        <is>
          <t>LJUNGBY</t>
        </is>
      </c>
      <c r="I822" t="n">
        <v>0.7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5563-2022</t>
        </is>
      </c>
      <c r="B823" t="inlineStr">
        <is>
          <t>avverkningsanmälan</t>
        </is>
      </c>
      <c r="C823" t="inlineStr">
        <is>
          <t>Föryngringsavverkning</t>
        </is>
      </c>
      <c r="D823" s="1" t="n">
        <v>44595</v>
      </c>
      <c r="E823" s="1" t="n">
        <v>46316</v>
      </c>
      <c r="F823" t="inlineStr">
        <is>
          <t>KRONOBERGS LÄN</t>
        </is>
      </c>
      <c r="G823" t="inlineStr">
        <is>
          <t>LJUNGBY</t>
        </is>
      </c>
      <c r="H823" t="inlineStr">
        <is>
          <t>Kyrkan</t>
        </is>
      </c>
      <c r="I823" t="n">
        <v>2.5</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5673-2022</t>
        </is>
      </c>
      <c r="B824" t="inlineStr">
        <is>
          <t>avverkningsanmälan</t>
        </is>
      </c>
      <c r="C824" t="inlineStr">
        <is>
          <t>Föryngringsavverkning</t>
        </is>
      </c>
      <c r="D824" s="1" t="n">
        <v>44596</v>
      </c>
      <c r="E824" s="1" t="n">
        <v>46316</v>
      </c>
      <c r="F824" t="inlineStr">
        <is>
          <t>KRONOBERGS LÄN</t>
        </is>
      </c>
      <c r="G824" t="inlineStr">
        <is>
          <t>VÄXJÖ</t>
        </is>
      </c>
      <c r="I824" t="n">
        <v>0</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60699-2021</t>
        </is>
      </c>
      <c r="B825" t="inlineStr">
        <is>
          <t>avverkningsanmälan</t>
        </is>
      </c>
      <c r="C825" t="inlineStr">
        <is>
          <t>Föryngringsavverkning</t>
        </is>
      </c>
      <c r="D825" s="1" t="n">
        <v>44496</v>
      </c>
      <c r="E825" s="1" t="n">
        <v>46316</v>
      </c>
      <c r="F825" t="inlineStr">
        <is>
          <t>KRONOBERGS LÄN</t>
        </is>
      </c>
      <c r="G825" t="inlineStr">
        <is>
          <t>ÄLMHULT</t>
        </is>
      </c>
      <c r="I825" t="n">
        <v>2</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67158-2021</t>
        </is>
      </c>
      <c r="B826" t="inlineStr">
        <is>
          <t>avverkningsanmälan</t>
        </is>
      </c>
      <c r="C826" t="inlineStr">
        <is>
          <t>Föryngringsavverkning</t>
        </is>
      </c>
      <c r="D826" s="1" t="n">
        <v>44523</v>
      </c>
      <c r="E826" s="1" t="n">
        <v>46316</v>
      </c>
      <c r="F826" t="inlineStr">
        <is>
          <t>KRONOBERGS LÄN</t>
        </is>
      </c>
      <c r="G826" t="inlineStr">
        <is>
          <t>TINGSRYD</t>
        </is>
      </c>
      <c r="I826" t="n">
        <v>1.8</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4804-2022</t>
        </is>
      </c>
      <c r="B827" t="inlineStr">
        <is>
          <t>avverkningsanmälan</t>
        </is>
      </c>
      <c r="C827" t="inlineStr">
        <is>
          <t>Föryngringsavverkning</t>
        </is>
      </c>
      <c r="D827" s="1" t="n">
        <v>44592</v>
      </c>
      <c r="E827" s="1" t="n">
        <v>46316</v>
      </c>
      <c r="F827" t="inlineStr">
        <is>
          <t>KRONOBERGS LÄN</t>
        </is>
      </c>
      <c r="G827" t="inlineStr">
        <is>
          <t>LJUNGBY</t>
        </is>
      </c>
      <c r="H827" t="inlineStr">
        <is>
          <t>Kommuner</t>
        </is>
      </c>
      <c r="I827" t="n">
        <v>3.3</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1580-2022</t>
        </is>
      </c>
      <c r="B828" t="inlineStr">
        <is>
          <t>avverkningsanmälan</t>
        </is>
      </c>
      <c r="C828" t="inlineStr">
        <is>
          <t>Föryngringsavverkning</t>
        </is>
      </c>
      <c r="D828" s="1" t="n">
        <v>44573</v>
      </c>
      <c r="E828" s="1" t="n">
        <v>46316</v>
      </c>
      <c r="F828" t="inlineStr">
        <is>
          <t>KRONOBERGS LÄN</t>
        </is>
      </c>
      <c r="G828" t="inlineStr">
        <is>
          <t>VÄXJÖ</t>
        </is>
      </c>
      <c r="I828" t="n">
        <v>1.2</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23566-2022</t>
        </is>
      </c>
      <c r="B829" t="inlineStr">
        <is>
          <t>avverkningsanmälan</t>
        </is>
      </c>
      <c r="C829" t="inlineStr">
        <is>
          <t>Föryngringsavverkning</t>
        </is>
      </c>
      <c r="D829" s="1" t="n">
        <v>44721</v>
      </c>
      <c r="E829" s="1" t="n">
        <v>46316</v>
      </c>
      <c r="F829" t="inlineStr">
        <is>
          <t>KRONOBERGS LÄN</t>
        </is>
      </c>
      <c r="G829" t="inlineStr">
        <is>
          <t>ÄLMHULT</t>
        </is>
      </c>
      <c r="I829" t="n">
        <v>0.6</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67941-2021</t>
        </is>
      </c>
      <c r="B830" t="inlineStr">
        <is>
          <t>avverkningsanmälan</t>
        </is>
      </c>
      <c r="C830" t="inlineStr">
        <is>
          <t>Föryngringsavverkning</t>
        </is>
      </c>
      <c r="D830" s="1" t="n">
        <v>44525</v>
      </c>
      <c r="E830" s="1" t="n">
        <v>46316</v>
      </c>
      <c r="F830" t="inlineStr">
        <is>
          <t>KRONOBERGS LÄN</t>
        </is>
      </c>
      <c r="G830" t="inlineStr">
        <is>
          <t>ÄLMHULT</t>
        </is>
      </c>
      <c r="I830" t="n">
        <v>0.5</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22296-2022</t>
        </is>
      </c>
      <c r="B831" t="inlineStr">
        <is>
          <t>avverkningsanmälan</t>
        </is>
      </c>
      <c r="C831" t="inlineStr">
        <is>
          <t>Föryngringsavverkning</t>
        </is>
      </c>
      <c r="D831" s="1" t="n">
        <v>44712</v>
      </c>
      <c r="E831" s="1" t="n">
        <v>46316</v>
      </c>
      <c r="F831" t="inlineStr">
        <is>
          <t>KRONOBERGS LÄN</t>
        </is>
      </c>
      <c r="G831" t="inlineStr">
        <is>
          <t>VÄXJÖ</t>
        </is>
      </c>
      <c r="I831" t="n">
        <v>1.4</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53535-2022</t>
        </is>
      </c>
      <c r="B832" t="inlineStr">
        <is>
          <t>avverkningsanmälan</t>
        </is>
      </c>
      <c r="C832" t="inlineStr">
        <is>
          <t>Föryngringsavverkning</t>
        </is>
      </c>
      <c r="D832" s="1" t="n">
        <v>44879</v>
      </c>
      <c r="E832" s="1" t="n">
        <v>46316</v>
      </c>
      <c r="F832" t="inlineStr">
        <is>
          <t>KRONOBERGS LÄN</t>
        </is>
      </c>
      <c r="G832" t="inlineStr">
        <is>
          <t>LJUNGBY</t>
        </is>
      </c>
      <c r="I832" t="n">
        <v>2.5</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11916-2022</t>
        </is>
      </c>
      <c r="B833" t="inlineStr">
        <is>
          <t>avverkningsanmälan</t>
        </is>
      </c>
      <c r="C833" t="inlineStr">
        <is>
          <t>Föryngringsavverkning</t>
        </is>
      </c>
      <c r="D833" s="1" t="n">
        <v>44635</v>
      </c>
      <c r="E833" s="1" t="n">
        <v>46316</v>
      </c>
      <c r="F833" t="inlineStr">
        <is>
          <t>KRONOBERGS LÄN</t>
        </is>
      </c>
      <c r="G833" t="inlineStr">
        <is>
          <t>ALVESTA</t>
        </is>
      </c>
      <c r="I833" t="n">
        <v>0.9</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70869-2021</t>
        </is>
      </c>
      <c r="B834" t="inlineStr">
        <is>
          <t>avverkningsanmälan</t>
        </is>
      </c>
      <c r="C834" t="inlineStr">
        <is>
          <t>Avverkning för annat ändamål</t>
        </is>
      </c>
      <c r="D834" s="1" t="n">
        <v>44538</v>
      </c>
      <c r="E834" s="1" t="n">
        <v>46316</v>
      </c>
      <c r="F834" t="inlineStr">
        <is>
          <t>KRONOBERGS LÄN</t>
        </is>
      </c>
      <c r="G834" t="inlineStr">
        <is>
          <t>ALVESTA</t>
        </is>
      </c>
      <c r="I834" t="n">
        <v>0.7</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18220-2022</t>
        </is>
      </c>
      <c r="B835" t="inlineStr">
        <is>
          <t>avverkningsanmälan</t>
        </is>
      </c>
      <c r="C835" t="inlineStr">
        <is>
          <t>Föryngringsavverkning</t>
        </is>
      </c>
      <c r="D835" s="1" t="n">
        <v>44685</v>
      </c>
      <c r="E835" s="1" t="n">
        <v>46316</v>
      </c>
      <c r="F835" t="inlineStr">
        <is>
          <t>KRONOBERGS LÄN</t>
        </is>
      </c>
      <c r="G835" t="inlineStr">
        <is>
          <t>ÄLMHULT</t>
        </is>
      </c>
      <c r="I835" t="n">
        <v>1.5</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17689-2022</t>
        </is>
      </c>
      <c r="B836" t="inlineStr">
        <is>
          <t>avverkningsanmälan</t>
        </is>
      </c>
      <c r="C836" t="inlineStr">
        <is>
          <t>Föryngringsavverkning</t>
        </is>
      </c>
      <c r="D836" s="1" t="n">
        <v>44680</v>
      </c>
      <c r="E836" s="1" t="n">
        <v>46316</v>
      </c>
      <c r="F836" t="inlineStr">
        <is>
          <t>KRONOBERGS LÄN</t>
        </is>
      </c>
      <c r="G836" t="inlineStr">
        <is>
          <t>TINGSRYD</t>
        </is>
      </c>
      <c r="I836" t="n">
        <v>2</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42534-2022</t>
        </is>
      </c>
      <c r="B837" t="inlineStr">
        <is>
          <t>avverkningsanmälan</t>
        </is>
      </c>
      <c r="C837" t="inlineStr">
        <is>
          <t>Avverkning för annat ändamål</t>
        </is>
      </c>
      <c r="D837" s="1" t="n">
        <v>44831</v>
      </c>
      <c r="E837" s="1" t="n">
        <v>46316</v>
      </c>
      <c r="F837" t="inlineStr">
        <is>
          <t>KRONOBERGS LÄN</t>
        </is>
      </c>
      <c r="G837" t="inlineStr">
        <is>
          <t>LJUNGBY</t>
        </is>
      </c>
      <c r="I837" t="n">
        <v>3.1</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2403-2022</t>
        </is>
      </c>
      <c r="B838" t="inlineStr">
        <is>
          <t>avverkningsanmälan</t>
        </is>
      </c>
      <c r="C838" t="inlineStr">
        <is>
          <t>Föryngringsavverkning</t>
        </is>
      </c>
      <c r="D838" s="1" t="n">
        <v>44579</v>
      </c>
      <c r="E838" s="1" t="n">
        <v>46316</v>
      </c>
      <c r="F838" t="inlineStr">
        <is>
          <t>KRONOBERGS LÄN</t>
        </is>
      </c>
      <c r="G838" t="inlineStr">
        <is>
          <t>VÄXJÖ</t>
        </is>
      </c>
      <c r="I838" t="n">
        <v>0.6</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28968-2022</t>
        </is>
      </c>
      <c r="B839" t="inlineStr">
        <is>
          <t>avverkningsanmälan</t>
        </is>
      </c>
      <c r="C839" t="inlineStr">
        <is>
          <t>Föryngringsavverkning</t>
        </is>
      </c>
      <c r="D839" s="1" t="n">
        <v>44749</v>
      </c>
      <c r="E839" s="1" t="n">
        <v>46316</v>
      </c>
      <c r="F839" t="inlineStr">
        <is>
          <t>KRONOBERGS LÄN</t>
        </is>
      </c>
      <c r="G839" t="inlineStr">
        <is>
          <t>TINGSRYD</t>
        </is>
      </c>
      <c r="I839" t="n">
        <v>3.5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54482-2022</t>
        </is>
      </c>
      <c r="B840" t="inlineStr">
        <is>
          <t>avverkningsanmälan</t>
        </is>
      </c>
      <c r="C840" t="inlineStr">
        <is>
          <t>Föryngringsavverkning</t>
        </is>
      </c>
      <c r="D840" s="1" t="n">
        <v>44882</v>
      </c>
      <c r="E840" s="1" t="n">
        <v>46316</v>
      </c>
      <c r="F840" t="inlineStr">
        <is>
          <t>KRONOBERGS LÄN</t>
        </is>
      </c>
      <c r="G840" t="inlineStr">
        <is>
          <t>LJUNGBY</t>
        </is>
      </c>
      <c r="I840" t="n">
        <v>0.5</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46392-2022</t>
        </is>
      </c>
      <c r="B841" t="inlineStr">
        <is>
          <t>avverkningsanmälan</t>
        </is>
      </c>
      <c r="C841" t="inlineStr">
        <is>
          <t>Föryngringsavverkning</t>
        </is>
      </c>
      <c r="D841" s="1" t="n">
        <v>44848</v>
      </c>
      <c r="E841" s="1" t="n">
        <v>46316</v>
      </c>
      <c r="F841" t="inlineStr">
        <is>
          <t>KRONOBERGS LÄN</t>
        </is>
      </c>
      <c r="G841" t="inlineStr">
        <is>
          <t>MARKARYD</t>
        </is>
      </c>
      <c r="I841" t="n">
        <v>0.5</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43623-2022</t>
        </is>
      </c>
      <c r="B842" t="inlineStr">
        <is>
          <t>avverkningsanmälan</t>
        </is>
      </c>
      <c r="C842" t="inlineStr">
        <is>
          <t>Föryngringsavverkning</t>
        </is>
      </c>
      <c r="D842" s="1" t="n">
        <v>44837</v>
      </c>
      <c r="E842" s="1" t="n">
        <v>46316</v>
      </c>
      <c r="F842" t="inlineStr">
        <is>
          <t>KRONOBERGS LÄN</t>
        </is>
      </c>
      <c r="G842" t="inlineStr">
        <is>
          <t>MARKARYD</t>
        </is>
      </c>
      <c r="I842" t="n">
        <v>1.1</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21960-2022</t>
        </is>
      </c>
      <c r="B843" t="inlineStr">
        <is>
          <t>avverkningsanmälan</t>
        </is>
      </c>
      <c r="C843" t="inlineStr">
        <is>
          <t>Föryngringsavverkning</t>
        </is>
      </c>
      <c r="D843" s="1" t="n">
        <v>44711</v>
      </c>
      <c r="E843" s="1" t="n">
        <v>46316</v>
      </c>
      <c r="F843" t="inlineStr">
        <is>
          <t>KRONOBERGS LÄN</t>
        </is>
      </c>
      <c r="G843" t="inlineStr">
        <is>
          <t>VÄXJÖ</t>
        </is>
      </c>
      <c r="I843" t="n">
        <v>0.7</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21938-2022</t>
        </is>
      </c>
      <c r="B844" t="inlineStr">
        <is>
          <t>avverkningsanmälan</t>
        </is>
      </c>
      <c r="C844" t="inlineStr">
        <is>
          <t>Föryngringsavverkning</t>
        </is>
      </c>
      <c r="D844" s="1" t="n">
        <v>44711</v>
      </c>
      <c r="E844" s="1" t="n">
        <v>46316</v>
      </c>
      <c r="F844" t="inlineStr">
        <is>
          <t>KRONOBERGS LÄN</t>
        </is>
      </c>
      <c r="G844" t="inlineStr">
        <is>
          <t>TINGSRYD</t>
        </is>
      </c>
      <c r="I844" t="n">
        <v>0.8</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8006-2022</t>
        </is>
      </c>
      <c r="B845" t="inlineStr">
        <is>
          <t>avverkningsanmälan</t>
        </is>
      </c>
      <c r="C845" t="inlineStr">
        <is>
          <t>Föryngringsavverkning</t>
        </is>
      </c>
      <c r="D845" s="1" t="n">
        <v>44607</v>
      </c>
      <c r="E845" s="1" t="n">
        <v>46316</v>
      </c>
      <c r="F845" t="inlineStr">
        <is>
          <t>KRONOBERGS LÄN</t>
        </is>
      </c>
      <c r="G845" t="inlineStr">
        <is>
          <t>UPPVIDINGE</t>
        </is>
      </c>
      <c r="I845" t="n">
        <v>2.5</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8013-2022</t>
        </is>
      </c>
      <c r="B846" t="inlineStr">
        <is>
          <t>avverkningsanmälan</t>
        </is>
      </c>
      <c r="C846" t="inlineStr">
        <is>
          <t>Föryngringsavverkning</t>
        </is>
      </c>
      <c r="D846" s="1" t="n">
        <v>44607</v>
      </c>
      <c r="E846" s="1" t="n">
        <v>46316</v>
      </c>
      <c r="F846" t="inlineStr">
        <is>
          <t>KRONOBERGS LÄN</t>
        </is>
      </c>
      <c r="G846" t="inlineStr">
        <is>
          <t>UPPVIDINGE</t>
        </is>
      </c>
      <c r="I846" t="n">
        <v>5.7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19495-2022</t>
        </is>
      </c>
      <c r="B847" t="inlineStr">
        <is>
          <t>avverkningsanmälan</t>
        </is>
      </c>
      <c r="C847" t="inlineStr">
        <is>
          <t>Föryngringsavverkning</t>
        </is>
      </c>
      <c r="D847" s="1" t="n">
        <v>44693</v>
      </c>
      <c r="E847" s="1" t="n">
        <v>46316</v>
      </c>
      <c r="F847" t="inlineStr">
        <is>
          <t>KRONOBERGS LÄN</t>
        </is>
      </c>
      <c r="G847" t="inlineStr">
        <is>
          <t>LESSEBO</t>
        </is>
      </c>
      <c r="I847" t="n">
        <v>0.8</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59281-2021</t>
        </is>
      </c>
      <c r="B848" t="inlineStr">
        <is>
          <t>avverkningsanmälan</t>
        </is>
      </c>
      <c r="C848" t="inlineStr">
        <is>
          <t>Föryngringsavverkning</t>
        </is>
      </c>
      <c r="D848" s="1" t="n">
        <v>44490</v>
      </c>
      <c r="E848" s="1" t="n">
        <v>46316</v>
      </c>
      <c r="F848" t="inlineStr">
        <is>
          <t>KRONOBERGS LÄN</t>
        </is>
      </c>
      <c r="G848" t="inlineStr">
        <is>
          <t>UPPVIDINGE</t>
        </is>
      </c>
      <c r="I848" t="n">
        <v>0.5</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55316-2022</t>
        </is>
      </c>
      <c r="B849" t="inlineStr">
        <is>
          <t>avverkningsanmälan</t>
        </is>
      </c>
      <c r="C849" t="inlineStr">
        <is>
          <t>Föryngringsavverkning</t>
        </is>
      </c>
      <c r="D849" s="1" t="n">
        <v>44887</v>
      </c>
      <c r="E849" s="1" t="n">
        <v>46316</v>
      </c>
      <c r="F849" t="inlineStr">
        <is>
          <t>KRONOBERGS LÄN</t>
        </is>
      </c>
      <c r="G849" t="inlineStr">
        <is>
          <t>UPPVIDINGE</t>
        </is>
      </c>
      <c r="I849" t="n">
        <v>5.7</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55320-2022</t>
        </is>
      </c>
      <c r="B850" t="inlineStr">
        <is>
          <t>avverkningsanmälan</t>
        </is>
      </c>
      <c r="C850" t="inlineStr">
        <is>
          <t>Föryngringsavverkning</t>
        </is>
      </c>
      <c r="D850" s="1" t="n">
        <v>44887</v>
      </c>
      <c r="E850" s="1" t="n">
        <v>46316</v>
      </c>
      <c r="F850" t="inlineStr">
        <is>
          <t>KRONOBERGS LÄN</t>
        </is>
      </c>
      <c r="G850" t="inlineStr">
        <is>
          <t>UPPVIDINGE</t>
        </is>
      </c>
      <c r="H850" t="inlineStr">
        <is>
          <t>Sveaskog</t>
        </is>
      </c>
      <c r="I850" t="n">
        <v>0.9</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31116-2022</t>
        </is>
      </c>
      <c r="B851" t="inlineStr">
        <is>
          <t>avverkningsanmälan</t>
        </is>
      </c>
      <c r="C851" t="inlineStr">
        <is>
          <t>Föryngringsavverkning</t>
        </is>
      </c>
      <c r="D851" s="1" t="n">
        <v>44769</v>
      </c>
      <c r="E851" s="1" t="n">
        <v>46316</v>
      </c>
      <c r="F851" t="inlineStr">
        <is>
          <t>KRONOBERGS LÄN</t>
        </is>
      </c>
      <c r="G851" t="inlineStr">
        <is>
          <t>VÄXJÖ</t>
        </is>
      </c>
      <c r="H851" t="inlineStr">
        <is>
          <t>Sveaskog</t>
        </is>
      </c>
      <c r="I851" t="n">
        <v>0.2</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39324-2022</t>
        </is>
      </c>
      <c r="B852" t="inlineStr">
        <is>
          <t>avverkningsanmälan</t>
        </is>
      </c>
      <c r="C852" t="inlineStr">
        <is>
          <t>Avverkning för annat ändamål</t>
        </is>
      </c>
      <c r="D852" s="1" t="n">
        <v>44817</v>
      </c>
      <c r="E852" s="1" t="n">
        <v>46316</v>
      </c>
      <c r="F852" t="inlineStr">
        <is>
          <t>KRONOBERGS LÄN</t>
        </is>
      </c>
      <c r="G852" t="inlineStr">
        <is>
          <t>LJUNGBY</t>
        </is>
      </c>
      <c r="I852" t="n">
        <v>1</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12453-2022</t>
        </is>
      </c>
      <c r="B853" t="inlineStr">
        <is>
          <t>avverkningsanmälan</t>
        </is>
      </c>
      <c r="C853" t="inlineStr">
        <is>
          <t>Föryngringsavverkning</t>
        </is>
      </c>
      <c r="D853" s="1" t="n">
        <v>44638</v>
      </c>
      <c r="E853" s="1" t="n">
        <v>46316</v>
      </c>
      <c r="F853" t="inlineStr">
        <is>
          <t>KRONOBERGS LÄN</t>
        </is>
      </c>
      <c r="G853" t="inlineStr">
        <is>
          <t>MARKARYD</t>
        </is>
      </c>
      <c r="I853" t="n">
        <v>3</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70744-2021</t>
        </is>
      </c>
      <c r="B854" t="inlineStr">
        <is>
          <t>avverkningsanmälan</t>
        </is>
      </c>
      <c r="C854" t="inlineStr">
        <is>
          <t>Föryngringsavverkning</t>
        </is>
      </c>
      <c r="D854" s="1" t="n">
        <v>44537</v>
      </c>
      <c r="E854" s="1" t="n">
        <v>46316</v>
      </c>
      <c r="F854" t="inlineStr">
        <is>
          <t>KRONOBERGS LÄN</t>
        </is>
      </c>
      <c r="G854" t="inlineStr">
        <is>
          <t>LJUNGBY</t>
        </is>
      </c>
      <c r="I854" t="n">
        <v>0.8</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29517-2022</t>
        </is>
      </c>
      <c r="B855" t="inlineStr">
        <is>
          <t>avverkningsanmälan</t>
        </is>
      </c>
      <c r="C855" t="inlineStr">
        <is>
          <t>Föryngringsavverkning</t>
        </is>
      </c>
      <c r="D855" s="1" t="n">
        <v>44753</v>
      </c>
      <c r="E855" s="1" t="n">
        <v>46316</v>
      </c>
      <c r="F855" t="inlineStr">
        <is>
          <t>KRONOBERGS LÄN</t>
        </is>
      </c>
      <c r="G855" t="inlineStr">
        <is>
          <t>TINGSRYD</t>
        </is>
      </c>
      <c r="I855" t="n">
        <v>0.6</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71392-2021</t>
        </is>
      </c>
      <c r="B856" t="inlineStr">
        <is>
          <t>avverkningsanmälan</t>
        </is>
      </c>
      <c r="C856" t="inlineStr">
        <is>
          <t>Föryngringsavverkning</t>
        </is>
      </c>
      <c r="D856" s="1" t="n">
        <v>44540</v>
      </c>
      <c r="E856" s="1" t="n">
        <v>46316</v>
      </c>
      <c r="F856" t="inlineStr">
        <is>
          <t>KRONOBERGS LÄN</t>
        </is>
      </c>
      <c r="G856" t="inlineStr">
        <is>
          <t>TINGSRYD</t>
        </is>
      </c>
      <c r="I856" t="n">
        <v>0</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16931-2022</t>
        </is>
      </c>
      <c r="B857" t="inlineStr">
        <is>
          <t>avverkningsanmälan</t>
        </is>
      </c>
      <c r="C857" t="inlineStr">
        <is>
          <t>Föryngringsavverkning</t>
        </is>
      </c>
      <c r="D857" s="1" t="n">
        <v>44676</v>
      </c>
      <c r="E857" s="1" t="n">
        <v>46316</v>
      </c>
      <c r="F857" t="inlineStr">
        <is>
          <t>KRONOBERGS LÄN</t>
        </is>
      </c>
      <c r="G857" t="inlineStr">
        <is>
          <t>TINGSRYD</t>
        </is>
      </c>
      <c r="I857" t="n">
        <v>0.5</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16970-2022</t>
        </is>
      </c>
      <c r="B858" t="inlineStr">
        <is>
          <t>avverkningsanmälan</t>
        </is>
      </c>
      <c r="C858" t="inlineStr">
        <is>
          <t>Föryngringsavverkning</t>
        </is>
      </c>
      <c r="D858" s="1" t="n">
        <v>44676</v>
      </c>
      <c r="E858" s="1" t="n">
        <v>46316</v>
      </c>
      <c r="F858" t="inlineStr">
        <is>
          <t>KRONOBERGS LÄN</t>
        </is>
      </c>
      <c r="G858" t="inlineStr">
        <is>
          <t>UPPVIDINGE</t>
        </is>
      </c>
      <c r="I858" t="n">
        <v>0.4</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20658-2022</t>
        </is>
      </c>
      <c r="B859" t="inlineStr">
        <is>
          <t>avverkningsanmälan</t>
        </is>
      </c>
      <c r="C859" t="inlineStr">
        <is>
          <t>Föryngringsavverkning</t>
        </is>
      </c>
      <c r="D859" s="1" t="n">
        <v>44700</v>
      </c>
      <c r="E859" s="1" t="n">
        <v>46316</v>
      </c>
      <c r="F859" t="inlineStr">
        <is>
          <t>KRONOBERGS LÄN</t>
        </is>
      </c>
      <c r="G859" t="inlineStr">
        <is>
          <t>MARKARYD</t>
        </is>
      </c>
      <c r="I859" t="n">
        <v>1.2</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37198-2022</t>
        </is>
      </c>
      <c r="B860" t="inlineStr">
        <is>
          <t>avverkningsanmälan</t>
        </is>
      </c>
      <c r="C860" t="inlineStr">
        <is>
          <t>Föryngringsavverkning</t>
        </is>
      </c>
      <c r="D860" s="1" t="n">
        <v>44806</v>
      </c>
      <c r="E860" s="1" t="n">
        <v>46316</v>
      </c>
      <c r="F860" t="inlineStr">
        <is>
          <t>KRONOBERGS LÄN</t>
        </is>
      </c>
      <c r="G860" t="inlineStr">
        <is>
          <t>LJUNGBY</t>
        </is>
      </c>
      <c r="I860" t="n">
        <v>0.3</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62160-2021</t>
        </is>
      </c>
      <c r="B861" t="inlineStr">
        <is>
          <t>avverkningsanmälan</t>
        </is>
      </c>
      <c r="C861" t="inlineStr">
        <is>
          <t>Föryngringsavverkning</t>
        </is>
      </c>
      <c r="D861" s="1" t="n">
        <v>44502</v>
      </c>
      <c r="E861" s="1" t="n">
        <v>46316</v>
      </c>
      <c r="F861" t="inlineStr">
        <is>
          <t>KRONOBERGS LÄN</t>
        </is>
      </c>
      <c r="G861" t="inlineStr">
        <is>
          <t>VÄXJÖ</t>
        </is>
      </c>
      <c r="H861" t="inlineStr">
        <is>
          <t>Sveaskog</t>
        </is>
      </c>
      <c r="I861" t="n">
        <v>1</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38395-2022</t>
        </is>
      </c>
      <c r="B862" t="inlineStr">
        <is>
          <t>avverkningsanmälan</t>
        </is>
      </c>
      <c r="C862" t="inlineStr">
        <is>
          <t>Föryngringsavverkning</t>
        </is>
      </c>
      <c r="D862" s="1" t="n">
        <v>44812</v>
      </c>
      <c r="E862" s="1" t="n">
        <v>46316</v>
      </c>
      <c r="F862" t="inlineStr">
        <is>
          <t>KRONOBERGS LÄN</t>
        </is>
      </c>
      <c r="G862" t="inlineStr">
        <is>
          <t>VÄXJÖ</t>
        </is>
      </c>
      <c r="I862" t="n">
        <v>3.1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37720-2022</t>
        </is>
      </c>
      <c r="B863" t="inlineStr">
        <is>
          <t>avverkningsanmälan</t>
        </is>
      </c>
      <c r="C863" t="inlineStr">
        <is>
          <t>Föryngringsavverkning</t>
        </is>
      </c>
      <c r="D863" s="1" t="n">
        <v>44810</v>
      </c>
      <c r="E863" s="1" t="n">
        <v>46316</v>
      </c>
      <c r="F863" t="inlineStr">
        <is>
          <t>KRONOBERGS LÄN</t>
        </is>
      </c>
      <c r="G863" t="inlineStr">
        <is>
          <t>LJUNGBY</t>
        </is>
      </c>
      <c r="I863" t="n">
        <v>1.5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1689-2022</t>
        </is>
      </c>
      <c r="B864" t="inlineStr">
        <is>
          <t>avverkningsanmälan</t>
        </is>
      </c>
      <c r="C864" t="inlineStr">
        <is>
          <t>Föryngringsavverkning</t>
        </is>
      </c>
      <c r="D864" s="1" t="n">
        <v>44574</v>
      </c>
      <c r="E864" s="1" t="n">
        <v>46316</v>
      </c>
      <c r="F864" t="inlineStr">
        <is>
          <t>KRONOBERGS LÄN</t>
        </is>
      </c>
      <c r="G864" t="inlineStr">
        <is>
          <t>UPPVIDINGE</t>
        </is>
      </c>
      <c r="I864" t="n">
        <v>4.4</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69120-2021</t>
        </is>
      </c>
      <c r="B865" t="inlineStr">
        <is>
          <t>avverkningsanmälan</t>
        </is>
      </c>
      <c r="C865" t="inlineStr">
        <is>
          <t>Föryngringsavverkning</t>
        </is>
      </c>
      <c r="D865" s="1" t="n">
        <v>44530</v>
      </c>
      <c r="E865" s="1" t="n">
        <v>46316</v>
      </c>
      <c r="F865" t="inlineStr">
        <is>
          <t>KRONOBERGS LÄN</t>
        </is>
      </c>
      <c r="G865" t="inlineStr">
        <is>
          <t>LJUNGBY</t>
        </is>
      </c>
      <c r="I865" t="n">
        <v>4.9</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63278-2021</t>
        </is>
      </c>
      <c r="B866" t="inlineStr">
        <is>
          <t>avverkningsanmälan</t>
        </is>
      </c>
      <c r="C866" t="inlineStr">
        <is>
          <t>Föryngringsavverkning</t>
        </is>
      </c>
      <c r="D866" s="1" t="n">
        <v>44508</v>
      </c>
      <c r="E866" s="1" t="n">
        <v>46316</v>
      </c>
      <c r="F866" t="inlineStr">
        <is>
          <t>KRONOBERGS LÄN</t>
        </is>
      </c>
      <c r="G866" t="inlineStr">
        <is>
          <t>VÄXJÖ</t>
        </is>
      </c>
      <c r="I866" t="n">
        <v>3.2</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63330-2021</t>
        </is>
      </c>
      <c r="B867" t="inlineStr">
        <is>
          <t>avverkningsanmälan</t>
        </is>
      </c>
      <c r="C867" t="inlineStr">
        <is>
          <t>Föryngringsavverkning</t>
        </is>
      </c>
      <c r="D867" s="1" t="n">
        <v>44508</v>
      </c>
      <c r="E867" s="1" t="n">
        <v>46316</v>
      </c>
      <c r="F867" t="inlineStr">
        <is>
          <t>KRONOBERGS LÄN</t>
        </is>
      </c>
      <c r="G867" t="inlineStr">
        <is>
          <t>LESSEBO</t>
        </is>
      </c>
      <c r="I867" t="n">
        <v>0.5</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13019-2022</t>
        </is>
      </c>
      <c r="B868" t="inlineStr">
        <is>
          <t>avverkningsanmälan</t>
        </is>
      </c>
      <c r="C868" t="inlineStr">
        <is>
          <t>Föryngringsavverkning</t>
        </is>
      </c>
      <c r="D868" s="1" t="n">
        <v>44643</v>
      </c>
      <c r="E868" s="1" t="n">
        <v>46316</v>
      </c>
      <c r="F868" t="inlineStr">
        <is>
          <t>KRONOBERGS LÄN</t>
        </is>
      </c>
      <c r="G868" t="inlineStr">
        <is>
          <t>ÄLMHULT</t>
        </is>
      </c>
      <c r="I868" t="n">
        <v>2.8</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5813-2022</t>
        </is>
      </c>
      <c r="B869" t="inlineStr">
        <is>
          <t>avverkningsanmälan</t>
        </is>
      </c>
      <c r="C869" t="inlineStr">
        <is>
          <t>Föryngringsavverkning</t>
        </is>
      </c>
      <c r="D869" s="1" t="n">
        <v>44596</v>
      </c>
      <c r="E869" s="1" t="n">
        <v>46316</v>
      </c>
      <c r="F869" t="inlineStr">
        <is>
          <t>KRONOBERGS LÄN</t>
        </is>
      </c>
      <c r="G869" t="inlineStr">
        <is>
          <t>ÄLMHULT</t>
        </is>
      </c>
      <c r="I869" t="n">
        <v>0.6</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71176-2021</t>
        </is>
      </c>
      <c r="B870" t="inlineStr">
        <is>
          <t>avverkningsanmälan</t>
        </is>
      </c>
      <c r="C870" t="inlineStr">
        <is>
          <t>Föryngringsavverkning</t>
        </is>
      </c>
      <c r="D870" s="1" t="n">
        <v>44539</v>
      </c>
      <c r="E870" s="1" t="n">
        <v>46316</v>
      </c>
      <c r="F870" t="inlineStr">
        <is>
          <t>KRONOBERGS LÄN</t>
        </is>
      </c>
      <c r="G870" t="inlineStr">
        <is>
          <t>MARKARYD</t>
        </is>
      </c>
      <c r="I870" t="n">
        <v>1.7</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9816-2022</t>
        </is>
      </c>
      <c r="B871" t="inlineStr">
        <is>
          <t>avverkningsanmälan</t>
        </is>
      </c>
      <c r="C871" t="inlineStr">
        <is>
          <t>Föryngringsavverkning</t>
        </is>
      </c>
      <c r="D871" s="1" t="n">
        <v>44620</v>
      </c>
      <c r="E871" s="1" t="n">
        <v>46316</v>
      </c>
      <c r="F871" t="inlineStr">
        <is>
          <t>KRONOBERGS LÄN</t>
        </is>
      </c>
      <c r="G871" t="inlineStr">
        <is>
          <t>TINGSRYD</t>
        </is>
      </c>
      <c r="I871" t="n">
        <v>1.5</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7237-2022</t>
        </is>
      </c>
      <c r="B872" t="inlineStr">
        <is>
          <t>avverkningsanmälan</t>
        </is>
      </c>
      <c r="C872" t="inlineStr">
        <is>
          <t>Föryngringsavverkning</t>
        </is>
      </c>
      <c r="D872" s="1" t="n">
        <v>44606</v>
      </c>
      <c r="E872" s="1" t="n">
        <v>46316</v>
      </c>
      <c r="F872" t="inlineStr">
        <is>
          <t>KRONOBERGS LÄN</t>
        </is>
      </c>
      <c r="G872" t="inlineStr">
        <is>
          <t>ALVESTA</t>
        </is>
      </c>
      <c r="I872" t="n">
        <v>0.7</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64280-2021</t>
        </is>
      </c>
      <c r="B873" t="inlineStr">
        <is>
          <t>avverkningsanmälan</t>
        </is>
      </c>
      <c r="C873" t="inlineStr">
        <is>
          <t>Föryngringsavverkning</t>
        </is>
      </c>
      <c r="D873" s="1" t="n">
        <v>44510</v>
      </c>
      <c r="E873" s="1" t="n">
        <v>46316</v>
      </c>
      <c r="F873" t="inlineStr">
        <is>
          <t>KRONOBERGS LÄN</t>
        </is>
      </c>
      <c r="G873" t="inlineStr">
        <is>
          <t>ÄLMHULT</t>
        </is>
      </c>
      <c r="I873" t="n">
        <v>1.4</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71397-2021</t>
        </is>
      </c>
      <c r="B874" t="inlineStr">
        <is>
          <t>avverkningsanmälan</t>
        </is>
      </c>
      <c r="C874" t="inlineStr">
        <is>
          <t>Föryngringsavverkning</t>
        </is>
      </c>
      <c r="D874" s="1" t="n">
        <v>44540</v>
      </c>
      <c r="E874" s="1" t="n">
        <v>46316</v>
      </c>
      <c r="F874" t="inlineStr">
        <is>
          <t>KRONOBERGS LÄN</t>
        </is>
      </c>
      <c r="G874" t="inlineStr">
        <is>
          <t>TINGSRYD</t>
        </is>
      </c>
      <c r="I874" t="n">
        <v>0.5</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70646-2021</t>
        </is>
      </c>
      <c r="B875" t="inlineStr">
        <is>
          <t>avverkningsanmälan</t>
        </is>
      </c>
      <c r="C875" t="inlineStr">
        <is>
          <t>Föryngringsavverkning</t>
        </is>
      </c>
      <c r="D875" s="1" t="n">
        <v>44537</v>
      </c>
      <c r="E875" s="1" t="n">
        <v>46316</v>
      </c>
      <c r="F875" t="inlineStr">
        <is>
          <t>KRONOBERGS LÄN</t>
        </is>
      </c>
      <c r="G875" t="inlineStr">
        <is>
          <t>VÄXJÖ</t>
        </is>
      </c>
      <c r="I875" t="n">
        <v>0.5</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6923-2022</t>
        </is>
      </c>
      <c r="B876" t="inlineStr">
        <is>
          <t>avverkningsanmälan</t>
        </is>
      </c>
      <c r="C876" t="inlineStr">
        <is>
          <t>Föryngringsavverkning</t>
        </is>
      </c>
      <c r="D876" s="1" t="n">
        <v>44603</v>
      </c>
      <c r="E876" s="1" t="n">
        <v>46316</v>
      </c>
      <c r="F876" t="inlineStr">
        <is>
          <t>KRONOBERGS LÄN</t>
        </is>
      </c>
      <c r="G876" t="inlineStr">
        <is>
          <t>UPPVIDINGE</t>
        </is>
      </c>
      <c r="I876" t="n">
        <v>2.1</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6924-2022</t>
        </is>
      </c>
      <c r="B877" t="inlineStr">
        <is>
          <t>avverkningsanmälan</t>
        </is>
      </c>
      <c r="C877" t="inlineStr">
        <is>
          <t>Föryngringsavverkning</t>
        </is>
      </c>
      <c r="D877" s="1" t="n">
        <v>44602</v>
      </c>
      <c r="E877" s="1" t="n">
        <v>46316</v>
      </c>
      <c r="F877" t="inlineStr">
        <is>
          <t>KRONOBERGS LÄN</t>
        </is>
      </c>
      <c r="G877" t="inlineStr">
        <is>
          <t>UPPVIDINGE</t>
        </is>
      </c>
      <c r="I877" t="n">
        <v>2.8</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1797-2022</t>
        </is>
      </c>
      <c r="B878" t="inlineStr">
        <is>
          <t>avverkningsanmälan</t>
        </is>
      </c>
      <c r="C878" t="inlineStr">
        <is>
          <t>Föryngringsavverkning</t>
        </is>
      </c>
      <c r="D878" s="1" t="n">
        <v>44574</v>
      </c>
      <c r="E878" s="1" t="n">
        <v>46316</v>
      </c>
      <c r="F878" t="inlineStr">
        <is>
          <t>KRONOBERGS LÄN</t>
        </is>
      </c>
      <c r="G878" t="inlineStr">
        <is>
          <t>VÄXJÖ</t>
        </is>
      </c>
      <c r="I878" t="n">
        <v>0.6</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66897-2021</t>
        </is>
      </c>
      <c r="B879" t="inlineStr">
        <is>
          <t>avverkningsanmälan</t>
        </is>
      </c>
      <c r="C879" t="inlineStr">
        <is>
          <t>Föryngringsavverkning</t>
        </is>
      </c>
      <c r="D879" s="1" t="n">
        <v>44522</v>
      </c>
      <c r="E879" s="1" t="n">
        <v>46316</v>
      </c>
      <c r="F879" t="inlineStr">
        <is>
          <t>KRONOBERGS LÄN</t>
        </is>
      </c>
      <c r="G879" t="inlineStr">
        <is>
          <t>ÄLMHULT</t>
        </is>
      </c>
      <c r="I879" t="n">
        <v>1</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66902-2021</t>
        </is>
      </c>
      <c r="B880" t="inlineStr">
        <is>
          <t>avverkningsanmälan</t>
        </is>
      </c>
      <c r="C880" t="inlineStr">
        <is>
          <t>Föryngringsavverkning</t>
        </is>
      </c>
      <c r="D880" s="1" t="n">
        <v>44522</v>
      </c>
      <c r="E880" s="1" t="n">
        <v>46316</v>
      </c>
      <c r="F880" t="inlineStr">
        <is>
          <t>KRONOBERGS LÄN</t>
        </is>
      </c>
      <c r="G880" t="inlineStr">
        <is>
          <t>LESSEBO</t>
        </is>
      </c>
      <c r="I880" t="n">
        <v>0.3</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26368-2022</t>
        </is>
      </c>
      <c r="B881" t="inlineStr">
        <is>
          <t>avverkningsanmälan</t>
        </is>
      </c>
      <c r="C881" t="inlineStr">
        <is>
          <t>Föryngringsavverkning</t>
        </is>
      </c>
      <c r="D881" s="1" t="n">
        <v>44735</v>
      </c>
      <c r="E881" s="1" t="n">
        <v>46316</v>
      </c>
      <c r="F881" t="inlineStr">
        <is>
          <t>KRONOBERGS LÄN</t>
        </is>
      </c>
      <c r="G881" t="inlineStr">
        <is>
          <t>ALVESTA</t>
        </is>
      </c>
      <c r="I881" t="n">
        <v>0.5</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67493-2021</t>
        </is>
      </c>
      <c r="B882" t="inlineStr">
        <is>
          <t>avverkningsanmälan</t>
        </is>
      </c>
      <c r="C882" t="inlineStr">
        <is>
          <t>Föryngringsavverkning</t>
        </is>
      </c>
      <c r="D882" s="1" t="n">
        <v>44524</v>
      </c>
      <c r="E882" s="1" t="n">
        <v>46316</v>
      </c>
      <c r="F882" t="inlineStr">
        <is>
          <t>KRONOBERGS LÄN</t>
        </is>
      </c>
      <c r="G882" t="inlineStr">
        <is>
          <t>UPPVIDINGE</t>
        </is>
      </c>
      <c r="I882" t="n">
        <v>1.6</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3966-2022</t>
        </is>
      </c>
      <c r="B883" t="inlineStr">
        <is>
          <t>avverkningsanmälan</t>
        </is>
      </c>
      <c r="C883" t="inlineStr">
        <is>
          <t>Avverkning för annat ändamål</t>
        </is>
      </c>
      <c r="D883" s="1" t="n">
        <v>44587</v>
      </c>
      <c r="E883" s="1" t="n">
        <v>46316</v>
      </c>
      <c r="F883" t="inlineStr">
        <is>
          <t>KRONOBERGS LÄN</t>
        </is>
      </c>
      <c r="G883" t="inlineStr">
        <is>
          <t>MARKARYD</t>
        </is>
      </c>
      <c r="I883" t="n">
        <v>0.3</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70675-2021</t>
        </is>
      </c>
      <c r="B884" t="inlineStr">
        <is>
          <t>avverkningsanmälan</t>
        </is>
      </c>
      <c r="C884" t="inlineStr">
        <is>
          <t>Föryngringsavverkning</t>
        </is>
      </c>
      <c r="D884" s="1" t="n">
        <v>44537</v>
      </c>
      <c r="E884" s="1" t="n">
        <v>46316</v>
      </c>
      <c r="F884" t="inlineStr">
        <is>
          <t>KRONOBERGS LÄN</t>
        </is>
      </c>
      <c r="G884" t="inlineStr">
        <is>
          <t>VÄXJÖ</t>
        </is>
      </c>
      <c r="I884" t="n">
        <v>0.3</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1130-2022</t>
        </is>
      </c>
      <c r="B885" t="inlineStr">
        <is>
          <t>avverkningsanmälan</t>
        </is>
      </c>
      <c r="C885" t="inlineStr">
        <is>
          <t>Föryngringsavverkning</t>
        </is>
      </c>
      <c r="D885" s="1" t="n">
        <v>44572</v>
      </c>
      <c r="E885" s="1" t="n">
        <v>46316</v>
      </c>
      <c r="F885" t="inlineStr">
        <is>
          <t>KRONOBERGS LÄN</t>
        </is>
      </c>
      <c r="G885" t="inlineStr">
        <is>
          <t>MARKARYD</t>
        </is>
      </c>
      <c r="I885" t="n">
        <v>0.5</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924-2022</t>
        </is>
      </c>
      <c r="B886" t="inlineStr">
        <is>
          <t>avverkningsanmälan</t>
        </is>
      </c>
      <c r="C886" t="inlineStr">
        <is>
          <t>Föryngringsavverkning</t>
        </is>
      </c>
      <c r="D886" s="1" t="n">
        <v>44571</v>
      </c>
      <c r="E886" s="1" t="n">
        <v>46316</v>
      </c>
      <c r="F886" t="inlineStr">
        <is>
          <t>KRONOBERGS LÄN</t>
        </is>
      </c>
      <c r="G886" t="inlineStr">
        <is>
          <t>VÄXJÖ</t>
        </is>
      </c>
      <c r="I886" t="n">
        <v>1</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12868-2022</t>
        </is>
      </c>
      <c r="B887" t="inlineStr">
        <is>
          <t>avverkningsanmälan</t>
        </is>
      </c>
      <c r="C887" t="inlineStr">
        <is>
          <t>Föryngringsavverkning</t>
        </is>
      </c>
      <c r="D887" s="1" t="n">
        <v>44642</v>
      </c>
      <c r="E887" s="1" t="n">
        <v>46316</v>
      </c>
      <c r="F887" t="inlineStr">
        <is>
          <t>KRONOBERGS LÄN</t>
        </is>
      </c>
      <c r="G887" t="inlineStr">
        <is>
          <t>MARKARYD</t>
        </is>
      </c>
      <c r="I887" t="n">
        <v>0.5</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53759-2022</t>
        </is>
      </c>
      <c r="B888" t="inlineStr">
        <is>
          <t>avverkningsanmälan</t>
        </is>
      </c>
      <c r="C888" t="inlineStr">
        <is>
          <t>Föryngringsavverkning</t>
        </is>
      </c>
      <c r="D888" s="1" t="n">
        <v>44875</v>
      </c>
      <c r="E888" s="1" t="n">
        <v>46316</v>
      </c>
      <c r="F888" t="inlineStr">
        <is>
          <t>KRONOBERGS LÄN</t>
        </is>
      </c>
      <c r="G888" t="inlineStr">
        <is>
          <t>TINGSRYD</t>
        </is>
      </c>
      <c r="I888" t="n">
        <v>1.3</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54490-2022</t>
        </is>
      </c>
      <c r="B889" t="inlineStr">
        <is>
          <t>avverkningsanmälan</t>
        </is>
      </c>
      <c r="C889" t="inlineStr">
        <is>
          <t>Föryngringsavverkning</t>
        </is>
      </c>
      <c r="D889" s="1" t="n">
        <v>44882</v>
      </c>
      <c r="E889" s="1" t="n">
        <v>46316</v>
      </c>
      <c r="F889" t="inlineStr">
        <is>
          <t>KRONOBERGS LÄN</t>
        </is>
      </c>
      <c r="G889" t="inlineStr">
        <is>
          <t>LJUNGBY</t>
        </is>
      </c>
      <c r="I889" t="n">
        <v>0.3</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23463-2022</t>
        </is>
      </c>
      <c r="B890" t="inlineStr">
        <is>
          <t>avverkningsanmälan</t>
        </is>
      </c>
      <c r="C890" t="inlineStr">
        <is>
          <t>Föryngringsavverkning</t>
        </is>
      </c>
      <c r="D890" s="1" t="n">
        <v>44721</v>
      </c>
      <c r="E890" s="1" t="n">
        <v>46316</v>
      </c>
      <c r="F890" t="inlineStr">
        <is>
          <t>KRONOBERGS LÄN</t>
        </is>
      </c>
      <c r="G890" t="inlineStr">
        <is>
          <t>UPPVIDINGE</t>
        </is>
      </c>
      <c r="I890" t="n">
        <v>0.5</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4784-2022</t>
        </is>
      </c>
      <c r="B891" t="inlineStr">
        <is>
          <t>avverkningsanmälan</t>
        </is>
      </c>
      <c r="C891" t="inlineStr">
        <is>
          <t>Föryngringsavverkning</t>
        </is>
      </c>
      <c r="D891" s="1" t="n">
        <v>44592</v>
      </c>
      <c r="E891" s="1" t="n">
        <v>46316</v>
      </c>
      <c r="F891" t="inlineStr">
        <is>
          <t>KRONOBERGS LÄN</t>
        </is>
      </c>
      <c r="G891" t="inlineStr">
        <is>
          <t>ALVESTA</t>
        </is>
      </c>
      <c r="I891" t="n">
        <v>0.9</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17851-2022</t>
        </is>
      </c>
      <c r="B892" t="inlineStr">
        <is>
          <t>avverkningsanmälan</t>
        </is>
      </c>
      <c r="C892" t="inlineStr">
        <is>
          <t>Föryngringsavverkning</t>
        </is>
      </c>
      <c r="D892" s="1" t="n">
        <v>44683</v>
      </c>
      <c r="E892" s="1" t="n">
        <v>46316</v>
      </c>
      <c r="F892" t="inlineStr">
        <is>
          <t>KRONOBERGS LÄN</t>
        </is>
      </c>
      <c r="G892" t="inlineStr">
        <is>
          <t>UPPVIDINGE</t>
        </is>
      </c>
      <c r="I892" t="n">
        <v>0.9</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18475-2022</t>
        </is>
      </c>
      <c r="B893" t="inlineStr">
        <is>
          <t>avverkningsanmälan</t>
        </is>
      </c>
      <c r="C893" t="inlineStr">
        <is>
          <t>Föryngringsavverkning</t>
        </is>
      </c>
      <c r="D893" s="1" t="n">
        <v>44686</v>
      </c>
      <c r="E893" s="1" t="n">
        <v>46316</v>
      </c>
      <c r="F893" t="inlineStr">
        <is>
          <t>KRONOBERGS LÄN</t>
        </is>
      </c>
      <c r="G893" t="inlineStr">
        <is>
          <t>UPPVIDINGE</t>
        </is>
      </c>
      <c r="I893" t="n">
        <v>5</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20143-2022</t>
        </is>
      </c>
      <c r="B894" t="inlineStr">
        <is>
          <t>avverkningsanmälan</t>
        </is>
      </c>
      <c r="C894" t="inlineStr">
        <is>
          <t>Föryngringsavverkning</t>
        </is>
      </c>
      <c r="D894" s="1" t="n">
        <v>44698</v>
      </c>
      <c r="E894" s="1" t="n">
        <v>46316</v>
      </c>
      <c r="F894" t="inlineStr">
        <is>
          <t>KRONOBERGS LÄN</t>
        </is>
      </c>
      <c r="G894" t="inlineStr">
        <is>
          <t>TINGSRYD</t>
        </is>
      </c>
      <c r="I894" t="n">
        <v>0.5</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18364-2022</t>
        </is>
      </c>
      <c r="B895" t="inlineStr">
        <is>
          <t>avverkningsanmälan</t>
        </is>
      </c>
      <c r="C895" t="inlineStr">
        <is>
          <t>Föryngringsavverkning</t>
        </is>
      </c>
      <c r="D895" s="1" t="n">
        <v>44685</v>
      </c>
      <c r="E895" s="1" t="n">
        <v>46316</v>
      </c>
      <c r="F895" t="inlineStr">
        <is>
          <t>KRONOBERGS LÄN</t>
        </is>
      </c>
      <c r="G895" t="inlineStr">
        <is>
          <t>TINGSRYD</t>
        </is>
      </c>
      <c r="I895" t="n">
        <v>1</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12626-2022</t>
        </is>
      </c>
      <c r="B896" t="inlineStr">
        <is>
          <t>avverkningsanmälan</t>
        </is>
      </c>
      <c r="C896" t="inlineStr">
        <is>
          <t>Föryngringsavverkning</t>
        </is>
      </c>
      <c r="D896" s="1" t="n">
        <v>44641</v>
      </c>
      <c r="E896" s="1" t="n">
        <v>46316</v>
      </c>
      <c r="F896" t="inlineStr">
        <is>
          <t>KRONOBERGS LÄN</t>
        </is>
      </c>
      <c r="G896" t="inlineStr">
        <is>
          <t>TINGSRYD</t>
        </is>
      </c>
      <c r="I896" t="n">
        <v>3.9</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37209-2022</t>
        </is>
      </c>
      <c r="B897" t="inlineStr">
        <is>
          <t>avverkningsanmälan</t>
        </is>
      </c>
      <c r="C897" t="inlineStr">
        <is>
          <t>Föryngringsavverkning</t>
        </is>
      </c>
      <c r="D897" s="1" t="n">
        <v>44806</v>
      </c>
      <c r="E897" s="1" t="n">
        <v>46316</v>
      </c>
      <c r="F897" t="inlineStr">
        <is>
          <t>KRONOBERGS LÄN</t>
        </is>
      </c>
      <c r="G897" t="inlineStr">
        <is>
          <t>LJUNGBY</t>
        </is>
      </c>
      <c r="I897" t="n">
        <v>0.2</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22119-2022</t>
        </is>
      </c>
      <c r="B898" t="inlineStr">
        <is>
          <t>avverkningsanmälan</t>
        </is>
      </c>
      <c r="C898" t="inlineStr">
        <is>
          <t>Föryngringsavverkning</t>
        </is>
      </c>
      <c r="D898" s="1" t="n">
        <v>44712</v>
      </c>
      <c r="E898" s="1" t="n">
        <v>46316</v>
      </c>
      <c r="F898" t="inlineStr">
        <is>
          <t>KRONOBERGS LÄN</t>
        </is>
      </c>
      <c r="G898" t="inlineStr">
        <is>
          <t>LJUNGBY</t>
        </is>
      </c>
      <c r="I898" t="n">
        <v>1.3</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12145-2022</t>
        </is>
      </c>
      <c r="B899" t="inlineStr">
        <is>
          <t>avverkningsanmälan</t>
        </is>
      </c>
      <c r="C899" t="inlineStr">
        <is>
          <t>Föryngringsavverkning</t>
        </is>
      </c>
      <c r="D899" s="1" t="n">
        <v>44636</v>
      </c>
      <c r="E899" s="1" t="n">
        <v>46316</v>
      </c>
      <c r="F899" t="inlineStr">
        <is>
          <t>KRONOBERGS LÄN</t>
        </is>
      </c>
      <c r="G899" t="inlineStr">
        <is>
          <t>ÄLMHULT</t>
        </is>
      </c>
      <c r="I899" t="n">
        <v>0.2</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37360-2022</t>
        </is>
      </c>
      <c r="B900" t="inlineStr">
        <is>
          <t>avverkningsanmälan</t>
        </is>
      </c>
      <c r="C900" t="inlineStr">
        <is>
          <t>Föryngringsavverkning</t>
        </is>
      </c>
      <c r="D900" s="1" t="n">
        <v>44809</v>
      </c>
      <c r="E900" s="1" t="n">
        <v>46316</v>
      </c>
      <c r="F900" t="inlineStr">
        <is>
          <t>KRONOBERGS LÄN</t>
        </is>
      </c>
      <c r="G900" t="inlineStr">
        <is>
          <t>LJUNGBY</t>
        </is>
      </c>
      <c r="I900" t="n">
        <v>2.6</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7219-2022</t>
        </is>
      </c>
      <c r="B901" t="inlineStr">
        <is>
          <t>avverkningsanmälan</t>
        </is>
      </c>
      <c r="C901" t="inlineStr">
        <is>
          <t>Föryngringsavverkning</t>
        </is>
      </c>
      <c r="D901" s="1" t="n">
        <v>44603</v>
      </c>
      <c r="E901" s="1" t="n">
        <v>46316</v>
      </c>
      <c r="F901" t="inlineStr">
        <is>
          <t>KRONOBERGS LÄN</t>
        </is>
      </c>
      <c r="G901" t="inlineStr">
        <is>
          <t>VÄXJÖ</t>
        </is>
      </c>
      <c r="H901" t="inlineStr">
        <is>
          <t>Kyrkan</t>
        </is>
      </c>
      <c r="I901" t="n">
        <v>1.4</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7273-2022</t>
        </is>
      </c>
      <c r="B902" t="inlineStr">
        <is>
          <t>avverkningsanmälan</t>
        </is>
      </c>
      <c r="C902" t="inlineStr">
        <is>
          <t>Avverkning för annat ändamål</t>
        </is>
      </c>
      <c r="D902" s="1" t="n">
        <v>44606</v>
      </c>
      <c r="E902" s="1" t="n">
        <v>46316</v>
      </c>
      <c r="F902" t="inlineStr">
        <is>
          <t>KRONOBERGS LÄN</t>
        </is>
      </c>
      <c r="G902" t="inlineStr">
        <is>
          <t>LJUNGBY</t>
        </is>
      </c>
      <c r="I902" t="n">
        <v>0.1</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5869-2022</t>
        </is>
      </c>
      <c r="B903" t="inlineStr">
        <is>
          <t>avverkningsanmälan</t>
        </is>
      </c>
      <c r="C903" t="inlineStr">
        <is>
          <t>Föryngringsavverkning</t>
        </is>
      </c>
      <c r="D903" s="1" t="n">
        <v>44596</v>
      </c>
      <c r="E903" s="1" t="n">
        <v>46316</v>
      </c>
      <c r="F903" t="inlineStr">
        <is>
          <t>KRONOBERGS LÄN</t>
        </is>
      </c>
      <c r="G903" t="inlineStr">
        <is>
          <t>VÄXJÖ</t>
        </is>
      </c>
      <c r="I903" t="n">
        <v>2.6</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27794-2022</t>
        </is>
      </c>
      <c r="B904" t="inlineStr">
        <is>
          <t>avverkningsanmälan</t>
        </is>
      </c>
      <c r="C904" t="inlineStr">
        <is>
          <t>Föryngringsavverkning</t>
        </is>
      </c>
      <c r="D904" s="1" t="n">
        <v>44743</v>
      </c>
      <c r="E904" s="1" t="n">
        <v>46316</v>
      </c>
      <c r="F904" t="inlineStr">
        <is>
          <t>KRONOBERGS LÄN</t>
        </is>
      </c>
      <c r="G904" t="inlineStr">
        <is>
          <t>LESSEBO</t>
        </is>
      </c>
      <c r="I904" t="n">
        <v>1.2</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71110-2021</t>
        </is>
      </c>
      <c r="B905" t="inlineStr">
        <is>
          <t>avverkningsanmälan</t>
        </is>
      </c>
      <c r="C905" t="inlineStr">
        <is>
          <t>Föryngringsavverkning</t>
        </is>
      </c>
      <c r="D905" s="1" t="n">
        <v>44539</v>
      </c>
      <c r="E905" s="1" t="n">
        <v>46316</v>
      </c>
      <c r="F905" t="inlineStr">
        <is>
          <t>KRONOBERGS LÄN</t>
        </is>
      </c>
      <c r="G905" t="inlineStr">
        <is>
          <t>TINGSRYD</t>
        </is>
      </c>
      <c r="I905" t="n">
        <v>0.9</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8247-2022</t>
        </is>
      </c>
      <c r="B906" t="inlineStr">
        <is>
          <t>avverkningsanmälan</t>
        </is>
      </c>
      <c r="C906" t="inlineStr">
        <is>
          <t>Föryngringsavverkning</t>
        </is>
      </c>
      <c r="D906" s="1" t="n">
        <v>44610</v>
      </c>
      <c r="E906" s="1" t="n">
        <v>46316</v>
      </c>
      <c r="F906" t="inlineStr">
        <is>
          <t>KRONOBERGS LÄN</t>
        </is>
      </c>
      <c r="G906" t="inlineStr">
        <is>
          <t>LJUNGBY</t>
        </is>
      </c>
      <c r="I906" t="n">
        <v>0.4</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11561-2022</t>
        </is>
      </c>
      <c r="B907" t="inlineStr">
        <is>
          <t>avverkningsanmälan</t>
        </is>
      </c>
      <c r="C907" t="inlineStr">
        <is>
          <t>Föryngringsavverkning</t>
        </is>
      </c>
      <c r="D907" s="1" t="n">
        <v>44631</v>
      </c>
      <c r="E907" s="1" t="n">
        <v>46316</v>
      </c>
      <c r="F907" t="inlineStr">
        <is>
          <t>KRONOBERGS LÄN</t>
        </is>
      </c>
      <c r="G907" t="inlineStr">
        <is>
          <t>TINGSRYD</t>
        </is>
      </c>
      <c r="I907" t="n">
        <v>0.5</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13674-2022</t>
        </is>
      </c>
      <c r="B908" t="inlineStr">
        <is>
          <t>avverkningsanmälan</t>
        </is>
      </c>
      <c r="C908" t="inlineStr">
        <is>
          <t>Föryngringsavverkning</t>
        </is>
      </c>
      <c r="D908" s="1" t="n">
        <v>44648</v>
      </c>
      <c r="E908" s="1" t="n">
        <v>46316</v>
      </c>
      <c r="F908" t="inlineStr">
        <is>
          <t>KRONOBERGS LÄN</t>
        </is>
      </c>
      <c r="G908" t="inlineStr">
        <is>
          <t>ALVESTA</t>
        </is>
      </c>
      <c r="I908" t="n">
        <v>2</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22793-2022</t>
        </is>
      </c>
      <c r="B909" t="inlineStr">
        <is>
          <t>avverkningsanmälan</t>
        </is>
      </c>
      <c r="C909" t="inlineStr">
        <is>
          <t>Föryngringsavverkning</t>
        </is>
      </c>
      <c r="D909" s="1" t="n">
        <v>44715</v>
      </c>
      <c r="E909" s="1" t="n">
        <v>46316</v>
      </c>
      <c r="F909" t="inlineStr">
        <is>
          <t>KRONOBERGS LÄN</t>
        </is>
      </c>
      <c r="G909" t="inlineStr">
        <is>
          <t>LJUNGBY</t>
        </is>
      </c>
      <c r="I909" t="n">
        <v>0</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25199-2022</t>
        </is>
      </c>
      <c r="B910" t="inlineStr">
        <is>
          <t>avverkningsanmälan</t>
        </is>
      </c>
      <c r="C910" t="inlineStr">
        <is>
          <t>Föryngringsavverkning</t>
        </is>
      </c>
      <c r="D910" s="1" t="n">
        <v>44729</v>
      </c>
      <c r="E910" s="1" t="n">
        <v>46316</v>
      </c>
      <c r="F910" t="inlineStr">
        <is>
          <t>KRONOBERGS LÄN</t>
        </is>
      </c>
      <c r="G910" t="inlineStr">
        <is>
          <t>UPPVIDINGE</t>
        </is>
      </c>
      <c r="I910" t="n">
        <v>0.4</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21564-2022</t>
        </is>
      </c>
      <c r="B911" t="inlineStr">
        <is>
          <t>avverkningsanmälan</t>
        </is>
      </c>
      <c r="C911" t="inlineStr">
        <is>
          <t>Föryngringsavverkning</t>
        </is>
      </c>
      <c r="D911" s="1" t="n">
        <v>44706</v>
      </c>
      <c r="E911" s="1" t="n">
        <v>46316</v>
      </c>
      <c r="F911" t="inlineStr">
        <is>
          <t>KRONOBERGS LÄN</t>
        </is>
      </c>
      <c r="G911" t="inlineStr">
        <is>
          <t>ALVESTA</t>
        </is>
      </c>
      <c r="I911" t="n">
        <v>1.2</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21568-2022</t>
        </is>
      </c>
      <c r="B912" t="inlineStr">
        <is>
          <t>avverkningsanmälan</t>
        </is>
      </c>
      <c r="C912" t="inlineStr">
        <is>
          <t>Föryngringsavverkning</t>
        </is>
      </c>
      <c r="D912" s="1" t="n">
        <v>44706</v>
      </c>
      <c r="E912" s="1" t="n">
        <v>46316</v>
      </c>
      <c r="F912" t="inlineStr">
        <is>
          <t>KRONOBERGS LÄN</t>
        </is>
      </c>
      <c r="G912" t="inlineStr">
        <is>
          <t>ALVESTA</t>
        </is>
      </c>
      <c r="I912" t="n">
        <v>1.8</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14986-2022</t>
        </is>
      </c>
      <c r="B913" t="inlineStr">
        <is>
          <t>avverkningsanmälan</t>
        </is>
      </c>
      <c r="C913" t="inlineStr">
        <is>
          <t>Föryngringsavverkning</t>
        </is>
      </c>
      <c r="D913" s="1" t="n">
        <v>44657</v>
      </c>
      <c r="E913" s="1" t="n">
        <v>46316</v>
      </c>
      <c r="F913" t="inlineStr">
        <is>
          <t>KRONOBERGS LÄN</t>
        </is>
      </c>
      <c r="G913" t="inlineStr">
        <is>
          <t>ÄLMHULT</t>
        </is>
      </c>
      <c r="I913" t="n">
        <v>0.6</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67159-2021</t>
        </is>
      </c>
      <c r="B914" t="inlineStr">
        <is>
          <t>avverkningsanmälan</t>
        </is>
      </c>
      <c r="C914" t="inlineStr">
        <is>
          <t>Föryngringsavverkning</t>
        </is>
      </c>
      <c r="D914" s="1" t="n">
        <v>44523</v>
      </c>
      <c r="E914" s="1" t="n">
        <v>46316</v>
      </c>
      <c r="F914" t="inlineStr">
        <is>
          <t>KRONOBERGS LÄN</t>
        </is>
      </c>
      <c r="G914" t="inlineStr">
        <is>
          <t>TINGSRYD</t>
        </is>
      </c>
      <c r="I914" t="n">
        <v>2.4</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21250-2022</t>
        </is>
      </c>
      <c r="B915" t="inlineStr">
        <is>
          <t>avverkningsanmälan</t>
        </is>
      </c>
      <c r="C915" t="inlineStr">
        <is>
          <t>Föryngringsavverkning</t>
        </is>
      </c>
      <c r="D915" s="1" t="n">
        <v>44705</v>
      </c>
      <c r="E915" s="1" t="n">
        <v>46316</v>
      </c>
      <c r="F915" t="inlineStr">
        <is>
          <t>KRONOBERGS LÄN</t>
        </is>
      </c>
      <c r="G915" t="inlineStr">
        <is>
          <t>UPPVIDINGE</t>
        </is>
      </c>
      <c r="I915" t="n">
        <v>1.4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29450-2022</t>
        </is>
      </c>
      <c r="B916" t="inlineStr">
        <is>
          <t>avverkningsanmälan</t>
        </is>
      </c>
      <c r="C916" t="inlineStr">
        <is>
          <t>Föryngringsavverkning</t>
        </is>
      </c>
      <c r="D916" s="1" t="n">
        <v>44753</v>
      </c>
      <c r="E916" s="1" t="n">
        <v>46316</v>
      </c>
      <c r="F916" t="inlineStr">
        <is>
          <t>KRONOBERGS LÄN</t>
        </is>
      </c>
      <c r="G916" t="inlineStr">
        <is>
          <t>TINGSRYD</t>
        </is>
      </c>
      <c r="I916" t="n">
        <v>2.8</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6926-2022</t>
        </is>
      </c>
      <c r="B917" t="inlineStr">
        <is>
          <t>avverkningsanmälan</t>
        </is>
      </c>
      <c r="C917" t="inlineStr">
        <is>
          <t>Föryngringsavverkning</t>
        </is>
      </c>
      <c r="D917" s="1" t="n">
        <v>44602</v>
      </c>
      <c r="E917" s="1" t="n">
        <v>46316</v>
      </c>
      <c r="F917" t="inlineStr">
        <is>
          <t>KRONOBERGS LÄN</t>
        </is>
      </c>
      <c r="G917" t="inlineStr">
        <is>
          <t>UPPVIDINGE</t>
        </is>
      </c>
      <c r="I917" t="n">
        <v>2.5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60890-2021</t>
        </is>
      </c>
      <c r="B918" t="inlineStr">
        <is>
          <t>avverkningsanmälan</t>
        </is>
      </c>
      <c r="C918" t="inlineStr">
        <is>
          <t>Föryngringsavverkning</t>
        </is>
      </c>
      <c r="D918" s="1" t="n">
        <v>44497</v>
      </c>
      <c r="E918" s="1" t="n">
        <v>46316</v>
      </c>
      <c r="F918" t="inlineStr">
        <is>
          <t>KRONOBERGS LÄN</t>
        </is>
      </c>
      <c r="G918" t="inlineStr">
        <is>
          <t>LJUNGBY</t>
        </is>
      </c>
      <c r="I918" t="n">
        <v>1.2</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22242-2022</t>
        </is>
      </c>
      <c r="B919" t="inlineStr">
        <is>
          <t>avverkningsanmälan</t>
        </is>
      </c>
      <c r="C919" t="inlineStr">
        <is>
          <t>Föryngringsavverkning</t>
        </is>
      </c>
      <c r="D919" s="1" t="n">
        <v>44712</v>
      </c>
      <c r="E919" s="1" t="n">
        <v>46316</v>
      </c>
      <c r="F919" t="inlineStr">
        <is>
          <t>KRONOBERGS LÄN</t>
        </is>
      </c>
      <c r="G919" t="inlineStr">
        <is>
          <t>TINGSRYD</t>
        </is>
      </c>
      <c r="I919" t="n">
        <v>0.7</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42335-2022</t>
        </is>
      </c>
      <c r="B920" t="inlineStr">
        <is>
          <t>avverkningsanmälan</t>
        </is>
      </c>
      <c r="C920" t="inlineStr">
        <is>
          <t>Föryngringsavverkning</t>
        </is>
      </c>
      <c r="D920" s="1" t="n">
        <v>44831</v>
      </c>
      <c r="E920" s="1" t="n">
        <v>46316</v>
      </c>
      <c r="F920" t="inlineStr">
        <is>
          <t>KRONOBERGS LÄN</t>
        </is>
      </c>
      <c r="G920" t="inlineStr">
        <is>
          <t>ÄLMHULT</t>
        </is>
      </c>
      <c r="I920" t="n">
        <v>0.9</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42337-2022</t>
        </is>
      </c>
      <c r="B921" t="inlineStr">
        <is>
          <t>avverkningsanmälan</t>
        </is>
      </c>
      <c r="C921" t="inlineStr">
        <is>
          <t>Föryngringsavverkning</t>
        </is>
      </c>
      <c r="D921" s="1" t="n">
        <v>44831</v>
      </c>
      <c r="E921" s="1" t="n">
        <v>46316</v>
      </c>
      <c r="F921" t="inlineStr">
        <is>
          <t>KRONOBERGS LÄN</t>
        </is>
      </c>
      <c r="G921" t="inlineStr">
        <is>
          <t>ÄLMHULT</t>
        </is>
      </c>
      <c r="I921" t="n">
        <v>0.4</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20659-2022</t>
        </is>
      </c>
      <c r="B922" t="inlineStr">
        <is>
          <t>avverkningsanmälan</t>
        </is>
      </c>
      <c r="C922" t="inlineStr">
        <is>
          <t>Föryngringsavverkning</t>
        </is>
      </c>
      <c r="D922" s="1" t="n">
        <v>44700</v>
      </c>
      <c r="E922" s="1" t="n">
        <v>46316</v>
      </c>
      <c r="F922" t="inlineStr">
        <is>
          <t>KRONOBERGS LÄN</t>
        </is>
      </c>
      <c r="G922" t="inlineStr">
        <is>
          <t>MARKARYD</t>
        </is>
      </c>
      <c r="I922" t="n">
        <v>1.5</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20661-2022</t>
        </is>
      </c>
      <c r="B923" t="inlineStr">
        <is>
          <t>avverkningsanmälan</t>
        </is>
      </c>
      <c r="C923" t="inlineStr">
        <is>
          <t>Föryngringsavverkning</t>
        </is>
      </c>
      <c r="D923" s="1" t="n">
        <v>44700</v>
      </c>
      <c r="E923" s="1" t="n">
        <v>46316</v>
      </c>
      <c r="F923" t="inlineStr">
        <is>
          <t>KRONOBERGS LÄN</t>
        </is>
      </c>
      <c r="G923" t="inlineStr">
        <is>
          <t>MARKARYD</t>
        </is>
      </c>
      <c r="I923" t="n">
        <v>0.6</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40015-2022</t>
        </is>
      </c>
      <c r="B924" t="inlineStr">
        <is>
          <t>avverkningsanmälan</t>
        </is>
      </c>
      <c r="C924" t="inlineStr">
        <is>
          <t>Föryngringsavverkning</t>
        </is>
      </c>
      <c r="D924" s="1" t="n">
        <v>44820</v>
      </c>
      <c r="E924" s="1" t="n">
        <v>46316</v>
      </c>
      <c r="F924" t="inlineStr">
        <is>
          <t>KRONOBERGS LÄN</t>
        </is>
      </c>
      <c r="G924" t="inlineStr">
        <is>
          <t>VÄXJÖ</t>
        </is>
      </c>
      <c r="H924" t="inlineStr">
        <is>
          <t>Sveaskog</t>
        </is>
      </c>
      <c r="I924" t="n">
        <v>1.9</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40017-2022</t>
        </is>
      </c>
      <c r="B925" t="inlineStr">
        <is>
          <t>avverkningsanmälan</t>
        </is>
      </c>
      <c r="C925" t="inlineStr">
        <is>
          <t>Föryngringsavverkning</t>
        </is>
      </c>
      <c r="D925" s="1" t="n">
        <v>44820</v>
      </c>
      <c r="E925" s="1" t="n">
        <v>46316</v>
      </c>
      <c r="F925" t="inlineStr">
        <is>
          <t>KRONOBERGS LÄN</t>
        </is>
      </c>
      <c r="G925" t="inlineStr">
        <is>
          <t>VÄXJÖ</t>
        </is>
      </c>
      <c r="H925" t="inlineStr">
        <is>
          <t>Sveaskog</t>
        </is>
      </c>
      <c r="I925" t="n">
        <v>1.1</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4693-2022</t>
        </is>
      </c>
      <c r="B926" t="inlineStr">
        <is>
          <t>avverkningsanmälan</t>
        </is>
      </c>
      <c r="C926" t="inlineStr">
        <is>
          <t>Föryngringsavverkning</t>
        </is>
      </c>
      <c r="D926" s="1" t="n">
        <v>44592</v>
      </c>
      <c r="E926" s="1" t="n">
        <v>46316</v>
      </c>
      <c r="F926" t="inlineStr">
        <is>
          <t>KRONOBERGS LÄN</t>
        </is>
      </c>
      <c r="G926" t="inlineStr">
        <is>
          <t>UPPVIDINGE</t>
        </is>
      </c>
      <c r="I926" t="n">
        <v>0.7</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36509-2022</t>
        </is>
      </c>
      <c r="B927" t="inlineStr">
        <is>
          <t>avverkningsanmälan</t>
        </is>
      </c>
      <c r="C927" t="inlineStr">
        <is>
          <t>Föryngringsavverkning</t>
        </is>
      </c>
      <c r="D927" s="1" t="n">
        <v>44804</v>
      </c>
      <c r="E927" s="1" t="n">
        <v>46316</v>
      </c>
      <c r="F927" t="inlineStr">
        <is>
          <t>KRONOBERGS LÄN</t>
        </is>
      </c>
      <c r="G927" t="inlineStr">
        <is>
          <t>ALVESTA</t>
        </is>
      </c>
      <c r="I927" t="n">
        <v>1.6</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48034-2022</t>
        </is>
      </c>
      <c r="B928" t="inlineStr">
        <is>
          <t>avverkningsanmälan</t>
        </is>
      </c>
      <c r="C928" t="inlineStr">
        <is>
          <t>Föryngringsavverkning</t>
        </is>
      </c>
      <c r="D928" s="1" t="n">
        <v>44855</v>
      </c>
      <c r="E928" s="1" t="n">
        <v>46316</v>
      </c>
      <c r="F928" t="inlineStr">
        <is>
          <t>KRONOBERGS LÄN</t>
        </is>
      </c>
      <c r="G928" t="inlineStr">
        <is>
          <t>ALVESTA</t>
        </is>
      </c>
      <c r="I928" t="n">
        <v>0.6</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59490-2021</t>
        </is>
      </c>
      <c r="B929" t="inlineStr">
        <is>
          <t>avverkningsanmälan</t>
        </is>
      </c>
      <c r="C929" t="inlineStr">
        <is>
          <t>Föryngringsavverkning</t>
        </is>
      </c>
      <c r="D929" s="1" t="n">
        <v>44491</v>
      </c>
      <c r="E929" s="1" t="n">
        <v>46316</v>
      </c>
      <c r="F929" t="inlineStr">
        <is>
          <t>KRONOBERGS LÄN</t>
        </is>
      </c>
      <c r="G929" t="inlineStr">
        <is>
          <t>ÄLMHULT</t>
        </is>
      </c>
      <c r="I929" t="n">
        <v>2.1</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74489-2021</t>
        </is>
      </c>
      <c r="B930" t="inlineStr">
        <is>
          <t>avverkningsanmälan</t>
        </is>
      </c>
      <c r="C930" t="inlineStr">
        <is>
          <t>Föryngringsavverkning</t>
        </is>
      </c>
      <c r="D930" s="1" t="n">
        <v>44560</v>
      </c>
      <c r="E930" s="1" t="n">
        <v>46316</v>
      </c>
      <c r="F930" t="inlineStr">
        <is>
          <t>KRONOBERGS LÄN</t>
        </is>
      </c>
      <c r="G930" t="inlineStr">
        <is>
          <t>VÄXJÖ</t>
        </is>
      </c>
      <c r="I930" t="n">
        <v>1.2</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60276-2021</t>
        </is>
      </c>
      <c r="B931" t="inlineStr">
        <is>
          <t>avverkningsanmälan</t>
        </is>
      </c>
      <c r="C931" t="inlineStr">
        <is>
          <t>Föryngringsavverkning</t>
        </is>
      </c>
      <c r="D931" s="1" t="n">
        <v>44495</v>
      </c>
      <c r="E931" s="1" t="n">
        <v>46316</v>
      </c>
      <c r="F931" t="inlineStr">
        <is>
          <t>KRONOBERGS LÄN</t>
        </is>
      </c>
      <c r="G931" t="inlineStr">
        <is>
          <t>LJUNGBY</t>
        </is>
      </c>
      <c r="I931" t="n">
        <v>0.6</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5683-2022</t>
        </is>
      </c>
      <c r="B932" t="inlineStr">
        <is>
          <t>avverkningsanmälan</t>
        </is>
      </c>
      <c r="C932" t="inlineStr">
        <is>
          <t>Föryngringsavverkning</t>
        </is>
      </c>
      <c r="D932" s="1" t="n">
        <v>44596</v>
      </c>
      <c r="E932" s="1" t="n">
        <v>46316</v>
      </c>
      <c r="F932" t="inlineStr">
        <is>
          <t>KRONOBERGS LÄN</t>
        </is>
      </c>
      <c r="G932" t="inlineStr">
        <is>
          <t>TINGSRYD</t>
        </is>
      </c>
      <c r="I932" t="n">
        <v>0.9</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23958-2023</t>
        </is>
      </c>
      <c r="B933" t="inlineStr">
        <is>
          <t>avverkningsanmälan</t>
        </is>
      </c>
      <c r="C933" t="inlineStr">
        <is>
          <t>Föryngringsavverkning</t>
        </is>
      </c>
      <c r="D933" s="1" t="n">
        <v>45075</v>
      </c>
      <c r="E933" s="1" t="n">
        <v>46316</v>
      </c>
      <c r="F933" t="inlineStr">
        <is>
          <t>KRONOBERGS LÄN</t>
        </is>
      </c>
      <c r="G933" t="inlineStr">
        <is>
          <t>TINGSRYD</t>
        </is>
      </c>
      <c r="H933" t="inlineStr">
        <is>
          <t>Kyrkan</t>
        </is>
      </c>
      <c r="I933" t="n">
        <v>2.6</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63541-2021</t>
        </is>
      </c>
      <c r="B934" t="inlineStr">
        <is>
          <t>avverkningsanmälan</t>
        </is>
      </c>
      <c r="C934" t="inlineStr">
        <is>
          <t>Föryngringsavverkning</t>
        </is>
      </c>
      <c r="D934" s="1" t="n">
        <v>44508</v>
      </c>
      <c r="E934" s="1" t="n">
        <v>46316</v>
      </c>
      <c r="F934" t="inlineStr">
        <is>
          <t>KRONOBERGS LÄN</t>
        </is>
      </c>
      <c r="G934" t="inlineStr">
        <is>
          <t>MARKARYD</t>
        </is>
      </c>
      <c r="I934" t="n">
        <v>0.9</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35913-2022</t>
        </is>
      </c>
      <c r="B935" t="inlineStr">
        <is>
          <t>avverkningsanmälan</t>
        </is>
      </c>
      <c r="C935" t="inlineStr">
        <is>
          <t>Föryngringsavverkning</t>
        </is>
      </c>
      <c r="D935" s="1" t="n">
        <v>44802</v>
      </c>
      <c r="E935" s="1" t="n">
        <v>46316</v>
      </c>
      <c r="F935" t="inlineStr">
        <is>
          <t>KRONOBERGS LÄN</t>
        </is>
      </c>
      <c r="G935" t="inlineStr">
        <is>
          <t>VÄXJÖ</t>
        </is>
      </c>
      <c r="I935" t="n">
        <v>1.2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13325-2024</t>
        </is>
      </c>
      <c r="B936" t="inlineStr">
        <is>
          <t>avverkningsanmälan</t>
        </is>
      </c>
      <c r="C936" t="inlineStr">
        <is>
          <t>Föryngringsavverkning</t>
        </is>
      </c>
      <c r="D936" s="1" t="n">
        <v>45386</v>
      </c>
      <c r="E936" s="1" t="n">
        <v>46316</v>
      </c>
      <c r="F936" t="inlineStr">
        <is>
          <t>KRONOBERGS LÄN</t>
        </is>
      </c>
      <c r="G936" t="inlineStr">
        <is>
          <t>VÄXJÖ</t>
        </is>
      </c>
      <c r="I936" t="n">
        <v>0.8</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63448-2023</t>
        </is>
      </c>
      <c r="B937" t="inlineStr">
        <is>
          <t>avverkningsanmälan</t>
        </is>
      </c>
      <c r="C937" t="inlineStr">
        <is>
          <t>Föryngringsavverkning</t>
        </is>
      </c>
      <c r="D937" s="1" t="n">
        <v>45274</v>
      </c>
      <c r="E937" s="1" t="n">
        <v>46316</v>
      </c>
      <c r="F937" t="inlineStr">
        <is>
          <t>KRONOBERGS LÄN</t>
        </is>
      </c>
      <c r="G937" t="inlineStr">
        <is>
          <t>TINGSRYD</t>
        </is>
      </c>
      <c r="I937" t="n">
        <v>3.1</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13429-2025</t>
        </is>
      </c>
      <c r="B938" t="inlineStr">
        <is>
          <t>avverkningsanmälan</t>
        </is>
      </c>
      <c r="C938" t="inlineStr">
        <is>
          <t>Föryngringsavverkning</t>
        </is>
      </c>
      <c r="D938" s="1" t="n">
        <v>45736</v>
      </c>
      <c r="E938" s="1" t="n">
        <v>46316</v>
      </c>
      <c r="F938" t="inlineStr">
        <is>
          <t>KRONOBERGS LÄN</t>
        </is>
      </c>
      <c r="G938" t="inlineStr">
        <is>
          <t>UPPVIDINGE</t>
        </is>
      </c>
      <c r="H938" t="inlineStr">
        <is>
          <t>Sveaskog</t>
        </is>
      </c>
      <c r="I938" t="n">
        <v>0.3</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54819-2023</t>
        </is>
      </c>
      <c r="B939" t="inlineStr">
        <is>
          <t>avverkningsanmälan</t>
        </is>
      </c>
      <c r="C939" t="inlineStr">
        <is>
          <t>Föryngringsavverkning</t>
        </is>
      </c>
      <c r="D939" s="1" t="n">
        <v>45236</v>
      </c>
      <c r="E939" s="1" t="n">
        <v>46316</v>
      </c>
      <c r="F939" t="inlineStr">
        <is>
          <t>KRONOBERGS LÄN</t>
        </is>
      </c>
      <c r="G939" t="inlineStr">
        <is>
          <t>MARKARYD</t>
        </is>
      </c>
      <c r="I939" t="n">
        <v>2.4</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54872-2023</t>
        </is>
      </c>
      <c r="B940" t="inlineStr">
        <is>
          <t>avverkningsanmälan</t>
        </is>
      </c>
      <c r="C940" t="inlineStr">
        <is>
          <t>Föryngringsavverkning</t>
        </is>
      </c>
      <c r="D940" s="1" t="n">
        <v>45236</v>
      </c>
      <c r="E940" s="1" t="n">
        <v>46316</v>
      </c>
      <c r="F940" t="inlineStr">
        <is>
          <t>KRONOBERGS LÄN</t>
        </is>
      </c>
      <c r="G940" t="inlineStr">
        <is>
          <t>VÄXJÖ</t>
        </is>
      </c>
      <c r="I940" t="n">
        <v>0.5</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14836-2022</t>
        </is>
      </c>
      <c r="B941" t="inlineStr">
        <is>
          <t>avverkningsanmälan</t>
        </is>
      </c>
      <c r="C941" t="inlineStr">
        <is>
          <t>Föryngringsavverkning</t>
        </is>
      </c>
      <c r="D941" s="1" t="n">
        <v>44656</v>
      </c>
      <c r="E941" s="1" t="n">
        <v>46316</v>
      </c>
      <c r="F941" t="inlineStr">
        <is>
          <t>KRONOBERGS LÄN</t>
        </is>
      </c>
      <c r="G941" t="inlineStr">
        <is>
          <t>ALVESTA</t>
        </is>
      </c>
      <c r="I941" t="n">
        <v>1.1</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1587-2022</t>
        </is>
      </c>
      <c r="B942" t="inlineStr">
        <is>
          <t>avverkningsanmälan</t>
        </is>
      </c>
      <c r="C942" t="inlineStr">
        <is>
          <t>Föryngringsavverkning</t>
        </is>
      </c>
      <c r="D942" s="1" t="n">
        <v>44573</v>
      </c>
      <c r="E942" s="1" t="n">
        <v>46316</v>
      </c>
      <c r="F942" t="inlineStr">
        <is>
          <t>KRONOBERGS LÄN</t>
        </is>
      </c>
      <c r="G942" t="inlineStr">
        <is>
          <t>VÄXJÖ</t>
        </is>
      </c>
      <c r="I942" t="n">
        <v>2.2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18058-2024</t>
        </is>
      </c>
      <c r="B943" t="inlineStr">
        <is>
          <t>avverkningsanmälan</t>
        </is>
      </c>
      <c r="C943" t="inlineStr">
        <is>
          <t>Föryngringsavverkning</t>
        </is>
      </c>
      <c r="D943" s="1" t="n">
        <v>45420</v>
      </c>
      <c r="E943" s="1" t="n">
        <v>46316</v>
      </c>
      <c r="F943" t="inlineStr">
        <is>
          <t>KRONOBERGS LÄN</t>
        </is>
      </c>
      <c r="G943" t="inlineStr">
        <is>
          <t>VÄXJÖ</t>
        </is>
      </c>
      <c r="I943" t="n">
        <v>1</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58475-2022</t>
        </is>
      </c>
      <c r="B944" t="inlineStr">
        <is>
          <t>avverkningsanmälan</t>
        </is>
      </c>
      <c r="C944" t="inlineStr">
        <is>
          <t>Föryngringsavverkning</t>
        </is>
      </c>
      <c r="D944" s="1" t="n">
        <v>44894</v>
      </c>
      <c r="E944" s="1" t="n">
        <v>46316</v>
      </c>
      <c r="F944" t="inlineStr">
        <is>
          <t>KRONOBERGS LÄN</t>
        </is>
      </c>
      <c r="G944" t="inlineStr">
        <is>
          <t>VÄXJÖ</t>
        </is>
      </c>
      <c r="H944" t="inlineStr">
        <is>
          <t>Kyrkan</t>
        </is>
      </c>
      <c r="I944" t="n">
        <v>0.9</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15774-2025</t>
        </is>
      </c>
      <c r="B945" t="inlineStr">
        <is>
          <t>avverkningsanmälan</t>
        </is>
      </c>
      <c r="C945" t="inlineStr">
        <is>
          <t>Föryngringsavverkning</t>
        </is>
      </c>
      <c r="D945" s="1" t="n">
        <v>45748</v>
      </c>
      <c r="E945" s="1" t="n">
        <v>46316</v>
      </c>
      <c r="F945" t="inlineStr">
        <is>
          <t>KRONOBERGS LÄN</t>
        </is>
      </c>
      <c r="G945" t="inlineStr">
        <is>
          <t>LJUNGBY</t>
        </is>
      </c>
      <c r="I945" t="n">
        <v>1.4</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20525-2025</t>
        </is>
      </c>
      <c r="B946" t="inlineStr">
        <is>
          <t>avverkningsanmälan</t>
        </is>
      </c>
      <c r="C946" t="inlineStr">
        <is>
          <t>Föryngringsavverkning</t>
        </is>
      </c>
      <c r="D946" s="1" t="n">
        <v>45775</v>
      </c>
      <c r="E946" s="1" t="n">
        <v>46316</v>
      </c>
      <c r="F946" t="inlineStr">
        <is>
          <t>KRONOBERGS LÄN</t>
        </is>
      </c>
      <c r="G946" t="inlineStr">
        <is>
          <t>TINGSRYD</t>
        </is>
      </c>
      <c r="I946" t="n">
        <v>7.6</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2420-2025</t>
        </is>
      </c>
      <c r="B947" t="inlineStr">
        <is>
          <t>avverkningsanmälan</t>
        </is>
      </c>
      <c r="C947" t="inlineStr">
        <is>
          <t>Föryngringsavverkning</t>
        </is>
      </c>
      <c r="D947" s="1" t="n">
        <v>45674</v>
      </c>
      <c r="E947" s="1" t="n">
        <v>46316</v>
      </c>
      <c r="F947" t="inlineStr">
        <is>
          <t>KRONOBERGS LÄN</t>
        </is>
      </c>
      <c r="G947" t="inlineStr">
        <is>
          <t>UPPVIDINGE</t>
        </is>
      </c>
      <c r="H947" t="inlineStr">
        <is>
          <t>Sveaskog</t>
        </is>
      </c>
      <c r="I947" t="n">
        <v>1.2</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14069-2025</t>
        </is>
      </c>
      <c r="B948" t="inlineStr">
        <is>
          <t>avverkningsanmälan</t>
        </is>
      </c>
      <c r="C948" t="inlineStr">
        <is>
          <t>Föryngringsavverkning</t>
        </is>
      </c>
      <c r="D948" s="1" t="n">
        <v>45740</v>
      </c>
      <c r="E948" s="1" t="n">
        <v>46316</v>
      </c>
      <c r="F948" t="inlineStr">
        <is>
          <t>KRONOBERGS LÄN</t>
        </is>
      </c>
      <c r="G948" t="inlineStr">
        <is>
          <t>ALVESTA</t>
        </is>
      </c>
      <c r="I948" t="n">
        <v>0.6</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62176-2022</t>
        </is>
      </c>
      <c r="B949" t="inlineStr">
        <is>
          <t>avverkningsanmälan</t>
        </is>
      </c>
      <c r="C949" t="inlineStr">
        <is>
          <t>Föryngringsavverkning</t>
        </is>
      </c>
      <c r="D949" s="1" t="n">
        <v>44922</v>
      </c>
      <c r="E949" s="1" t="n">
        <v>46316</v>
      </c>
      <c r="F949" t="inlineStr">
        <is>
          <t>KRONOBERGS LÄN</t>
        </is>
      </c>
      <c r="G949" t="inlineStr">
        <is>
          <t>UPPVIDINGE</t>
        </is>
      </c>
      <c r="I949" t="n">
        <v>0.5</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28218-2024</t>
        </is>
      </c>
      <c r="B950" t="inlineStr">
        <is>
          <t>avverkningsanmälan</t>
        </is>
      </c>
      <c r="C950" t="inlineStr">
        <is>
          <t>Föryngringsavverkning</t>
        </is>
      </c>
      <c r="D950" s="1" t="n">
        <v>45477</v>
      </c>
      <c r="E950" s="1" t="n">
        <v>46316</v>
      </c>
      <c r="F950" t="inlineStr">
        <is>
          <t>KRONOBERGS LÄN</t>
        </is>
      </c>
      <c r="G950" t="inlineStr">
        <is>
          <t>VÄXJÖ</t>
        </is>
      </c>
      <c r="H950" t="inlineStr">
        <is>
          <t>Sveaskog</t>
        </is>
      </c>
      <c r="I950" t="n">
        <v>1.7</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28220-2024</t>
        </is>
      </c>
      <c r="B951" t="inlineStr">
        <is>
          <t>avverkningsanmälan</t>
        </is>
      </c>
      <c r="C951" t="inlineStr">
        <is>
          <t>Föryngringsavverkning</t>
        </is>
      </c>
      <c r="D951" s="1" t="n">
        <v>45477</v>
      </c>
      <c r="E951" s="1" t="n">
        <v>46316</v>
      </c>
      <c r="F951" t="inlineStr">
        <is>
          <t>KRONOBERGS LÄN</t>
        </is>
      </c>
      <c r="G951" t="inlineStr">
        <is>
          <t>TINGSRYD</t>
        </is>
      </c>
      <c r="I951" t="n">
        <v>2.2</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27533-2023</t>
        </is>
      </c>
      <c r="B952" t="inlineStr">
        <is>
          <t>avverkningsanmälan</t>
        </is>
      </c>
      <c r="C952" t="inlineStr">
        <is>
          <t>Föryngringsavverkning</t>
        </is>
      </c>
      <c r="D952" s="1" t="n">
        <v>45097</v>
      </c>
      <c r="E952" s="1" t="n">
        <v>46316</v>
      </c>
      <c r="F952" t="inlineStr">
        <is>
          <t>KRONOBERGS LÄN</t>
        </is>
      </c>
      <c r="G952" t="inlineStr">
        <is>
          <t>LJUNGBY</t>
        </is>
      </c>
      <c r="I952" t="n">
        <v>0.8</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53296-2023</t>
        </is>
      </c>
      <c r="B953" t="inlineStr">
        <is>
          <t>avverkningsanmälan</t>
        </is>
      </c>
      <c r="C953" t="inlineStr">
        <is>
          <t>Föryngringsavverkning</t>
        </is>
      </c>
      <c r="D953" s="1" t="n">
        <v>45229</v>
      </c>
      <c r="E953" s="1" t="n">
        <v>46316</v>
      </c>
      <c r="F953" t="inlineStr">
        <is>
          <t>KRONOBERGS LÄN</t>
        </is>
      </c>
      <c r="G953" t="inlineStr">
        <is>
          <t>UPPVIDINGE</t>
        </is>
      </c>
      <c r="I953" t="n">
        <v>2.2</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61354-2022</t>
        </is>
      </c>
      <c r="B954" t="inlineStr">
        <is>
          <t>avverkningsanmälan</t>
        </is>
      </c>
      <c r="C954" t="inlineStr">
        <is>
          <t>Föryngringsavverkning</t>
        </is>
      </c>
      <c r="D954" s="1" t="n">
        <v>44915</v>
      </c>
      <c r="E954" s="1" t="n">
        <v>46316</v>
      </c>
      <c r="F954" t="inlineStr">
        <is>
          <t>KRONOBERGS LÄN</t>
        </is>
      </c>
      <c r="G954" t="inlineStr">
        <is>
          <t>VÄXJÖ</t>
        </is>
      </c>
      <c r="I954" t="n">
        <v>2.3</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67304-2021</t>
        </is>
      </c>
      <c r="B955" t="inlineStr">
        <is>
          <t>avverkningsanmälan</t>
        </is>
      </c>
      <c r="C955" t="inlineStr">
        <is>
          <t>Föryngringsavverkning</t>
        </is>
      </c>
      <c r="D955" s="1" t="n">
        <v>44523</v>
      </c>
      <c r="E955" s="1" t="n">
        <v>46316</v>
      </c>
      <c r="F955" t="inlineStr">
        <is>
          <t>KRONOBERGS LÄN</t>
        </is>
      </c>
      <c r="G955" t="inlineStr">
        <is>
          <t>VÄXJÖ</t>
        </is>
      </c>
      <c r="I955" t="n">
        <v>6.4</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6326-2024</t>
        </is>
      </c>
      <c r="B956" t="inlineStr">
        <is>
          <t>avverkningsanmälan</t>
        </is>
      </c>
      <c r="C956" t="inlineStr">
        <is>
          <t>Föryngringsavverkning</t>
        </is>
      </c>
      <c r="D956" s="1" t="n">
        <v>45338</v>
      </c>
      <c r="E956" s="1" t="n">
        <v>46316</v>
      </c>
      <c r="F956" t="inlineStr">
        <is>
          <t>KRONOBERGS LÄN</t>
        </is>
      </c>
      <c r="G956" t="inlineStr">
        <is>
          <t>UPPVIDINGE</t>
        </is>
      </c>
      <c r="H956" t="inlineStr">
        <is>
          <t>Sveaskog</t>
        </is>
      </c>
      <c r="I956" t="n">
        <v>0.2</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13579-2024</t>
        </is>
      </c>
      <c r="B957" t="inlineStr">
        <is>
          <t>avverkningsanmälan</t>
        </is>
      </c>
      <c r="C957" t="inlineStr">
        <is>
          <t>Föryngringsavverkning</t>
        </is>
      </c>
      <c r="D957" s="1" t="n">
        <v>45389</v>
      </c>
      <c r="E957" s="1" t="n">
        <v>46316</v>
      </c>
      <c r="F957" t="inlineStr">
        <is>
          <t>KRONOBERGS LÄN</t>
        </is>
      </c>
      <c r="G957" t="inlineStr">
        <is>
          <t>UPPVIDINGE</t>
        </is>
      </c>
      <c r="I957" t="n">
        <v>4.4</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30340-2022</t>
        </is>
      </c>
      <c r="B958" t="inlineStr">
        <is>
          <t>avverkningsanmälan</t>
        </is>
      </c>
      <c r="C958" t="inlineStr">
        <is>
          <t>Föryngringsavverkning</t>
        </is>
      </c>
      <c r="D958" s="1" t="n">
        <v>44760</v>
      </c>
      <c r="E958" s="1" t="n">
        <v>46316</v>
      </c>
      <c r="F958" t="inlineStr">
        <is>
          <t>KRONOBERGS LÄN</t>
        </is>
      </c>
      <c r="G958" t="inlineStr">
        <is>
          <t>MARKARYD</t>
        </is>
      </c>
      <c r="I958" t="n">
        <v>0.8</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19818-2024</t>
        </is>
      </c>
      <c r="B959" t="inlineStr">
        <is>
          <t>avverkningsanmälan</t>
        </is>
      </c>
      <c r="C959" t="inlineStr">
        <is>
          <t>Föryngringsavverkning</t>
        </is>
      </c>
      <c r="D959" s="1" t="n">
        <v>45433</v>
      </c>
      <c r="E959" s="1" t="n">
        <v>46316</v>
      </c>
      <c r="F959" t="inlineStr">
        <is>
          <t>KRONOBERGS LÄN</t>
        </is>
      </c>
      <c r="G959" t="inlineStr">
        <is>
          <t>ÄLMHULT</t>
        </is>
      </c>
      <c r="I959" t="n">
        <v>0.7</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49005-2024</t>
        </is>
      </c>
      <c r="B960" t="inlineStr">
        <is>
          <t>avverkningsanmälan</t>
        </is>
      </c>
      <c r="C960" t="inlineStr">
        <is>
          <t>Föryngringsavverkning</t>
        </is>
      </c>
      <c r="D960" s="1" t="n">
        <v>45594</v>
      </c>
      <c r="E960" s="1" t="n">
        <v>46316</v>
      </c>
      <c r="F960" t="inlineStr">
        <is>
          <t>KRONOBERGS LÄN</t>
        </is>
      </c>
      <c r="G960" t="inlineStr">
        <is>
          <t>VÄXJÖ</t>
        </is>
      </c>
      <c r="H960" t="inlineStr">
        <is>
          <t>Sveaskog</t>
        </is>
      </c>
      <c r="I960" t="n">
        <v>0.5</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49009-2024</t>
        </is>
      </c>
      <c r="B961" t="inlineStr">
        <is>
          <t>avverkningsanmälan</t>
        </is>
      </c>
      <c r="C961" t="inlineStr">
        <is>
          <t>Föryngringsavverkning</t>
        </is>
      </c>
      <c r="D961" s="1" t="n">
        <v>45594</v>
      </c>
      <c r="E961" s="1" t="n">
        <v>46316</v>
      </c>
      <c r="F961" t="inlineStr">
        <is>
          <t>KRONOBERGS LÄN</t>
        </is>
      </c>
      <c r="G961" t="inlineStr">
        <is>
          <t>VÄXJÖ</t>
        </is>
      </c>
      <c r="H961" t="inlineStr">
        <is>
          <t>Sveaskog</t>
        </is>
      </c>
      <c r="I961" t="n">
        <v>0.4</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49014-2024</t>
        </is>
      </c>
      <c r="B962" t="inlineStr">
        <is>
          <t>avverkningsanmälan</t>
        </is>
      </c>
      <c r="C962" t="inlineStr">
        <is>
          <t>Föryngringsavverkning</t>
        </is>
      </c>
      <c r="D962" s="1" t="n">
        <v>45594</v>
      </c>
      <c r="E962" s="1" t="n">
        <v>46316</v>
      </c>
      <c r="F962" t="inlineStr">
        <is>
          <t>KRONOBERGS LÄN</t>
        </is>
      </c>
      <c r="G962" t="inlineStr">
        <is>
          <t>VÄXJÖ</t>
        </is>
      </c>
      <c r="H962" t="inlineStr">
        <is>
          <t>Sveaskog</t>
        </is>
      </c>
      <c r="I962" t="n">
        <v>2</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49015-2024</t>
        </is>
      </c>
      <c r="B963" t="inlineStr">
        <is>
          <t>avverkningsanmälan</t>
        </is>
      </c>
      <c r="C963" t="inlineStr">
        <is>
          <t>Föryngringsavverkning</t>
        </is>
      </c>
      <c r="D963" s="1" t="n">
        <v>45594</v>
      </c>
      <c r="E963" s="1" t="n">
        <v>46316</v>
      </c>
      <c r="F963" t="inlineStr">
        <is>
          <t>KRONOBERGS LÄN</t>
        </is>
      </c>
      <c r="G963" t="inlineStr">
        <is>
          <t>VÄXJÖ</t>
        </is>
      </c>
      <c r="H963" t="inlineStr">
        <is>
          <t>Sveaskog</t>
        </is>
      </c>
      <c r="I963" t="n">
        <v>1.4</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30764-2022</t>
        </is>
      </c>
      <c r="B964" t="inlineStr">
        <is>
          <t>avverkningsanmälan</t>
        </is>
      </c>
      <c r="C964" t="inlineStr">
        <is>
          <t>Föryngringsavverkning</t>
        </is>
      </c>
      <c r="D964" s="1" t="n">
        <v>44764</v>
      </c>
      <c r="E964" s="1" t="n">
        <v>46316</v>
      </c>
      <c r="F964" t="inlineStr">
        <is>
          <t>KRONOBERGS LÄN</t>
        </is>
      </c>
      <c r="G964" t="inlineStr">
        <is>
          <t>LJUNGBY</t>
        </is>
      </c>
      <c r="I964" t="n">
        <v>0.7</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6934-2023</t>
        </is>
      </c>
      <c r="B965" t="inlineStr">
        <is>
          <t>avverkningsanmälan</t>
        </is>
      </c>
      <c r="C965" t="inlineStr">
        <is>
          <t>Föryngringsavverkning</t>
        </is>
      </c>
      <c r="D965" s="1" t="n">
        <v>44967</v>
      </c>
      <c r="E965" s="1" t="n">
        <v>46316</v>
      </c>
      <c r="F965" t="inlineStr">
        <is>
          <t>KRONOBERGS LÄN</t>
        </is>
      </c>
      <c r="G965" t="inlineStr">
        <is>
          <t>VÄXJÖ</t>
        </is>
      </c>
      <c r="I965" t="n">
        <v>4.3</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6332-2024</t>
        </is>
      </c>
      <c r="B966" t="inlineStr">
        <is>
          <t>avverkningsanmälan</t>
        </is>
      </c>
      <c r="C966" t="inlineStr">
        <is>
          <t>Föryngringsavverkning</t>
        </is>
      </c>
      <c r="D966" s="1" t="n">
        <v>45338</v>
      </c>
      <c r="E966" s="1" t="n">
        <v>46316</v>
      </c>
      <c r="F966" t="inlineStr">
        <is>
          <t>KRONOBERGS LÄN</t>
        </is>
      </c>
      <c r="G966" t="inlineStr">
        <is>
          <t>UPPVIDINGE</t>
        </is>
      </c>
      <c r="H966" t="inlineStr">
        <is>
          <t>Sveaskog</t>
        </is>
      </c>
      <c r="I966" t="n">
        <v>0.2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6343-2024</t>
        </is>
      </c>
      <c r="B967" t="inlineStr">
        <is>
          <t>avverkningsanmälan</t>
        </is>
      </c>
      <c r="C967" t="inlineStr">
        <is>
          <t>Föryngringsavverkning</t>
        </is>
      </c>
      <c r="D967" s="1" t="n">
        <v>45338</v>
      </c>
      <c r="E967" s="1" t="n">
        <v>46316</v>
      </c>
      <c r="F967" t="inlineStr">
        <is>
          <t>KRONOBERGS LÄN</t>
        </is>
      </c>
      <c r="G967" t="inlineStr">
        <is>
          <t>UPPVIDINGE</t>
        </is>
      </c>
      <c r="H967" t="inlineStr">
        <is>
          <t>Sveaskog</t>
        </is>
      </c>
      <c r="I967" t="n">
        <v>6.2</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6345-2024</t>
        </is>
      </c>
      <c r="B968" t="inlineStr">
        <is>
          <t>avverkningsanmälan</t>
        </is>
      </c>
      <c r="C968" t="inlineStr">
        <is>
          <t>Föryngringsavverkning</t>
        </is>
      </c>
      <c r="D968" s="1" t="n">
        <v>45338</v>
      </c>
      <c r="E968" s="1" t="n">
        <v>46316</v>
      </c>
      <c r="F968" t="inlineStr">
        <is>
          <t>KRONOBERGS LÄN</t>
        </is>
      </c>
      <c r="G968" t="inlineStr">
        <is>
          <t>UPPVIDINGE</t>
        </is>
      </c>
      <c r="H968" t="inlineStr">
        <is>
          <t>Sveaskog</t>
        </is>
      </c>
      <c r="I968" t="n">
        <v>0.6</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24556-2024</t>
        </is>
      </c>
      <c r="B969" t="inlineStr">
        <is>
          <t>avverkningsanmälan</t>
        </is>
      </c>
      <c r="C969" t="inlineStr">
        <is>
          <t>Föryngringsavverkning</t>
        </is>
      </c>
      <c r="D969" s="1" t="n">
        <v>45460</v>
      </c>
      <c r="E969" s="1" t="n">
        <v>46316</v>
      </c>
      <c r="F969" t="inlineStr">
        <is>
          <t>KRONOBERGS LÄN</t>
        </is>
      </c>
      <c r="G969" t="inlineStr">
        <is>
          <t>VÄXJÖ</t>
        </is>
      </c>
      <c r="I969" t="n">
        <v>0.7</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6370-2024</t>
        </is>
      </c>
      <c r="B970" t="inlineStr">
        <is>
          <t>avverkningsanmälan</t>
        </is>
      </c>
      <c r="C970" t="inlineStr">
        <is>
          <t>Föryngringsavverkning</t>
        </is>
      </c>
      <c r="D970" s="1" t="n">
        <v>45338</v>
      </c>
      <c r="E970" s="1" t="n">
        <v>46316</v>
      </c>
      <c r="F970" t="inlineStr">
        <is>
          <t>KRONOBERGS LÄN</t>
        </is>
      </c>
      <c r="G970" t="inlineStr">
        <is>
          <t>ALVESTA</t>
        </is>
      </c>
      <c r="I970" t="n">
        <v>0.5</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43833-2023</t>
        </is>
      </c>
      <c r="B971" t="inlineStr">
        <is>
          <t>avverkningsanmälan</t>
        </is>
      </c>
      <c r="C971" t="inlineStr">
        <is>
          <t>Föryngringsavverkning</t>
        </is>
      </c>
      <c r="D971" s="1" t="n">
        <v>45187</v>
      </c>
      <c r="E971" s="1" t="n">
        <v>46316</v>
      </c>
      <c r="F971" t="inlineStr">
        <is>
          <t>KRONOBERGS LÄN</t>
        </is>
      </c>
      <c r="G971" t="inlineStr">
        <is>
          <t>LJUNGBY</t>
        </is>
      </c>
      <c r="I971" t="n">
        <v>0.4</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14596-2024</t>
        </is>
      </c>
      <c r="B972" t="inlineStr">
        <is>
          <t>avverkningsanmälan</t>
        </is>
      </c>
      <c r="C972" t="inlineStr">
        <is>
          <t>Föryngringsavverkning</t>
        </is>
      </c>
      <c r="D972" s="1" t="n">
        <v>45395</v>
      </c>
      <c r="E972" s="1" t="n">
        <v>46316</v>
      </c>
      <c r="F972" t="inlineStr">
        <is>
          <t>KRONOBERGS LÄN</t>
        </is>
      </c>
      <c r="G972" t="inlineStr">
        <is>
          <t>TINGSRYD</t>
        </is>
      </c>
      <c r="I972" t="n">
        <v>1.3</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6880-2023</t>
        </is>
      </c>
      <c r="B973" t="inlineStr">
        <is>
          <t>avverkningsanmälan</t>
        </is>
      </c>
      <c r="C973" t="inlineStr">
        <is>
          <t>Föryngringsavverkning</t>
        </is>
      </c>
      <c r="D973" s="1" t="n">
        <v>44967</v>
      </c>
      <c r="E973" s="1" t="n">
        <v>46316</v>
      </c>
      <c r="F973" t="inlineStr">
        <is>
          <t>KRONOBERGS LÄN</t>
        </is>
      </c>
      <c r="G973" t="inlineStr">
        <is>
          <t>TINGSRYD</t>
        </is>
      </c>
      <c r="H973" t="inlineStr">
        <is>
          <t>Övriga Aktiebolag</t>
        </is>
      </c>
      <c r="I973" t="n">
        <v>1.6</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3624-2022</t>
        </is>
      </c>
      <c r="B974" t="inlineStr">
        <is>
          <t>avverkningsanmälan</t>
        </is>
      </c>
      <c r="C974" t="inlineStr">
        <is>
          <t>Föryngringsavverkning</t>
        </is>
      </c>
      <c r="D974" s="1" t="n">
        <v>44586</v>
      </c>
      <c r="E974" s="1" t="n">
        <v>46316</v>
      </c>
      <c r="F974" t="inlineStr">
        <is>
          <t>KRONOBERGS LÄN</t>
        </is>
      </c>
      <c r="G974" t="inlineStr">
        <is>
          <t>TINGSRYD</t>
        </is>
      </c>
      <c r="I974" t="n">
        <v>1.5</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383-2023</t>
        </is>
      </c>
      <c r="B975" t="inlineStr">
        <is>
          <t>avverkningsanmälan</t>
        </is>
      </c>
      <c r="C975" t="inlineStr">
        <is>
          <t>Föryngringsavverkning</t>
        </is>
      </c>
      <c r="D975" s="1" t="n">
        <v>44929</v>
      </c>
      <c r="E975" s="1" t="n">
        <v>46316</v>
      </c>
      <c r="F975" t="inlineStr">
        <is>
          <t>KRONOBERGS LÄN</t>
        </is>
      </c>
      <c r="G975" t="inlineStr">
        <is>
          <t>LJUNGBY</t>
        </is>
      </c>
      <c r="I975" t="n">
        <v>0.7</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53415-2024</t>
        </is>
      </c>
      <c r="B976" t="inlineStr">
        <is>
          <t>avverkningsanmälan</t>
        </is>
      </c>
      <c r="C976" t="inlineStr">
        <is>
          <t>Föryngringsavverkning</t>
        </is>
      </c>
      <c r="D976" s="1" t="n">
        <v>45614</v>
      </c>
      <c r="E976" s="1" t="n">
        <v>46316</v>
      </c>
      <c r="F976" t="inlineStr">
        <is>
          <t>KRONOBERGS LÄN</t>
        </is>
      </c>
      <c r="G976" t="inlineStr">
        <is>
          <t>LJUNGBY</t>
        </is>
      </c>
      <c r="H976" t="inlineStr">
        <is>
          <t>Sveaskog</t>
        </is>
      </c>
      <c r="I976" t="n">
        <v>2.3</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33240-2024</t>
        </is>
      </c>
      <c r="B977" t="inlineStr">
        <is>
          <t>avverkningsanmälan</t>
        </is>
      </c>
      <c r="C977" t="inlineStr">
        <is>
          <t>Föryngringsavverkning</t>
        </is>
      </c>
      <c r="D977" s="1" t="n">
        <v>45518</v>
      </c>
      <c r="E977" s="1" t="n">
        <v>46316</v>
      </c>
      <c r="F977" t="inlineStr">
        <is>
          <t>KRONOBERGS LÄN</t>
        </is>
      </c>
      <c r="G977" t="inlineStr">
        <is>
          <t>LESSEBO</t>
        </is>
      </c>
      <c r="I977" t="n">
        <v>7.4</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24287-2023</t>
        </is>
      </c>
      <c r="B978" t="inlineStr">
        <is>
          <t>avverkningsanmälan</t>
        </is>
      </c>
      <c r="C978" t="inlineStr">
        <is>
          <t>Föryngringsavverkning</t>
        </is>
      </c>
      <c r="D978" s="1" t="n">
        <v>45079</v>
      </c>
      <c r="E978" s="1" t="n">
        <v>46316</v>
      </c>
      <c r="F978" t="inlineStr">
        <is>
          <t>KRONOBERGS LÄN</t>
        </is>
      </c>
      <c r="G978" t="inlineStr">
        <is>
          <t>MARKARYD</t>
        </is>
      </c>
      <c r="I978" t="n">
        <v>0.6</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62164-2021</t>
        </is>
      </c>
      <c r="B979" t="inlineStr">
        <is>
          <t>avverkningsanmälan</t>
        </is>
      </c>
      <c r="C979" t="inlineStr">
        <is>
          <t>Föryngringsavverkning</t>
        </is>
      </c>
      <c r="D979" s="1" t="n">
        <v>44502</v>
      </c>
      <c r="E979" s="1" t="n">
        <v>46316</v>
      </c>
      <c r="F979" t="inlineStr">
        <is>
          <t>KRONOBERGS LÄN</t>
        </is>
      </c>
      <c r="G979" t="inlineStr">
        <is>
          <t>VÄXJÖ</t>
        </is>
      </c>
      <c r="H979" t="inlineStr">
        <is>
          <t>Sveaskog</t>
        </is>
      </c>
      <c r="I979" t="n">
        <v>1.3</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24774-2022</t>
        </is>
      </c>
      <c r="B980" t="inlineStr">
        <is>
          <t>avverkningsanmälan</t>
        </is>
      </c>
      <c r="C980" t="inlineStr">
        <is>
          <t>Föryngringsavverkning</t>
        </is>
      </c>
      <c r="D980" s="1" t="n">
        <v>44728</v>
      </c>
      <c r="E980" s="1" t="n">
        <v>46316</v>
      </c>
      <c r="F980" t="inlineStr">
        <is>
          <t>KRONOBERGS LÄN</t>
        </is>
      </c>
      <c r="G980" t="inlineStr">
        <is>
          <t>TINGSRYD</t>
        </is>
      </c>
      <c r="I980" t="n">
        <v>4.3</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42692-2023</t>
        </is>
      </c>
      <c r="B981" t="inlineStr">
        <is>
          <t>avverkningsanmälan</t>
        </is>
      </c>
      <c r="C981" t="inlineStr">
        <is>
          <t>Föryngringsavverkning</t>
        </is>
      </c>
      <c r="D981" s="1" t="n">
        <v>45181</v>
      </c>
      <c r="E981" s="1" t="n">
        <v>46316</v>
      </c>
      <c r="F981" t="inlineStr">
        <is>
          <t>KRONOBERGS LÄN</t>
        </is>
      </c>
      <c r="G981" t="inlineStr">
        <is>
          <t>MARKARYD</t>
        </is>
      </c>
      <c r="H981" t="inlineStr">
        <is>
          <t>Sveaskog</t>
        </is>
      </c>
      <c r="I981" t="n">
        <v>0.3</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12044-2024</t>
        </is>
      </c>
      <c r="B982" t="inlineStr">
        <is>
          <t>avverkningsanmälan</t>
        </is>
      </c>
      <c r="C982" t="inlineStr">
        <is>
          <t>Föryngringsavverkning</t>
        </is>
      </c>
      <c r="D982" s="1" t="n">
        <v>45377</v>
      </c>
      <c r="E982" s="1" t="n">
        <v>46316</v>
      </c>
      <c r="F982" t="inlineStr">
        <is>
          <t>KRONOBERGS LÄN</t>
        </is>
      </c>
      <c r="G982" t="inlineStr">
        <is>
          <t>TINGSRYD</t>
        </is>
      </c>
      <c r="I982" t="n">
        <v>4</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4320-2024</t>
        </is>
      </c>
      <c r="B983" t="inlineStr">
        <is>
          <t>avverkningsanmälan</t>
        </is>
      </c>
      <c r="C983" t="inlineStr">
        <is>
          <t>Föryngringsavverkning</t>
        </is>
      </c>
      <c r="D983" s="1" t="n">
        <v>45324</v>
      </c>
      <c r="E983" s="1" t="n">
        <v>46316</v>
      </c>
      <c r="F983" t="inlineStr">
        <is>
          <t>KRONOBERGS LÄN</t>
        </is>
      </c>
      <c r="G983" t="inlineStr">
        <is>
          <t>VÄXJÖ</t>
        </is>
      </c>
      <c r="I983" t="n">
        <v>1.3</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46662-2022</t>
        </is>
      </c>
      <c r="B984" t="inlineStr">
        <is>
          <t>avverkningsanmälan</t>
        </is>
      </c>
      <c r="C984" t="inlineStr">
        <is>
          <t>Föryngringsavverkning</t>
        </is>
      </c>
      <c r="D984" s="1" t="n">
        <v>44850</v>
      </c>
      <c r="E984" s="1" t="n">
        <v>46316</v>
      </c>
      <c r="F984" t="inlineStr">
        <is>
          <t>KRONOBERGS LÄN</t>
        </is>
      </c>
      <c r="G984" t="inlineStr">
        <is>
          <t>LJUNGBY</t>
        </is>
      </c>
      <c r="I984" t="n">
        <v>4.1</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37377-2023</t>
        </is>
      </c>
      <c r="B985" t="inlineStr">
        <is>
          <t>avverkningsanmälan</t>
        </is>
      </c>
      <c r="C985" t="inlineStr">
        <is>
          <t>Föryngringsavverkning</t>
        </is>
      </c>
      <c r="D985" s="1" t="n">
        <v>45156</v>
      </c>
      <c r="E985" s="1" t="n">
        <v>46316</v>
      </c>
      <c r="F985" t="inlineStr">
        <is>
          <t>KRONOBERGS LÄN</t>
        </is>
      </c>
      <c r="G985" t="inlineStr">
        <is>
          <t>UPPVIDINGE</t>
        </is>
      </c>
      <c r="I985" t="n">
        <v>0.5</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35661-2023</t>
        </is>
      </c>
      <c r="B986" t="inlineStr">
        <is>
          <t>avverkningsanmälan</t>
        </is>
      </c>
      <c r="C986" t="inlineStr">
        <is>
          <t>Föryngringsavverkning</t>
        </is>
      </c>
      <c r="D986" s="1" t="n">
        <v>45147</v>
      </c>
      <c r="E986" s="1" t="n">
        <v>46316</v>
      </c>
      <c r="F986" t="inlineStr">
        <is>
          <t>KRONOBERGS LÄN</t>
        </is>
      </c>
      <c r="G986" t="inlineStr">
        <is>
          <t>TINGSRYD</t>
        </is>
      </c>
      <c r="I986" t="n">
        <v>1</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2896-2022</t>
        </is>
      </c>
      <c r="B987" t="inlineStr">
        <is>
          <t>avverkningsanmälan</t>
        </is>
      </c>
      <c r="C987" t="inlineStr">
        <is>
          <t>Föryngringsavverkning</t>
        </is>
      </c>
      <c r="D987" s="1" t="n">
        <v>44581</v>
      </c>
      <c r="E987" s="1" t="n">
        <v>46316</v>
      </c>
      <c r="F987" t="inlineStr">
        <is>
          <t>KRONOBERGS LÄN</t>
        </is>
      </c>
      <c r="G987" t="inlineStr">
        <is>
          <t>MARKARYD</t>
        </is>
      </c>
      <c r="I987" t="n">
        <v>0.6</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53768-2024</t>
        </is>
      </c>
      <c r="B988" t="inlineStr">
        <is>
          <t>avverkningsanmälan</t>
        </is>
      </c>
      <c r="C988" t="inlineStr">
        <is>
          <t>Föryngringsavverkning</t>
        </is>
      </c>
      <c r="D988" s="1" t="n">
        <v>45615</v>
      </c>
      <c r="E988" s="1" t="n">
        <v>46316</v>
      </c>
      <c r="F988" t="inlineStr">
        <is>
          <t>KRONOBERGS LÄN</t>
        </is>
      </c>
      <c r="G988" t="inlineStr">
        <is>
          <t>TINGSRYD</t>
        </is>
      </c>
      <c r="I988" t="n">
        <v>0.6</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17026-2022</t>
        </is>
      </c>
      <c r="B989" t="inlineStr">
        <is>
          <t>avverkningsanmälan</t>
        </is>
      </c>
      <c r="C989" t="inlineStr">
        <is>
          <t>Föryngringsavverkning</t>
        </is>
      </c>
      <c r="D989" s="1" t="n">
        <v>44676</v>
      </c>
      <c r="E989" s="1" t="n">
        <v>46316</v>
      </c>
      <c r="F989" t="inlineStr">
        <is>
          <t>KRONOBERGS LÄN</t>
        </is>
      </c>
      <c r="G989" t="inlineStr">
        <is>
          <t>TINGSRYD</t>
        </is>
      </c>
      <c r="I989" t="n">
        <v>1.9</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2023-2025</t>
        </is>
      </c>
      <c r="B990" t="inlineStr">
        <is>
          <t>avverkningsanmälan</t>
        </is>
      </c>
      <c r="C990" t="inlineStr">
        <is>
          <t>Föryngringsavverkning</t>
        </is>
      </c>
      <c r="D990" s="1" t="n">
        <v>45672</v>
      </c>
      <c r="E990" s="1" t="n">
        <v>46316</v>
      </c>
      <c r="F990" t="inlineStr">
        <is>
          <t>KRONOBERGS LÄN</t>
        </is>
      </c>
      <c r="G990" t="inlineStr">
        <is>
          <t>VÄXJÖ</t>
        </is>
      </c>
      <c r="I990" t="n">
        <v>0.4</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9755-2025</t>
        </is>
      </c>
      <c r="B991" t="inlineStr">
        <is>
          <t>avverkningsanmälan</t>
        </is>
      </c>
      <c r="C991" t="inlineStr">
        <is>
          <t>Föryngringsavverkning</t>
        </is>
      </c>
      <c r="D991" s="1" t="n">
        <v>45715</v>
      </c>
      <c r="E991" s="1" t="n">
        <v>46316</v>
      </c>
      <c r="F991" t="inlineStr">
        <is>
          <t>KRONOBERGS LÄN</t>
        </is>
      </c>
      <c r="G991" t="inlineStr">
        <is>
          <t>VÄXJÖ</t>
        </is>
      </c>
      <c r="H991" t="inlineStr">
        <is>
          <t>Kyrkan</t>
        </is>
      </c>
      <c r="I991" t="n">
        <v>1</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25503-2023</t>
        </is>
      </c>
      <c r="B992" t="inlineStr">
        <is>
          <t>avverkningsanmälan</t>
        </is>
      </c>
      <c r="C992" t="inlineStr">
        <is>
          <t>Föryngringsavverkning</t>
        </is>
      </c>
      <c r="D992" s="1" t="n">
        <v>45089</v>
      </c>
      <c r="E992" s="1" t="n">
        <v>46316</v>
      </c>
      <c r="F992" t="inlineStr">
        <is>
          <t>KRONOBERGS LÄN</t>
        </is>
      </c>
      <c r="G992" t="inlineStr">
        <is>
          <t>UPPVIDINGE</t>
        </is>
      </c>
      <c r="I992" t="n">
        <v>2.1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8354-2022</t>
        </is>
      </c>
      <c r="B993" t="inlineStr">
        <is>
          <t>avverkningsanmälan</t>
        </is>
      </c>
      <c r="C993" t="inlineStr">
        <is>
          <t>Föryngringsavverkning</t>
        </is>
      </c>
      <c r="D993" s="1" t="n">
        <v>44610</v>
      </c>
      <c r="E993" s="1" t="n">
        <v>46316</v>
      </c>
      <c r="F993" t="inlineStr">
        <is>
          <t>KRONOBERGS LÄN</t>
        </is>
      </c>
      <c r="G993" t="inlineStr">
        <is>
          <t>UPPVIDINGE</t>
        </is>
      </c>
      <c r="I993" t="n">
        <v>0.5</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27713-2022</t>
        </is>
      </c>
      <c r="B994" t="inlineStr">
        <is>
          <t>avverkningsanmälan</t>
        </is>
      </c>
      <c r="C994" t="inlineStr">
        <is>
          <t>Föryngringsavverkning</t>
        </is>
      </c>
      <c r="D994" s="1" t="n">
        <v>44743</v>
      </c>
      <c r="E994" s="1" t="n">
        <v>46316</v>
      </c>
      <c r="F994" t="inlineStr">
        <is>
          <t>KRONOBERGS LÄN</t>
        </is>
      </c>
      <c r="G994" t="inlineStr">
        <is>
          <t>LESSEBO</t>
        </is>
      </c>
      <c r="I994" t="n">
        <v>2.8</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27736-2022</t>
        </is>
      </c>
      <c r="B995" t="inlineStr">
        <is>
          <t>avverkningsanmälan</t>
        </is>
      </c>
      <c r="C995" t="inlineStr">
        <is>
          <t>Föryngringsavverkning</t>
        </is>
      </c>
      <c r="D995" s="1" t="n">
        <v>44743</v>
      </c>
      <c r="E995" s="1" t="n">
        <v>46316</v>
      </c>
      <c r="F995" t="inlineStr">
        <is>
          <t>KRONOBERGS LÄN</t>
        </is>
      </c>
      <c r="G995" t="inlineStr">
        <is>
          <t>ALVESTA</t>
        </is>
      </c>
      <c r="I995" t="n">
        <v>6.6</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21969-2023</t>
        </is>
      </c>
      <c r="B996" t="inlineStr">
        <is>
          <t>avverkningsanmälan</t>
        </is>
      </c>
      <c r="C996" t="inlineStr">
        <is>
          <t>Föryngringsavverkning</t>
        </is>
      </c>
      <c r="D996" s="1" t="n">
        <v>45068</v>
      </c>
      <c r="E996" s="1" t="n">
        <v>46316</v>
      </c>
      <c r="F996" t="inlineStr">
        <is>
          <t>KRONOBERGS LÄN</t>
        </is>
      </c>
      <c r="G996" t="inlineStr">
        <is>
          <t>LJUNGBY</t>
        </is>
      </c>
      <c r="H996" t="inlineStr">
        <is>
          <t>Kommuner</t>
        </is>
      </c>
      <c r="I996" t="n">
        <v>8.9</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56456-2024</t>
        </is>
      </c>
      <c r="B997" t="inlineStr">
        <is>
          <t>avverkningsanmälan</t>
        </is>
      </c>
      <c r="C997" t="inlineStr">
        <is>
          <t>Föryngringsavverkning</t>
        </is>
      </c>
      <c r="D997" s="1" t="n">
        <v>45625</v>
      </c>
      <c r="E997" s="1" t="n">
        <v>46316</v>
      </c>
      <c r="F997" t="inlineStr">
        <is>
          <t>KRONOBERGS LÄN</t>
        </is>
      </c>
      <c r="G997" t="inlineStr">
        <is>
          <t>LESSEBO</t>
        </is>
      </c>
      <c r="I997" t="n">
        <v>1.2</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56459-2024</t>
        </is>
      </c>
      <c r="B998" t="inlineStr">
        <is>
          <t>avverkningsanmälan</t>
        </is>
      </c>
      <c r="C998" t="inlineStr">
        <is>
          <t>Föryngringsavverkning</t>
        </is>
      </c>
      <c r="D998" s="1" t="n">
        <v>45625</v>
      </c>
      <c r="E998" s="1" t="n">
        <v>46316</v>
      </c>
      <c r="F998" t="inlineStr">
        <is>
          <t>KRONOBERGS LÄN</t>
        </is>
      </c>
      <c r="G998" t="inlineStr">
        <is>
          <t>LESSEBO</t>
        </is>
      </c>
      <c r="I998" t="n">
        <v>2</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15262-2024</t>
        </is>
      </c>
      <c r="B999" t="inlineStr">
        <is>
          <t>avverkningsanmälan</t>
        </is>
      </c>
      <c r="C999" t="inlineStr">
        <is>
          <t>Föryngringsavverkning</t>
        </is>
      </c>
      <c r="D999" s="1" t="n">
        <v>45400</v>
      </c>
      <c r="E999" s="1" t="n">
        <v>46316</v>
      </c>
      <c r="F999" t="inlineStr">
        <is>
          <t>KRONOBERGS LÄN</t>
        </is>
      </c>
      <c r="G999" t="inlineStr">
        <is>
          <t>ALVESTA</t>
        </is>
      </c>
      <c r="I999" t="n">
        <v>1.3</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27789-2023</t>
        </is>
      </c>
      <c r="B1000" t="inlineStr">
        <is>
          <t>avverkningsanmälan</t>
        </is>
      </c>
      <c r="C1000" t="inlineStr">
        <is>
          <t>Föryngringsavverkning</t>
        </is>
      </c>
      <c r="D1000" s="1" t="n">
        <v>45098</v>
      </c>
      <c r="E1000" s="1" t="n">
        <v>46316</v>
      </c>
      <c r="F1000" t="inlineStr">
        <is>
          <t>KRONOBERGS LÄN</t>
        </is>
      </c>
      <c r="G1000" t="inlineStr">
        <is>
          <t>UPPVIDINGE</t>
        </is>
      </c>
      <c r="I1000" t="n">
        <v>0.5</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7089-2023</t>
        </is>
      </c>
      <c r="B1001" t="inlineStr">
        <is>
          <t>avverkningsanmälan</t>
        </is>
      </c>
      <c r="C1001" t="inlineStr">
        <is>
          <t>Föryngringsavverkning</t>
        </is>
      </c>
      <c r="D1001" s="1" t="n">
        <v>44965</v>
      </c>
      <c r="E1001" s="1" t="n">
        <v>46316</v>
      </c>
      <c r="F1001" t="inlineStr">
        <is>
          <t>KRONOBERGS LÄN</t>
        </is>
      </c>
      <c r="G1001" t="inlineStr">
        <is>
          <t>TINGSRYD</t>
        </is>
      </c>
      <c r="I1001" t="n">
        <v>0.5</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40963-2022</t>
        </is>
      </c>
      <c r="B1002" t="inlineStr">
        <is>
          <t>avverkningsanmälan</t>
        </is>
      </c>
      <c r="C1002" t="inlineStr">
        <is>
          <t>Föryngringsavverkning</t>
        </is>
      </c>
      <c r="D1002" s="1" t="n">
        <v>44825</v>
      </c>
      <c r="E1002" s="1" t="n">
        <v>46316</v>
      </c>
      <c r="F1002" t="inlineStr">
        <is>
          <t>KRONOBERGS LÄN</t>
        </is>
      </c>
      <c r="G1002" t="inlineStr">
        <is>
          <t>LJUNGBY</t>
        </is>
      </c>
      <c r="I1002" t="n">
        <v>2.1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64052-2023</t>
        </is>
      </c>
      <c r="B1003" t="inlineStr">
        <is>
          <t>avverkningsanmälan</t>
        </is>
      </c>
      <c r="C1003" t="inlineStr">
        <is>
          <t>Föryngringsavverkning</t>
        </is>
      </c>
      <c r="D1003" s="1" t="n">
        <v>45279</v>
      </c>
      <c r="E1003" s="1" t="n">
        <v>46316</v>
      </c>
      <c r="F1003" t="inlineStr">
        <is>
          <t>KRONOBERGS LÄN</t>
        </is>
      </c>
      <c r="G1003" t="inlineStr">
        <is>
          <t>LJUNGBY</t>
        </is>
      </c>
      <c r="I1003" t="n">
        <v>0.8</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31952-2023</t>
        </is>
      </c>
      <c r="B1004" t="inlineStr">
        <is>
          <t>avverkningsanmälan</t>
        </is>
      </c>
      <c r="C1004" t="inlineStr">
        <is>
          <t>Föryngringsavverkning</t>
        </is>
      </c>
      <c r="D1004" s="1" t="n">
        <v>45119</v>
      </c>
      <c r="E1004" s="1" t="n">
        <v>46316</v>
      </c>
      <c r="F1004" t="inlineStr">
        <is>
          <t>KRONOBERGS LÄN</t>
        </is>
      </c>
      <c r="G1004" t="inlineStr">
        <is>
          <t>MARKARYD</t>
        </is>
      </c>
      <c r="I1004" t="n">
        <v>1.7</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19622-2025</t>
        </is>
      </c>
      <c r="B1005" t="inlineStr">
        <is>
          <t>avverkningsanmälan</t>
        </is>
      </c>
      <c r="C1005" t="inlineStr">
        <is>
          <t>Avverkning för annat ändamål</t>
        </is>
      </c>
      <c r="D1005" s="1" t="n">
        <v>45770</v>
      </c>
      <c r="E1005" s="1" t="n">
        <v>46316</v>
      </c>
      <c r="F1005" t="inlineStr">
        <is>
          <t>KRONOBERGS LÄN</t>
        </is>
      </c>
      <c r="G1005" t="inlineStr">
        <is>
          <t>UPPVIDINGE</t>
        </is>
      </c>
      <c r="I1005" t="n">
        <v>0.5</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58864-2022</t>
        </is>
      </c>
      <c r="B1006" t="inlineStr">
        <is>
          <t>avverkningsanmälan</t>
        </is>
      </c>
      <c r="C1006" t="inlineStr">
        <is>
          <t>Föryngringsavverkning</t>
        </is>
      </c>
      <c r="D1006" s="1" t="n">
        <v>44895</v>
      </c>
      <c r="E1006" s="1" t="n">
        <v>46316</v>
      </c>
      <c r="F1006" t="inlineStr">
        <is>
          <t>KRONOBERGS LÄN</t>
        </is>
      </c>
      <c r="G1006" t="inlineStr">
        <is>
          <t>TINGSRYD</t>
        </is>
      </c>
      <c r="I1006" t="n">
        <v>1.9</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75-2023</t>
        </is>
      </c>
      <c r="B1007" t="inlineStr">
        <is>
          <t>avverkningsanmälan</t>
        </is>
      </c>
      <c r="C1007" t="inlineStr">
        <is>
          <t>Föryngringsavverkning</t>
        </is>
      </c>
      <c r="D1007" s="1" t="n">
        <v>44928</v>
      </c>
      <c r="E1007" s="1" t="n">
        <v>46316</v>
      </c>
      <c r="F1007" t="inlineStr">
        <is>
          <t>KRONOBERGS LÄN</t>
        </is>
      </c>
      <c r="G1007" t="inlineStr">
        <is>
          <t>LJUNGBY</t>
        </is>
      </c>
      <c r="I1007" t="n">
        <v>2</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68507-2021</t>
        </is>
      </c>
      <c r="B1008" t="inlineStr">
        <is>
          <t>avverkningsanmälan</t>
        </is>
      </c>
      <c r="C1008" t="inlineStr">
        <is>
          <t>Föryngringsavverkning</t>
        </is>
      </c>
      <c r="D1008" s="1" t="n">
        <v>44529</v>
      </c>
      <c r="E1008" s="1" t="n">
        <v>46316</v>
      </c>
      <c r="F1008" t="inlineStr">
        <is>
          <t>KRONOBERGS LÄN</t>
        </is>
      </c>
      <c r="G1008" t="inlineStr">
        <is>
          <t>LESSEBO</t>
        </is>
      </c>
      <c r="I1008" t="n">
        <v>0.8</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9742-2024</t>
        </is>
      </c>
      <c r="B1009" t="inlineStr">
        <is>
          <t>avverkningsanmälan</t>
        </is>
      </c>
      <c r="C1009" t="inlineStr">
        <is>
          <t>Föryngringsavverkning</t>
        </is>
      </c>
      <c r="D1009" s="1" t="n">
        <v>45362</v>
      </c>
      <c r="E1009" s="1" t="n">
        <v>46316</v>
      </c>
      <c r="F1009" t="inlineStr">
        <is>
          <t>KRONOBERGS LÄN</t>
        </is>
      </c>
      <c r="G1009" t="inlineStr">
        <is>
          <t>TINGSRYD</t>
        </is>
      </c>
      <c r="I1009" t="n">
        <v>0.8</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67618-2021</t>
        </is>
      </c>
      <c r="B1010" t="inlineStr">
        <is>
          <t>avverkningsanmälan</t>
        </is>
      </c>
      <c r="C1010" t="inlineStr">
        <is>
          <t>Föryngringsavverkning</t>
        </is>
      </c>
      <c r="D1010" s="1" t="n">
        <v>44524</v>
      </c>
      <c r="E1010" s="1" t="n">
        <v>46316</v>
      </c>
      <c r="F1010" t="inlineStr">
        <is>
          <t>KRONOBERGS LÄN</t>
        </is>
      </c>
      <c r="G1010" t="inlineStr">
        <is>
          <t>UPPVIDINGE</t>
        </is>
      </c>
      <c r="I1010" t="n">
        <v>1.8</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49006-2024</t>
        </is>
      </c>
      <c r="B1011" t="inlineStr">
        <is>
          <t>avverkningsanmälan</t>
        </is>
      </c>
      <c r="C1011" t="inlineStr">
        <is>
          <t>Föryngringsavverkning</t>
        </is>
      </c>
      <c r="D1011" s="1" t="n">
        <v>45594</v>
      </c>
      <c r="E1011" s="1" t="n">
        <v>46316</v>
      </c>
      <c r="F1011" t="inlineStr">
        <is>
          <t>KRONOBERGS LÄN</t>
        </is>
      </c>
      <c r="G1011" t="inlineStr">
        <is>
          <t>VÄXJÖ</t>
        </is>
      </c>
      <c r="H1011" t="inlineStr">
        <is>
          <t>Sveaskog</t>
        </is>
      </c>
      <c r="I1011" t="n">
        <v>0.5</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49026-2024</t>
        </is>
      </c>
      <c r="B1012" t="inlineStr">
        <is>
          <t>avverkningsanmälan</t>
        </is>
      </c>
      <c r="C1012" t="inlineStr">
        <is>
          <t>Föryngringsavverkning</t>
        </is>
      </c>
      <c r="D1012" s="1" t="n">
        <v>45594</v>
      </c>
      <c r="E1012" s="1" t="n">
        <v>46316</v>
      </c>
      <c r="F1012" t="inlineStr">
        <is>
          <t>KRONOBERGS LÄN</t>
        </is>
      </c>
      <c r="G1012" t="inlineStr">
        <is>
          <t>VÄXJÖ</t>
        </is>
      </c>
      <c r="H1012" t="inlineStr">
        <is>
          <t>Sveaskog</t>
        </is>
      </c>
      <c r="I1012" t="n">
        <v>0.7</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40249-2024</t>
        </is>
      </c>
      <c r="B1013" t="inlineStr">
        <is>
          <t>avverkningsanmälan</t>
        </is>
      </c>
      <c r="C1013" t="inlineStr">
        <is>
          <t>Föryngringsavverkning</t>
        </is>
      </c>
      <c r="D1013" s="1" t="n">
        <v>45554</v>
      </c>
      <c r="E1013" s="1" t="n">
        <v>46316</v>
      </c>
      <c r="F1013" t="inlineStr">
        <is>
          <t>KRONOBERGS LÄN</t>
        </is>
      </c>
      <c r="G1013" t="inlineStr">
        <is>
          <t>VÄXJÖ</t>
        </is>
      </c>
      <c r="I1013" t="n">
        <v>0.9</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70671-2021</t>
        </is>
      </c>
      <c r="B1014" t="inlineStr">
        <is>
          <t>avverkningsanmälan</t>
        </is>
      </c>
      <c r="C1014" t="inlineStr">
        <is>
          <t>Föryngringsavverkning</t>
        </is>
      </c>
      <c r="D1014" s="1" t="n">
        <v>44537</v>
      </c>
      <c r="E1014" s="1" t="n">
        <v>46316</v>
      </c>
      <c r="F1014" t="inlineStr">
        <is>
          <t>KRONOBERGS LÄN</t>
        </is>
      </c>
      <c r="G1014" t="inlineStr">
        <is>
          <t>VÄXJÖ</t>
        </is>
      </c>
      <c r="I1014" t="n">
        <v>1.5</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56925-2023</t>
        </is>
      </c>
      <c r="B1015" t="inlineStr">
        <is>
          <t>avverkningsanmälan</t>
        </is>
      </c>
      <c r="C1015" t="inlineStr">
        <is>
          <t>Föryngringsavverkning</t>
        </is>
      </c>
      <c r="D1015" s="1" t="n">
        <v>45244</v>
      </c>
      <c r="E1015" s="1" t="n">
        <v>46316</v>
      </c>
      <c r="F1015" t="inlineStr">
        <is>
          <t>KRONOBERGS LÄN</t>
        </is>
      </c>
      <c r="G1015" t="inlineStr">
        <is>
          <t>ÄLMHULT</t>
        </is>
      </c>
      <c r="I1015" t="n">
        <v>2.7</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54636-2024</t>
        </is>
      </c>
      <c r="B1016" t="inlineStr">
        <is>
          <t>avverkningsanmälan</t>
        </is>
      </c>
      <c r="C1016" t="inlineStr">
        <is>
          <t>Föryngringsavverkning</t>
        </is>
      </c>
      <c r="D1016" s="1" t="n">
        <v>45617</v>
      </c>
      <c r="E1016" s="1" t="n">
        <v>46316</v>
      </c>
      <c r="F1016" t="inlineStr">
        <is>
          <t>KRONOBERGS LÄN</t>
        </is>
      </c>
      <c r="G1016" t="inlineStr">
        <is>
          <t>TINGSRYD</t>
        </is>
      </c>
      <c r="I1016" t="n">
        <v>1.9</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24399-2023</t>
        </is>
      </c>
      <c r="B1017" t="inlineStr">
        <is>
          <t>avverkningsanmälan</t>
        </is>
      </c>
      <c r="C1017" t="inlineStr">
        <is>
          <t>Föryngringsavverkning</t>
        </is>
      </c>
      <c r="D1017" s="1" t="n">
        <v>45082</v>
      </c>
      <c r="E1017" s="1" t="n">
        <v>46316</v>
      </c>
      <c r="F1017" t="inlineStr">
        <is>
          <t>KRONOBERGS LÄN</t>
        </is>
      </c>
      <c r="G1017" t="inlineStr">
        <is>
          <t>LJUNGBY</t>
        </is>
      </c>
      <c r="I1017" t="n">
        <v>1.7</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61639-2023</t>
        </is>
      </c>
      <c r="B1018" t="inlineStr">
        <is>
          <t>avverkningsanmälan</t>
        </is>
      </c>
      <c r="C1018" t="inlineStr">
        <is>
          <t>Föryngringsavverkning</t>
        </is>
      </c>
      <c r="D1018" s="1" t="n">
        <v>45265</v>
      </c>
      <c r="E1018" s="1" t="n">
        <v>46316</v>
      </c>
      <c r="F1018" t="inlineStr">
        <is>
          <t>KRONOBERGS LÄN</t>
        </is>
      </c>
      <c r="G1018" t="inlineStr">
        <is>
          <t>MARKARYD</t>
        </is>
      </c>
      <c r="I1018" t="n">
        <v>5.6</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24429-2023</t>
        </is>
      </c>
      <c r="B1019" t="inlineStr">
        <is>
          <t>avverkningsanmälan</t>
        </is>
      </c>
      <c r="C1019" t="inlineStr">
        <is>
          <t>Föryngringsavverkning</t>
        </is>
      </c>
      <c r="D1019" s="1" t="n">
        <v>45082</v>
      </c>
      <c r="E1019" s="1" t="n">
        <v>46316</v>
      </c>
      <c r="F1019" t="inlineStr">
        <is>
          <t>KRONOBERGS LÄN</t>
        </is>
      </c>
      <c r="G1019" t="inlineStr">
        <is>
          <t>TINGSRYD</t>
        </is>
      </c>
      <c r="I1019" t="n">
        <v>2.4</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48937-2023</t>
        </is>
      </c>
      <c r="B1020" t="inlineStr">
        <is>
          <t>avverkningsanmälan</t>
        </is>
      </c>
      <c r="C1020" t="inlineStr">
        <is>
          <t>Föryngringsavverkning</t>
        </is>
      </c>
      <c r="D1020" s="1" t="n">
        <v>45209</v>
      </c>
      <c r="E1020" s="1" t="n">
        <v>46316</v>
      </c>
      <c r="F1020" t="inlineStr">
        <is>
          <t>KRONOBERGS LÄN</t>
        </is>
      </c>
      <c r="G1020" t="inlineStr">
        <is>
          <t>ÄLMHULT</t>
        </is>
      </c>
      <c r="I1020" t="n">
        <v>3</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29739-2023</t>
        </is>
      </c>
      <c r="B1021" t="inlineStr">
        <is>
          <t>avverkningsanmälan</t>
        </is>
      </c>
      <c r="C1021" t="inlineStr">
        <is>
          <t>Föryngringsavverkning</t>
        </is>
      </c>
      <c r="D1021" s="1" t="n">
        <v>45107</v>
      </c>
      <c r="E1021" s="1" t="n">
        <v>46316</v>
      </c>
      <c r="F1021" t="inlineStr">
        <is>
          <t>KRONOBERGS LÄN</t>
        </is>
      </c>
      <c r="G1021" t="inlineStr">
        <is>
          <t>TINGSRYD</t>
        </is>
      </c>
      <c r="I1021" t="n">
        <v>0.5</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12950-2024</t>
        </is>
      </c>
      <c r="B1022" t="inlineStr">
        <is>
          <t>avverkningsanmälan</t>
        </is>
      </c>
      <c r="C1022" t="inlineStr">
        <is>
          <t>Föryngringsavverkning</t>
        </is>
      </c>
      <c r="D1022" s="1" t="n">
        <v>45385</v>
      </c>
      <c r="E1022" s="1" t="n">
        <v>46316</v>
      </c>
      <c r="F1022" t="inlineStr">
        <is>
          <t>KRONOBERGS LÄN</t>
        </is>
      </c>
      <c r="G1022" t="inlineStr">
        <is>
          <t>UPPVIDINGE</t>
        </is>
      </c>
      <c r="H1022" t="inlineStr">
        <is>
          <t>Sveaskog</t>
        </is>
      </c>
      <c r="I1022" t="n">
        <v>0.8</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11587-2022</t>
        </is>
      </c>
      <c r="B1023" t="inlineStr">
        <is>
          <t>avverkningsanmälan</t>
        </is>
      </c>
      <c r="C1023" t="inlineStr">
        <is>
          <t>Föryngringsavverkning</t>
        </is>
      </c>
      <c r="D1023" s="1" t="n">
        <v>44631</v>
      </c>
      <c r="E1023" s="1" t="n">
        <v>46316</v>
      </c>
      <c r="F1023" t="inlineStr">
        <is>
          <t>KRONOBERGS LÄN</t>
        </is>
      </c>
      <c r="G1023" t="inlineStr">
        <is>
          <t>TINGSRYD</t>
        </is>
      </c>
      <c r="I1023" t="n">
        <v>1.5</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21756-2023</t>
        </is>
      </c>
      <c r="B1024" t="inlineStr">
        <is>
          <t>avverkningsanmälan</t>
        </is>
      </c>
      <c r="C1024" t="inlineStr">
        <is>
          <t>Föryngringsavverkning</t>
        </is>
      </c>
      <c r="D1024" s="1" t="n">
        <v>45065</v>
      </c>
      <c r="E1024" s="1" t="n">
        <v>46316</v>
      </c>
      <c r="F1024" t="inlineStr">
        <is>
          <t>KRONOBERGS LÄN</t>
        </is>
      </c>
      <c r="G1024" t="inlineStr">
        <is>
          <t>LJUNGBY</t>
        </is>
      </c>
      <c r="I1024" t="n">
        <v>6.7</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39505-2024</t>
        </is>
      </c>
      <c r="B1025" t="inlineStr">
        <is>
          <t>avverkningsanmälan</t>
        </is>
      </c>
      <c r="C1025" t="inlineStr">
        <is>
          <t>Föryngringsavverkning</t>
        </is>
      </c>
      <c r="D1025" s="1" t="n">
        <v>45551</v>
      </c>
      <c r="E1025" s="1" t="n">
        <v>46316</v>
      </c>
      <c r="F1025" t="inlineStr">
        <is>
          <t>KRONOBERGS LÄN</t>
        </is>
      </c>
      <c r="G1025" t="inlineStr">
        <is>
          <t>LJUNGBY</t>
        </is>
      </c>
      <c r="H1025" t="inlineStr">
        <is>
          <t>Sveaskog</t>
        </is>
      </c>
      <c r="I1025" t="n">
        <v>1.4</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43580-2023</t>
        </is>
      </c>
      <c r="B1026" t="inlineStr">
        <is>
          <t>avverkningsanmälan</t>
        </is>
      </c>
      <c r="C1026" t="inlineStr">
        <is>
          <t>Föryngringsavverkning</t>
        </is>
      </c>
      <c r="D1026" s="1" t="n">
        <v>45181</v>
      </c>
      <c r="E1026" s="1" t="n">
        <v>46316</v>
      </c>
      <c r="F1026" t="inlineStr">
        <is>
          <t>KRONOBERGS LÄN</t>
        </is>
      </c>
      <c r="G1026" t="inlineStr">
        <is>
          <t>UPPVIDINGE</t>
        </is>
      </c>
      <c r="I1026" t="n">
        <v>0.9</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30755-2022</t>
        </is>
      </c>
      <c r="B1027" t="inlineStr">
        <is>
          <t>avverkningsanmälan</t>
        </is>
      </c>
      <c r="C1027" t="inlineStr">
        <is>
          <t>Föryngringsavverkning</t>
        </is>
      </c>
      <c r="D1027" s="1" t="n">
        <v>44764</v>
      </c>
      <c r="E1027" s="1" t="n">
        <v>46316</v>
      </c>
      <c r="F1027" t="inlineStr">
        <is>
          <t>KRONOBERGS LÄN</t>
        </is>
      </c>
      <c r="G1027" t="inlineStr">
        <is>
          <t>VÄXJÖ</t>
        </is>
      </c>
      <c r="I1027" t="n">
        <v>1.2</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18381-2025</t>
        </is>
      </c>
      <c r="B1028" t="inlineStr">
        <is>
          <t>avverkningsanmälan</t>
        </is>
      </c>
      <c r="C1028" t="inlineStr">
        <is>
          <t>Föryngringsavverkning</t>
        </is>
      </c>
      <c r="D1028" s="1" t="n">
        <v>45762</v>
      </c>
      <c r="E1028" s="1" t="n">
        <v>46316</v>
      </c>
      <c r="F1028" t="inlineStr">
        <is>
          <t>KRONOBERGS LÄN</t>
        </is>
      </c>
      <c r="G1028" t="inlineStr">
        <is>
          <t>VÄXJÖ</t>
        </is>
      </c>
      <c r="H1028" t="inlineStr">
        <is>
          <t>Sveaskog</t>
        </is>
      </c>
      <c r="I1028" t="n">
        <v>0.5</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40674-2024</t>
        </is>
      </c>
      <c r="B1029" t="inlineStr">
        <is>
          <t>avverkningsanmälan</t>
        </is>
      </c>
      <c r="C1029" t="inlineStr">
        <is>
          <t>Föryngringsavverkning</t>
        </is>
      </c>
      <c r="D1029" s="1" t="n">
        <v>45558</v>
      </c>
      <c r="E1029" s="1" t="n">
        <v>46316</v>
      </c>
      <c r="F1029" t="inlineStr">
        <is>
          <t>KRONOBERGS LÄN</t>
        </is>
      </c>
      <c r="G1029" t="inlineStr">
        <is>
          <t>VÄXJÖ</t>
        </is>
      </c>
      <c r="I1029" t="n">
        <v>1.6</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8225-2023</t>
        </is>
      </c>
      <c r="B1030" t="inlineStr">
        <is>
          <t>avverkningsanmälan</t>
        </is>
      </c>
      <c r="C1030" t="inlineStr">
        <is>
          <t>Föryngringsavverkning</t>
        </is>
      </c>
      <c r="D1030" s="1" t="n">
        <v>44974</v>
      </c>
      <c r="E1030" s="1" t="n">
        <v>46316</v>
      </c>
      <c r="F1030" t="inlineStr">
        <is>
          <t>KRONOBERGS LÄN</t>
        </is>
      </c>
      <c r="G1030" t="inlineStr">
        <is>
          <t>LJUNGBY</t>
        </is>
      </c>
      <c r="I1030" t="n">
        <v>0.5</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34117-2024</t>
        </is>
      </c>
      <c r="B1031" t="inlineStr">
        <is>
          <t>avverkningsanmälan</t>
        </is>
      </c>
      <c r="C1031" t="inlineStr">
        <is>
          <t>Föryngringsavverkning</t>
        </is>
      </c>
      <c r="D1031" s="1" t="n">
        <v>45524</v>
      </c>
      <c r="E1031" s="1" t="n">
        <v>46316</v>
      </c>
      <c r="F1031" t="inlineStr">
        <is>
          <t>KRONOBERGS LÄN</t>
        </is>
      </c>
      <c r="G1031" t="inlineStr">
        <is>
          <t>MARKARYD</t>
        </is>
      </c>
      <c r="H1031" t="inlineStr">
        <is>
          <t>Sveaskog</t>
        </is>
      </c>
      <c r="I1031" t="n">
        <v>0.4</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33591-2022</t>
        </is>
      </c>
      <c r="B1032" t="inlineStr">
        <is>
          <t>avverkningsanmälan</t>
        </is>
      </c>
      <c r="C1032" t="inlineStr">
        <is>
          <t>Föryngringsavverkning</t>
        </is>
      </c>
      <c r="D1032" s="1" t="n">
        <v>44789</v>
      </c>
      <c r="E1032" s="1" t="n">
        <v>46316</v>
      </c>
      <c r="F1032" t="inlineStr">
        <is>
          <t>KRONOBERGS LÄN</t>
        </is>
      </c>
      <c r="G1032" t="inlineStr">
        <is>
          <t>UPPVIDINGE</t>
        </is>
      </c>
      <c r="I1032" t="n">
        <v>1.5</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21164-2023</t>
        </is>
      </c>
      <c r="B1033" t="inlineStr">
        <is>
          <t>avverkningsanmälan</t>
        </is>
      </c>
      <c r="C1033" t="inlineStr">
        <is>
          <t>Föryngringsavverkning</t>
        </is>
      </c>
      <c r="D1033" s="1" t="n">
        <v>45062</v>
      </c>
      <c r="E1033" s="1" t="n">
        <v>46316</v>
      </c>
      <c r="F1033" t="inlineStr">
        <is>
          <t>KRONOBERGS LÄN</t>
        </is>
      </c>
      <c r="G1033" t="inlineStr">
        <is>
          <t>ÄLMHULT</t>
        </is>
      </c>
      <c r="I1033" t="n">
        <v>0.9</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32650-2022</t>
        </is>
      </c>
      <c r="B1034" t="inlineStr">
        <is>
          <t>avverkningsanmälan</t>
        </is>
      </c>
      <c r="C1034" t="inlineStr">
        <is>
          <t>Föryngringsavverkning</t>
        </is>
      </c>
      <c r="D1034" s="1" t="n">
        <v>44783</v>
      </c>
      <c r="E1034" s="1" t="n">
        <v>46316</v>
      </c>
      <c r="F1034" t="inlineStr">
        <is>
          <t>KRONOBERGS LÄN</t>
        </is>
      </c>
      <c r="G1034" t="inlineStr">
        <is>
          <t>ALVESTA</t>
        </is>
      </c>
      <c r="I1034" t="n">
        <v>4.1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20382-2025</t>
        </is>
      </c>
      <c r="B1035" t="inlineStr">
        <is>
          <t>avverkningsanmälan</t>
        </is>
      </c>
      <c r="C1035" t="inlineStr">
        <is>
          <t>Föryngringsavverkning</t>
        </is>
      </c>
      <c r="D1035" s="1" t="n">
        <v>45775</v>
      </c>
      <c r="E1035" s="1" t="n">
        <v>46316</v>
      </c>
      <c r="F1035" t="inlineStr">
        <is>
          <t>KRONOBERGS LÄN</t>
        </is>
      </c>
      <c r="G1035" t="inlineStr">
        <is>
          <t>VÄXJÖ</t>
        </is>
      </c>
      <c r="I1035" t="n">
        <v>6.4</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57989-2024</t>
        </is>
      </c>
      <c r="B1036" t="inlineStr">
        <is>
          <t>avverkningsanmälan</t>
        </is>
      </c>
      <c r="C1036" t="inlineStr">
        <is>
          <t>Föryngringsavverkning</t>
        </is>
      </c>
      <c r="D1036" s="1" t="n">
        <v>45631</v>
      </c>
      <c r="E1036" s="1" t="n">
        <v>46316</v>
      </c>
      <c r="F1036" t="inlineStr">
        <is>
          <t>KRONOBERGS LÄN</t>
        </is>
      </c>
      <c r="G1036" t="inlineStr">
        <is>
          <t>TINGSRYD</t>
        </is>
      </c>
      <c r="I1036" t="n">
        <v>2.7</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27756-2023</t>
        </is>
      </c>
      <c r="B1037" t="inlineStr">
        <is>
          <t>avverkningsanmälan</t>
        </is>
      </c>
      <c r="C1037" t="inlineStr">
        <is>
          <t>Föryngringsavverkning</t>
        </is>
      </c>
      <c r="D1037" s="1" t="n">
        <v>45098</v>
      </c>
      <c r="E1037" s="1" t="n">
        <v>46316</v>
      </c>
      <c r="F1037" t="inlineStr">
        <is>
          <t>KRONOBERGS LÄN</t>
        </is>
      </c>
      <c r="G1037" t="inlineStr">
        <is>
          <t>ÄLMHULT</t>
        </is>
      </c>
      <c r="I1037" t="n">
        <v>1.6</v>
      </c>
      <c r="J1037" t="n">
        <v>0</v>
      </c>
      <c r="K1037" t="n">
        <v>0</v>
      </c>
      <c r="L1037" t="n">
        <v>0</v>
      </c>
      <c r="M1037" t="n">
        <v>0</v>
      </c>
      <c r="N1037" t="n">
        <v>0</v>
      </c>
      <c r="O1037" t="n">
        <v>0</v>
      </c>
      <c r="P1037" t="n">
        <v>0</v>
      </c>
      <c r="Q1037" t="n">
        <v>0</v>
      </c>
      <c r="R1037" t="n">
        <v>0</v>
      </c>
      <c r="S1037" t="n">
        <v>0</v>
      </c>
      <c r="T1037" t="n">
        <v>0</v>
      </c>
      <c r="U1037" t="n">
        <v>0</v>
      </c>
      <c r="V1037" s="2" t="inlineStr"/>
      <c r="Z1037">
        <f>HYPERLINK("https://klasma.github.io/Logging_0765/knärot/A 27756-2023 karta knärot.png", "A 27756-2023")</f>
        <v/>
      </c>
      <c r="AA1037">
        <f>HYPERLINK("https://klasma.github.io/Logging_0765/klagomål/A 27756-2023 FSC-klagomål.docx", "A 27756-2023")</f>
        <v/>
      </c>
      <c r="AB1037">
        <f>HYPERLINK("https://klasma.github.io/Logging_0765/klagomålsmail/A 27756-2023 FSC-klagomål mail.docx", "A 27756-2023")</f>
        <v/>
      </c>
      <c r="AC1037">
        <f>HYPERLINK("https://klasma.github.io/Logging_0765/tillsyn/A 27756-2023 tillsynsbegäran.docx", "A 27756-2023")</f>
        <v/>
      </c>
      <c r="AD1037">
        <f>HYPERLINK("https://klasma.github.io/Logging_0765/tillsynsmail/A 27756-2023 tillsynsbegäran mail.docx", "A 27756-2023")</f>
        <v/>
      </c>
    </row>
    <row r="1038" ht="15" customHeight="1">
      <c r="A1038" t="inlineStr">
        <is>
          <t>A 20397-2023</t>
        </is>
      </c>
      <c r="B1038" t="inlineStr">
        <is>
          <t>avverkningsanmälan</t>
        </is>
      </c>
      <c r="C1038" t="inlineStr">
        <is>
          <t>Föryngringsavverkning</t>
        </is>
      </c>
      <c r="D1038" s="1" t="n">
        <v>45056</v>
      </c>
      <c r="E1038" s="1" t="n">
        <v>46316</v>
      </c>
      <c r="F1038" t="inlineStr">
        <is>
          <t>KRONOBERGS LÄN</t>
        </is>
      </c>
      <c r="G1038" t="inlineStr">
        <is>
          <t>VÄXJÖ</t>
        </is>
      </c>
      <c r="I1038" t="n">
        <v>1.3</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20478-2023</t>
        </is>
      </c>
      <c r="B1039" t="inlineStr">
        <is>
          <t>avverkningsanmälan</t>
        </is>
      </c>
      <c r="C1039" t="inlineStr">
        <is>
          <t>Föryngringsavverkning</t>
        </is>
      </c>
      <c r="D1039" s="1" t="n">
        <v>45057</v>
      </c>
      <c r="E1039" s="1" t="n">
        <v>46316</v>
      </c>
      <c r="F1039" t="inlineStr">
        <is>
          <t>KRONOBERGS LÄN</t>
        </is>
      </c>
      <c r="G1039" t="inlineStr">
        <is>
          <t>VÄXJÖ</t>
        </is>
      </c>
      <c r="I1039" t="n">
        <v>0.7</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30056-2023</t>
        </is>
      </c>
      <c r="B1040" t="inlineStr">
        <is>
          <t>avverkningsanmälan</t>
        </is>
      </c>
      <c r="C1040" t="inlineStr">
        <is>
          <t>Föryngringsavverkning</t>
        </is>
      </c>
      <c r="D1040" s="1" t="n">
        <v>45110</v>
      </c>
      <c r="E1040" s="1" t="n">
        <v>46316</v>
      </c>
      <c r="F1040" t="inlineStr">
        <is>
          <t>KRONOBERGS LÄN</t>
        </is>
      </c>
      <c r="G1040" t="inlineStr">
        <is>
          <t>TINGSRYD</t>
        </is>
      </c>
      <c r="I1040" t="n">
        <v>1.5</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24478-2024</t>
        </is>
      </c>
      <c r="B1041" t="inlineStr">
        <is>
          <t>avverkningsanmälan</t>
        </is>
      </c>
      <c r="C1041" t="inlineStr">
        <is>
          <t>Föryngringsavverkning</t>
        </is>
      </c>
      <c r="D1041" s="1" t="n">
        <v>45459</v>
      </c>
      <c r="E1041" s="1" t="n">
        <v>46316</v>
      </c>
      <c r="F1041" t="inlineStr">
        <is>
          <t>KRONOBERGS LÄN</t>
        </is>
      </c>
      <c r="G1041" t="inlineStr">
        <is>
          <t>LESSEBO</t>
        </is>
      </c>
      <c r="I1041" t="n">
        <v>0.7</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1655-2023</t>
        </is>
      </c>
      <c r="B1042" t="inlineStr">
        <is>
          <t>avverkningsanmälan</t>
        </is>
      </c>
      <c r="C1042" t="inlineStr">
        <is>
          <t>Föryngringsavverkning</t>
        </is>
      </c>
      <c r="D1042" s="1" t="n">
        <v>44938</v>
      </c>
      <c r="E1042" s="1" t="n">
        <v>46316</v>
      </c>
      <c r="F1042" t="inlineStr">
        <is>
          <t>KRONOBERGS LÄN</t>
        </is>
      </c>
      <c r="G1042" t="inlineStr">
        <is>
          <t>ALVESTA</t>
        </is>
      </c>
      <c r="I1042" t="n">
        <v>2.8</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19999-2023</t>
        </is>
      </c>
      <c r="B1043" t="inlineStr">
        <is>
          <t>avverkningsanmälan</t>
        </is>
      </c>
      <c r="C1043" t="inlineStr">
        <is>
          <t>Föryngringsavverkning</t>
        </is>
      </c>
      <c r="D1043" s="1" t="n">
        <v>45054</v>
      </c>
      <c r="E1043" s="1" t="n">
        <v>46316</v>
      </c>
      <c r="F1043" t="inlineStr">
        <is>
          <t>KRONOBERGS LÄN</t>
        </is>
      </c>
      <c r="G1043" t="inlineStr">
        <is>
          <t>MARKARYD</t>
        </is>
      </c>
      <c r="I1043" t="n">
        <v>1.8</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3280-2025</t>
        </is>
      </c>
      <c r="B1044" t="inlineStr">
        <is>
          <t>avverkningsanmälan</t>
        </is>
      </c>
      <c r="C1044" t="inlineStr">
        <is>
          <t>Föryngringsavverkning</t>
        </is>
      </c>
      <c r="D1044" s="1" t="n">
        <v>45679</v>
      </c>
      <c r="E1044" s="1" t="n">
        <v>46316</v>
      </c>
      <c r="F1044" t="inlineStr">
        <is>
          <t>KRONOBERGS LÄN</t>
        </is>
      </c>
      <c r="G1044" t="inlineStr">
        <is>
          <t>VÄXJÖ</t>
        </is>
      </c>
      <c r="I1044" t="n">
        <v>0.2</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60621-2021</t>
        </is>
      </c>
      <c r="B1045" t="inlineStr">
        <is>
          <t>avverkningsanmälan</t>
        </is>
      </c>
      <c r="C1045" t="inlineStr">
        <is>
          <t>Föryngringsavverkning</t>
        </is>
      </c>
      <c r="D1045" s="1" t="n">
        <v>44496</v>
      </c>
      <c r="E1045" s="1" t="n">
        <v>46316</v>
      </c>
      <c r="F1045" t="inlineStr">
        <is>
          <t>KRONOBERGS LÄN</t>
        </is>
      </c>
      <c r="G1045" t="inlineStr">
        <is>
          <t>ÄLMHULT</t>
        </is>
      </c>
      <c r="I1045" t="n">
        <v>2</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52709-2022</t>
        </is>
      </c>
      <c r="B1046" t="inlineStr">
        <is>
          <t>avverkningsanmälan</t>
        </is>
      </c>
      <c r="C1046" t="inlineStr">
        <is>
          <t>Föryngringsavverkning</t>
        </is>
      </c>
      <c r="D1046" s="1" t="n">
        <v>44874</v>
      </c>
      <c r="E1046" s="1" t="n">
        <v>46316</v>
      </c>
      <c r="F1046" t="inlineStr">
        <is>
          <t>KRONOBERGS LÄN</t>
        </is>
      </c>
      <c r="G1046" t="inlineStr">
        <is>
          <t>LJUNGBY</t>
        </is>
      </c>
      <c r="I1046" t="n">
        <v>0.4</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6106-2025</t>
        </is>
      </c>
      <c r="B1047" t="inlineStr">
        <is>
          <t>avverkningsanmälan</t>
        </is>
      </c>
      <c r="C1047" t="inlineStr">
        <is>
          <t>Föryngringsavverkning</t>
        </is>
      </c>
      <c r="D1047" s="1" t="n">
        <v>45697</v>
      </c>
      <c r="E1047" s="1" t="n">
        <v>46316</v>
      </c>
      <c r="F1047" t="inlineStr">
        <is>
          <t>KRONOBERGS LÄN</t>
        </is>
      </c>
      <c r="G1047" t="inlineStr">
        <is>
          <t>UPPVIDINGE</t>
        </is>
      </c>
      <c r="I1047" t="n">
        <v>0.5</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7539-2024</t>
        </is>
      </c>
      <c r="B1048" t="inlineStr">
        <is>
          <t>avverkningsanmälan</t>
        </is>
      </c>
      <c r="C1048" t="inlineStr">
        <is>
          <t>Föryngringsavverkning</t>
        </is>
      </c>
      <c r="D1048" s="1" t="n">
        <v>45348</v>
      </c>
      <c r="E1048" s="1" t="n">
        <v>46316</v>
      </c>
      <c r="F1048" t="inlineStr">
        <is>
          <t>KRONOBERGS LÄN</t>
        </is>
      </c>
      <c r="G1048" t="inlineStr">
        <is>
          <t>ÄLMHULT</t>
        </is>
      </c>
      <c r="I1048" t="n">
        <v>1.1</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58571-2024</t>
        </is>
      </c>
      <c r="B1049" t="inlineStr">
        <is>
          <t>avverkningsanmälan</t>
        </is>
      </c>
      <c r="C1049" t="inlineStr">
        <is>
          <t>Föryngringsavverkning</t>
        </is>
      </c>
      <c r="D1049" s="1" t="n">
        <v>45635</v>
      </c>
      <c r="E1049" s="1" t="n">
        <v>46316</v>
      </c>
      <c r="F1049" t="inlineStr">
        <is>
          <t>KRONOBERGS LÄN</t>
        </is>
      </c>
      <c r="G1049" t="inlineStr">
        <is>
          <t>TINGSRYD</t>
        </is>
      </c>
      <c r="H1049" t="inlineStr">
        <is>
          <t>Övriga Aktiebolag</t>
        </is>
      </c>
      <c r="I1049" t="n">
        <v>1.1</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25594-2023</t>
        </is>
      </c>
      <c r="B1050" t="inlineStr">
        <is>
          <t>avverkningsanmälan</t>
        </is>
      </c>
      <c r="C1050" t="inlineStr">
        <is>
          <t>Föryngringsavverkning</t>
        </is>
      </c>
      <c r="D1050" s="1" t="n">
        <v>45089</v>
      </c>
      <c r="E1050" s="1" t="n">
        <v>46316</v>
      </c>
      <c r="F1050" t="inlineStr">
        <is>
          <t>KRONOBERGS LÄN</t>
        </is>
      </c>
      <c r="G1050" t="inlineStr">
        <is>
          <t>TINGSRYD</t>
        </is>
      </c>
      <c r="I1050" t="n">
        <v>3.2</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760-2022</t>
        </is>
      </c>
      <c r="B1051" t="inlineStr">
        <is>
          <t>avverkningsanmälan</t>
        </is>
      </c>
      <c r="C1051" t="inlineStr">
        <is>
          <t>Avverkning för annat ändamål</t>
        </is>
      </c>
      <c r="D1051" s="1" t="n">
        <v>44569</v>
      </c>
      <c r="E1051" s="1" t="n">
        <v>46316</v>
      </c>
      <c r="F1051" t="inlineStr">
        <is>
          <t>KRONOBERGS LÄN</t>
        </is>
      </c>
      <c r="G1051" t="inlineStr">
        <is>
          <t>ALVESTA</t>
        </is>
      </c>
      <c r="I1051" t="n">
        <v>0.1</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26221-2023</t>
        </is>
      </c>
      <c r="B1052" t="inlineStr">
        <is>
          <t>avverkningsanmälan</t>
        </is>
      </c>
      <c r="C1052" t="inlineStr">
        <is>
          <t>Avverkning för att bevara och utveckla /försöksver</t>
        </is>
      </c>
      <c r="D1052" s="1" t="n">
        <v>45091</v>
      </c>
      <c r="E1052" s="1" t="n">
        <v>46316</v>
      </c>
      <c r="F1052" t="inlineStr">
        <is>
          <t>KRONOBERGS LÄN</t>
        </is>
      </c>
      <c r="G1052" t="inlineStr">
        <is>
          <t>TINGSRYD</t>
        </is>
      </c>
      <c r="I1052" t="n">
        <v>1.2</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24219-2024</t>
        </is>
      </c>
      <c r="B1053" t="inlineStr">
        <is>
          <t>avverkningsanmälan</t>
        </is>
      </c>
      <c r="C1053" t="inlineStr">
        <is>
          <t>Föryngringsavverkning</t>
        </is>
      </c>
      <c r="D1053" s="1" t="n">
        <v>45457</v>
      </c>
      <c r="E1053" s="1" t="n">
        <v>46316</v>
      </c>
      <c r="F1053" t="inlineStr">
        <is>
          <t>KRONOBERGS LÄN</t>
        </is>
      </c>
      <c r="G1053" t="inlineStr">
        <is>
          <t>ÄLMHULT</t>
        </is>
      </c>
      <c r="I1053" t="n">
        <v>8.9</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13113-2025</t>
        </is>
      </c>
      <c r="B1054" t="inlineStr">
        <is>
          <t>avverkningsanmälan</t>
        </is>
      </c>
      <c r="C1054" t="inlineStr">
        <is>
          <t>Föryngringsavverkning</t>
        </is>
      </c>
      <c r="D1054" s="1" t="n">
        <v>45734</v>
      </c>
      <c r="E1054" s="1" t="n">
        <v>46316</v>
      </c>
      <c r="F1054" t="inlineStr">
        <is>
          <t>KRONOBERGS LÄN</t>
        </is>
      </c>
      <c r="G1054" t="inlineStr">
        <is>
          <t>ÄLMHULT</t>
        </is>
      </c>
      <c r="I1054" t="n">
        <v>0.8</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13229-2025</t>
        </is>
      </c>
      <c r="B1055" t="inlineStr">
        <is>
          <t>avverkningsanmälan</t>
        </is>
      </c>
      <c r="C1055" t="inlineStr">
        <is>
          <t>Föryngringsavverkning</t>
        </is>
      </c>
      <c r="D1055" s="1" t="n">
        <v>45735</v>
      </c>
      <c r="E1055" s="1" t="n">
        <v>46316</v>
      </c>
      <c r="F1055" t="inlineStr">
        <is>
          <t>KRONOBERGS LÄN</t>
        </is>
      </c>
      <c r="G1055" t="inlineStr">
        <is>
          <t>LJUNGBY</t>
        </is>
      </c>
      <c r="I1055" t="n">
        <v>2.6</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13280-2025</t>
        </is>
      </c>
      <c r="B1056" t="inlineStr">
        <is>
          <t>avverkningsanmälan</t>
        </is>
      </c>
      <c r="C1056" t="inlineStr">
        <is>
          <t>Föryngringsavverkning</t>
        </is>
      </c>
      <c r="D1056" s="1" t="n">
        <v>45735</v>
      </c>
      <c r="E1056" s="1" t="n">
        <v>46316</v>
      </c>
      <c r="F1056" t="inlineStr">
        <is>
          <t>KRONOBERGS LÄN</t>
        </is>
      </c>
      <c r="G1056" t="inlineStr">
        <is>
          <t>ÄLMHULT</t>
        </is>
      </c>
      <c r="I1056" t="n">
        <v>5.4</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13281-2025</t>
        </is>
      </c>
      <c r="B1057" t="inlineStr">
        <is>
          <t>avverkningsanmälan</t>
        </is>
      </c>
      <c r="C1057" t="inlineStr">
        <is>
          <t>Föryngringsavverkning</t>
        </is>
      </c>
      <c r="D1057" s="1" t="n">
        <v>45735</v>
      </c>
      <c r="E1057" s="1" t="n">
        <v>46316</v>
      </c>
      <c r="F1057" t="inlineStr">
        <is>
          <t>KRONOBERGS LÄN</t>
        </is>
      </c>
      <c r="G1057" t="inlineStr">
        <is>
          <t>ÄLMHULT</t>
        </is>
      </c>
      <c r="I1057" t="n">
        <v>0.7</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25290-2023</t>
        </is>
      </c>
      <c r="B1058" t="inlineStr">
        <is>
          <t>avverkningsanmälan</t>
        </is>
      </c>
      <c r="C1058" t="inlineStr">
        <is>
          <t>Föryngringsavverkning</t>
        </is>
      </c>
      <c r="D1058" s="1" t="n">
        <v>45086</v>
      </c>
      <c r="E1058" s="1" t="n">
        <v>46316</v>
      </c>
      <c r="F1058" t="inlineStr">
        <is>
          <t>KRONOBERGS LÄN</t>
        </is>
      </c>
      <c r="G1058" t="inlineStr">
        <is>
          <t>TINGSRYD</t>
        </is>
      </c>
      <c r="I1058" t="n">
        <v>4.4</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10566-2023</t>
        </is>
      </c>
      <c r="B1059" t="inlineStr">
        <is>
          <t>avverkningsanmälan</t>
        </is>
      </c>
      <c r="C1059" t="inlineStr">
        <is>
          <t>Föryngringsavverkning</t>
        </is>
      </c>
      <c r="D1059" s="1" t="n">
        <v>44988</v>
      </c>
      <c r="E1059" s="1" t="n">
        <v>46316</v>
      </c>
      <c r="F1059" t="inlineStr">
        <is>
          <t>KRONOBERGS LÄN</t>
        </is>
      </c>
      <c r="G1059" t="inlineStr">
        <is>
          <t>VÄXJÖ</t>
        </is>
      </c>
      <c r="I1059" t="n">
        <v>2.1</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12688-2024</t>
        </is>
      </c>
      <c r="B1060" t="inlineStr">
        <is>
          <t>avverkningsanmälan</t>
        </is>
      </c>
      <c r="C1060" t="inlineStr">
        <is>
          <t>Föryngringsavverkning</t>
        </is>
      </c>
      <c r="D1060" s="1" t="n">
        <v>45384</v>
      </c>
      <c r="E1060" s="1" t="n">
        <v>46316</v>
      </c>
      <c r="F1060" t="inlineStr">
        <is>
          <t>KRONOBERGS LÄN</t>
        </is>
      </c>
      <c r="G1060" t="inlineStr">
        <is>
          <t>UPPVIDINGE</t>
        </is>
      </c>
      <c r="I1060" t="n">
        <v>1.6</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14883-2022</t>
        </is>
      </c>
      <c r="B1061" t="inlineStr">
        <is>
          <t>avverkningsanmälan</t>
        </is>
      </c>
      <c r="C1061" t="inlineStr">
        <is>
          <t>Föryngringsavverkning</t>
        </is>
      </c>
      <c r="D1061" s="1" t="n">
        <v>44656</v>
      </c>
      <c r="E1061" s="1" t="n">
        <v>46316</v>
      </c>
      <c r="F1061" t="inlineStr">
        <is>
          <t>KRONOBERGS LÄN</t>
        </is>
      </c>
      <c r="G1061" t="inlineStr">
        <is>
          <t>VÄXJÖ</t>
        </is>
      </c>
      <c r="I1061" t="n">
        <v>0.5</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36390-2023</t>
        </is>
      </c>
      <c r="B1062" t="inlineStr">
        <is>
          <t>avverkningsanmälan</t>
        </is>
      </c>
      <c r="C1062" t="inlineStr">
        <is>
          <t>Föryngringsavverkning</t>
        </is>
      </c>
      <c r="D1062" s="1" t="n">
        <v>45152</v>
      </c>
      <c r="E1062" s="1" t="n">
        <v>46316</v>
      </c>
      <c r="F1062" t="inlineStr">
        <is>
          <t>KRONOBERGS LÄN</t>
        </is>
      </c>
      <c r="G1062" t="inlineStr">
        <is>
          <t>VÄXJÖ</t>
        </is>
      </c>
      <c r="I1062" t="n">
        <v>1</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44839-2024</t>
        </is>
      </c>
      <c r="B1063" t="inlineStr">
        <is>
          <t>avverkningsanmälan</t>
        </is>
      </c>
      <c r="C1063" t="inlineStr">
        <is>
          <t>Föryngringsavverkning</t>
        </is>
      </c>
      <c r="D1063" s="1" t="n">
        <v>45574</v>
      </c>
      <c r="E1063" s="1" t="n">
        <v>46316</v>
      </c>
      <c r="F1063" t="inlineStr">
        <is>
          <t>KRONOBERGS LÄN</t>
        </is>
      </c>
      <c r="G1063" t="inlineStr">
        <is>
          <t>TINGSRYD</t>
        </is>
      </c>
      <c r="I1063" t="n">
        <v>1.3</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5093-2024</t>
        </is>
      </c>
      <c r="B1064" t="inlineStr">
        <is>
          <t>avverkningsanmälan</t>
        </is>
      </c>
      <c r="C1064" t="inlineStr">
        <is>
          <t>Föryngringsavverkning</t>
        </is>
      </c>
      <c r="D1064" s="1" t="n">
        <v>45330</v>
      </c>
      <c r="E1064" s="1" t="n">
        <v>46316</v>
      </c>
      <c r="F1064" t="inlineStr">
        <is>
          <t>KRONOBERGS LÄN</t>
        </is>
      </c>
      <c r="G1064" t="inlineStr">
        <is>
          <t>VÄXJÖ</t>
        </is>
      </c>
      <c r="I1064" t="n">
        <v>0.9</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10955-2023</t>
        </is>
      </c>
      <c r="B1065" t="inlineStr">
        <is>
          <t>avverkningsanmälan</t>
        </is>
      </c>
      <c r="C1065" t="inlineStr">
        <is>
          <t>Föryngringsavverkning</t>
        </is>
      </c>
      <c r="D1065" s="1" t="n">
        <v>44991</v>
      </c>
      <c r="E1065" s="1" t="n">
        <v>46316</v>
      </c>
      <c r="F1065" t="inlineStr">
        <is>
          <t>KRONOBERGS LÄN</t>
        </is>
      </c>
      <c r="G1065" t="inlineStr">
        <is>
          <t>VÄXJÖ</t>
        </is>
      </c>
      <c r="I1065" t="n">
        <v>24.7</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7251-2023</t>
        </is>
      </c>
      <c r="B1066" t="inlineStr">
        <is>
          <t>avverkningsanmälan</t>
        </is>
      </c>
      <c r="C1066" t="inlineStr">
        <is>
          <t>Föryngringsavverkning</t>
        </is>
      </c>
      <c r="D1066" s="1" t="n">
        <v>44970</v>
      </c>
      <c r="E1066" s="1" t="n">
        <v>46316</v>
      </c>
      <c r="F1066" t="inlineStr">
        <is>
          <t>KRONOBERGS LÄN</t>
        </is>
      </c>
      <c r="G1066" t="inlineStr">
        <is>
          <t>VÄXJÖ</t>
        </is>
      </c>
      <c r="I1066" t="n">
        <v>2.1</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57932-2022</t>
        </is>
      </c>
      <c r="B1067" t="inlineStr">
        <is>
          <t>avverkningsanmälan</t>
        </is>
      </c>
      <c r="C1067" t="inlineStr">
        <is>
          <t>Föryngringsavverkning</t>
        </is>
      </c>
      <c r="D1067" s="1" t="n">
        <v>44900</v>
      </c>
      <c r="E1067" s="1" t="n">
        <v>46316</v>
      </c>
      <c r="F1067" t="inlineStr">
        <is>
          <t>KRONOBERGS LÄN</t>
        </is>
      </c>
      <c r="G1067" t="inlineStr">
        <is>
          <t>VÄXJÖ</t>
        </is>
      </c>
      <c r="I1067" t="n">
        <v>0.8</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42758-2023</t>
        </is>
      </c>
      <c r="B1068" t="inlineStr">
        <is>
          <t>avverkningsanmälan</t>
        </is>
      </c>
      <c r="C1068" t="inlineStr">
        <is>
          <t>Föryngringsavverkning</t>
        </is>
      </c>
      <c r="D1068" s="1" t="n">
        <v>45181</v>
      </c>
      <c r="E1068" s="1" t="n">
        <v>46316</v>
      </c>
      <c r="F1068" t="inlineStr">
        <is>
          <t>KRONOBERGS LÄN</t>
        </is>
      </c>
      <c r="G1068" t="inlineStr">
        <is>
          <t>VÄXJÖ</t>
        </is>
      </c>
      <c r="I1068" t="n">
        <v>2.2</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3879-2024</t>
        </is>
      </c>
      <c r="B1069" t="inlineStr">
        <is>
          <t>avverkningsanmälan</t>
        </is>
      </c>
      <c r="C1069" t="inlineStr">
        <is>
          <t>Föryngringsavverkning</t>
        </is>
      </c>
      <c r="D1069" s="1" t="n">
        <v>45322</v>
      </c>
      <c r="E1069" s="1" t="n">
        <v>46316</v>
      </c>
      <c r="F1069" t="inlineStr">
        <is>
          <t>KRONOBERGS LÄN</t>
        </is>
      </c>
      <c r="G1069" t="inlineStr">
        <is>
          <t>VÄXJÖ</t>
        </is>
      </c>
      <c r="I1069" t="n">
        <v>2.4</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10856-2023</t>
        </is>
      </c>
      <c r="B1070" t="inlineStr">
        <is>
          <t>avverkningsanmälan</t>
        </is>
      </c>
      <c r="C1070" t="inlineStr">
        <is>
          <t>Föryngringsavverkning</t>
        </is>
      </c>
      <c r="D1070" s="1" t="n">
        <v>44991</v>
      </c>
      <c r="E1070" s="1" t="n">
        <v>46316</v>
      </c>
      <c r="F1070" t="inlineStr">
        <is>
          <t>KRONOBERGS LÄN</t>
        </is>
      </c>
      <c r="G1070" t="inlineStr">
        <is>
          <t>TINGSRYD</t>
        </is>
      </c>
      <c r="I1070" t="n">
        <v>1.7</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10861-2023</t>
        </is>
      </c>
      <c r="B1071" t="inlineStr">
        <is>
          <t>avverkningsanmälan</t>
        </is>
      </c>
      <c r="C1071" t="inlineStr">
        <is>
          <t>Föryngringsavverkning</t>
        </is>
      </c>
      <c r="D1071" s="1" t="n">
        <v>44991</v>
      </c>
      <c r="E1071" s="1" t="n">
        <v>46316</v>
      </c>
      <c r="F1071" t="inlineStr">
        <is>
          <t>KRONOBERGS LÄN</t>
        </is>
      </c>
      <c r="G1071" t="inlineStr">
        <is>
          <t>ALVESTA</t>
        </is>
      </c>
      <c r="I1071" t="n">
        <v>0.6</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52757-2024</t>
        </is>
      </c>
      <c r="B1072" t="inlineStr">
        <is>
          <t>avverkningsanmälan</t>
        </is>
      </c>
      <c r="C1072" t="inlineStr">
        <is>
          <t>Föryngringsavverkning</t>
        </is>
      </c>
      <c r="D1072" s="1" t="n">
        <v>45610</v>
      </c>
      <c r="E1072" s="1" t="n">
        <v>46316</v>
      </c>
      <c r="F1072" t="inlineStr">
        <is>
          <t>KRONOBERGS LÄN</t>
        </is>
      </c>
      <c r="G1072" t="inlineStr">
        <is>
          <t>ÄLMHULT</t>
        </is>
      </c>
      <c r="I1072" t="n">
        <v>3.1</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32759-2022</t>
        </is>
      </c>
      <c r="B1073" t="inlineStr">
        <is>
          <t>avverkningsanmälan</t>
        </is>
      </c>
      <c r="C1073" t="inlineStr">
        <is>
          <t>Föryngringsavverkning</t>
        </is>
      </c>
      <c r="D1073" s="1" t="n">
        <v>44783</v>
      </c>
      <c r="E1073" s="1" t="n">
        <v>46316</v>
      </c>
      <c r="F1073" t="inlineStr">
        <is>
          <t>KRONOBERGS LÄN</t>
        </is>
      </c>
      <c r="G1073" t="inlineStr">
        <is>
          <t>ALVESTA</t>
        </is>
      </c>
      <c r="I1073" t="n">
        <v>0.4</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69748-2021</t>
        </is>
      </c>
      <c r="B1074" t="inlineStr">
        <is>
          <t>avverkningsanmälan</t>
        </is>
      </c>
      <c r="C1074" t="inlineStr">
        <is>
          <t>Föryngringsavverkning</t>
        </is>
      </c>
      <c r="D1074" s="1" t="n">
        <v>44532</v>
      </c>
      <c r="E1074" s="1" t="n">
        <v>46316</v>
      </c>
      <c r="F1074" t="inlineStr">
        <is>
          <t>KRONOBERGS LÄN</t>
        </is>
      </c>
      <c r="G1074" t="inlineStr">
        <is>
          <t>VÄXJÖ</t>
        </is>
      </c>
      <c r="I1074" t="n">
        <v>2.9</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30966-2023</t>
        </is>
      </c>
      <c r="B1075" t="inlineStr">
        <is>
          <t>avverkningsanmälan</t>
        </is>
      </c>
      <c r="C1075" t="inlineStr">
        <is>
          <t>Föryngringsavverkning</t>
        </is>
      </c>
      <c r="D1075" s="1" t="n">
        <v>45113</v>
      </c>
      <c r="E1075" s="1" t="n">
        <v>46316</v>
      </c>
      <c r="F1075" t="inlineStr">
        <is>
          <t>KRONOBERGS LÄN</t>
        </is>
      </c>
      <c r="G1075" t="inlineStr">
        <is>
          <t>LESSEBO</t>
        </is>
      </c>
      <c r="I1075" t="n">
        <v>7</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50803-2024</t>
        </is>
      </c>
      <c r="B1076" t="inlineStr">
        <is>
          <t>avverkningsanmälan</t>
        </is>
      </c>
      <c r="C1076" t="inlineStr">
        <is>
          <t>Föryngringsavverkning</t>
        </is>
      </c>
      <c r="D1076" s="1" t="n">
        <v>45602</v>
      </c>
      <c r="E1076" s="1" t="n">
        <v>46316</v>
      </c>
      <c r="F1076" t="inlineStr">
        <is>
          <t>KRONOBERGS LÄN</t>
        </is>
      </c>
      <c r="G1076" t="inlineStr">
        <is>
          <t>LJUNGBY</t>
        </is>
      </c>
      <c r="I1076" t="n">
        <v>1.3</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9344-2025</t>
        </is>
      </c>
      <c r="B1077" t="inlineStr">
        <is>
          <t>avverkningsanmälan</t>
        </is>
      </c>
      <c r="C1077" t="inlineStr">
        <is>
          <t>Föryngringsavverkning</t>
        </is>
      </c>
      <c r="D1077" s="1" t="n">
        <v>45714</v>
      </c>
      <c r="E1077" s="1" t="n">
        <v>46316</v>
      </c>
      <c r="F1077" t="inlineStr">
        <is>
          <t>KRONOBERGS LÄN</t>
        </is>
      </c>
      <c r="G1077" t="inlineStr">
        <is>
          <t>LJUNGBY</t>
        </is>
      </c>
      <c r="I1077" t="n">
        <v>0.5</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14952-2024</t>
        </is>
      </c>
      <c r="B1078" t="inlineStr">
        <is>
          <t>avverkningsanmälan</t>
        </is>
      </c>
      <c r="C1078" t="inlineStr">
        <is>
          <t>Föryngringsavverkning</t>
        </is>
      </c>
      <c r="D1078" s="1" t="n">
        <v>45398</v>
      </c>
      <c r="E1078" s="1" t="n">
        <v>46316</v>
      </c>
      <c r="F1078" t="inlineStr">
        <is>
          <t>KRONOBERGS LÄN</t>
        </is>
      </c>
      <c r="G1078" t="inlineStr">
        <is>
          <t>UPPVIDINGE</t>
        </is>
      </c>
      <c r="I1078" t="n">
        <v>3.1</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9001-2023</t>
        </is>
      </c>
      <c r="B1079" t="inlineStr">
        <is>
          <t>avverkningsanmälan</t>
        </is>
      </c>
      <c r="C1079" t="inlineStr">
        <is>
          <t>Föryngringsavverkning</t>
        </is>
      </c>
      <c r="D1079" s="1" t="n">
        <v>44979</v>
      </c>
      <c r="E1079" s="1" t="n">
        <v>46316</v>
      </c>
      <c r="F1079" t="inlineStr">
        <is>
          <t>KRONOBERGS LÄN</t>
        </is>
      </c>
      <c r="G1079" t="inlineStr">
        <is>
          <t>VÄXJÖ</t>
        </is>
      </c>
      <c r="I1079" t="n">
        <v>0.5</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9895-2023</t>
        </is>
      </c>
      <c r="B1080" t="inlineStr">
        <is>
          <t>avverkningsanmälan</t>
        </is>
      </c>
      <c r="C1080" t="inlineStr">
        <is>
          <t>Föryngringsavverkning</t>
        </is>
      </c>
      <c r="D1080" s="1" t="n">
        <v>44985</v>
      </c>
      <c r="E1080" s="1" t="n">
        <v>46316</v>
      </c>
      <c r="F1080" t="inlineStr">
        <is>
          <t>KRONOBERGS LÄN</t>
        </is>
      </c>
      <c r="G1080" t="inlineStr">
        <is>
          <t>LJUNGBY</t>
        </is>
      </c>
      <c r="I1080" t="n">
        <v>1.9</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18233-2025</t>
        </is>
      </c>
      <c r="B1081" t="inlineStr">
        <is>
          <t>avverkningsanmälan</t>
        </is>
      </c>
      <c r="C1081" t="inlineStr">
        <is>
          <t>Föryngringsavverkning</t>
        </is>
      </c>
      <c r="D1081" s="1" t="n">
        <v>45761</v>
      </c>
      <c r="E1081" s="1" t="n">
        <v>46316</v>
      </c>
      <c r="F1081" t="inlineStr">
        <is>
          <t>KRONOBERGS LÄN</t>
        </is>
      </c>
      <c r="G1081" t="inlineStr">
        <is>
          <t>LJUNGBY</t>
        </is>
      </c>
      <c r="I1081" t="n">
        <v>1.3</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1367-2023</t>
        </is>
      </c>
      <c r="B1082" t="inlineStr">
        <is>
          <t>avverkningsanmälan</t>
        </is>
      </c>
      <c r="C1082" t="inlineStr">
        <is>
          <t>Föryngringsavverkning</t>
        </is>
      </c>
      <c r="D1082" s="1" t="n">
        <v>44936</v>
      </c>
      <c r="E1082" s="1" t="n">
        <v>46316</v>
      </c>
      <c r="F1082" t="inlineStr">
        <is>
          <t>KRONOBERGS LÄN</t>
        </is>
      </c>
      <c r="G1082" t="inlineStr">
        <is>
          <t>LESSEBO</t>
        </is>
      </c>
      <c r="I1082" t="n">
        <v>0.9</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9987-2023</t>
        </is>
      </c>
      <c r="B1083" t="inlineStr">
        <is>
          <t>avverkningsanmälan</t>
        </is>
      </c>
      <c r="C1083" t="inlineStr">
        <is>
          <t>Föryngringsavverkning</t>
        </is>
      </c>
      <c r="D1083" s="1" t="n">
        <v>44985</v>
      </c>
      <c r="E1083" s="1" t="n">
        <v>46316</v>
      </c>
      <c r="F1083" t="inlineStr">
        <is>
          <t>KRONOBERGS LÄN</t>
        </is>
      </c>
      <c r="G1083" t="inlineStr">
        <is>
          <t>ALVESTA</t>
        </is>
      </c>
      <c r="I1083" t="n">
        <v>0.4</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15132-2024</t>
        </is>
      </c>
      <c r="B1084" t="inlineStr">
        <is>
          <t>avverkningsanmälan</t>
        </is>
      </c>
      <c r="C1084" t="inlineStr">
        <is>
          <t>Föryngringsavverkning</t>
        </is>
      </c>
      <c r="D1084" s="1" t="n">
        <v>45399</v>
      </c>
      <c r="E1084" s="1" t="n">
        <v>46316</v>
      </c>
      <c r="F1084" t="inlineStr">
        <is>
          <t>KRONOBERGS LÄN</t>
        </is>
      </c>
      <c r="G1084" t="inlineStr">
        <is>
          <t>TINGSRYD</t>
        </is>
      </c>
      <c r="I1084" t="n">
        <v>2.1</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1926-2023</t>
        </is>
      </c>
      <c r="B1085" t="inlineStr">
        <is>
          <t>avverkningsanmälan</t>
        </is>
      </c>
      <c r="C1085" t="inlineStr">
        <is>
          <t>Föryngringsavverkning</t>
        </is>
      </c>
      <c r="D1085" s="1" t="n">
        <v>44939</v>
      </c>
      <c r="E1085" s="1" t="n">
        <v>46316</v>
      </c>
      <c r="F1085" t="inlineStr">
        <is>
          <t>KRONOBERGS LÄN</t>
        </is>
      </c>
      <c r="G1085" t="inlineStr">
        <is>
          <t>TINGSRYD</t>
        </is>
      </c>
      <c r="I1085" t="n">
        <v>1.1</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28676-2023</t>
        </is>
      </c>
      <c r="B1086" t="inlineStr">
        <is>
          <t>avverkningsanmälan</t>
        </is>
      </c>
      <c r="C1086" t="inlineStr">
        <is>
          <t>Föryngringsavverkning</t>
        </is>
      </c>
      <c r="D1086" s="1" t="n">
        <v>45103</v>
      </c>
      <c r="E1086" s="1" t="n">
        <v>46316</v>
      </c>
      <c r="F1086" t="inlineStr">
        <is>
          <t>KRONOBERGS LÄN</t>
        </is>
      </c>
      <c r="G1086" t="inlineStr">
        <is>
          <t>LJUNGBY</t>
        </is>
      </c>
      <c r="I1086" t="n">
        <v>0.6</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16990-2023</t>
        </is>
      </c>
      <c r="B1087" t="inlineStr">
        <is>
          <t>avverkningsanmälan</t>
        </is>
      </c>
      <c r="C1087" t="inlineStr">
        <is>
          <t>Föryngringsavverkning</t>
        </is>
      </c>
      <c r="D1087" s="1" t="n">
        <v>45033</v>
      </c>
      <c r="E1087" s="1" t="n">
        <v>46316</v>
      </c>
      <c r="F1087" t="inlineStr">
        <is>
          <t>KRONOBERGS LÄN</t>
        </is>
      </c>
      <c r="G1087" t="inlineStr">
        <is>
          <t>VÄXJÖ</t>
        </is>
      </c>
      <c r="H1087" t="inlineStr">
        <is>
          <t>Övriga Aktiebolag</t>
        </is>
      </c>
      <c r="I1087" t="n">
        <v>3.6</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4474-2023</t>
        </is>
      </c>
      <c r="B1088" t="inlineStr">
        <is>
          <t>avverkningsanmälan</t>
        </is>
      </c>
      <c r="C1088" t="inlineStr">
        <is>
          <t>Föryngringsavverkning</t>
        </is>
      </c>
      <c r="D1088" s="1" t="n">
        <v>44956</v>
      </c>
      <c r="E1088" s="1" t="n">
        <v>46316</v>
      </c>
      <c r="F1088" t="inlineStr">
        <is>
          <t>KRONOBERGS LÄN</t>
        </is>
      </c>
      <c r="G1088" t="inlineStr">
        <is>
          <t>MARKARYD</t>
        </is>
      </c>
      <c r="I1088" t="n">
        <v>2.7</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50871-2023</t>
        </is>
      </c>
      <c r="B1089" t="inlineStr">
        <is>
          <t>avverkningsanmälan</t>
        </is>
      </c>
      <c r="C1089" t="inlineStr">
        <is>
          <t>Föryngringsavverkning</t>
        </is>
      </c>
      <c r="D1089" s="1" t="n">
        <v>45218</v>
      </c>
      <c r="E1089" s="1" t="n">
        <v>46316</v>
      </c>
      <c r="F1089" t="inlineStr">
        <is>
          <t>KRONOBERGS LÄN</t>
        </is>
      </c>
      <c r="G1089" t="inlineStr">
        <is>
          <t>ALVESTA</t>
        </is>
      </c>
      <c r="I1089" t="n">
        <v>1</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50950-2023</t>
        </is>
      </c>
      <c r="B1090" t="inlineStr">
        <is>
          <t>avverkningsanmälan</t>
        </is>
      </c>
      <c r="C1090" t="inlineStr">
        <is>
          <t>Föryngringsavverkning</t>
        </is>
      </c>
      <c r="D1090" s="1" t="n">
        <v>45218</v>
      </c>
      <c r="E1090" s="1" t="n">
        <v>46316</v>
      </c>
      <c r="F1090" t="inlineStr">
        <is>
          <t>KRONOBERGS LÄN</t>
        </is>
      </c>
      <c r="G1090" t="inlineStr">
        <is>
          <t>LJUNGBY</t>
        </is>
      </c>
      <c r="I1090" t="n">
        <v>1.4</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2293-2024</t>
        </is>
      </c>
      <c r="B1091" t="inlineStr">
        <is>
          <t>avverkningsanmälan</t>
        </is>
      </c>
      <c r="C1091" t="inlineStr">
        <is>
          <t>Föryngringsavverkning</t>
        </is>
      </c>
      <c r="D1091" s="1" t="n">
        <v>45310</v>
      </c>
      <c r="E1091" s="1" t="n">
        <v>46316</v>
      </c>
      <c r="F1091" t="inlineStr">
        <is>
          <t>KRONOBERGS LÄN</t>
        </is>
      </c>
      <c r="G1091" t="inlineStr">
        <is>
          <t>TINGSRYD</t>
        </is>
      </c>
      <c r="I1091" t="n">
        <v>3.6</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3879-2025</t>
        </is>
      </c>
      <c r="B1092" t="inlineStr">
        <is>
          <t>avverkningsanmälan</t>
        </is>
      </c>
      <c r="C1092" t="inlineStr">
        <is>
          <t>Föryngringsavverkning</t>
        </is>
      </c>
      <c r="D1092" s="1" t="n">
        <v>45684</v>
      </c>
      <c r="E1092" s="1" t="n">
        <v>46316</v>
      </c>
      <c r="F1092" t="inlineStr">
        <is>
          <t>KRONOBERGS LÄN</t>
        </is>
      </c>
      <c r="G1092" t="inlineStr">
        <is>
          <t>LJUNGBY</t>
        </is>
      </c>
      <c r="I1092" t="n">
        <v>0.6</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9629-2022</t>
        </is>
      </c>
      <c r="B1093" t="inlineStr">
        <is>
          <t>avverkningsanmälan</t>
        </is>
      </c>
      <c r="C1093" t="inlineStr">
        <is>
          <t>Föryngringsavverkning</t>
        </is>
      </c>
      <c r="D1093" s="1" t="n">
        <v>44617</v>
      </c>
      <c r="E1093" s="1" t="n">
        <v>46316</v>
      </c>
      <c r="F1093" t="inlineStr">
        <is>
          <t>KRONOBERGS LÄN</t>
        </is>
      </c>
      <c r="G1093" t="inlineStr">
        <is>
          <t>LJUNGBY</t>
        </is>
      </c>
      <c r="H1093" t="inlineStr">
        <is>
          <t>Kyrkan</t>
        </is>
      </c>
      <c r="I1093" t="n">
        <v>1.3</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59320-2024</t>
        </is>
      </c>
      <c r="B1094" t="inlineStr">
        <is>
          <t>avverkningsanmälan</t>
        </is>
      </c>
      <c r="C1094" t="inlineStr">
        <is>
          <t>Föryngringsavverkning</t>
        </is>
      </c>
      <c r="D1094" s="1" t="n">
        <v>45637</v>
      </c>
      <c r="E1094" s="1" t="n">
        <v>46316</v>
      </c>
      <c r="F1094" t="inlineStr">
        <is>
          <t>KRONOBERGS LÄN</t>
        </is>
      </c>
      <c r="G1094" t="inlineStr">
        <is>
          <t>LESSEBO</t>
        </is>
      </c>
      <c r="H1094" t="inlineStr">
        <is>
          <t>Sveaskog</t>
        </is>
      </c>
      <c r="I1094" t="n">
        <v>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22441-2022</t>
        </is>
      </c>
      <c r="B1095" t="inlineStr">
        <is>
          <t>avverkningsanmälan</t>
        </is>
      </c>
      <c r="C1095" t="inlineStr">
        <is>
          <t>Föryngringsavverkning</t>
        </is>
      </c>
      <c r="D1095" s="1" t="n">
        <v>44713</v>
      </c>
      <c r="E1095" s="1" t="n">
        <v>46316</v>
      </c>
      <c r="F1095" t="inlineStr">
        <is>
          <t>KRONOBERGS LÄN</t>
        </is>
      </c>
      <c r="G1095" t="inlineStr">
        <is>
          <t>VÄXJÖ</t>
        </is>
      </c>
      <c r="I1095" t="n">
        <v>0.7</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13582-2024</t>
        </is>
      </c>
      <c r="B1096" t="inlineStr">
        <is>
          <t>avverkningsanmälan</t>
        </is>
      </c>
      <c r="C1096" t="inlineStr">
        <is>
          <t>Föryngringsavverkning</t>
        </is>
      </c>
      <c r="D1096" s="1" t="n">
        <v>45389</v>
      </c>
      <c r="E1096" s="1" t="n">
        <v>46316</v>
      </c>
      <c r="F1096" t="inlineStr">
        <is>
          <t>KRONOBERGS LÄN</t>
        </is>
      </c>
      <c r="G1096" t="inlineStr">
        <is>
          <t>UPPVIDINGE</t>
        </is>
      </c>
      <c r="I1096" t="n">
        <v>7.5</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44299-2023</t>
        </is>
      </c>
      <c r="B1097" t="inlineStr">
        <is>
          <t>avverkningsanmälan</t>
        </is>
      </c>
      <c r="C1097" t="inlineStr">
        <is>
          <t>Avverkning för annat ändamål</t>
        </is>
      </c>
      <c r="D1097" s="1" t="n">
        <v>45188</v>
      </c>
      <c r="E1097" s="1" t="n">
        <v>46316</v>
      </c>
      <c r="F1097" t="inlineStr">
        <is>
          <t>KRONOBERGS LÄN</t>
        </is>
      </c>
      <c r="G1097" t="inlineStr">
        <is>
          <t>TINGSRYD</t>
        </is>
      </c>
      <c r="I1097" t="n">
        <v>1.6</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44304-2023</t>
        </is>
      </c>
      <c r="B1098" t="inlineStr">
        <is>
          <t>avverkningsanmälan</t>
        </is>
      </c>
      <c r="C1098" t="inlineStr">
        <is>
          <t>Föryngringsavverkning</t>
        </is>
      </c>
      <c r="D1098" s="1" t="n">
        <v>45188</v>
      </c>
      <c r="E1098" s="1" t="n">
        <v>46316</v>
      </c>
      <c r="F1098" t="inlineStr">
        <is>
          <t>KRONOBERGS LÄN</t>
        </is>
      </c>
      <c r="G1098" t="inlineStr">
        <is>
          <t>LJUNGBY</t>
        </is>
      </c>
      <c r="I1098" t="n">
        <v>4.8</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58268-2022</t>
        </is>
      </c>
      <c r="B1099" t="inlineStr">
        <is>
          <t>avverkningsanmälan</t>
        </is>
      </c>
      <c r="C1099" t="inlineStr">
        <is>
          <t>Föryngringsavverkning</t>
        </is>
      </c>
      <c r="D1099" s="1" t="n">
        <v>44901</v>
      </c>
      <c r="E1099" s="1" t="n">
        <v>46316</v>
      </c>
      <c r="F1099" t="inlineStr">
        <is>
          <t>KRONOBERGS LÄN</t>
        </is>
      </c>
      <c r="G1099" t="inlineStr">
        <is>
          <t>ALVESTA</t>
        </is>
      </c>
      <c r="I1099" t="n">
        <v>2.9</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17065-2023</t>
        </is>
      </c>
      <c r="B1100" t="inlineStr">
        <is>
          <t>avverkningsanmälan</t>
        </is>
      </c>
      <c r="C1100" t="inlineStr">
        <is>
          <t>Föryngringsavverkning</t>
        </is>
      </c>
      <c r="D1100" s="1" t="n">
        <v>45034</v>
      </c>
      <c r="E1100" s="1" t="n">
        <v>46316</v>
      </c>
      <c r="F1100" t="inlineStr">
        <is>
          <t>KRONOBERGS LÄN</t>
        </is>
      </c>
      <c r="G1100" t="inlineStr">
        <is>
          <t>TINGSRYD</t>
        </is>
      </c>
      <c r="I1100" t="n">
        <v>2.4</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59089-2024</t>
        </is>
      </c>
      <c r="B1101" t="inlineStr">
        <is>
          <t>avverkningsanmälan</t>
        </is>
      </c>
      <c r="C1101" t="inlineStr">
        <is>
          <t>Föryngringsavverkning</t>
        </is>
      </c>
      <c r="D1101" s="1" t="n">
        <v>45637</v>
      </c>
      <c r="E1101" s="1" t="n">
        <v>46316</v>
      </c>
      <c r="F1101" t="inlineStr">
        <is>
          <t>KRONOBERGS LÄN</t>
        </is>
      </c>
      <c r="G1101" t="inlineStr">
        <is>
          <t>TINGSRYD</t>
        </is>
      </c>
      <c r="H1101" t="inlineStr">
        <is>
          <t>Övriga Aktiebolag</t>
        </is>
      </c>
      <c r="I1101" t="n">
        <v>1.2</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44827-2022</t>
        </is>
      </c>
      <c r="B1102" t="inlineStr">
        <is>
          <t>avverkningsanmälan</t>
        </is>
      </c>
      <c r="C1102" t="inlineStr">
        <is>
          <t>Föryngringsavverkning</t>
        </is>
      </c>
      <c r="D1102" s="1" t="n">
        <v>44839</v>
      </c>
      <c r="E1102" s="1" t="n">
        <v>46316</v>
      </c>
      <c r="F1102" t="inlineStr">
        <is>
          <t>KRONOBERGS LÄN</t>
        </is>
      </c>
      <c r="G1102" t="inlineStr">
        <is>
          <t>MARKARYD</t>
        </is>
      </c>
      <c r="H1102" t="inlineStr">
        <is>
          <t>Kyrkan</t>
        </is>
      </c>
      <c r="I1102" t="n">
        <v>2.3</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35224-2024</t>
        </is>
      </c>
      <c r="B1103" t="inlineStr">
        <is>
          <t>avverkningsanmälan</t>
        </is>
      </c>
      <c r="C1103" t="inlineStr">
        <is>
          <t>Föryngringsavverkning</t>
        </is>
      </c>
      <c r="D1103" s="1" t="n">
        <v>45530</v>
      </c>
      <c r="E1103" s="1" t="n">
        <v>46316</v>
      </c>
      <c r="F1103" t="inlineStr">
        <is>
          <t>KRONOBERGS LÄN</t>
        </is>
      </c>
      <c r="G1103" t="inlineStr">
        <is>
          <t>ALVESTA</t>
        </is>
      </c>
      <c r="I1103" t="n">
        <v>1.3</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32760-2022</t>
        </is>
      </c>
      <c r="B1104" t="inlineStr">
        <is>
          <t>avverkningsanmälan</t>
        </is>
      </c>
      <c r="C1104" t="inlineStr">
        <is>
          <t>Föryngringsavverkning</t>
        </is>
      </c>
      <c r="D1104" s="1" t="n">
        <v>44783</v>
      </c>
      <c r="E1104" s="1" t="n">
        <v>46316</v>
      </c>
      <c r="F1104" t="inlineStr">
        <is>
          <t>KRONOBERGS LÄN</t>
        </is>
      </c>
      <c r="G1104" t="inlineStr">
        <is>
          <t>ALVESTA</t>
        </is>
      </c>
      <c r="I1104" t="n">
        <v>0.4</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19209-2024</t>
        </is>
      </c>
      <c r="B1105" t="inlineStr">
        <is>
          <t>avverkningsanmälan</t>
        </is>
      </c>
      <c r="C1105" t="inlineStr">
        <is>
          <t>Föryngringsavverkning</t>
        </is>
      </c>
      <c r="D1105" s="1" t="n">
        <v>45428</v>
      </c>
      <c r="E1105" s="1" t="n">
        <v>46316</v>
      </c>
      <c r="F1105" t="inlineStr">
        <is>
          <t>KRONOBERGS LÄN</t>
        </is>
      </c>
      <c r="G1105" t="inlineStr">
        <is>
          <t>UPPVIDINGE</t>
        </is>
      </c>
      <c r="I1105" t="n">
        <v>2</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19211-2024</t>
        </is>
      </c>
      <c r="B1106" t="inlineStr">
        <is>
          <t>avverkningsanmälan</t>
        </is>
      </c>
      <c r="C1106" t="inlineStr">
        <is>
          <t>Föryngringsavverkning</t>
        </is>
      </c>
      <c r="D1106" s="1" t="n">
        <v>45428</v>
      </c>
      <c r="E1106" s="1" t="n">
        <v>46316</v>
      </c>
      <c r="F1106" t="inlineStr">
        <is>
          <t>KRONOBERGS LÄN</t>
        </is>
      </c>
      <c r="G1106" t="inlineStr">
        <is>
          <t>UPPVIDINGE</t>
        </is>
      </c>
      <c r="I1106" t="n">
        <v>3</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33352-2023</t>
        </is>
      </c>
      <c r="B1107" t="inlineStr">
        <is>
          <t>avverkningsanmälan</t>
        </is>
      </c>
      <c r="C1107" t="inlineStr">
        <is>
          <t>Föryngringsavverkning</t>
        </is>
      </c>
      <c r="D1107" s="1" t="n">
        <v>45117</v>
      </c>
      <c r="E1107" s="1" t="n">
        <v>46316</v>
      </c>
      <c r="F1107" t="inlineStr">
        <is>
          <t>KRONOBERGS LÄN</t>
        </is>
      </c>
      <c r="G1107" t="inlineStr">
        <is>
          <t>TINGSRYD</t>
        </is>
      </c>
      <c r="I1107" t="n">
        <v>1.7</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33360-2023</t>
        </is>
      </c>
      <c r="B1108" t="inlineStr">
        <is>
          <t>avverkningsanmälan</t>
        </is>
      </c>
      <c r="C1108" t="inlineStr">
        <is>
          <t>Föryngringsavverkning</t>
        </is>
      </c>
      <c r="D1108" s="1" t="n">
        <v>45117</v>
      </c>
      <c r="E1108" s="1" t="n">
        <v>46316</v>
      </c>
      <c r="F1108" t="inlineStr">
        <is>
          <t>KRONOBERGS LÄN</t>
        </is>
      </c>
      <c r="G1108" t="inlineStr">
        <is>
          <t>TINGSRYD</t>
        </is>
      </c>
      <c r="I1108" t="n">
        <v>4.6</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17932-2024</t>
        </is>
      </c>
      <c r="B1109" t="inlineStr">
        <is>
          <t>avverkningsanmälan</t>
        </is>
      </c>
      <c r="C1109" t="inlineStr">
        <is>
          <t>Föryngringsavverkning</t>
        </is>
      </c>
      <c r="D1109" s="1" t="n">
        <v>45419</v>
      </c>
      <c r="E1109" s="1" t="n">
        <v>46316</v>
      </c>
      <c r="F1109" t="inlineStr">
        <is>
          <t>KRONOBERGS LÄN</t>
        </is>
      </c>
      <c r="G1109" t="inlineStr">
        <is>
          <t>MARKARYD</t>
        </is>
      </c>
      <c r="I1109" t="n">
        <v>2.6</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41227-2022</t>
        </is>
      </c>
      <c r="B1110" t="inlineStr">
        <is>
          <t>avverkningsanmälan</t>
        </is>
      </c>
      <c r="C1110" t="inlineStr">
        <is>
          <t>Föryngringsavverkning</t>
        </is>
      </c>
      <c r="D1110" s="1" t="n">
        <v>44826</v>
      </c>
      <c r="E1110" s="1" t="n">
        <v>46316</v>
      </c>
      <c r="F1110" t="inlineStr">
        <is>
          <t>KRONOBERGS LÄN</t>
        </is>
      </c>
      <c r="G1110" t="inlineStr">
        <is>
          <t>ÄLMHULT</t>
        </is>
      </c>
      <c r="I1110" t="n">
        <v>0.9</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9960-2022</t>
        </is>
      </c>
      <c r="B1111" t="inlineStr">
        <is>
          <t>avverkningsanmälan</t>
        </is>
      </c>
      <c r="C1111" t="inlineStr">
        <is>
          <t>Föryngringsavverkning</t>
        </is>
      </c>
      <c r="D1111" s="1" t="n">
        <v>44620</v>
      </c>
      <c r="E1111" s="1" t="n">
        <v>46316</v>
      </c>
      <c r="F1111" t="inlineStr">
        <is>
          <t>KRONOBERGS LÄN</t>
        </is>
      </c>
      <c r="G1111" t="inlineStr">
        <is>
          <t>VÄXJÖ</t>
        </is>
      </c>
      <c r="I1111" t="n">
        <v>12.2</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1336-2024</t>
        </is>
      </c>
      <c r="B1112" t="inlineStr">
        <is>
          <t>avverkningsanmälan</t>
        </is>
      </c>
      <c r="C1112" t="inlineStr">
        <is>
          <t>Föryngringsavverkning</t>
        </is>
      </c>
      <c r="D1112" s="1" t="n">
        <v>45303</v>
      </c>
      <c r="E1112" s="1" t="n">
        <v>46316</v>
      </c>
      <c r="F1112" t="inlineStr">
        <is>
          <t>KRONOBERGS LÄN</t>
        </is>
      </c>
      <c r="G1112" t="inlineStr">
        <is>
          <t>TINGSRYD</t>
        </is>
      </c>
      <c r="I1112" t="n">
        <v>0.6</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5061-2023</t>
        </is>
      </c>
      <c r="B1113" t="inlineStr">
        <is>
          <t>avverkningsanmälan</t>
        </is>
      </c>
      <c r="C1113" t="inlineStr">
        <is>
          <t>Föryngringsavverkning</t>
        </is>
      </c>
      <c r="D1113" s="1" t="n">
        <v>44958</v>
      </c>
      <c r="E1113" s="1" t="n">
        <v>46316</v>
      </c>
      <c r="F1113" t="inlineStr">
        <is>
          <t>KRONOBERGS LÄN</t>
        </is>
      </c>
      <c r="G1113" t="inlineStr">
        <is>
          <t>ALVESTA</t>
        </is>
      </c>
      <c r="H1113" t="inlineStr">
        <is>
          <t>Kommuner</t>
        </is>
      </c>
      <c r="I1113" t="n">
        <v>1.7</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8329-2022</t>
        </is>
      </c>
      <c r="B1114" t="inlineStr">
        <is>
          <t>avverkningsanmälan</t>
        </is>
      </c>
      <c r="C1114" t="inlineStr">
        <is>
          <t>Föryngringsavverkning</t>
        </is>
      </c>
      <c r="D1114" s="1" t="n">
        <v>44610</v>
      </c>
      <c r="E1114" s="1" t="n">
        <v>46316</v>
      </c>
      <c r="F1114" t="inlineStr">
        <is>
          <t>KRONOBERGS LÄN</t>
        </is>
      </c>
      <c r="G1114" t="inlineStr">
        <is>
          <t>ÄLMHULT</t>
        </is>
      </c>
      <c r="I1114" t="n">
        <v>1.5</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6809-2022</t>
        </is>
      </c>
      <c r="B1115" t="inlineStr">
        <is>
          <t>avverkningsanmälan</t>
        </is>
      </c>
      <c r="C1115" t="inlineStr">
        <is>
          <t>Föryngringsavverkning</t>
        </is>
      </c>
      <c r="D1115" s="1" t="n">
        <v>44602</v>
      </c>
      <c r="E1115" s="1" t="n">
        <v>46316</v>
      </c>
      <c r="F1115" t="inlineStr">
        <is>
          <t>KRONOBERGS LÄN</t>
        </is>
      </c>
      <c r="G1115" t="inlineStr">
        <is>
          <t>VÄXJÖ</t>
        </is>
      </c>
      <c r="I1115" t="n">
        <v>1.2</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6559-2022</t>
        </is>
      </c>
      <c r="B1116" t="inlineStr">
        <is>
          <t>avverkningsanmälan</t>
        </is>
      </c>
      <c r="C1116" t="inlineStr">
        <is>
          <t>Föryngringsavverkning</t>
        </is>
      </c>
      <c r="D1116" s="1" t="n">
        <v>44601</v>
      </c>
      <c r="E1116" s="1" t="n">
        <v>46316</v>
      </c>
      <c r="F1116" t="inlineStr">
        <is>
          <t>KRONOBERGS LÄN</t>
        </is>
      </c>
      <c r="G1116" t="inlineStr">
        <is>
          <t>MARKARYD</t>
        </is>
      </c>
      <c r="H1116" t="inlineStr">
        <is>
          <t>Kommuner</t>
        </is>
      </c>
      <c r="I1116" t="n">
        <v>0.8</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5730-2023</t>
        </is>
      </c>
      <c r="B1117" t="inlineStr">
        <is>
          <t>avverkningsanmälan</t>
        </is>
      </c>
      <c r="C1117" t="inlineStr">
        <is>
          <t>Föryngringsavverkning</t>
        </is>
      </c>
      <c r="D1117" s="1" t="n">
        <v>44962</v>
      </c>
      <c r="E1117" s="1" t="n">
        <v>46316</v>
      </c>
      <c r="F1117" t="inlineStr">
        <is>
          <t>KRONOBERGS LÄN</t>
        </is>
      </c>
      <c r="G1117" t="inlineStr">
        <is>
          <t>ÄLMHULT</t>
        </is>
      </c>
      <c r="I1117" t="n">
        <v>1.5</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42002-2024</t>
        </is>
      </c>
      <c r="B1118" t="inlineStr">
        <is>
          <t>avverkningsanmälan</t>
        </is>
      </c>
      <c r="C1118" t="inlineStr">
        <is>
          <t>Föryngringsavverkning</t>
        </is>
      </c>
      <c r="D1118" s="1" t="n">
        <v>45561</v>
      </c>
      <c r="E1118" s="1" t="n">
        <v>46316</v>
      </c>
      <c r="F1118" t="inlineStr">
        <is>
          <t>KRONOBERGS LÄN</t>
        </is>
      </c>
      <c r="G1118" t="inlineStr">
        <is>
          <t>VÄXJÖ</t>
        </is>
      </c>
      <c r="I1118" t="n">
        <v>0.5</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37755-2024</t>
        </is>
      </c>
      <c r="B1119" t="inlineStr">
        <is>
          <t>avverkningsanmälan</t>
        </is>
      </c>
      <c r="C1119" t="inlineStr">
        <is>
          <t>Föryngringsavverkning</t>
        </is>
      </c>
      <c r="D1119" s="1" t="n">
        <v>45541</v>
      </c>
      <c r="E1119" s="1" t="n">
        <v>46316</v>
      </c>
      <c r="F1119" t="inlineStr">
        <is>
          <t>KRONOBERGS LÄN</t>
        </is>
      </c>
      <c r="G1119" t="inlineStr">
        <is>
          <t>VÄXJÖ</t>
        </is>
      </c>
      <c r="I1119" t="n">
        <v>0.9</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31766-2023</t>
        </is>
      </c>
      <c r="B1120" t="inlineStr">
        <is>
          <t>avverkningsanmälan</t>
        </is>
      </c>
      <c r="C1120" t="inlineStr">
        <is>
          <t>Föryngringsavverkning</t>
        </is>
      </c>
      <c r="D1120" s="1" t="n">
        <v>45118</v>
      </c>
      <c r="E1120" s="1" t="n">
        <v>46316</v>
      </c>
      <c r="F1120" t="inlineStr">
        <is>
          <t>KRONOBERGS LÄN</t>
        </is>
      </c>
      <c r="G1120" t="inlineStr">
        <is>
          <t>UPPVIDINGE</t>
        </is>
      </c>
      <c r="I1120" t="n">
        <v>1.3</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12712-2024</t>
        </is>
      </c>
      <c r="B1121" t="inlineStr">
        <is>
          <t>avverkningsanmälan</t>
        </is>
      </c>
      <c r="C1121" t="inlineStr">
        <is>
          <t>Föryngringsavverkning</t>
        </is>
      </c>
      <c r="D1121" s="1" t="n">
        <v>45384</v>
      </c>
      <c r="E1121" s="1" t="n">
        <v>46316</v>
      </c>
      <c r="F1121" t="inlineStr">
        <is>
          <t>KRONOBERGS LÄN</t>
        </is>
      </c>
      <c r="G1121" t="inlineStr">
        <is>
          <t>ALVESTA</t>
        </is>
      </c>
      <c r="I1121" t="n">
        <v>0.5</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30385-2023</t>
        </is>
      </c>
      <c r="B1122" t="inlineStr">
        <is>
          <t>avverkningsanmälan</t>
        </is>
      </c>
      <c r="C1122" t="inlineStr">
        <is>
          <t>Föryngringsavverkning</t>
        </is>
      </c>
      <c r="D1122" s="1" t="n">
        <v>45111</v>
      </c>
      <c r="E1122" s="1" t="n">
        <v>46316</v>
      </c>
      <c r="F1122" t="inlineStr">
        <is>
          <t>KRONOBERGS LÄN</t>
        </is>
      </c>
      <c r="G1122" t="inlineStr">
        <is>
          <t>LJUNGBY</t>
        </is>
      </c>
      <c r="I1122" t="n">
        <v>2.3</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30132-2023</t>
        </is>
      </c>
      <c r="B1123" t="inlineStr">
        <is>
          <t>avverkningsanmälan</t>
        </is>
      </c>
      <c r="C1123" t="inlineStr">
        <is>
          <t>Föryngringsavverkning</t>
        </is>
      </c>
      <c r="D1123" s="1" t="n">
        <v>45110</v>
      </c>
      <c r="E1123" s="1" t="n">
        <v>46316</v>
      </c>
      <c r="F1123" t="inlineStr">
        <is>
          <t>KRONOBERGS LÄN</t>
        </is>
      </c>
      <c r="G1123" t="inlineStr">
        <is>
          <t>LJUNGBY</t>
        </is>
      </c>
      <c r="I1123" t="n">
        <v>0.4</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7374-2024</t>
        </is>
      </c>
      <c r="B1124" t="inlineStr">
        <is>
          <t>avverkningsanmälan</t>
        </is>
      </c>
      <c r="C1124" t="inlineStr">
        <is>
          <t>Föryngringsavverkning</t>
        </is>
      </c>
      <c r="D1124" s="1" t="n">
        <v>45345</v>
      </c>
      <c r="E1124" s="1" t="n">
        <v>46316</v>
      </c>
      <c r="F1124" t="inlineStr">
        <is>
          <t>KRONOBERGS LÄN</t>
        </is>
      </c>
      <c r="G1124" t="inlineStr">
        <is>
          <t>LJUNGBY</t>
        </is>
      </c>
      <c r="I1124" t="n">
        <v>6.3</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56821-2022</t>
        </is>
      </c>
      <c r="B1125" t="inlineStr">
        <is>
          <t>avverkningsanmälan</t>
        </is>
      </c>
      <c r="C1125" t="inlineStr">
        <is>
          <t>Föryngringsavverkning</t>
        </is>
      </c>
      <c r="D1125" s="1" t="n">
        <v>44894</v>
      </c>
      <c r="E1125" s="1" t="n">
        <v>46316</v>
      </c>
      <c r="F1125" t="inlineStr">
        <is>
          <t>KRONOBERGS LÄN</t>
        </is>
      </c>
      <c r="G1125" t="inlineStr">
        <is>
          <t>VÄXJÖ</t>
        </is>
      </c>
      <c r="I1125" t="n">
        <v>1.6</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14324-2023</t>
        </is>
      </c>
      <c r="B1126" t="inlineStr">
        <is>
          <t>avverkningsanmälan</t>
        </is>
      </c>
      <c r="C1126" t="inlineStr">
        <is>
          <t>Föryngringsavverkning</t>
        </is>
      </c>
      <c r="D1126" s="1" t="n">
        <v>45012</v>
      </c>
      <c r="E1126" s="1" t="n">
        <v>46316</v>
      </c>
      <c r="F1126" t="inlineStr">
        <is>
          <t>KRONOBERGS LÄN</t>
        </is>
      </c>
      <c r="G1126" t="inlineStr">
        <is>
          <t>ALVESTA</t>
        </is>
      </c>
      <c r="I1126" t="n">
        <v>1.5</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6133-2022</t>
        </is>
      </c>
      <c r="B1127" t="inlineStr">
        <is>
          <t>avverkningsanmälan</t>
        </is>
      </c>
      <c r="C1127" t="inlineStr">
        <is>
          <t>Föryngringsavverkning</t>
        </is>
      </c>
      <c r="D1127" s="1" t="n">
        <v>44599</v>
      </c>
      <c r="E1127" s="1" t="n">
        <v>46316</v>
      </c>
      <c r="F1127" t="inlineStr">
        <is>
          <t>KRONOBERGS LÄN</t>
        </is>
      </c>
      <c r="G1127" t="inlineStr">
        <is>
          <t>VÄXJÖ</t>
        </is>
      </c>
      <c r="I1127" t="n">
        <v>3.2</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11265-2025</t>
        </is>
      </c>
      <c r="B1128" t="inlineStr">
        <is>
          <t>avverkningsanmälan</t>
        </is>
      </c>
      <c r="C1128" t="inlineStr">
        <is>
          <t>Föryngringsavverkning</t>
        </is>
      </c>
      <c r="D1128" s="1" t="n">
        <v>45726</v>
      </c>
      <c r="E1128" s="1" t="n">
        <v>46316</v>
      </c>
      <c r="F1128" t="inlineStr">
        <is>
          <t>KRONOBERGS LÄN</t>
        </is>
      </c>
      <c r="G1128" t="inlineStr">
        <is>
          <t>VÄXJÖ</t>
        </is>
      </c>
      <c r="I1128" t="n">
        <v>0.6</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37803-2024</t>
        </is>
      </c>
      <c r="B1129" t="inlineStr">
        <is>
          <t>avverkningsanmälan</t>
        </is>
      </c>
      <c r="C1129" t="inlineStr">
        <is>
          <t>Föryngringsavverkning</t>
        </is>
      </c>
      <c r="D1129" s="1" t="n">
        <v>45543</v>
      </c>
      <c r="E1129" s="1" t="n">
        <v>46316</v>
      </c>
      <c r="F1129" t="inlineStr">
        <is>
          <t>KRONOBERGS LÄN</t>
        </is>
      </c>
      <c r="G1129" t="inlineStr">
        <is>
          <t>ÄLMHULT</t>
        </is>
      </c>
      <c r="I1129" t="n">
        <v>3.1</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6210-2022</t>
        </is>
      </c>
      <c r="B1130" t="inlineStr">
        <is>
          <t>avverkningsanmälan</t>
        </is>
      </c>
      <c r="C1130" t="inlineStr">
        <is>
          <t>Föryngringsavverkning</t>
        </is>
      </c>
      <c r="D1130" s="1" t="n">
        <v>44600</v>
      </c>
      <c r="E1130" s="1" t="n">
        <v>46316</v>
      </c>
      <c r="F1130" t="inlineStr">
        <is>
          <t>KRONOBERGS LÄN</t>
        </is>
      </c>
      <c r="G1130" t="inlineStr">
        <is>
          <t>ALVESTA</t>
        </is>
      </c>
      <c r="I1130" t="n">
        <v>0.5</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45525-2024</t>
        </is>
      </c>
      <c r="B1131" t="inlineStr">
        <is>
          <t>avverkningsanmälan</t>
        </is>
      </c>
      <c r="C1131" t="inlineStr">
        <is>
          <t>Föryngringsavverkning</t>
        </is>
      </c>
      <c r="D1131" s="1" t="n">
        <v>45578</v>
      </c>
      <c r="E1131" s="1" t="n">
        <v>46316</v>
      </c>
      <c r="F1131" t="inlineStr">
        <is>
          <t>KRONOBERGS LÄN</t>
        </is>
      </c>
      <c r="G1131" t="inlineStr">
        <is>
          <t>ÄLMHULT</t>
        </is>
      </c>
      <c r="I1131" t="n">
        <v>5.7</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72447-2021</t>
        </is>
      </c>
      <c r="B1132" t="inlineStr">
        <is>
          <t>avverkningsanmälan</t>
        </is>
      </c>
      <c r="C1132" t="inlineStr">
        <is>
          <t>Föryngringsavverkning</t>
        </is>
      </c>
      <c r="D1132" s="1" t="n">
        <v>44545</v>
      </c>
      <c r="E1132" s="1" t="n">
        <v>46316</v>
      </c>
      <c r="F1132" t="inlineStr">
        <is>
          <t>KRONOBERGS LÄN</t>
        </is>
      </c>
      <c r="G1132" t="inlineStr">
        <is>
          <t>TINGSRYD</t>
        </is>
      </c>
      <c r="I1132" t="n">
        <v>1.3</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6338-2024</t>
        </is>
      </c>
      <c r="B1133" t="inlineStr">
        <is>
          <t>avverkningsanmälan</t>
        </is>
      </c>
      <c r="C1133" t="inlineStr">
        <is>
          <t>Föryngringsavverkning</t>
        </is>
      </c>
      <c r="D1133" s="1" t="n">
        <v>45338</v>
      </c>
      <c r="E1133" s="1" t="n">
        <v>46316</v>
      </c>
      <c r="F1133" t="inlineStr">
        <is>
          <t>KRONOBERGS LÄN</t>
        </is>
      </c>
      <c r="G1133" t="inlineStr">
        <is>
          <t>UPPVIDINGE</t>
        </is>
      </c>
      <c r="H1133" t="inlineStr">
        <is>
          <t>Sveaskog</t>
        </is>
      </c>
      <c r="I1133" t="n">
        <v>1.5</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16854-2023</t>
        </is>
      </c>
      <c r="B1134" t="inlineStr">
        <is>
          <t>avverkningsanmälan</t>
        </is>
      </c>
      <c r="C1134" t="inlineStr">
        <is>
          <t>Föryngringsavverkning</t>
        </is>
      </c>
      <c r="D1134" s="1" t="n">
        <v>45033</v>
      </c>
      <c r="E1134" s="1" t="n">
        <v>46316</v>
      </c>
      <c r="F1134" t="inlineStr">
        <is>
          <t>KRONOBERGS LÄN</t>
        </is>
      </c>
      <c r="G1134" t="inlineStr">
        <is>
          <t>TINGSRYD</t>
        </is>
      </c>
      <c r="I1134" t="n">
        <v>0.5</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6625-2024</t>
        </is>
      </c>
      <c r="B1135" t="inlineStr">
        <is>
          <t>avverkningsanmälan</t>
        </is>
      </c>
      <c r="C1135" t="inlineStr">
        <is>
          <t>Föryngringsavverkning</t>
        </is>
      </c>
      <c r="D1135" s="1" t="n">
        <v>45341</v>
      </c>
      <c r="E1135" s="1" t="n">
        <v>46316</v>
      </c>
      <c r="F1135" t="inlineStr">
        <is>
          <t>KRONOBERGS LÄN</t>
        </is>
      </c>
      <c r="G1135" t="inlineStr">
        <is>
          <t>VÄXJÖ</t>
        </is>
      </c>
      <c r="I1135" t="n">
        <v>0.8</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54682-2022</t>
        </is>
      </c>
      <c r="B1136" t="inlineStr">
        <is>
          <t>avverkningsanmälan</t>
        </is>
      </c>
      <c r="C1136" t="inlineStr">
        <is>
          <t>Föryngringsavverkning</t>
        </is>
      </c>
      <c r="D1136" s="1" t="n">
        <v>44883</v>
      </c>
      <c r="E1136" s="1" t="n">
        <v>46316</v>
      </c>
      <c r="F1136" t="inlineStr">
        <is>
          <t>KRONOBERGS LÄN</t>
        </is>
      </c>
      <c r="G1136" t="inlineStr">
        <is>
          <t>LJUNGBY</t>
        </is>
      </c>
      <c r="I1136" t="n">
        <v>1.1</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30699-2023</t>
        </is>
      </c>
      <c r="B1137" t="inlineStr">
        <is>
          <t>avverkningsanmälan</t>
        </is>
      </c>
      <c r="C1137" t="inlineStr">
        <is>
          <t>Föryngringsavverkning</t>
        </is>
      </c>
      <c r="D1137" s="1" t="n">
        <v>45103</v>
      </c>
      <c r="E1137" s="1" t="n">
        <v>46316</v>
      </c>
      <c r="F1137" t="inlineStr">
        <is>
          <t>KRONOBERGS LÄN</t>
        </is>
      </c>
      <c r="G1137" t="inlineStr">
        <is>
          <t>ALVESTA</t>
        </is>
      </c>
      <c r="I1137" t="n">
        <v>2.3</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59509-2023</t>
        </is>
      </c>
      <c r="B1138" t="inlineStr">
        <is>
          <t>avverkningsanmälan</t>
        </is>
      </c>
      <c r="C1138" t="inlineStr">
        <is>
          <t>Föryngringsavverkning</t>
        </is>
      </c>
      <c r="D1138" s="1" t="n">
        <v>45254</v>
      </c>
      <c r="E1138" s="1" t="n">
        <v>46316</v>
      </c>
      <c r="F1138" t="inlineStr">
        <is>
          <t>KRONOBERGS LÄN</t>
        </is>
      </c>
      <c r="G1138" t="inlineStr">
        <is>
          <t>ÄLMHULT</t>
        </is>
      </c>
      <c r="I1138" t="n">
        <v>0.9</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54614-2024</t>
        </is>
      </c>
      <c r="B1139" t="inlineStr">
        <is>
          <t>avverkningsanmälan</t>
        </is>
      </c>
      <c r="C1139" t="inlineStr">
        <is>
          <t>Föryngringsavverkning</t>
        </is>
      </c>
      <c r="D1139" s="1" t="n">
        <v>45617</v>
      </c>
      <c r="E1139" s="1" t="n">
        <v>46316</v>
      </c>
      <c r="F1139" t="inlineStr">
        <is>
          <t>KRONOBERGS LÄN</t>
        </is>
      </c>
      <c r="G1139" t="inlineStr">
        <is>
          <t>LJUNGBY</t>
        </is>
      </c>
      <c r="I1139" t="n">
        <v>0.5</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31074-2023</t>
        </is>
      </c>
      <c r="B1140" t="inlineStr">
        <is>
          <t>avverkningsanmälan</t>
        </is>
      </c>
      <c r="C1140" t="inlineStr">
        <is>
          <t>Föryngringsavverkning</t>
        </is>
      </c>
      <c r="D1140" s="1" t="n">
        <v>45113</v>
      </c>
      <c r="E1140" s="1" t="n">
        <v>46316</v>
      </c>
      <c r="F1140" t="inlineStr">
        <is>
          <t>KRONOBERGS LÄN</t>
        </is>
      </c>
      <c r="G1140" t="inlineStr">
        <is>
          <t>ALVESTA</t>
        </is>
      </c>
      <c r="I1140" t="n">
        <v>0.6</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48240-2024</t>
        </is>
      </c>
      <c r="B1141" t="inlineStr">
        <is>
          <t>avverkningsanmälan</t>
        </is>
      </c>
      <c r="C1141" t="inlineStr">
        <is>
          <t>Föryngringsavverkning</t>
        </is>
      </c>
      <c r="D1141" s="1" t="n">
        <v>45590</v>
      </c>
      <c r="E1141" s="1" t="n">
        <v>46316</v>
      </c>
      <c r="F1141" t="inlineStr">
        <is>
          <t>KRONOBERGS LÄN</t>
        </is>
      </c>
      <c r="G1141" t="inlineStr">
        <is>
          <t>UPPVIDINGE</t>
        </is>
      </c>
      <c r="I1141" t="n">
        <v>0.3</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40373-2024</t>
        </is>
      </c>
      <c r="B1142" t="inlineStr">
        <is>
          <t>avverkningsanmälan</t>
        </is>
      </c>
      <c r="C1142" t="inlineStr">
        <is>
          <t>Föryngringsavverkning</t>
        </is>
      </c>
      <c r="D1142" s="1" t="n">
        <v>45554</v>
      </c>
      <c r="E1142" s="1" t="n">
        <v>46316</v>
      </c>
      <c r="F1142" t="inlineStr">
        <is>
          <t>KRONOBERGS LÄN</t>
        </is>
      </c>
      <c r="G1142" t="inlineStr">
        <is>
          <t>ÄLMHULT</t>
        </is>
      </c>
      <c r="I1142" t="n">
        <v>0.7</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581-2025</t>
        </is>
      </c>
      <c r="B1143" t="inlineStr">
        <is>
          <t>avverkningsanmälan</t>
        </is>
      </c>
      <c r="C1143" t="inlineStr">
        <is>
          <t>Föryngringsavverkning</t>
        </is>
      </c>
      <c r="D1143" s="1" t="n">
        <v>45664</v>
      </c>
      <c r="E1143" s="1" t="n">
        <v>46316</v>
      </c>
      <c r="F1143" t="inlineStr">
        <is>
          <t>KRONOBERGS LÄN</t>
        </is>
      </c>
      <c r="G1143" t="inlineStr">
        <is>
          <t>UPPVIDINGE</t>
        </is>
      </c>
      <c r="I1143" t="n">
        <v>6.7</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33844-2023</t>
        </is>
      </c>
      <c r="B1144" t="inlineStr">
        <is>
          <t>avverkningsanmälan</t>
        </is>
      </c>
      <c r="C1144" t="inlineStr">
        <is>
          <t>Föryngringsavverkning</t>
        </is>
      </c>
      <c r="D1144" s="1" t="n">
        <v>45133</v>
      </c>
      <c r="E1144" s="1" t="n">
        <v>46316</v>
      </c>
      <c r="F1144" t="inlineStr">
        <is>
          <t>KRONOBERGS LÄN</t>
        </is>
      </c>
      <c r="G1144" t="inlineStr">
        <is>
          <t>ÄLMHULT</t>
        </is>
      </c>
      <c r="I1144" t="n">
        <v>0.6</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45069-2024</t>
        </is>
      </c>
      <c r="B1145" t="inlineStr">
        <is>
          <t>avverkningsanmälan</t>
        </is>
      </c>
      <c r="C1145" t="inlineStr">
        <is>
          <t>Föryngringsavverkning</t>
        </is>
      </c>
      <c r="D1145" s="1" t="n">
        <v>45575</v>
      </c>
      <c r="E1145" s="1" t="n">
        <v>46316</v>
      </c>
      <c r="F1145" t="inlineStr">
        <is>
          <t>KRONOBERGS LÄN</t>
        </is>
      </c>
      <c r="G1145" t="inlineStr">
        <is>
          <t>ÄLMHULT</t>
        </is>
      </c>
      <c r="I1145" t="n">
        <v>2.4</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26516-2024</t>
        </is>
      </c>
      <c r="B1146" t="inlineStr">
        <is>
          <t>avverkningsanmälan</t>
        </is>
      </c>
      <c r="C1146" t="inlineStr">
        <is>
          <t>Föryngringsavverkning</t>
        </is>
      </c>
      <c r="D1146" s="1" t="n">
        <v>45469</v>
      </c>
      <c r="E1146" s="1" t="n">
        <v>46316</v>
      </c>
      <c r="F1146" t="inlineStr">
        <is>
          <t>KRONOBERGS LÄN</t>
        </is>
      </c>
      <c r="G1146" t="inlineStr">
        <is>
          <t>ÄLMHULT</t>
        </is>
      </c>
      <c r="I1146" t="n">
        <v>3.1</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52087-2024</t>
        </is>
      </c>
      <c r="B1147" t="inlineStr">
        <is>
          <t>avverkningsanmälan</t>
        </is>
      </c>
      <c r="C1147" t="inlineStr">
        <is>
          <t>Föryngringsavverkning</t>
        </is>
      </c>
      <c r="D1147" s="1" t="n">
        <v>45608</v>
      </c>
      <c r="E1147" s="1" t="n">
        <v>46316</v>
      </c>
      <c r="F1147" t="inlineStr">
        <is>
          <t>KRONOBERGS LÄN</t>
        </is>
      </c>
      <c r="G1147" t="inlineStr">
        <is>
          <t>ALVESTA</t>
        </is>
      </c>
      <c r="H1147" t="inlineStr">
        <is>
          <t>Övriga Aktiebolag</t>
        </is>
      </c>
      <c r="I1147" t="n">
        <v>1.3</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29898-2023</t>
        </is>
      </c>
      <c r="B1148" t="inlineStr">
        <is>
          <t>avverkningsanmälan</t>
        </is>
      </c>
      <c r="C1148" t="inlineStr">
        <is>
          <t>Föryngringsavverkning</t>
        </is>
      </c>
      <c r="D1148" s="1" t="n">
        <v>45107</v>
      </c>
      <c r="E1148" s="1" t="n">
        <v>46316</v>
      </c>
      <c r="F1148" t="inlineStr">
        <is>
          <t>KRONOBERGS LÄN</t>
        </is>
      </c>
      <c r="G1148" t="inlineStr">
        <is>
          <t>TINGSRYD</t>
        </is>
      </c>
      <c r="I1148" t="n">
        <v>0.5</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71388-2021</t>
        </is>
      </c>
      <c r="B1149" t="inlineStr">
        <is>
          <t>avverkningsanmälan</t>
        </is>
      </c>
      <c r="C1149" t="inlineStr">
        <is>
          <t>Föryngringsavverkning</t>
        </is>
      </c>
      <c r="D1149" s="1" t="n">
        <v>44540</v>
      </c>
      <c r="E1149" s="1" t="n">
        <v>46316</v>
      </c>
      <c r="F1149" t="inlineStr">
        <is>
          <t>KRONOBERGS LÄN</t>
        </is>
      </c>
      <c r="G1149" t="inlineStr">
        <is>
          <t>TINGSRYD</t>
        </is>
      </c>
      <c r="I1149" t="n">
        <v>1.4</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24222-2024</t>
        </is>
      </c>
      <c r="B1150" t="inlineStr">
        <is>
          <t>avverkningsanmälan</t>
        </is>
      </c>
      <c r="C1150" t="inlineStr">
        <is>
          <t>Föryngringsavverkning</t>
        </is>
      </c>
      <c r="D1150" s="1" t="n">
        <v>45457</v>
      </c>
      <c r="E1150" s="1" t="n">
        <v>46316</v>
      </c>
      <c r="F1150" t="inlineStr">
        <is>
          <t>KRONOBERGS LÄN</t>
        </is>
      </c>
      <c r="G1150" t="inlineStr">
        <is>
          <t>ÄLMHULT</t>
        </is>
      </c>
      <c r="I1150" t="n">
        <v>0.9</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24230-2024</t>
        </is>
      </c>
      <c r="B1151" t="inlineStr">
        <is>
          <t>avverkningsanmälan</t>
        </is>
      </c>
      <c r="C1151" t="inlineStr">
        <is>
          <t>Föryngringsavverkning</t>
        </is>
      </c>
      <c r="D1151" s="1" t="n">
        <v>45457</v>
      </c>
      <c r="E1151" s="1" t="n">
        <v>46316</v>
      </c>
      <c r="F1151" t="inlineStr">
        <is>
          <t>KRONOBERGS LÄN</t>
        </is>
      </c>
      <c r="G1151" t="inlineStr">
        <is>
          <t>ÄLMHULT</t>
        </is>
      </c>
      <c r="I1151" t="n">
        <v>1.7</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60545-2022</t>
        </is>
      </c>
      <c r="B1152" t="inlineStr">
        <is>
          <t>avverkningsanmälan</t>
        </is>
      </c>
      <c r="C1152" t="inlineStr">
        <is>
          <t>Föryngringsavverkning</t>
        </is>
      </c>
      <c r="D1152" s="1" t="n">
        <v>44904</v>
      </c>
      <c r="E1152" s="1" t="n">
        <v>46316</v>
      </c>
      <c r="F1152" t="inlineStr">
        <is>
          <t>KRONOBERGS LÄN</t>
        </is>
      </c>
      <c r="G1152" t="inlineStr">
        <is>
          <t>TINGSRYD</t>
        </is>
      </c>
      <c r="I1152" t="n">
        <v>0.5</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20206-2024</t>
        </is>
      </c>
      <c r="B1153" t="inlineStr">
        <is>
          <t>avverkningsanmälan</t>
        </is>
      </c>
      <c r="C1153" t="inlineStr">
        <is>
          <t>Föryngringsavverkning</t>
        </is>
      </c>
      <c r="D1153" s="1" t="n">
        <v>45434</v>
      </c>
      <c r="E1153" s="1" t="n">
        <v>46316</v>
      </c>
      <c r="F1153" t="inlineStr">
        <is>
          <t>KRONOBERGS LÄN</t>
        </is>
      </c>
      <c r="G1153" t="inlineStr">
        <is>
          <t>MARKARYD</t>
        </is>
      </c>
      <c r="I1153" t="n">
        <v>1.2</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5363-2023</t>
        </is>
      </c>
      <c r="B1154" t="inlineStr">
        <is>
          <t>avverkningsanmälan</t>
        </is>
      </c>
      <c r="C1154" t="inlineStr">
        <is>
          <t>Föryngringsavverkning</t>
        </is>
      </c>
      <c r="D1154" s="1" t="n">
        <v>44959</v>
      </c>
      <c r="E1154" s="1" t="n">
        <v>46316</v>
      </c>
      <c r="F1154" t="inlineStr">
        <is>
          <t>KRONOBERGS LÄN</t>
        </is>
      </c>
      <c r="G1154" t="inlineStr">
        <is>
          <t>LJUNGBY</t>
        </is>
      </c>
      <c r="H1154" t="inlineStr">
        <is>
          <t>Sveaskog</t>
        </is>
      </c>
      <c r="I1154" t="n">
        <v>3.1</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31469-2023</t>
        </is>
      </c>
      <c r="B1155" t="inlineStr">
        <is>
          <t>avverkningsanmälan</t>
        </is>
      </c>
      <c r="C1155" t="inlineStr">
        <is>
          <t>Föryngringsavverkning</t>
        </is>
      </c>
      <c r="D1155" s="1" t="n">
        <v>45114</v>
      </c>
      <c r="E1155" s="1" t="n">
        <v>46316</v>
      </c>
      <c r="F1155" t="inlineStr">
        <is>
          <t>KRONOBERGS LÄN</t>
        </is>
      </c>
      <c r="G1155" t="inlineStr">
        <is>
          <t>VÄXJÖ</t>
        </is>
      </c>
      <c r="I1155" t="n">
        <v>0.6</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51190-2023</t>
        </is>
      </c>
      <c r="B1156" t="inlineStr">
        <is>
          <t>avverkningsanmälan</t>
        </is>
      </c>
      <c r="C1156" t="inlineStr">
        <is>
          <t>Föryngringsavverkning</t>
        </is>
      </c>
      <c r="D1156" s="1" t="n">
        <v>45219</v>
      </c>
      <c r="E1156" s="1" t="n">
        <v>46316</v>
      </c>
      <c r="F1156" t="inlineStr">
        <is>
          <t>KRONOBERGS LÄN</t>
        </is>
      </c>
      <c r="G1156" t="inlineStr">
        <is>
          <t>VÄXJÖ</t>
        </is>
      </c>
      <c r="I1156" t="n">
        <v>1.5</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7287-2022</t>
        </is>
      </c>
      <c r="B1157" t="inlineStr">
        <is>
          <t>avverkningsanmälan</t>
        </is>
      </c>
      <c r="C1157" t="inlineStr">
        <is>
          <t>Föryngringsavverkning</t>
        </is>
      </c>
      <c r="D1157" s="1" t="n">
        <v>44606</v>
      </c>
      <c r="E1157" s="1" t="n">
        <v>46316</v>
      </c>
      <c r="F1157" t="inlineStr">
        <is>
          <t>KRONOBERGS LÄN</t>
        </is>
      </c>
      <c r="G1157" t="inlineStr">
        <is>
          <t>ALVESTA</t>
        </is>
      </c>
      <c r="I1157" t="n">
        <v>0.4</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18646-2022</t>
        </is>
      </c>
      <c r="B1158" t="inlineStr">
        <is>
          <t>avverkningsanmälan</t>
        </is>
      </c>
      <c r="C1158" t="inlineStr">
        <is>
          <t>Föryngringsavverkning</t>
        </is>
      </c>
      <c r="D1158" s="1" t="n">
        <v>44687</v>
      </c>
      <c r="E1158" s="1" t="n">
        <v>46316</v>
      </c>
      <c r="F1158" t="inlineStr">
        <is>
          <t>KRONOBERGS LÄN</t>
        </is>
      </c>
      <c r="G1158" t="inlineStr">
        <is>
          <t>ALVESTA</t>
        </is>
      </c>
      <c r="I1158" t="n">
        <v>0.5</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6960-2023</t>
        </is>
      </c>
      <c r="B1159" t="inlineStr">
        <is>
          <t>avverkningsanmälan</t>
        </is>
      </c>
      <c r="C1159" t="inlineStr">
        <is>
          <t>Föryngringsavverkning</t>
        </is>
      </c>
      <c r="D1159" s="1" t="n">
        <v>44967</v>
      </c>
      <c r="E1159" s="1" t="n">
        <v>46316</v>
      </c>
      <c r="F1159" t="inlineStr">
        <is>
          <t>KRONOBERGS LÄN</t>
        </is>
      </c>
      <c r="G1159" t="inlineStr">
        <is>
          <t>TINGSRYD</t>
        </is>
      </c>
      <c r="I1159" t="n">
        <v>4.5</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1586-2024</t>
        </is>
      </c>
      <c r="B1160" t="inlineStr">
        <is>
          <t>avverkningsanmälan</t>
        </is>
      </c>
      <c r="C1160" t="inlineStr">
        <is>
          <t>Föryngringsavverkning</t>
        </is>
      </c>
      <c r="D1160" s="1" t="n">
        <v>45306</v>
      </c>
      <c r="E1160" s="1" t="n">
        <v>46316</v>
      </c>
      <c r="F1160" t="inlineStr">
        <is>
          <t>KRONOBERGS LÄN</t>
        </is>
      </c>
      <c r="G1160" t="inlineStr">
        <is>
          <t>TINGSRYD</t>
        </is>
      </c>
      <c r="I1160" t="n">
        <v>1.7</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13972-2024</t>
        </is>
      </c>
      <c r="B1161" t="inlineStr">
        <is>
          <t>avverkningsanmälan</t>
        </is>
      </c>
      <c r="C1161" t="inlineStr">
        <is>
          <t>Föryngringsavverkning</t>
        </is>
      </c>
      <c r="D1161" s="1" t="n">
        <v>45392</v>
      </c>
      <c r="E1161" s="1" t="n">
        <v>46316</v>
      </c>
      <c r="F1161" t="inlineStr">
        <is>
          <t>KRONOBERGS LÄN</t>
        </is>
      </c>
      <c r="G1161" t="inlineStr">
        <is>
          <t>VÄXJÖ</t>
        </is>
      </c>
      <c r="H1161" t="inlineStr">
        <is>
          <t>Sveaskog</t>
        </is>
      </c>
      <c r="I1161" t="n">
        <v>0.6</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5094-2024</t>
        </is>
      </c>
      <c r="B1162" t="inlineStr">
        <is>
          <t>avverkningsanmälan</t>
        </is>
      </c>
      <c r="C1162" t="inlineStr">
        <is>
          <t>Föryngringsavverkning</t>
        </is>
      </c>
      <c r="D1162" s="1" t="n">
        <v>45330</v>
      </c>
      <c r="E1162" s="1" t="n">
        <v>46316</v>
      </c>
      <c r="F1162" t="inlineStr">
        <is>
          <t>KRONOBERGS LÄN</t>
        </is>
      </c>
      <c r="G1162" t="inlineStr">
        <is>
          <t>VÄXJÖ</t>
        </is>
      </c>
      <c r="I1162" t="n">
        <v>2</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15203-2023</t>
        </is>
      </c>
      <c r="B1163" t="inlineStr">
        <is>
          <t>avverkningsanmälan</t>
        </is>
      </c>
      <c r="C1163" t="inlineStr">
        <is>
          <t>Avverkning för annat ändamål</t>
        </is>
      </c>
      <c r="D1163" s="1" t="n">
        <v>45017</v>
      </c>
      <c r="E1163" s="1" t="n">
        <v>46316</v>
      </c>
      <c r="F1163" t="inlineStr">
        <is>
          <t>KRONOBERGS LÄN</t>
        </is>
      </c>
      <c r="G1163" t="inlineStr">
        <is>
          <t>LESSEBO</t>
        </is>
      </c>
      <c r="H1163" t="inlineStr">
        <is>
          <t>Sveaskog</t>
        </is>
      </c>
      <c r="I1163" t="n">
        <v>0.2</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15204-2023</t>
        </is>
      </c>
      <c r="B1164" t="inlineStr">
        <is>
          <t>avverkningsanmälan</t>
        </is>
      </c>
      <c r="C1164" t="inlineStr">
        <is>
          <t>Avverkning för annat ändamål</t>
        </is>
      </c>
      <c r="D1164" s="1" t="n">
        <v>45017</v>
      </c>
      <c r="E1164" s="1" t="n">
        <v>46316</v>
      </c>
      <c r="F1164" t="inlineStr">
        <is>
          <t>KRONOBERGS LÄN</t>
        </is>
      </c>
      <c r="G1164" t="inlineStr">
        <is>
          <t>LESSEBO</t>
        </is>
      </c>
      <c r="H1164" t="inlineStr">
        <is>
          <t>Sveaskog</t>
        </is>
      </c>
      <c r="I1164" t="n">
        <v>0.3</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19265-2023</t>
        </is>
      </c>
      <c r="B1165" t="inlineStr">
        <is>
          <t>avverkningsanmälan</t>
        </is>
      </c>
      <c r="C1165" t="inlineStr">
        <is>
          <t>Föryngringsavverkning</t>
        </is>
      </c>
      <c r="D1165" s="1" t="n">
        <v>45049</v>
      </c>
      <c r="E1165" s="1" t="n">
        <v>46316</v>
      </c>
      <c r="F1165" t="inlineStr">
        <is>
          <t>KRONOBERGS LÄN</t>
        </is>
      </c>
      <c r="G1165" t="inlineStr">
        <is>
          <t>ÄLMHULT</t>
        </is>
      </c>
      <c r="I1165" t="n">
        <v>1.8</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7176-2024</t>
        </is>
      </c>
      <c r="B1166" t="inlineStr">
        <is>
          <t>avverkningsanmälan</t>
        </is>
      </c>
      <c r="C1166" t="inlineStr">
        <is>
          <t>Föryngringsavverkning</t>
        </is>
      </c>
      <c r="D1166" s="1" t="n">
        <v>45344</v>
      </c>
      <c r="E1166" s="1" t="n">
        <v>46316</v>
      </c>
      <c r="F1166" t="inlineStr">
        <is>
          <t>KRONOBERGS LÄN</t>
        </is>
      </c>
      <c r="G1166" t="inlineStr">
        <is>
          <t>TINGSRYD</t>
        </is>
      </c>
      <c r="I1166" t="n">
        <v>1.1</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45848-2023</t>
        </is>
      </c>
      <c r="B1167" t="inlineStr">
        <is>
          <t>avverkningsanmälan</t>
        </is>
      </c>
      <c r="C1167" t="inlineStr">
        <is>
          <t>Föryngringsavverkning</t>
        </is>
      </c>
      <c r="D1167" s="1" t="n">
        <v>45195</v>
      </c>
      <c r="E1167" s="1" t="n">
        <v>46316</v>
      </c>
      <c r="F1167" t="inlineStr">
        <is>
          <t>KRONOBERGS LÄN</t>
        </is>
      </c>
      <c r="G1167" t="inlineStr">
        <is>
          <t>MARKARYD</t>
        </is>
      </c>
      <c r="I1167" t="n">
        <v>4.5</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60364-2024</t>
        </is>
      </c>
      <c r="B1168" t="inlineStr">
        <is>
          <t>avverkningsanmälan</t>
        </is>
      </c>
      <c r="C1168" t="inlineStr">
        <is>
          <t>Föryngringsavverkning</t>
        </is>
      </c>
      <c r="D1168" s="1" t="n">
        <v>45643</v>
      </c>
      <c r="E1168" s="1" t="n">
        <v>46316</v>
      </c>
      <c r="F1168" t="inlineStr">
        <is>
          <t>KRONOBERGS LÄN</t>
        </is>
      </c>
      <c r="G1168" t="inlineStr">
        <is>
          <t>LJUNGBY</t>
        </is>
      </c>
      <c r="I1168" t="n">
        <v>0.9</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1423-2025</t>
        </is>
      </c>
      <c r="B1169" t="inlineStr">
        <is>
          <t>avverkningsanmälan</t>
        </is>
      </c>
      <c r="C1169" t="inlineStr">
        <is>
          <t>Föryngringsavverkning</t>
        </is>
      </c>
      <c r="D1169" s="1" t="n">
        <v>45668</v>
      </c>
      <c r="E1169" s="1" t="n">
        <v>46316</v>
      </c>
      <c r="F1169" t="inlineStr">
        <is>
          <t>KRONOBERGS LÄN</t>
        </is>
      </c>
      <c r="G1169" t="inlineStr">
        <is>
          <t>UPPVIDINGE</t>
        </is>
      </c>
      <c r="I1169" t="n">
        <v>1.4</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9353-2025</t>
        </is>
      </c>
      <c r="B1170" t="inlineStr">
        <is>
          <t>avverkningsanmälan</t>
        </is>
      </c>
      <c r="C1170" t="inlineStr">
        <is>
          <t>Föryngringsavverkning</t>
        </is>
      </c>
      <c r="D1170" s="1" t="n">
        <v>45714</v>
      </c>
      <c r="E1170" s="1" t="n">
        <v>46316</v>
      </c>
      <c r="F1170" t="inlineStr">
        <is>
          <t>KRONOBERGS LÄN</t>
        </is>
      </c>
      <c r="G1170" t="inlineStr">
        <is>
          <t>VÄXJÖ</t>
        </is>
      </c>
      <c r="I1170" t="n">
        <v>0.5</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20141-2024</t>
        </is>
      </c>
      <c r="B1171" t="inlineStr">
        <is>
          <t>avverkningsanmälan</t>
        </is>
      </c>
      <c r="C1171" t="inlineStr">
        <is>
          <t>Föryngringsavverkning</t>
        </is>
      </c>
      <c r="D1171" s="1" t="n">
        <v>45434</v>
      </c>
      <c r="E1171" s="1" t="n">
        <v>46316</v>
      </c>
      <c r="F1171" t="inlineStr">
        <is>
          <t>KRONOBERGS LÄN</t>
        </is>
      </c>
      <c r="G1171" t="inlineStr">
        <is>
          <t>MARKARYD</t>
        </is>
      </c>
      <c r="I1171" t="n">
        <v>0.7</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2914-2024</t>
        </is>
      </c>
      <c r="B1172" t="inlineStr">
        <is>
          <t>avverkningsanmälan</t>
        </is>
      </c>
      <c r="C1172" t="inlineStr">
        <is>
          <t>Föryngringsavverkning</t>
        </is>
      </c>
      <c r="D1172" s="1" t="n">
        <v>45315</v>
      </c>
      <c r="E1172" s="1" t="n">
        <v>46316</v>
      </c>
      <c r="F1172" t="inlineStr">
        <is>
          <t>KRONOBERGS LÄN</t>
        </is>
      </c>
      <c r="G1172" t="inlineStr">
        <is>
          <t>VÄXJÖ</t>
        </is>
      </c>
      <c r="I1172" t="n">
        <v>0.8</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6937-2025</t>
        </is>
      </c>
      <c r="B1173" t="inlineStr">
        <is>
          <t>avverkningsanmälan</t>
        </is>
      </c>
      <c r="C1173" t="inlineStr">
        <is>
          <t>Föryngringsavverkning</t>
        </is>
      </c>
      <c r="D1173" s="1" t="n">
        <v>45701</v>
      </c>
      <c r="E1173" s="1" t="n">
        <v>46316</v>
      </c>
      <c r="F1173" t="inlineStr">
        <is>
          <t>KRONOBERGS LÄN</t>
        </is>
      </c>
      <c r="G1173" t="inlineStr">
        <is>
          <t>TINGSRYD</t>
        </is>
      </c>
      <c r="I1173" t="n">
        <v>0.7</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40511-2022</t>
        </is>
      </c>
      <c r="B1174" t="inlineStr">
        <is>
          <t>avverkningsanmälan</t>
        </is>
      </c>
      <c r="C1174" t="inlineStr">
        <is>
          <t>Föryngringsavverkning</t>
        </is>
      </c>
      <c r="D1174" s="1" t="n">
        <v>44823</v>
      </c>
      <c r="E1174" s="1" t="n">
        <v>46316</v>
      </c>
      <c r="F1174" t="inlineStr">
        <is>
          <t>KRONOBERGS LÄN</t>
        </is>
      </c>
      <c r="G1174" t="inlineStr">
        <is>
          <t>LJUNGBY</t>
        </is>
      </c>
      <c r="I1174" t="n">
        <v>1</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15391-2023</t>
        </is>
      </c>
      <c r="B1175" t="inlineStr">
        <is>
          <t>avverkningsanmälan</t>
        </is>
      </c>
      <c r="C1175" t="inlineStr">
        <is>
          <t>Föryngringsavverkning</t>
        </is>
      </c>
      <c r="D1175" s="1" t="n">
        <v>45019</v>
      </c>
      <c r="E1175" s="1" t="n">
        <v>46316</v>
      </c>
      <c r="F1175" t="inlineStr">
        <is>
          <t>KRONOBERGS LÄN</t>
        </is>
      </c>
      <c r="G1175" t="inlineStr">
        <is>
          <t>TINGSRYD</t>
        </is>
      </c>
      <c r="I1175" t="n">
        <v>1.8</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32042-2024</t>
        </is>
      </c>
      <c r="B1176" t="inlineStr">
        <is>
          <t>avverkningsanmälan</t>
        </is>
      </c>
      <c r="C1176" t="inlineStr">
        <is>
          <t>Föryngringsavverkning</t>
        </is>
      </c>
      <c r="D1176" s="1" t="n">
        <v>45510</v>
      </c>
      <c r="E1176" s="1" t="n">
        <v>46316</v>
      </c>
      <c r="F1176" t="inlineStr">
        <is>
          <t>KRONOBERGS LÄN</t>
        </is>
      </c>
      <c r="G1176" t="inlineStr">
        <is>
          <t>LJUNGBY</t>
        </is>
      </c>
      <c r="I1176" t="n">
        <v>2</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56877-2024</t>
        </is>
      </c>
      <c r="B1177" t="inlineStr">
        <is>
          <t>avverkningsanmälan</t>
        </is>
      </c>
      <c r="C1177" t="inlineStr">
        <is>
          <t>Föryngringsavverkning</t>
        </is>
      </c>
      <c r="D1177" s="1" t="n">
        <v>45628</v>
      </c>
      <c r="E1177" s="1" t="n">
        <v>46316</v>
      </c>
      <c r="F1177" t="inlineStr">
        <is>
          <t>KRONOBERGS LÄN</t>
        </is>
      </c>
      <c r="G1177" t="inlineStr">
        <is>
          <t>LJUNGBY</t>
        </is>
      </c>
      <c r="I1177" t="n">
        <v>1</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24090-2024</t>
        </is>
      </c>
      <c r="B1178" t="inlineStr">
        <is>
          <t>avverkningsanmälan</t>
        </is>
      </c>
      <c r="C1178" t="inlineStr">
        <is>
          <t>Föryngringsavverkning</t>
        </is>
      </c>
      <c r="D1178" s="1" t="n">
        <v>45456</v>
      </c>
      <c r="E1178" s="1" t="n">
        <v>46316</v>
      </c>
      <c r="F1178" t="inlineStr">
        <is>
          <t>KRONOBERGS LÄN</t>
        </is>
      </c>
      <c r="G1178" t="inlineStr">
        <is>
          <t>ALVESTA</t>
        </is>
      </c>
      <c r="I1178" t="n">
        <v>1.6</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33840-2023</t>
        </is>
      </c>
      <c r="B1179" t="inlineStr">
        <is>
          <t>avverkningsanmälan</t>
        </is>
      </c>
      <c r="C1179" t="inlineStr">
        <is>
          <t>Föryngringsavverkning</t>
        </is>
      </c>
      <c r="D1179" s="1" t="n">
        <v>45133</v>
      </c>
      <c r="E1179" s="1" t="n">
        <v>46316</v>
      </c>
      <c r="F1179" t="inlineStr">
        <is>
          <t>KRONOBERGS LÄN</t>
        </is>
      </c>
      <c r="G1179" t="inlineStr">
        <is>
          <t>ÄLMHULT</t>
        </is>
      </c>
      <c r="I1179" t="n">
        <v>0.7</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9933-2024</t>
        </is>
      </c>
      <c r="B1180" t="inlineStr">
        <is>
          <t>avverkningsanmälan</t>
        </is>
      </c>
      <c r="C1180" t="inlineStr">
        <is>
          <t>Föryngringsavverkning</t>
        </is>
      </c>
      <c r="D1180" s="1" t="n">
        <v>45363</v>
      </c>
      <c r="E1180" s="1" t="n">
        <v>46316</v>
      </c>
      <c r="F1180" t="inlineStr">
        <is>
          <t>KRONOBERGS LÄN</t>
        </is>
      </c>
      <c r="G1180" t="inlineStr">
        <is>
          <t>ALVESTA</t>
        </is>
      </c>
      <c r="I1180" t="n">
        <v>2.2</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3545-2024</t>
        </is>
      </c>
      <c r="B1181" t="inlineStr">
        <is>
          <t>avverkningsanmälan</t>
        </is>
      </c>
      <c r="C1181" t="inlineStr">
        <is>
          <t>Föryngringsavverkning</t>
        </is>
      </c>
      <c r="D1181" s="1" t="n">
        <v>45320</v>
      </c>
      <c r="E1181" s="1" t="n">
        <v>46316</v>
      </c>
      <c r="F1181" t="inlineStr">
        <is>
          <t>KRONOBERGS LÄN</t>
        </is>
      </c>
      <c r="G1181" t="inlineStr">
        <is>
          <t>UPPVIDINGE</t>
        </is>
      </c>
      <c r="I1181" t="n">
        <v>2.1</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9353-2024</t>
        </is>
      </c>
      <c r="B1182" t="inlineStr">
        <is>
          <t>avverkningsanmälan</t>
        </is>
      </c>
      <c r="C1182" t="inlineStr">
        <is>
          <t>Föryngringsavverkning</t>
        </is>
      </c>
      <c r="D1182" s="1" t="n">
        <v>45359</v>
      </c>
      <c r="E1182" s="1" t="n">
        <v>46316</v>
      </c>
      <c r="F1182" t="inlineStr">
        <is>
          <t>KRONOBERGS LÄN</t>
        </is>
      </c>
      <c r="G1182" t="inlineStr">
        <is>
          <t>ÄLMHULT</t>
        </is>
      </c>
      <c r="I1182" t="n">
        <v>0.7</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9358-2024</t>
        </is>
      </c>
      <c r="B1183" t="inlineStr">
        <is>
          <t>avverkningsanmälan</t>
        </is>
      </c>
      <c r="C1183" t="inlineStr">
        <is>
          <t>Föryngringsavverkning</t>
        </is>
      </c>
      <c r="D1183" s="1" t="n">
        <v>45359</v>
      </c>
      <c r="E1183" s="1" t="n">
        <v>46316</v>
      </c>
      <c r="F1183" t="inlineStr">
        <is>
          <t>KRONOBERGS LÄN</t>
        </is>
      </c>
      <c r="G1183" t="inlineStr">
        <is>
          <t>VÄXJÖ</t>
        </is>
      </c>
      <c r="I1183" t="n">
        <v>0.9</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9452-2024</t>
        </is>
      </c>
      <c r="B1184" t="inlineStr">
        <is>
          <t>avverkningsanmälan</t>
        </is>
      </c>
      <c r="C1184" t="inlineStr">
        <is>
          <t>Föryngringsavverkning</t>
        </is>
      </c>
      <c r="D1184" s="1" t="n">
        <v>45359</v>
      </c>
      <c r="E1184" s="1" t="n">
        <v>46316</v>
      </c>
      <c r="F1184" t="inlineStr">
        <is>
          <t>KRONOBERGS LÄN</t>
        </is>
      </c>
      <c r="G1184" t="inlineStr">
        <is>
          <t>TINGSRYD</t>
        </is>
      </c>
      <c r="I1184" t="n">
        <v>1.5</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19790-2025</t>
        </is>
      </c>
      <c r="B1185" t="inlineStr">
        <is>
          <t>avverkningsanmälan</t>
        </is>
      </c>
      <c r="C1185" t="inlineStr">
        <is>
          <t>Föryngringsavverkning</t>
        </is>
      </c>
      <c r="D1185" s="1" t="n">
        <v>45771</v>
      </c>
      <c r="E1185" s="1" t="n">
        <v>46316</v>
      </c>
      <c r="F1185" t="inlineStr">
        <is>
          <t>KRONOBERGS LÄN</t>
        </is>
      </c>
      <c r="G1185" t="inlineStr">
        <is>
          <t>ALVESTA</t>
        </is>
      </c>
      <c r="I1185" t="n">
        <v>3.4</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7981-2024</t>
        </is>
      </c>
      <c r="B1186" t="inlineStr">
        <is>
          <t>avverkningsanmälan</t>
        </is>
      </c>
      <c r="C1186" t="inlineStr">
        <is>
          <t>Föryngringsavverkning</t>
        </is>
      </c>
      <c r="D1186" s="1" t="n">
        <v>45348</v>
      </c>
      <c r="E1186" s="1" t="n">
        <v>46316</v>
      </c>
      <c r="F1186" t="inlineStr">
        <is>
          <t>KRONOBERGS LÄN</t>
        </is>
      </c>
      <c r="G1186" t="inlineStr">
        <is>
          <t>UPPVIDINGE</t>
        </is>
      </c>
      <c r="I1186" t="n">
        <v>0.5</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9165-2025</t>
        </is>
      </c>
      <c r="B1187" t="inlineStr">
        <is>
          <t>avverkningsanmälan</t>
        </is>
      </c>
      <c r="C1187" t="inlineStr">
        <is>
          <t>Föryngringsavverkning</t>
        </is>
      </c>
      <c r="D1187" s="1" t="n">
        <v>45714</v>
      </c>
      <c r="E1187" s="1" t="n">
        <v>46316</v>
      </c>
      <c r="F1187" t="inlineStr">
        <is>
          <t>KRONOBERGS LÄN</t>
        </is>
      </c>
      <c r="G1187" t="inlineStr">
        <is>
          <t>UPPVIDINGE</t>
        </is>
      </c>
      <c r="I1187" t="n">
        <v>1.5</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40506-2024</t>
        </is>
      </c>
      <c r="B1188" t="inlineStr">
        <is>
          <t>avverkningsanmälan</t>
        </is>
      </c>
      <c r="C1188" t="inlineStr">
        <is>
          <t>Föryngringsavverkning</t>
        </is>
      </c>
      <c r="D1188" s="1" t="n">
        <v>45555</v>
      </c>
      <c r="E1188" s="1" t="n">
        <v>46316</v>
      </c>
      <c r="F1188" t="inlineStr">
        <is>
          <t>KRONOBERGS LÄN</t>
        </is>
      </c>
      <c r="G1188" t="inlineStr">
        <is>
          <t>VÄXJÖ</t>
        </is>
      </c>
      <c r="I1188" t="n">
        <v>1</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27114-2024</t>
        </is>
      </c>
      <c r="B1189" t="inlineStr">
        <is>
          <t>avverkningsanmälan</t>
        </is>
      </c>
      <c r="C1189" t="inlineStr">
        <is>
          <t>Föryngringsavverkning</t>
        </is>
      </c>
      <c r="D1189" s="1" t="n">
        <v>45471</v>
      </c>
      <c r="E1189" s="1" t="n">
        <v>46316</v>
      </c>
      <c r="F1189" t="inlineStr">
        <is>
          <t>KRONOBERGS LÄN</t>
        </is>
      </c>
      <c r="G1189" t="inlineStr">
        <is>
          <t>UPPVIDINGE</t>
        </is>
      </c>
      <c r="I1189" t="n">
        <v>1.4</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13680-2025</t>
        </is>
      </c>
      <c r="B1190" t="inlineStr">
        <is>
          <t>avverkningsanmälan</t>
        </is>
      </c>
      <c r="C1190" t="inlineStr">
        <is>
          <t>Föryngringsavverkning</t>
        </is>
      </c>
      <c r="D1190" s="1" t="n">
        <v>45737</v>
      </c>
      <c r="E1190" s="1" t="n">
        <v>46316</v>
      </c>
      <c r="F1190" t="inlineStr">
        <is>
          <t>KRONOBERGS LÄN</t>
        </is>
      </c>
      <c r="G1190" t="inlineStr">
        <is>
          <t>ÄLMHULT</t>
        </is>
      </c>
      <c r="I1190" t="n">
        <v>2.8</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39994-2024</t>
        </is>
      </c>
      <c r="B1191" t="inlineStr">
        <is>
          <t>avverkningsanmälan</t>
        </is>
      </c>
      <c r="C1191" t="inlineStr">
        <is>
          <t>Föryngringsavverkning</t>
        </is>
      </c>
      <c r="D1191" s="1" t="n">
        <v>45553</v>
      </c>
      <c r="E1191" s="1" t="n">
        <v>46316</v>
      </c>
      <c r="F1191" t="inlineStr">
        <is>
          <t>KRONOBERGS LÄN</t>
        </is>
      </c>
      <c r="G1191" t="inlineStr">
        <is>
          <t>TINGSRYD</t>
        </is>
      </c>
      <c r="I1191" t="n">
        <v>5.3</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9901-2025</t>
        </is>
      </c>
      <c r="B1192" t="inlineStr">
        <is>
          <t>avverkningsanmälan</t>
        </is>
      </c>
      <c r="C1192" t="inlineStr">
        <is>
          <t>Föryngringsavverkning</t>
        </is>
      </c>
      <c r="D1192" s="1" t="n">
        <v>45716</v>
      </c>
      <c r="E1192" s="1" t="n">
        <v>46316</v>
      </c>
      <c r="F1192" t="inlineStr">
        <is>
          <t>KRONOBERGS LÄN</t>
        </is>
      </c>
      <c r="G1192" t="inlineStr">
        <is>
          <t>VÄXJÖ</t>
        </is>
      </c>
      <c r="I1192" t="n">
        <v>2.2</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61563-2025</t>
        </is>
      </c>
      <c r="B1193" t="inlineStr">
        <is>
          <t>avverkningsanmälan</t>
        </is>
      </c>
      <c r="C1193" t="inlineStr">
        <is>
          <t>Föryngringsavverkning</t>
        </is>
      </c>
      <c r="D1193" s="1" t="n">
        <v>46001</v>
      </c>
      <c r="E1193" s="1" t="n">
        <v>46316</v>
      </c>
      <c r="F1193" t="inlineStr">
        <is>
          <t>KRONOBERGS LÄN</t>
        </is>
      </c>
      <c r="G1193" t="inlineStr">
        <is>
          <t>VÄXJÖ</t>
        </is>
      </c>
      <c r="I1193" t="n">
        <v>3.6</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51662-2023</t>
        </is>
      </c>
      <c r="B1194" t="inlineStr">
        <is>
          <t>avverkningsanmälan</t>
        </is>
      </c>
      <c r="C1194" t="inlineStr">
        <is>
          <t>Föryngringsavverkning</t>
        </is>
      </c>
      <c r="D1194" s="1" t="n">
        <v>45222</v>
      </c>
      <c r="E1194" s="1" t="n">
        <v>46316</v>
      </c>
      <c r="F1194" t="inlineStr">
        <is>
          <t>KRONOBERGS LÄN</t>
        </is>
      </c>
      <c r="G1194" t="inlineStr">
        <is>
          <t>VÄXJÖ</t>
        </is>
      </c>
      <c r="I1194" t="n">
        <v>0.8</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23203-2025</t>
        </is>
      </c>
      <c r="B1195" t="inlineStr">
        <is>
          <t>avverkningsanmälan</t>
        </is>
      </c>
      <c r="C1195" t="inlineStr">
        <is>
          <t>Föryngringsavverkning</t>
        </is>
      </c>
      <c r="D1195" s="1" t="n">
        <v>45791</v>
      </c>
      <c r="E1195" s="1" t="n">
        <v>46316</v>
      </c>
      <c r="F1195" t="inlineStr">
        <is>
          <t>KRONOBERGS LÄN</t>
        </is>
      </c>
      <c r="G1195" t="inlineStr">
        <is>
          <t>VÄXJÖ</t>
        </is>
      </c>
      <c r="I1195" t="n">
        <v>0.4</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7464-2025</t>
        </is>
      </c>
      <c r="B1196" t="inlineStr">
        <is>
          <t>avverkningsanmälan</t>
        </is>
      </c>
      <c r="C1196" t="inlineStr">
        <is>
          <t>Föryngringsavverkning</t>
        </is>
      </c>
      <c r="D1196" s="1" t="n">
        <v>45705</v>
      </c>
      <c r="E1196" s="1" t="n">
        <v>46316</v>
      </c>
      <c r="F1196" t="inlineStr">
        <is>
          <t>KRONOBERGS LÄN</t>
        </is>
      </c>
      <c r="G1196" t="inlineStr">
        <is>
          <t>ALVESTA</t>
        </is>
      </c>
      <c r="I1196" t="n">
        <v>1.8</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8655-2025</t>
        </is>
      </c>
      <c r="B1197" t="inlineStr">
        <is>
          <t>avverkningsanmälan</t>
        </is>
      </c>
      <c r="C1197" t="inlineStr">
        <is>
          <t>Föryngringsavverkning</t>
        </is>
      </c>
      <c r="D1197" s="1" t="n">
        <v>45710</v>
      </c>
      <c r="E1197" s="1" t="n">
        <v>46316</v>
      </c>
      <c r="F1197" t="inlineStr">
        <is>
          <t>KRONOBERGS LÄN</t>
        </is>
      </c>
      <c r="G1197" t="inlineStr">
        <is>
          <t>LESSEBO</t>
        </is>
      </c>
      <c r="I1197" t="n">
        <v>2.1</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29103-2023</t>
        </is>
      </c>
      <c r="B1198" t="inlineStr">
        <is>
          <t>avverkningsanmälan</t>
        </is>
      </c>
      <c r="C1198" t="inlineStr">
        <is>
          <t>Föryngringsavverkning</t>
        </is>
      </c>
      <c r="D1198" s="1" t="n">
        <v>45105</v>
      </c>
      <c r="E1198" s="1" t="n">
        <v>46316</v>
      </c>
      <c r="F1198" t="inlineStr">
        <is>
          <t>KRONOBERGS LÄN</t>
        </is>
      </c>
      <c r="G1198" t="inlineStr">
        <is>
          <t>VÄXJÖ</t>
        </is>
      </c>
      <c r="I1198" t="n">
        <v>3.3</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61711-2025</t>
        </is>
      </c>
      <c r="B1199" t="inlineStr">
        <is>
          <t>avverkningsanmälan</t>
        </is>
      </c>
      <c r="C1199" t="inlineStr">
        <is>
          <t>Föryngringsavverkning</t>
        </is>
      </c>
      <c r="D1199" s="1" t="n">
        <v>46002</v>
      </c>
      <c r="E1199" s="1" t="n">
        <v>46316</v>
      </c>
      <c r="F1199" t="inlineStr">
        <is>
          <t>KRONOBERGS LÄN</t>
        </is>
      </c>
      <c r="G1199" t="inlineStr">
        <is>
          <t>UPPVIDINGE</t>
        </is>
      </c>
      <c r="H1199" t="inlineStr">
        <is>
          <t>Sveaskog</t>
        </is>
      </c>
      <c r="I1199" t="n">
        <v>0.5</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25904-2025</t>
        </is>
      </c>
      <c r="B1200" t="inlineStr">
        <is>
          <t>avverkningsanmälan</t>
        </is>
      </c>
      <c r="C1200" t="inlineStr">
        <is>
          <t>Föryngringsavverkning</t>
        </is>
      </c>
      <c r="D1200" s="1" t="n">
        <v>45804</v>
      </c>
      <c r="E1200" s="1" t="n">
        <v>46316</v>
      </c>
      <c r="F1200" t="inlineStr">
        <is>
          <t>KRONOBERGS LÄN</t>
        </is>
      </c>
      <c r="G1200" t="inlineStr">
        <is>
          <t>ALVESTA</t>
        </is>
      </c>
      <c r="I1200" t="n">
        <v>0.8</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17909-2025</t>
        </is>
      </c>
      <c r="B1201" t="inlineStr">
        <is>
          <t>avverkningsanmälan</t>
        </is>
      </c>
      <c r="C1201" t="inlineStr">
        <is>
          <t>Föryngringsavverkning</t>
        </is>
      </c>
      <c r="D1201" s="1" t="n">
        <v>45758</v>
      </c>
      <c r="E1201" s="1" t="n">
        <v>46316</v>
      </c>
      <c r="F1201" t="inlineStr">
        <is>
          <t>KRONOBERGS LÄN</t>
        </is>
      </c>
      <c r="G1201" t="inlineStr">
        <is>
          <t>LJUNGBY</t>
        </is>
      </c>
      <c r="I1201" t="n">
        <v>0.7</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16756-2025</t>
        </is>
      </c>
      <c r="B1202" t="inlineStr">
        <is>
          <t>avverkningsanmälan</t>
        </is>
      </c>
      <c r="C1202" t="inlineStr">
        <is>
          <t>Föryngringsavverkning</t>
        </is>
      </c>
      <c r="D1202" s="1" t="n">
        <v>45754</v>
      </c>
      <c r="E1202" s="1" t="n">
        <v>46316</v>
      </c>
      <c r="F1202" t="inlineStr">
        <is>
          <t>KRONOBERGS LÄN</t>
        </is>
      </c>
      <c r="G1202" t="inlineStr">
        <is>
          <t>VÄXJÖ</t>
        </is>
      </c>
      <c r="I1202" t="n">
        <v>1.5</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37130-2023</t>
        </is>
      </c>
      <c r="B1203" t="inlineStr">
        <is>
          <t>avverkningsanmälan</t>
        </is>
      </c>
      <c r="C1203" t="inlineStr">
        <is>
          <t>Föryngringsavverkning</t>
        </is>
      </c>
      <c r="D1203" s="1" t="n">
        <v>45155</v>
      </c>
      <c r="E1203" s="1" t="n">
        <v>46316</v>
      </c>
      <c r="F1203" t="inlineStr">
        <is>
          <t>KRONOBERGS LÄN</t>
        </is>
      </c>
      <c r="G1203" t="inlineStr">
        <is>
          <t>TINGSRYD</t>
        </is>
      </c>
      <c r="I1203" t="n">
        <v>1.1</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37170-2024</t>
        </is>
      </c>
      <c r="B1204" t="inlineStr">
        <is>
          <t>avverkningsanmälan</t>
        </is>
      </c>
      <c r="C1204" t="inlineStr">
        <is>
          <t>Föryngringsavverkning</t>
        </is>
      </c>
      <c r="D1204" s="1" t="n">
        <v>45539</v>
      </c>
      <c r="E1204" s="1" t="n">
        <v>46316</v>
      </c>
      <c r="F1204" t="inlineStr">
        <is>
          <t>KRONOBERGS LÄN</t>
        </is>
      </c>
      <c r="G1204" t="inlineStr">
        <is>
          <t>MARKARYD</t>
        </is>
      </c>
      <c r="H1204" t="inlineStr">
        <is>
          <t>Kyrkan</t>
        </is>
      </c>
      <c r="I1204" t="n">
        <v>10.3</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55517-2024</t>
        </is>
      </c>
      <c r="B1205" t="inlineStr">
        <is>
          <t>avverkningsanmälan</t>
        </is>
      </c>
      <c r="C1205" t="inlineStr">
        <is>
          <t>Föryngringsavverkning</t>
        </is>
      </c>
      <c r="D1205" s="1" t="n">
        <v>45622</v>
      </c>
      <c r="E1205" s="1" t="n">
        <v>46316</v>
      </c>
      <c r="F1205" t="inlineStr">
        <is>
          <t>KRONOBERGS LÄN</t>
        </is>
      </c>
      <c r="G1205" t="inlineStr">
        <is>
          <t>VÄXJÖ</t>
        </is>
      </c>
      <c r="I1205" t="n">
        <v>0.6</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65106-2023</t>
        </is>
      </c>
      <c r="B1206" t="inlineStr">
        <is>
          <t>avverkningsanmälan</t>
        </is>
      </c>
      <c r="C1206" t="inlineStr">
        <is>
          <t>Föryngringsavverkning</t>
        </is>
      </c>
      <c r="D1206" s="1" t="n">
        <v>45288</v>
      </c>
      <c r="E1206" s="1" t="n">
        <v>46316</v>
      </c>
      <c r="F1206" t="inlineStr">
        <is>
          <t>KRONOBERGS LÄN</t>
        </is>
      </c>
      <c r="G1206" t="inlineStr">
        <is>
          <t>VÄXJÖ</t>
        </is>
      </c>
      <c r="I1206" t="n">
        <v>5.1</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53240-2023</t>
        </is>
      </c>
      <c r="B1207" t="inlineStr">
        <is>
          <t>avverkningsanmälan</t>
        </is>
      </c>
      <c r="C1207" t="inlineStr">
        <is>
          <t>Föryngringsavverkning</t>
        </is>
      </c>
      <c r="D1207" s="1" t="n">
        <v>45229</v>
      </c>
      <c r="E1207" s="1" t="n">
        <v>46316</v>
      </c>
      <c r="F1207" t="inlineStr">
        <is>
          <t>KRONOBERGS LÄN</t>
        </is>
      </c>
      <c r="G1207" t="inlineStr">
        <is>
          <t>VÄXJÖ</t>
        </is>
      </c>
      <c r="I1207" t="n">
        <v>1.3</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11781-2022</t>
        </is>
      </c>
      <c r="B1208" t="inlineStr">
        <is>
          <t>avverkningsanmälan</t>
        </is>
      </c>
      <c r="C1208" t="inlineStr">
        <is>
          <t>Föryngringsavverkning</t>
        </is>
      </c>
      <c r="D1208" s="1" t="n">
        <v>44634</v>
      </c>
      <c r="E1208" s="1" t="n">
        <v>46316</v>
      </c>
      <c r="F1208" t="inlineStr">
        <is>
          <t>KRONOBERGS LÄN</t>
        </is>
      </c>
      <c r="G1208" t="inlineStr">
        <is>
          <t>LJUNGBY</t>
        </is>
      </c>
      <c r="I1208" t="n">
        <v>2</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33215-2024</t>
        </is>
      </c>
      <c r="B1209" t="inlineStr">
        <is>
          <t>avverkningsanmälan</t>
        </is>
      </c>
      <c r="C1209" t="inlineStr">
        <is>
          <t>Föryngringsavverkning</t>
        </is>
      </c>
      <c r="D1209" s="1" t="n">
        <v>45518</v>
      </c>
      <c r="E1209" s="1" t="n">
        <v>46316</v>
      </c>
      <c r="F1209" t="inlineStr">
        <is>
          <t>KRONOBERGS LÄN</t>
        </is>
      </c>
      <c r="G1209" t="inlineStr">
        <is>
          <t>ALVESTA</t>
        </is>
      </c>
      <c r="I1209" t="n">
        <v>0.5</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61638-2025</t>
        </is>
      </c>
      <c r="B1210" t="inlineStr">
        <is>
          <t>avverkningsanmälan</t>
        </is>
      </c>
      <c r="C1210" t="inlineStr">
        <is>
          <t>Föryngringsavverkning</t>
        </is>
      </c>
      <c r="D1210" s="1" t="n">
        <v>46002</v>
      </c>
      <c r="E1210" s="1" t="n">
        <v>46316</v>
      </c>
      <c r="F1210" t="inlineStr">
        <is>
          <t>KRONOBERGS LÄN</t>
        </is>
      </c>
      <c r="G1210" t="inlineStr">
        <is>
          <t>LESSEBO</t>
        </is>
      </c>
      <c r="I1210" t="n">
        <v>6.2</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58299-2024</t>
        </is>
      </c>
      <c r="B1211" t="inlineStr">
        <is>
          <t>avverkningsanmälan</t>
        </is>
      </c>
      <c r="C1211" t="inlineStr">
        <is>
          <t>Föryngringsavverkning</t>
        </is>
      </c>
      <c r="D1211" s="1" t="n">
        <v>45632</v>
      </c>
      <c r="E1211" s="1" t="n">
        <v>46316</v>
      </c>
      <c r="F1211" t="inlineStr">
        <is>
          <t>KRONOBERGS LÄN</t>
        </is>
      </c>
      <c r="G1211" t="inlineStr">
        <is>
          <t>ALVESTA</t>
        </is>
      </c>
      <c r="I1211" t="n">
        <v>0.6</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45741-2024</t>
        </is>
      </c>
      <c r="B1212" t="inlineStr">
        <is>
          <t>avverkningsanmälan</t>
        </is>
      </c>
      <c r="C1212" t="inlineStr">
        <is>
          <t>Föryngringsavverkning</t>
        </is>
      </c>
      <c r="D1212" s="1" t="n">
        <v>45579</v>
      </c>
      <c r="E1212" s="1" t="n">
        <v>46316</v>
      </c>
      <c r="F1212" t="inlineStr">
        <is>
          <t>KRONOBERGS LÄN</t>
        </is>
      </c>
      <c r="G1212" t="inlineStr">
        <is>
          <t>VÄXJÖ</t>
        </is>
      </c>
      <c r="I1212" t="n">
        <v>0.7</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63846-2023</t>
        </is>
      </c>
      <c r="B1213" t="inlineStr">
        <is>
          <t>avverkningsanmälan</t>
        </is>
      </c>
      <c r="C1213" t="inlineStr">
        <is>
          <t>Föryngringsavverkning</t>
        </is>
      </c>
      <c r="D1213" s="1" t="n">
        <v>45278</v>
      </c>
      <c r="E1213" s="1" t="n">
        <v>46316</v>
      </c>
      <c r="F1213" t="inlineStr">
        <is>
          <t>KRONOBERGS LÄN</t>
        </is>
      </c>
      <c r="G1213" t="inlineStr">
        <is>
          <t>VÄXJÖ</t>
        </is>
      </c>
      <c r="I1213" t="n">
        <v>5.6</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42315-2023</t>
        </is>
      </c>
      <c r="B1214" t="inlineStr">
        <is>
          <t>avverkningsanmälan</t>
        </is>
      </c>
      <c r="C1214" t="inlineStr">
        <is>
          <t>Föryngringsavverkning</t>
        </is>
      </c>
      <c r="D1214" s="1" t="n">
        <v>45180</v>
      </c>
      <c r="E1214" s="1" t="n">
        <v>46316</v>
      </c>
      <c r="F1214" t="inlineStr">
        <is>
          <t>KRONOBERGS LÄN</t>
        </is>
      </c>
      <c r="G1214" t="inlineStr">
        <is>
          <t>TINGSRYD</t>
        </is>
      </c>
      <c r="I1214" t="n">
        <v>3.8</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40621-2024</t>
        </is>
      </c>
      <c r="B1215" t="inlineStr">
        <is>
          <t>avverkningsanmälan</t>
        </is>
      </c>
      <c r="C1215" t="inlineStr">
        <is>
          <t>Föryngringsavverkning</t>
        </is>
      </c>
      <c r="D1215" s="1" t="n">
        <v>45557</v>
      </c>
      <c r="E1215" s="1" t="n">
        <v>46316</v>
      </c>
      <c r="F1215" t="inlineStr">
        <is>
          <t>KRONOBERGS LÄN</t>
        </is>
      </c>
      <c r="G1215" t="inlineStr">
        <is>
          <t>VÄXJÖ</t>
        </is>
      </c>
      <c r="I1215" t="n">
        <v>1.4</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29579-2022</t>
        </is>
      </c>
      <c r="B1216" t="inlineStr">
        <is>
          <t>avverkningsanmälan</t>
        </is>
      </c>
      <c r="C1216" t="inlineStr">
        <is>
          <t>Föryngringsavverkning</t>
        </is>
      </c>
      <c r="D1216" s="1" t="n">
        <v>44754</v>
      </c>
      <c r="E1216" s="1" t="n">
        <v>46316</v>
      </c>
      <c r="F1216" t="inlineStr">
        <is>
          <t>KRONOBERGS LÄN</t>
        </is>
      </c>
      <c r="G1216" t="inlineStr">
        <is>
          <t>ALVESTA</t>
        </is>
      </c>
      <c r="I1216" t="n">
        <v>1.7</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23006-2025</t>
        </is>
      </c>
      <c r="B1217" t="inlineStr">
        <is>
          <t>avverkningsanmälan</t>
        </is>
      </c>
      <c r="C1217" t="inlineStr">
        <is>
          <t>Föryngringsavverkning</t>
        </is>
      </c>
      <c r="D1217" s="1" t="n">
        <v>45790</v>
      </c>
      <c r="E1217" s="1" t="n">
        <v>46316</v>
      </c>
      <c r="F1217" t="inlineStr">
        <is>
          <t>KRONOBERGS LÄN</t>
        </is>
      </c>
      <c r="G1217" t="inlineStr">
        <is>
          <t>ALVESTA</t>
        </is>
      </c>
      <c r="I1217" t="n">
        <v>1.1</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61641-2025</t>
        </is>
      </c>
      <c r="B1218" t="inlineStr">
        <is>
          <t>avverkningsanmälan</t>
        </is>
      </c>
      <c r="C1218" t="inlineStr">
        <is>
          <t>Föryngringsavverkning</t>
        </is>
      </c>
      <c r="D1218" s="1" t="n">
        <v>46002</v>
      </c>
      <c r="E1218" s="1" t="n">
        <v>46316</v>
      </c>
      <c r="F1218" t="inlineStr">
        <is>
          <t>KRONOBERGS LÄN</t>
        </is>
      </c>
      <c r="G1218" t="inlineStr">
        <is>
          <t>LESSEBO</t>
        </is>
      </c>
      <c r="H1218" t="inlineStr">
        <is>
          <t>Sveaskog</t>
        </is>
      </c>
      <c r="I1218" t="n">
        <v>1.9</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23398-2025</t>
        </is>
      </c>
      <c r="B1219" t="inlineStr">
        <is>
          <t>avverkningsanmälan</t>
        </is>
      </c>
      <c r="C1219" t="inlineStr">
        <is>
          <t>Föryngringsavverkning</t>
        </is>
      </c>
      <c r="D1219" s="1" t="n">
        <v>45792</v>
      </c>
      <c r="E1219" s="1" t="n">
        <v>46316</v>
      </c>
      <c r="F1219" t="inlineStr">
        <is>
          <t>KRONOBERGS LÄN</t>
        </is>
      </c>
      <c r="G1219" t="inlineStr">
        <is>
          <t>LJUNGBY</t>
        </is>
      </c>
      <c r="I1219" t="n">
        <v>0.4</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23808-2025</t>
        </is>
      </c>
      <c r="B1220" t="inlineStr">
        <is>
          <t>avverkningsanmälan</t>
        </is>
      </c>
      <c r="C1220" t="inlineStr">
        <is>
          <t>Föryngringsavverkning</t>
        </is>
      </c>
      <c r="D1220" s="1" t="n">
        <v>45793</v>
      </c>
      <c r="E1220" s="1" t="n">
        <v>46316</v>
      </c>
      <c r="F1220" t="inlineStr">
        <is>
          <t>KRONOBERGS LÄN</t>
        </is>
      </c>
      <c r="G1220" t="inlineStr">
        <is>
          <t>LJUNGBY</t>
        </is>
      </c>
      <c r="I1220" t="n">
        <v>5.9</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23823-2025</t>
        </is>
      </c>
      <c r="B1221" t="inlineStr">
        <is>
          <t>avverkningsanmälan</t>
        </is>
      </c>
      <c r="C1221" t="inlineStr">
        <is>
          <t>Föryngringsavverkning</t>
        </is>
      </c>
      <c r="D1221" s="1" t="n">
        <v>45793</v>
      </c>
      <c r="E1221" s="1" t="n">
        <v>46316</v>
      </c>
      <c r="F1221" t="inlineStr">
        <is>
          <t>KRONOBERGS LÄN</t>
        </is>
      </c>
      <c r="G1221" t="inlineStr">
        <is>
          <t>TINGSRYD</t>
        </is>
      </c>
      <c r="I1221" t="n">
        <v>1.2</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23830-2025</t>
        </is>
      </c>
      <c r="B1222" t="inlineStr">
        <is>
          <t>avverkningsanmälan</t>
        </is>
      </c>
      <c r="C1222" t="inlineStr">
        <is>
          <t>Föryngringsavverkning</t>
        </is>
      </c>
      <c r="D1222" s="1" t="n">
        <v>45793</v>
      </c>
      <c r="E1222" s="1" t="n">
        <v>46316</v>
      </c>
      <c r="F1222" t="inlineStr">
        <is>
          <t>KRONOBERGS LÄN</t>
        </is>
      </c>
      <c r="G1222" t="inlineStr">
        <is>
          <t>TINGSRYD</t>
        </is>
      </c>
      <c r="I1222" t="n">
        <v>0.6</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17255-2024</t>
        </is>
      </c>
      <c r="B1223" t="inlineStr">
        <is>
          <t>avverkningsanmälan</t>
        </is>
      </c>
      <c r="C1223" t="inlineStr">
        <is>
          <t>Föryngringsavverkning</t>
        </is>
      </c>
      <c r="D1223" s="1" t="n">
        <v>45414</v>
      </c>
      <c r="E1223" s="1" t="n">
        <v>46316</v>
      </c>
      <c r="F1223" t="inlineStr">
        <is>
          <t>KRONOBERGS LÄN</t>
        </is>
      </c>
      <c r="G1223" t="inlineStr">
        <is>
          <t>MARKARYD</t>
        </is>
      </c>
      <c r="I1223" t="n">
        <v>1.3</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61710-2025</t>
        </is>
      </c>
      <c r="B1224" t="inlineStr">
        <is>
          <t>avverkningsanmälan</t>
        </is>
      </c>
      <c r="C1224" t="inlineStr">
        <is>
          <t>Föryngringsavverkning</t>
        </is>
      </c>
      <c r="D1224" s="1" t="n">
        <v>46002</v>
      </c>
      <c r="E1224" s="1" t="n">
        <v>46316</v>
      </c>
      <c r="F1224" t="inlineStr">
        <is>
          <t>KRONOBERGS LÄN</t>
        </is>
      </c>
      <c r="G1224" t="inlineStr">
        <is>
          <t>UPPVIDINGE</t>
        </is>
      </c>
      <c r="H1224" t="inlineStr">
        <is>
          <t>Sveaskog</t>
        </is>
      </c>
      <c r="I1224" t="n">
        <v>1.5</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23436-2025</t>
        </is>
      </c>
      <c r="B1225" t="inlineStr">
        <is>
          <t>avverkningsanmälan</t>
        </is>
      </c>
      <c r="C1225" t="inlineStr">
        <is>
          <t>Föryngringsavverkning</t>
        </is>
      </c>
      <c r="D1225" s="1" t="n">
        <v>45792</v>
      </c>
      <c r="E1225" s="1" t="n">
        <v>46316</v>
      </c>
      <c r="F1225" t="inlineStr">
        <is>
          <t>KRONOBERGS LÄN</t>
        </is>
      </c>
      <c r="G1225" t="inlineStr">
        <is>
          <t>MARKARYD</t>
        </is>
      </c>
      <c r="I1225" t="n">
        <v>4.1</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5179-2025</t>
        </is>
      </c>
      <c r="B1226" t="inlineStr">
        <is>
          <t>avverkningsanmälan</t>
        </is>
      </c>
      <c r="C1226" t="inlineStr">
        <is>
          <t>Föryngringsavverkning</t>
        </is>
      </c>
      <c r="D1226" s="1" t="n">
        <v>45691</v>
      </c>
      <c r="E1226" s="1" t="n">
        <v>46316</v>
      </c>
      <c r="F1226" t="inlineStr">
        <is>
          <t>KRONOBERGS LÄN</t>
        </is>
      </c>
      <c r="G1226" t="inlineStr">
        <is>
          <t>VÄXJÖ</t>
        </is>
      </c>
      <c r="I1226" t="n">
        <v>2.8</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37844-2024</t>
        </is>
      </c>
      <c r="B1227" t="inlineStr">
        <is>
          <t>avverkningsanmälan</t>
        </is>
      </c>
      <c r="C1227" t="inlineStr">
        <is>
          <t>Föryngringsavverkning</t>
        </is>
      </c>
      <c r="D1227" s="1" t="n">
        <v>45544</v>
      </c>
      <c r="E1227" s="1" t="n">
        <v>46316</v>
      </c>
      <c r="F1227" t="inlineStr">
        <is>
          <t>KRONOBERGS LÄN</t>
        </is>
      </c>
      <c r="G1227" t="inlineStr">
        <is>
          <t>UPPVIDINGE</t>
        </is>
      </c>
      <c r="I1227" t="n">
        <v>3</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50919-2023</t>
        </is>
      </c>
      <c r="B1228" t="inlineStr">
        <is>
          <t>avverkningsanmälan</t>
        </is>
      </c>
      <c r="C1228" t="inlineStr">
        <is>
          <t>Föryngringsavverkning</t>
        </is>
      </c>
      <c r="D1228" s="1" t="n">
        <v>45218</v>
      </c>
      <c r="E1228" s="1" t="n">
        <v>46316</v>
      </c>
      <c r="F1228" t="inlineStr">
        <is>
          <t>KRONOBERGS LÄN</t>
        </is>
      </c>
      <c r="G1228" t="inlineStr">
        <is>
          <t>MARKARYD</t>
        </is>
      </c>
      <c r="I1228" t="n">
        <v>1.1</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63719-2023</t>
        </is>
      </c>
      <c r="B1229" t="inlineStr">
        <is>
          <t>avverkningsanmälan</t>
        </is>
      </c>
      <c r="C1229" t="inlineStr">
        <is>
          <t>Föryngringsavverkning</t>
        </is>
      </c>
      <c r="D1229" s="1" t="n">
        <v>45275</v>
      </c>
      <c r="E1229" s="1" t="n">
        <v>46316</v>
      </c>
      <c r="F1229" t="inlineStr">
        <is>
          <t>KRONOBERGS LÄN</t>
        </is>
      </c>
      <c r="G1229" t="inlineStr">
        <is>
          <t>LJUNGBY</t>
        </is>
      </c>
      <c r="H1229" t="inlineStr">
        <is>
          <t>Kyrkan</t>
        </is>
      </c>
      <c r="I1229" t="n">
        <v>1.6</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28322-2023</t>
        </is>
      </c>
      <c r="B1230" t="inlineStr">
        <is>
          <t>avverkningsanmälan</t>
        </is>
      </c>
      <c r="C1230" t="inlineStr">
        <is>
          <t>Föryngringsavverkning</t>
        </is>
      </c>
      <c r="D1230" s="1" t="n">
        <v>45099</v>
      </c>
      <c r="E1230" s="1" t="n">
        <v>46316</v>
      </c>
      <c r="F1230" t="inlineStr">
        <is>
          <t>KRONOBERGS LÄN</t>
        </is>
      </c>
      <c r="G1230" t="inlineStr">
        <is>
          <t>LJUNGBY</t>
        </is>
      </c>
      <c r="I1230" t="n">
        <v>5.3</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38843-2025</t>
        </is>
      </c>
      <c r="B1231" t="inlineStr">
        <is>
          <t>avverkningsanmälan</t>
        </is>
      </c>
      <c r="C1231" t="inlineStr">
        <is>
          <t>Föryngringsavverkning</t>
        </is>
      </c>
      <c r="D1231" s="1" t="n">
        <v>45887</v>
      </c>
      <c r="E1231" s="1" t="n">
        <v>46316</v>
      </c>
      <c r="F1231" t="inlineStr">
        <is>
          <t>KRONOBERGS LÄN</t>
        </is>
      </c>
      <c r="G1231" t="inlineStr">
        <is>
          <t>TINGSRYD</t>
        </is>
      </c>
      <c r="I1231" t="n">
        <v>3.6</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49609-2024</t>
        </is>
      </c>
      <c r="B1232" t="inlineStr">
        <is>
          <t>avverkningsanmälan</t>
        </is>
      </c>
      <c r="C1232" t="inlineStr">
        <is>
          <t>Föryngringsavverkning</t>
        </is>
      </c>
      <c r="D1232" s="1" t="n">
        <v>45596</v>
      </c>
      <c r="E1232" s="1" t="n">
        <v>46316</v>
      </c>
      <c r="F1232" t="inlineStr">
        <is>
          <t>KRONOBERGS LÄN</t>
        </is>
      </c>
      <c r="G1232" t="inlineStr">
        <is>
          <t>LJUNGBY</t>
        </is>
      </c>
      <c r="I1232" t="n">
        <v>1.4</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8-2023</t>
        </is>
      </c>
      <c r="B1233" t="inlineStr">
        <is>
          <t>avverkningsanmälan</t>
        </is>
      </c>
      <c r="C1233" t="inlineStr">
        <is>
          <t>Föryngringsavverkning</t>
        </is>
      </c>
      <c r="D1233" s="1" t="n">
        <v>44927</v>
      </c>
      <c r="E1233" s="1" t="n">
        <v>46316</v>
      </c>
      <c r="F1233" t="inlineStr">
        <is>
          <t>KRONOBERGS LÄN</t>
        </is>
      </c>
      <c r="G1233" t="inlineStr">
        <is>
          <t>LJUNGBY</t>
        </is>
      </c>
      <c r="I1233" t="n">
        <v>0.8</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24089-2025</t>
        </is>
      </c>
      <c r="B1234" t="inlineStr">
        <is>
          <t>avverkningsanmälan</t>
        </is>
      </c>
      <c r="C1234" t="inlineStr">
        <is>
          <t>Föryngringsavverkning</t>
        </is>
      </c>
      <c r="D1234" s="1" t="n">
        <v>45796</v>
      </c>
      <c r="E1234" s="1" t="n">
        <v>46316</v>
      </c>
      <c r="F1234" t="inlineStr">
        <is>
          <t>KRONOBERGS LÄN</t>
        </is>
      </c>
      <c r="G1234" t="inlineStr">
        <is>
          <t>LJUNGBY</t>
        </is>
      </c>
      <c r="H1234" t="inlineStr">
        <is>
          <t>Sveaskog</t>
        </is>
      </c>
      <c r="I1234" t="n">
        <v>2.3</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24108-2025</t>
        </is>
      </c>
      <c r="B1235" t="inlineStr">
        <is>
          <t>avverkningsanmälan</t>
        </is>
      </c>
      <c r="C1235" t="inlineStr">
        <is>
          <t>Föryngringsavverkning</t>
        </is>
      </c>
      <c r="D1235" s="1" t="n">
        <v>45796</v>
      </c>
      <c r="E1235" s="1" t="n">
        <v>46316</v>
      </c>
      <c r="F1235" t="inlineStr">
        <is>
          <t>KRONOBERGS LÄN</t>
        </is>
      </c>
      <c r="G1235" t="inlineStr">
        <is>
          <t>LJUNGBY</t>
        </is>
      </c>
      <c r="H1235" t="inlineStr">
        <is>
          <t>Sveaskog</t>
        </is>
      </c>
      <c r="I1235" t="n">
        <v>5.9</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24084-2025</t>
        </is>
      </c>
      <c r="B1236" t="inlineStr">
        <is>
          <t>avverkningsanmälan</t>
        </is>
      </c>
      <c r="C1236" t="inlineStr">
        <is>
          <t>Föryngringsavverkning</t>
        </is>
      </c>
      <c r="D1236" s="1" t="n">
        <v>45796</v>
      </c>
      <c r="E1236" s="1" t="n">
        <v>46316</v>
      </c>
      <c r="F1236" t="inlineStr">
        <is>
          <t>KRONOBERGS LÄN</t>
        </is>
      </c>
      <c r="G1236" t="inlineStr">
        <is>
          <t>LJUNGBY</t>
        </is>
      </c>
      <c r="H1236" t="inlineStr">
        <is>
          <t>Sveaskog</t>
        </is>
      </c>
      <c r="I1236" t="n">
        <v>1.7</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62266-2025</t>
        </is>
      </c>
      <c r="B1237" t="inlineStr">
        <is>
          <t>avverkningsanmälan</t>
        </is>
      </c>
      <c r="C1237" t="inlineStr">
        <is>
          <t>Föryngringsavverkning</t>
        </is>
      </c>
      <c r="D1237" s="1" t="n">
        <v>46006</v>
      </c>
      <c r="E1237" s="1" t="n">
        <v>46316</v>
      </c>
      <c r="F1237" t="inlineStr">
        <is>
          <t>KRONOBERGS LÄN</t>
        </is>
      </c>
      <c r="G1237" t="inlineStr">
        <is>
          <t>LJUNGBY</t>
        </is>
      </c>
      <c r="I1237" t="n">
        <v>1.3</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15063-2023</t>
        </is>
      </c>
      <c r="B1238" t="inlineStr">
        <is>
          <t>avverkningsanmälan</t>
        </is>
      </c>
      <c r="C1238" t="inlineStr">
        <is>
          <t>Föryngringsavverkning</t>
        </is>
      </c>
      <c r="D1238" s="1" t="n">
        <v>45015</v>
      </c>
      <c r="E1238" s="1" t="n">
        <v>46316</v>
      </c>
      <c r="F1238" t="inlineStr">
        <is>
          <t>KRONOBERGS LÄN</t>
        </is>
      </c>
      <c r="G1238" t="inlineStr">
        <is>
          <t>ALVESTA</t>
        </is>
      </c>
      <c r="I1238" t="n">
        <v>2.2</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24365-2025</t>
        </is>
      </c>
      <c r="B1239" t="inlineStr">
        <is>
          <t>avverkningsanmälan</t>
        </is>
      </c>
      <c r="C1239" t="inlineStr">
        <is>
          <t>Föryngringsavverkning</t>
        </is>
      </c>
      <c r="D1239" s="1" t="n">
        <v>45797</v>
      </c>
      <c r="E1239" s="1" t="n">
        <v>46316</v>
      </c>
      <c r="F1239" t="inlineStr">
        <is>
          <t>KRONOBERGS LÄN</t>
        </is>
      </c>
      <c r="G1239" t="inlineStr">
        <is>
          <t>MARKARYD</t>
        </is>
      </c>
      <c r="H1239" t="inlineStr">
        <is>
          <t>Kyrkan</t>
        </is>
      </c>
      <c r="I1239" t="n">
        <v>4.9</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37940-2024</t>
        </is>
      </c>
      <c r="B1240" t="inlineStr">
        <is>
          <t>avverkningsanmälan</t>
        </is>
      </c>
      <c r="C1240" t="inlineStr">
        <is>
          <t>Föryngringsavverkning</t>
        </is>
      </c>
      <c r="D1240" s="1" t="n">
        <v>45544</v>
      </c>
      <c r="E1240" s="1" t="n">
        <v>46316</v>
      </c>
      <c r="F1240" t="inlineStr">
        <is>
          <t>KRONOBERGS LÄN</t>
        </is>
      </c>
      <c r="G1240" t="inlineStr">
        <is>
          <t>ALVESTA</t>
        </is>
      </c>
      <c r="I1240" t="n">
        <v>4.8</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49541-2024</t>
        </is>
      </c>
      <c r="B1241" t="inlineStr">
        <is>
          <t>avverkningsanmälan</t>
        </is>
      </c>
      <c r="C1241" t="inlineStr">
        <is>
          <t>Föryngringsavverkning</t>
        </is>
      </c>
      <c r="D1241" s="1" t="n">
        <v>45596</v>
      </c>
      <c r="E1241" s="1" t="n">
        <v>46316</v>
      </c>
      <c r="F1241" t="inlineStr">
        <is>
          <t>KRONOBERGS LÄN</t>
        </is>
      </c>
      <c r="G1241" t="inlineStr">
        <is>
          <t>LJUNGBY</t>
        </is>
      </c>
      <c r="I1241" t="n">
        <v>1.1</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62253-2025</t>
        </is>
      </c>
      <c r="B1242" t="inlineStr">
        <is>
          <t>avverkningsanmälan</t>
        </is>
      </c>
      <c r="C1242" t="inlineStr">
        <is>
          <t>Föryngringsavverkning</t>
        </is>
      </c>
      <c r="D1242" s="1" t="n">
        <v>46006</v>
      </c>
      <c r="E1242" s="1" t="n">
        <v>46316</v>
      </c>
      <c r="F1242" t="inlineStr">
        <is>
          <t>KRONOBERGS LÄN</t>
        </is>
      </c>
      <c r="G1242" t="inlineStr">
        <is>
          <t>LJUNGBY</t>
        </is>
      </c>
      <c r="I1242" t="n">
        <v>0.4</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24097-2025</t>
        </is>
      </c>
      <c r="B1243" t="inlineStr">
        <is>
          <t>avverkningsanmälan</t>
        </is>
      </c>
      <c r="C1243" t="inlineStr">
        <is>
          <t>Föryngringsavverkning</t>
        </is>
      </c>
      <c r="D1243" s="1" t="n">
        <v>45796</v>
      </c>
      <c r="E1243" s="1" t="n">
        <v>46316</v>
      </c>
      <c r="F1243" t="inlineStr">
        <is>
          <t>KRONOBERGS LÄN</t>
        </is>
      </c>
      <c r="G1243" t="inlineStr">
        <is>
          <t>LJUNGBY</t>
        </is>
      </c>
      <c r="H1243" t="inlineStr">
        <is>
          <t>Sveaskog</t>
        </is>
      </c>
      <c r="I1243" t="n">
        <v>2.7</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24041-2025</t>
        </is>
      </c>
      <c r="B1244" t="inlineStr">
        <is>
          <t>avverkningsanmälan</t>
        </is>
      </c>
      <c r="C1244" t="inlineStr">
        <is>
          <t>Föryngringsavverkning</t>
        </is>
      </c>
      <c r="D1244" s="1" t="n">
        <v>45796</v>
      </c>
      <c r="E1244" s="1" t="n">
        <v>46316</v>
      </c>
      <c r="F1244" t="inlineStr">
        <is>
          <t>KRONOBERGS LÄN</t>
        </is>
      </c>
      <c r="G1244" t="inlineStr">
        <is>
          <t>VÄXJÖ</t>
        </is>
      </c>
      <c r="I1244" t="n">
        <v>1.7</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24722-2025</t>
        </is>
      </c>
      <c r="B1245" t="inlineStr">
        <is>
          <t>avverkningsanmälan</t>
        </is>
      </c>
      <c r="C1245" t="inlineStr">
        <is>
          <t>Föryngringsavverkning</t>
        </is>
      </c>
      <c r="D1245" s="1" t="n">
        <v>45799</v>
      </c>
      <c r="E1245" s="1" t="n">
        <v>46316</v>
      </c>
      <c r="F1245" t="inlineStr">
        <is>
          <t>KRONOBERGS LÄN</t>
        </is>
      </c>
      <c r="G1245" t="inlineStr">
        <is>
          <t>ÄLMHULT</t>
        </is>
      </c>
      <c r="I1245" t="n">
        <v>3.8</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10414-2025</t>
        </is>
      </c>
      <c r="B1246" t="inlineStr">
        <is>
          <t>avverkningsanmälan</t>
        </is>
      </c>
      <c r="C1246" t="inlineStr">
        <is>
          <t>Föryngringsavverkning</t>
        </is>
      </c>
      <c r="D1246" s="1" t="n">
        <v>45720</v>
      </c>
      <c r="E1246" s="1" t="n">
        <v>46316</v>
      </c>
      <c r="F1246" t="inlineStr">
        <is>
          <t>KRONOBERGS LÄN</t>
        </is>
      </c>
      <c r="G1246" t="inlineStr">
        <is>
          <t>LESSEBO</t>
        </is>
      </c>
      <c r="I1246" t="n">
        <v>1.4</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41492-2023</t>
        </is>
      </c>
      <c r="B1247" t="inlineStr">
        <is>
          <t>avverkningsanmälan</t>
        </is>
      </c>
      <c r="C1247" t="inlineStr">
        <is>
          <t>Föryngringsavverkning</t>
        </is>
      </c>
      <c r="D1247" s="1" t="n">
        <v>45175</v>
      </c>
      <c r="E1247" s="1" t="n">
        <v>46316</v>
      </c>
      <c r="F1247" t="inlineStr">
        <is>
          <t>KRONOBERGS LÄN</t>
        </is>
      </c>
      <c r="G1247" t="inlineStr">
        <is>
          <t>ÄLMHULT</t>
        </is>
      </c>
      <c r="I1247" t="n">
        <v>2.1</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25016-2023</t>
        </is>
      </c>
      <c r="B1248" t="inlineStr">
        <is>
          <t>avverkningsanmälan</t>
        </is>
      </c>
      <c r="C1248" t="inlineStr">
        <is>
          <t>Föryngringsavverkning</t>
        </is>
      </c>
      <c r="D1248" s="1" t="n">
        <v>45085</v>
      </c>
      <c r="E1248" s="1" t="n">
        <v>46316</v>
      </c>
      <c r="F1248" t="inlineStr">
        <is>
          <t>KRONOBERGS LÄN</t>
        </is>
      </c>
      <c r="G1248" t="inlineStr">
        <is>
          <t>MARKARYD</t>
        </is>
      </c>
      <c r="I1248" t="n">
        <v>0.6</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40642-2022</t>
        </is>
      </c>
      <c r="B1249" t="inlineStr">
        <is>
          <t>avverkningsanmälan</t>
        </is>
      </c>
      <c r="C1249" t="inlineStr">
        <is>
          <t>Föryngringsavverkning</t>
        </is>
      </c>
      <c r="D1249" s="1" t="n">
        <v>44824</v>
      </c>
      <c r="E1249" s="1" t="n">
        <v>46316</v>
      </c>
      <c r="F1249" t="inlineStr">
        <is>
          <t>KRONOBERGS LÄN</t>
        </is>
      </c>
      <c r="G1249" t="inlineStr">
        <is>
          <t>VÄXJÖ</t>
        </is>
      </c>
      <c r="I1249" t="n">
        <v>1.5</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15979-2025</t>
        </is>
      </c>
      <c r="B1250" t="inlineStr">
        <is>
          <t>avverkningsanmälan</t>
        </is>
      </c>
      <c r="C1250" t="inlineStr">
        <is>
          <t>Föryngringsavverkning</t>
        </is>
      </c>
      <c r="D1250" s="1" t="n">
        <v>45749</v>
      </c>
      <c r="E1250" s="1" t="n">
        <v>46316</v>
      </c>
      <c r="F1250" t="inlineStr">
        <is>
          <t>KRONOBERGS LÄN</t>
        </is>
      </c>
      <c r="G1250" t="inlineStr">
        <is>
          <t>LJUNGBY</t>
        </is>
      </c>
      <c r="I1250" t="n">
        <v>1.6</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20502-2025</t>
        </is>
      </c>
      <c r="B1251" t="inlineStr">
        <is>
          <t>avverkningsanmälan</t>
        </is>
      </c>
      <c r="C1251" t="inlineStr">
        <is>
          <t>Föryngringsavverkning</t>
        </is>
      </c>
      <c r="D1251" s="1" t="n">
        <v>45775</v>
      </c>
      <c r="E1251" s="1" t="n">
        <v>46316</v>
      </c>
      <c r="F1251" t="inlineStr">
        <is>
          <t>KRONOBERGS LÄN</t>
        </is>
      </c>
      <c r="G1251" t="inlineStr">
        <is>
          <t>LJUNGBY</t>
        </is>
      </c>
      <c r="I1251" t="n">
        <v>1.5</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13896-2024</t>
        </is>
      </c>
      <c r="B1252" t="inlineStr">
        <is>
          <t>avverkningsanmälan</t>
        </is>
      </c>
      <c r="C1252" t="inlineStr">
        <is>
          <t>Föryngringsavverkning</t>
        </is>
      </c>
      <c r="D1252" s="1" t="n">
        <v>45391</v>
      </c>
      <c r="E1252" s="1" t="n">
        <v>46316</v>
      </c>
      <c r="F1252" t="inlineStr">
        <is>
          <t>KRONOBERGS LÄN</t>
        </is>
      </c>
      <c r="G1252" t="inlineStr">
        <is>
          <t>ALVESTA</t>
        </is>
      </c>
      <c r="I1252" t="n">
        <v>2</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28226-2024</t>
        </is>
      </c>
      <c r="B1253" t="inlineStr">
        <is>
          <t>avverkningsanmälan</t>
        </is>
      </c>
      <c r="C1253" t="inlineStr">
        <is>
          <t>Föryngringsavverkning</t>
        </is>
      </c>
      <c r="D1253" s="1" t="n">
        <v>45477</v>
      </c>
      <c r="E1253" s="1" t="n">
        <v>46316</v>
      </c>
      <c r="F1253" t="inlineStr">
        <is>
          <t>KRONOBERGS LÄN</t>
        </is>
      </c>
      <c r="G1253" t="inlineStr">
        <is>
          <t>TINGSRYD</t>
        </is>
      </c>
      <c r="I1253" t="n">
        <v>3.3</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62454-2025</t>
        </is>
      </c>
      <c r="B1254" t="inlineStr">
        <is>
          <t>avverkningsanmälan</t>
        </is>
      </c>
      <c r="C1254" t="inlineStr">
        <is>
          <t>Föryngringsavverkning</t>
        </is>
      </c>
      <c r="D1254" s="1" t="n">
        <v>46007</v>
      </c>
      <c r="E1254" s="1" t="n">
        <v>46316</v>
      </c>
      <c r="F1254" t="inlineStr">
        <is>
          <t>KRONOBERGS LÄN</t>
        </is>
      </c>
      <c r="G1254" t="inlineStr">
        <is>
          <t>UPPVIDINGE</t>
        </is>
      </c>
      <c r="I1254" t="n">
        <v>2.4</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62470-2025</t>
        </is>
      </c>
      <c r="B1255" t="inlineStr">
        <is>
          <t>avverkningsanmälan</t>
        </is>
      </c>
      <c r="C1255" t="inlineStr">
        <is>
          <t>Föryngringsavverkning</t>
        </is>
      </c>
      <c r="D1255" s="1" t="n">
        <v>46007</v>
      </c>
      <c r="E1255" s="1" t="n">
        <v>46316</v>
      </c>
      <c r="F1255" t="inlineStr">
        <is>
          <t>KRONOBERGS LÄN</t>
        </is>
      </c>
      <c r="G1255" t="inlineStr">
        <is>
          <t>TINGSRYD</t>
        </is>
      </c>
      <c r="H1255" t="inlineStr">
        <is>
          <t>Kommuner</t>
        </is>
      </c>
      <c r="I1255" t="n">
        <v>6.9</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62038-2025</t>
        </is>
      </c>
      <c r="B1256" t="inlineStr">
        <is>
          <t>avverkningsanmälan</t>
        </is>
      </c>
      <c r="C1256" t="inlineStr">
        <is>
          <t>Föryngringsavverkning</t>
        </is>
      </c>
      <c r="D1256" s="1" t="n">
        <v>46005</v>
      </c>
      <c r="E1256" s="1" t="n">
        <v>46316</v>
      </c>
      <c r="F1256" t="inlineStr">
        <is>
          <t>KRONOBERGS LÄN</t>
        </is>
      </c>
      <c r="G1256" t="inlineStr">
        <is>
          <t>ÄLMHULT</t>
        </is>
      </c>
      <c r="I1256" t="n">
        <v>1.4</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44564-2024</t>
        </is>
      </c>
      <c r="B1257" t="inlineStr">
        <is>
          <t>avverkningsanmälan</t>
        </is>
      </c>
      <c r="C1257" t="inlineStr">
        <is>
          <t>Föryngringsavverkning</t>
        </is>
      </c>
      <c r="D1257" s="1" t="n">
        <v>45574</v>
      </c>
      <c r="E1257" s="1" t="n">
        <v>46316</v>
      </c>
      <c r="F1257" t="inlineStr">
        <is>
          <t>KRONOBERGS LÄN</t>
        </is>
      </c>
      <c r="G1257" t="inlineStr">
        <is>
          <t>VÄXJÖ</t>
        </is>
      </c>
      <c r="I1257" t="n">
        <v>6</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55994-2023</t>
        </is>
      </c>
      <c r="B1258" t="inlineStr">
        <is>
          <t>avverkningsanmälan</t>
        </is>
      </c>
      <c r="C1258" t="inlineStr">
        <is>
          <t>Föryngringsavverkning</t>
        </is>
      </c>
      <c r="D1258" s="1" t="n">
        <v>45240</v>
      </c>
      <c r="E1258" s="1" t="n">
        <v>46316</v>
      </c>
      <c r="F1258" t="inlineStr">
        <is>
          <t>KRONOBERGS LÄN</t>
        </is>
      </c>
      <c r="G1258" t="inlineStr">
        <is>
          <t>TINGSRYD</t>
        </is>
      </c>
      <c r="I1258" t="n">
        <v>2.7</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17737-2024</t>
        </is>
      </c>
      <c r="B1259" t="inlineStr">
        <is>
          <t>avverkningsanmälan</t>
        </is>
      </c>
      <c r="C1259" t="inlineStr">
        <is>
          <t>Föryngringsavverkning</t>
        </is>
      </c>
      <c r="D1259" s="1" t="n">
        <v>45418</v>
      </c>
      <c r="E1259" s="1" t="n">
        <v>46316</v>
      </c>
      <c r="F1259" t="inlineStr">
        <is>
          <t>KRONOBERGS LÄN</t>
        </is>
      </c>
      <c r="G1259" t="inlineStr">
        <is>
          <t>ALVESTA</t>
        </is>
      </c>
      <c r="I1259" t="n">
        <v>2.3</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62206-2025</t>
        </is>
      </c>
      <c r="B1260" t="inlineStr">
        <is>
          <t>avverkningsanmälan</t>
        </is>
      </c>
      <c r="C1260" t="inlineStr">
        <is>
          <t>Föryngringsavverkning</t>
        </is>
      </c>
      <c r="D1260" s="1" t="n">
        <v>46006</v>
      </c>
      <c r="E1260" s="1" t="n">
        <v>46316</v>
      </c>
      <c r="F1260" t="inlineStr">
        <is>
          <t>KRONOBERGS LÄN</t>
        </is>
      </c>
      <c r="G1260" t="inlineStr">
        <is>
          <t>LJUNGBY</t>
        </is>
      </c>
      <c r="I1260" t="n">
        <v>1.5</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35854-2024</t>
        </is>
      </c>
      <c r="B1261" t="inlineStr">
        <is>
          <t>avverkningsanmälan</t>
        </is>
      </c>
      <c r="C1261" t="inlineStr">
        <is>
          <t>Föryngringsavverkning</t>
        </is>
      </c>
      <c r="D1261" s="1" t="n">
        <v>45533</v>
      </c>
      <c r="E1261" s="1" t="n">
        <v>46316</v>
      </c>
      <c r="F1261" t="inlineStr">
        <is>
          <t>KRONOBERGS LÄN</t>
        </is>
      </c>
      <c r="G1261" t="inlineStr">
        <is>
          <t>TINGSRYD</t>
        </is>
      </c>
      <c r="I1261" t="n">
        <v>0.9</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62569-2025</t>
        </is>
      </c>
      <c r="B1262" t="inlineStr">
        <is>
          <t>avverkningsanmälan</t>
        </is>
      </c>
      <c r="C1262" t="inlineStr">
        <is>
          <t>Föryngringsavverkning</t>
        </is>
      </c>
      <c r="D1262" s="1" t="n">
        <v>46007</v>
      </c>
      <c r="E1262" s="1" t="n">
        <v>46316</v>
      </c>
      <c r="F1262" t="inlineStr">
        <is>
          <t>KRONOBERGS LÄN</t>
        </is>
      </c>
      <c r="G1262" t="inlineStr">
        <is>
          <t>VÄXJÖ</t>
        </is>
      </c>
      <c r="I1262" t="n">
        <v>0.6</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5265-2025</t>
        </is>
      </c>
      <c r="B1263" t="inlineStr">
        <is>
          <t>avverkningsanmälan</t>
        </is>
      </c>
      <c r="C1263" t="inlineStr">
        <is>
          <t>Föryngringsavverkning</t>
        </is>
      </c>
      <c r="D1263" s="1" t="n">
        <v>45692</v>
      </c>
      <c r="E1263" s="1" t="n">
        <v>46316</v>
      </c>
      <c r="F1263" t="inlineStr">
        <is>
          <t>KRONOBERGS LÄN</t>
        </is>
      </c>
      <c r="G1263" t="inlineStr">
        <is>
          <t>TINGSRYD</t>
        </is>
      </c>
      <c r="I1263" t="n">
        <v>4.7</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38797-2025</t>
        </is>
      </c>
      <c r="B1264" t="inlineStr">
        <is>
          <t>avverkningsanmälan</t>
        </is>
      </c>
      <c r="C1264" t="inlineStr">
        <is>
          <t>Föryngringsavverkning</t>
        </is>
      </c>
      <c r="D1264" s="1" t="n">
        <v>45887</v>
      </c>
      <c r="E1264" s="1" t="n">
        <v>46316</v>
      </c>
      <c r="F1264" t="inlineStr">
        <is>
          <t>KRONOBERGS LÄN</t>
        </is>
      </c>
      <c r="G1264" t="inlineStr">
        <is>
          <t>UPPVIDINGE</t>
        </is>
      </c>
      <c r="I1264" t="n">
        <v>0.6</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33222-2024</t>
        </is>
      </c>
      <c r="B1265" t="inlineStr">
        <is>
          <t>avverkningsanmälan</t>
        </is>
      </c>
      <c r="C1265" t="inlineStr">
        <is>
          <t>Föryngringsavverkning</t>
        </is>
      </c>
      <c r="D1265" s="1" t="n">
        <v>45518</v>
      </c>
      <c r="E1265" s="1" t="n">
        <v>46316</v>
      </c>
      <c r="F1265" t="inlineStr">
        <is>
          <t>KRONOBERGS LÄN</t>
        </is>
      </c>
      <c r="G1265" t="inlineStr">
        <is>
          <t>ALVESTA</t>
        </is>
      </c>
      <c r="I1265" t="n">
        <v>0.7</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62249-2025</t>
        </is>
      </c>
      <c r="B1266" t="inlineStr">
        <is>
          <t>avverkningsanmälan</t>
        </is>
      </c>
      <c r="C1266" t="inlineStr">
        <is>
          <t>Föryngringsavverkning</t>
        </is>
      </c>
      <c r="D1266" s="1" t="n">
        <v>46006</v>
      </c>
      <c r="E1266" s="1" t="n">
        <v>46316</v>
      </c>
      <c r="F1266" t="inlineStr">
        <is>
          <t>KRONOBERGS LÄN</t>
        </is>
      </c>
      <c r="G1266" t="inlineStr">
        <is>
          <t>LJUNGBY</t>
        </is>
      </c>
      <c r="I1266" t="n">
        <v>1</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10283-2025</t>
        </is>
      </c>
      <c r="B1267" t="inlineStr">
        <is>
          <t>avverkningsanmälan</t>
        </is>
      </c>
      <c r="C1267" t="inlineStr">
        <is>
          <t>Föryngringsavverkning</t>
        </is>
      </c>
      <c r="D1267" s="1" t="n">
        <v>45720</v>
      </c>
      <c r="E1267" s="1" t="n">
        <v>46316</v>
      </c>
      <c r="F1267" t="inlineStr">
        <is>
          <t>KRONOBERGS LÄN</t>
        </is>
      </c>
      <c r="G1267" t="inlineStr">
        <is>
          <t>UPPVIDINGE</t>
        </is>
      </c>
      <c r="I1267" t="n">
        <v>1.5</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40618-2024</t>
        </is>
      </c>
      <c r="B1268" t="inlineStr">
        <is>
          <t>avverkningsanmälan</t>
        </is>
      </c>
      <c r="C1268" t="inlineStr">
        <is>
          <t>Föryngringsavverkning</t>
        </is>
      </c>
      <c r="D1268" s="1" t="n">
        <v>45557</v>
      </c>
      <c r="E1268" s="1" t="n">
        <v>46316</v>
      </c>
      <c r="F1268" t="inlineStr">
        <is>
          <t>KRONOBERGS LÄN</t>
        </is>
      </c>
      <c r="G1268" t="inlineStr">
        <is>
          <t>VÄXJÖ</t>
        </is>
      </c>
      <c r="I1268" t="n">
        <v>0.5</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28843-2024</t>
        </is>
      </c>
      <c r="B1269" t="inlineStr">
        <is>
          <t>avverkningsanmälan</t>
        </is>
      </c>
      <c r="C1269" t="inlineStr">
        <is>
          <t>Föryngringsavverkning</t>
        </is>
      </c>
      <c r="D1269" s="1" t="n">
        <v>45478</v>
      </c>
      <c r="E1269" s="1" t="n">
        <v>46316</v>
      </c>
      <c r="F1269" t="inlineStr">
        <is>
          <t>KRONOBERGS LÄN</t>
        </is>
      </c>
      <c r="G1269" t="inlineStr">
        <is>
          <t>TINGSRYD</t>
        </is>
      </c>
      <c r="I1269" t="n">
        <v>1</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15988-2024</t>
        </is>
      </c>
      <c r="B1270" t="inlineStr">
        <is>
          <t>avverkningsanmälan</t>
        </is>
      </c>
      <c r="C1270" t="inlineStr">
        <is>
          <t>Föryngringsavverkning</t>
        </is>
      </c>
      <c r="D1270" s="1" t="n">
        <v>45405</v>
      </c>
      <c r="E1270" s="1" t="n">
        <v>46316</v>
      </c>
      <c r="F1270" t="inlineStr">
        <is>
          <t>KRONOBERGS LÄN</t>
        </is>
      </c>
      <c r="G1270" t="inlineStr">
        <is>
          <t>ÄLMHULT</t>
        </is>
      </c>
      <c r="I1270" t="n">
        <v>2</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2268-2023</t>
        </is>
      </c>
      <c r="B1271" t="inlineStr">
        <is>
          <t>avverkningsanmälan</t>
        </is>
      </c>
      <c r="C1271" t="inlineStr">
        <is>
          <t>Föryngringsavverkning</t>
        </is>
      </c>
      <c r="D1271" s="1" t="n">
        <v>44942</v>
      </c>
      <c r="E1271" s="1" t="n">
        <v>46316</v>
      </c>
      <c r="F1271" t="inlineStr">
        <is>
          <t>KRONOBERGS LÄN</t>
        </is>
      </c>
      <c r="G1271" t="inlineStr">
        <is>
          <t>UPPVIDINGE</t>
        </is>
      </c>
      <c r="I1271" t="n">
        <v>0</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60690-2021</t>
        </is>
      </c>
      <c r="B1272" t="inlineStr">
        <is>
          <t>avverkningsanmälan</t>
        </is>
      </c>
      <c r="C1272" t="inlineStr">
        <is>
          <t>Föryngringsavverkning</t>
        </is>
      </c>
      <c r="D1272" s="1" t="n">
        <v>44496</v>
      </c>
      <c r="E1272" s="1" t="n">
        <v>46316</v>
      </c>
      <c r="F1272" t="inlineStr">
        <is>
          <t>KRONOBERGS LÄN</t>
        </is>
      </c>
      <c r="G1272" t="inlineStr">
        <is>
          <t>ÄLMHULT</t>
        </is>
      </c>
      <c r="I1272" t="n">
        <v>1</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25220-2025</t>
        </is>
      </c>
      <c r="B1273" t="inlineStr">
        <is>
          <t>avverkningsanmälan</t>
        </is>
      </c>
      <c r="C1273" t="inlineStr">
        <is>
          <t>Avverkning för annat ändamål</t>
        </is>
      </c>
      <c r="D1273" s="1" t="n">
        <v>45798</v>
      </c>
      <c r="E1273" s="1" t="n">
        <v>46316</v>
      </c>
      <c r="F1273" t="inlineStr">
        <is>
          <t>KRONOBERGS LÄN</t>
        </is>
      </c>
      <c r="G1273" t="inlineStr">
        <is>
          <t>ALVESTA</t>
        </is>
      </c>
      <c r="I1273" t="n">
        <v>2.9</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61491-2021</t>
        </is>
      </c>
      <c r="B1274" t="inlineStr">
        <is>
          <t>avverkningsanmälan</t>
        </is>
      </c>
      <c r="C1274" t="inlineStr">
        <is>
          <t>Föryngringsavverkning</t>
        </is>
      </c>
      <c r="D1274" s="1" t="n">
        <v>44497</v>
      </c>
      <c r="E1274" s="1" t="n">
        <v>46316</v>
      </c>
      <c r="F1274" t="inlineStr">
        <is>
          <t>KRONOBERGS LÄN</t>
        </is>
      </c>
      <c r="G1274" t="inlineStr">
        <is>
          <t>UPPVIDINGE</t>
        </is>
      </c>
      <c r="I1274" t="n">
        <v>1.1</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64292-2023</t>
        </is>
      </c>
      <c r="B1275" t="inlineStr">
        <is>
          <t>avverkningsanmälan</t>
        </is>
      </c>
      <c r="C1275" t="inlineStr">
        <is>
          <t>Föryngringsavverkning</t>
        </is>
      </c>
      <c r="D1275" s="1" t="n">
        <v>45280</v>
      </c>
      <c r="E1275" s="1" t="n">
        <v>46316</v>
      </c>
      <c r="F1275" t="inlineStr">
        <is>
          <t>KRONOBERGS LÄN</t>
        </is>
      </c>
      <c r="G1275" t="inlineStr">
        <is>
          <t>VÄXJÖ</t>
        </is>
      </c>
      <c r="I1275" t="n">
        <v>2.8</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64358-2023</t>
        </is>
      </c>
      <c r="B1276" t="inlineStr">
        <is>
          <t>avverkningsanmälan</t>
        </is>
      </c>
      <c r="C1276" t="inlineStr">
        <is>
          <t>Föryngringsavverkning</t>
        </is>
      </c>
      <c r="D1276" s="1" t="n">
        <v>45280</v>
      </c>
      <c r="E1276" s="1" t="n">
        <v>46316</v>
      </c>
      <c r="F1276" t="inlineStr">
        <is>
          <t>KRONOBERGS LÄN</t>
        </is>
      </c>
      <c r="G1276" t="inlineStr">
        <is>
          <t>LJUNGBY</t>
        </is>
      </c>
      <c r="H1276" t="inlineStr">
        <is>
          <t>Kyrkan</t>
        </is>
      </c>
      <c r="I1276" t="n">
        <v>0.9</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53487-2024</t>
        </is>
      </c>
      <c r="B1277" t="inlineStr">
        <is>
          <t>avverkningsanmälan</t>
        </is>
      </c>
      <c r="C1277" t="inlineStr">
        <is>
          <t>Föryngringsavverkning</t>
        </is>
      </c>
      <c r="D1277" s="1" t="n">
        <v>45611</v>
      </c>
      <c r="E1277" s="1" t="n">
        <v>46316</v>
      </c>
      <c r="F1277" t="inlineStr">
        <is>
          <t>KRONOBERGS LÄN</t>
        </is>
      </c>
      <c r="G1277" t="inlineStr">
        <is>
          <t>LESSEBO</t>
        </is>
      </c>
      <c r="I1277" t="n">
        <v>0.9</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6489-2022</t>
        </is>
      </c>
      <c r="B1278" t="inlineStr">
        <is>
          <t>avverkningsanmälan</t>
        </is>
      </c>
      <c r="C1278" t="inlineStr">
        <is>
          <t>Avverkning för annat ändamål</t>
        </is>
      </c>
      <c r="D1278" s="1" t="n">
        <v>44601</v>
      </c>
      <c r="E1278" s="1" t="n">
        <v>46316</v>
      </c>
      <c r="F1278" t="inlineStr">
        <is>
          <t>KRONOBERGS LÄN</t>
        </is>
      </c>
      <c r="G1278" t="inlineStr">
        <is>
          <t>ALVESTA</t>
        </is>
      </c>
      <c r="I1278" t="n">
        <v>0.1</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62668-2025</t>
        </is>
      </c>
      <c r="B1279" t="inlineStr">
        <is>
          <t>avverkningsanmälan</t>
        </is>
      </c>
      <c r="C1279" t="inlineStr">
        <is>
          <t>Föryngringsavverkning</t>
        </is>
      </c>
      <c r="D1279" s="1" t="n">
        <v>46008</v>
      </c>
      <c r="E1279" s="1" t="n">
        <v>46316</v>
      </c>
      <c r="F1279" t="inlineStr">
        <is>
          <t>KRONOBERGS LÄN</t>
        </is>
      </c>
      <c r="G1279" t="inlineStr">
        <is>
          <t>LJUNGBY</t>
        </is>
      </c>
      <c r="I1279" t="n">
        <v>0.3</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62670-2025</t>
        </is>
      </c>
      <c r="B1280" t="inlineStr">
        <is>
          <t>avverkningsanmälan</t>
        </is>
      </c>
      <c r="C1280" t="inlineStr">
        <is>
          <t>Föryngringsavverkning</t>
        </is>
      </c>
      <c r="D1280" s="1" t="n">
        <v>46008</v>
      </c>
      <c r="E1280" s="1" t="n">
        <v>46316</v>
      </c>
      <c r="F1280" t="inlineStr">
        <is>
          <t>KRONOBERGS LÄN</t>
        </is>
      </c>
      <c r="G1280" t="inlineStr">
        <is>
          <t>LJUNGBY</t>
        </is>
      </c>
      <c r="I1280" t="n">
        <v>1.3</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62672-2025</t>
        </is>
      </c>
      <c r="B1281" t="inlineStr">
        <is>
          <t>avverkningsanmälan</t>
        </is>
      </c>
      <c r="C1281" t="inlineStr">
        <is>
          <t>Föryngringsavverkning</t>
        </is>
      </c>
      <c r="D1281" s="1" t="n">
        <v>46008</v>
      </c>
      <c r="E1281" s="1" t="n">
        <v>46316</v>
      </c>
      <c r="F1281" t="inlineStr">
        <is>
          <t>KRONOBERGS LÄN</t>
        </is>
      </c>
      <c r="G1281" t="inlineStr">
        <is>
          <t>LJUNGBY</t>
        </is>
      </c>
      <c r="I1281" t="n">
        <v>0.5</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18998-2025</t>
        </is>
      </c>
      <c r="B1282" t="inlineStr">
        <is>
          <t>avverkningsanmälan</t>
        </is>
      </c>
      <c r="C1282" t="inlineStr">
        <is>
          <t>Föryngringsavverkning</t>
        </is>
      </c>
      <c r="D1282" s="1" t="n">
        <v>45764</v>
      </c>
      <c r="E1282" s="1" t="n">
        <v>46316</v>
      </c>
      <c r="F1282" t="inlineStr">
        <is>
          <t>KRONOBERGS LÄN</t>
        </is>
      </c>
      <c r="G1282" t="inlineStr">
        <is>
          <t>VÄXJÖ</t>
        </is>
      </c>
      <c r="I1282" t="n">
        <v>0.9</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26602-2024</t>
        </is>
      </c>
      <c r="B1283" t="inlineStr">
        <is>
          <t>avverkningsanmälan</t>
        </is>
      </c>
      <c r="C1283" t="inlineStr">
        <is>
          <t>Föryngringsavverkning</t>
        </is>
      </c>
      <c r="D1283" s="1" t="n">
        <v>45469</v>
      </c>
      <c r="E1283" s="1" t="n">
        <v>46316</v>
      </c>
      <c r="F1283" t="inlineStr">
        <is>
          <t>KRONOBERGS LÄN</t>
        </is>
      </c>
      <c r="G1283" t="inlineStr">
        <is>
          <t>ÄLMHULT</t>
        </is>
      </c>
      <c r="H1283" t="inlineStr">
        <is>
          <t>Sveaskog</t>
        </is>
      </c>
      <c r="I1283" t="n">
        <v>0.9</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3971-2025</t>
        </is>
      </c>
      <c r="B1284" t="inlineStr">
        <is>
          <t>avverkningsanmälan</t>
        </is>
      </c>
      <c r="C1284" t="inlineStr">
        <is>
          <t>Föryngringsavverkning</t>
        </is>
      </c>
      <c r="D1284" s="1" t="n">
        <v>45684</v>
      </c>
      <c r="E1284" s="1" t="n">
        <v>46316</v>
      </c>
      <c r="F1284" t="inlineStr">
        <is>
          <t>KRONOBERGS LÄN</t>
        </is>
      </c>
      <c r="G1284" t="inlineStr">
        <is>
          <t>TINGSRYD</t>
        </is>
      </c>
      <c r="I1284" t="n">
        <v>2</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59088-2024</t>
        </is>
      </c>
      <c r="B1285" t="inlineStr">
        <is>
          <t>avverkningsanmälan</t>
        </is>
      </c>
      <c r="C1285" t="inlineStr">
        <is>
          <t>Föryngringsavverkning</t>
        </is>
      </c>
      <c r="D1285" s="1" t="n">
        <v>45637</v>
      </c>
      <c r="E1285" s="1" t="n">
        <v>46316</v>
      </c>
      <c r="F1285" t="inlineStr">
        <is>
          <t>KRONOBERGS LÄN</t>
        </is>
      </c>
      <c r="G1285" t="inlineStr">
        <is>
          <t>TINGSRYD</t>
        </is>
      </c>
      <c r="H1285" t="inlineStr">
        <is>
          <t>Övriga Aktiebolag</t>
        </is>
      </c>
      <c r="I1285" t="n">
        <v>1.7</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52564-2023</t>
        </is>
      </c>
      <c r="B1286" t="inlineStr">
        <is>
          <t>avverkningsanmälan</t>
        </is>
      </c>
      <c r="C1286" t="inlineStr">
        <is>
          <t>Föryngringsavverkning</t>
        </is>
      </c>
      <c r="D1286" s="1" t="n">
        <v>45225</v>
      </c>
      <c r="E1286" s="1" t="n">
        <v>46316</v>
      </c>
      <c r="F1286" t="inlineStr">
        <is>
          <t>KRONOBERGS LÄN</t>
        </is>
      </c>
      <c r="G1286" t="inlineStr">
        <is>
          <t>VÄXJÖ</t>
        </is>
      </c>
      <c r="I1286" t="n">
        <v>3.3</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33204-2023</t>
        </is>
      </c>
      <c r="B1287" t="inlineStr">
        <is>
          <t>avverkningsanmälan</t>
        </is>
      </c>
      <c r="C1287" t="inlineStr">
        <is>
          <t>Föryngringsavverkning</t>
        </is>
      </c>
      <c r="D1287" s="1" t="n">
        <v>45127</v>
      </c>
      <c r="E1287" s="1" t="n">
        <v>46316</v>
      </c>
      <c r="F1287" t="inlineStr">
        <is>
          <t>KRONOBERGS LÄN</t>
        </is>
      </c>
      <c r="G1287" t="inlineStr">
        <is>
          <t>VÄXJÖ</t>
        </is>
      </c>
      <c r="I1287" t="n">
        <v>3.4</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64618-2021</t>
        </is>
      </c>
      <c r="B1288" t="inlineStr">
        <is>
          <t>avverkningsanmälan</t>
        </is>
      </c>
      <c r="C1288" t="inlineStr">
        <is>
          <t>Föryngringsavverkning</t>
        </is>
      </c>
      <c r="D1288" s="1" t="n">
        <v>44511</v>
      </c>
      <c r="E1288" s="1" t="n">
        <v>46316</v>
      </c>
      <c r="F1288" t="inlineStr">
        <is>
          <t>KRONOBERGS LÄN</t>
        </is>
      </c>
      <c r="G1288" t="inlineStr">
        <is>
          <t>ÄLMHULT</t>
        </is>
      </c>
      <c r="I1288" t="n">
        <v>1.4</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64624-2021</t>
        </is>
      </c>
      <c r="B1289" t="inlineStr">
        <is>
          <t>avverkningsanmälan</t>
        </is>
      </c>
      <c r="C1289" t="inlineStr">
        <is>
          <t>Föryngringsavverkning</t>
        </is>
      </c>
      <c r="D1289" s="1" t="n">
        <v>44511</v>
      </c>
      <c r="E1289" s="1" t="n">
        <v>46316</v>
      </c>
      <c r="F1289" t="inlineStr">
        <is>
          <t>KRONOBERGS LÄN</t>
        </is>
      </c>
      <c r="G1289" t="inlineStr">
        <is>
          <t>ÄLMHULT</t>
        </is>
      </c>
      <c r="I1289" t="n">
        <v>1.4</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46742-2024</t>
        </is>
      </c>
      <c r="B1290" t="inlineStr">
        <is>
          <t>avverkningsanmälan</t>
        </is>
      </c>
      <c r="C1290" t="inlineStr">
        <is>
          <t>Föryngringsavverkning</t>
        </is>
      </c>
      <c r="D1290" s="1" t="n">
        <v>45583</v>
      </c>
      <c r="E1290" s="1" t="n">
        <v>46316</v>
      </c>
      <c r="F1290" t="inlineStr">
        <is>
          <t>KRONOBERGS LÄN</t>
        </is>
      </c>
      <c r="G1290" t="inlineStr">
        <is>
          <t>VÄXJÖ</t>
        </is>
      </c>
      <c r="I1290" t="n">
        <v>0.7</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9674-2024</t>
        </is>
      </c>
      <c r="B1291" t="inlineStr">
        <is>
          <t>avverkningsanmälan</t>
        </is>
      </c>
      <c r="C1291" t="inlineStr">
        <is>
          <t>Föryngringsavverkning</t>
        </is>
      </c>
      <c r="D1291" s="1" t="n">
        <v>45362</v>
      </c>
      <c r="E1291" s="1" t="n">
        <v>46316</v>
      </c>
      <c r="F1291" t="inlineStr">
        <is>
          <t>KRONOBERGS LÄN</t>
        </is>
      </c>
      <c r="G1291" t="inlineStr">
        <is>
          <t>ALVESTA</t>
        </is>
      </c>
      <c r="I1291" t="n">
        <v>5.1</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16643-2024</t>
        </is>
      </c>
      <c r="B1292" t="inlineStr">
        <is>
          <t>avverkningsanmälan</t>
        </is>
      </c>
      <c r="C1292" t="inlineStr">
        <is>
          <t>Föryngringsavverkning</t>
        </is>
      </c>
      <c r="D1292" s="1" t="n">
        <v>45408</v>
      </c>
      <c r="E1292" s="1" t="n">
        <v>46316</v>
      </c>
      <c r="F1292" t="inlineStr">
        <is>
          <t>KRONOBERGS LÄN</t>
        </is>
      </c>
      <c r="G1292" t="inlineStr">
        <is>
          <t>UPPVIDINGE</t>
        </is>
      </c>
      <c r="I1292" t="n">
        <v>0.9</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43453-2024</t>
        </is>
      </c>
      <c r="B1293" t="inlineStr">
        <is>
          <t>avverkningsanmälan</t>
        </is>
      </c>
      <c r="C1293" t="inlineStr">
        <is>
          <t>Föryngringsavverkning</t>
        </is>
      </c>
      <c r="D1293" s="1" t="n">
        <v>45568</v>
      </c>
      <c r="E1293" s="1" t="n">
        <v>46316</v>
      </c>
      <c r="F1293" t="inlineStr">
        <is>
          <t>KRONOBERGS LÄN</t>
        </is>
      </c>
      <c r="G1293" t="inlineStr">
        <is>
          <t>LESSEBO</t>
        </is>
      </c>
      <c r="I1293" t="n">
        <v>3.3</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16655-2024</t>
        </is>
      </c>
      <c r="B1294" t="inlineStr">
        <is>
          <t>avverkningsanmälan</t>
        </is>
      </c>
      <c r="C1294" t="inlineStr">
        <is>
          <t>Föryngringsavverkning</t>
        </is>
      </c>
      <c r="D1294" s="1" t="n">
        <v>45408</v>
      </c>
      <c r="E1294" s="1" t="n">
        <v>46316</v>
      </c>
      <c r="F1294" t="inlineStr">
        <is>
          <t>KRONOBERGS LÄN</t>
        </is>
      </c>
      <c r="G1294" t="inlineStr">
        <is>
          <t>VÄXJÖ</t>
        </is>
      </c>
      <c r="I1294" t="n">
        <v>3.6</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25448-2025</t>
        </is>
      </c>
      <c r="B1295" t="inlineStr">
        <is>
          <t>avverkningsanmälan</t>
        </is>
      </c>
      <c r="C1295" t="inlineStr">
        <is>
          <t>Föryngringsavverkning</t>
        </is>
      </c>
      <c r="D1295" s="1" t="n">
        <v>45801</v>
      </c>
      <c r="E1295" s="1" t="n">
        <v>46316</v>
      </c>
      <c r="F1295" t="inlineStr">
        <is>
          <t>KRONOBERGS LÄN</t>
        </is>
      </c>
      <c r="G1295" t="inlineStr">
        <is>
          <t>UPPVIDINGE</t>
        </is>
      </c>
      <c r="I1295" t="n">
        <v>1.2</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47275-2024</t>
        </is>
      </c>
      <c r="B1296" t="inlineStr">
        <is>
          <t>avverkningsanmälan</t>
        </is>
      </c>
      <c r="C1296" t="inlineStr">
        <is>
          <t>Föryngringsavverkning</t>
        </is>
      </c>
      <c r="D1296" s="1" t="n">
        <v>45586</v>
      </c>
      <c r="E1296" s="1" t="n">
        <v>46316</v>
      </c>
      <c r="F1296" t="inlineStr">
        <is>
          <t>KRONOBERGS LÄN</t>
        </is>
      </c>
      <c r="G1296" t="inlineStr">
        <is>
          <t>VÄXJÖ</t>
        </is>
      </c>
      <c r="I1296" t="n">
        <v>0.8</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10189-2025</t>
        </is>
      </c>
      <c r="B1297" t="inlineStr">
        <is>
          <t>avverkningsanmälan</t>
        </is>
      </c>
      <c r="C1297" t="inlineStr">
        <is>
          <t>Föryngringsavverkning</t>
        </is>
      </c>
      <c r="D1297" s="1" t="n">
        <v>45719</v>
      </c>
      <c r="E1297" s="1" t="n">
        <v>46316</v>
      </c>
      <c r="F1297" t="inlineStr">
        <is>
          <t>KRONOBERGS LÄN</t>
        </is>
      </c>
      <c r="G1297" t="inlineStr">
        <is>
          <t>LJUNGBY</t>
        </is>
      </c>
      <c r="I1297" t="n">
        <v>2.6</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10216-2025</t>
        </is>
      </c>
      <c r="B1298" t="inlineStr">
        <is>
          <t>avverkningsanmälan</t>
        </is>
      </c>
      <c r="C1298" t="inlineStr">
        <is>
          <t>Föryngringsavverkning</t>
        </is>
      </c>
      <c r="D1298" s="1" t="n">
        <v>45720</v>
      </c>
      <c r="E1298" s="1" t="n">
        <v>46316</v>
      </c>
      <c r="F1298" t="inlineStr">
        <is>
          <t>KRONOBERGS LÄN</t>
        </is>
      </c>
      <c r="G1298" t="inlineStr">
        <is>
          <t>ÄLMHULT</t>
        </is>
      </c>
      <c r="I1298" t="n">
        <v>2.9</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25393-2025</t>
        </is>
      </c>
      <c r="B1299" t="inlineStr">
        <is>
          <t>avverkningsanmälan</t>
        </is>
      </c>
      <c r="C1299" t="inlineStr">
        <is>
          <t>Föryngringsavverkning</t>
        </is>
      </c>
      <c r="D1299" s="1" t="n">
        <v>45800</v>
      </c>
      <c r="E1299" s="1" t="n">
        <v>46316</v>
      </c>
      <c r="F1299" t="inlineStr">
        <is>
          <t>KRONOBERGS LÄN</t>
        </is>
      </c>
      <c r="G1299" t="inlineStr">
        <is>
          <t>ALVESTA</t>
        </is>
      </c>
      <c r="I1299" t="n">
        <v>0.8</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25593-2025</t>
        </is>
      </c>
      <c r="B1300" t="inlineStr">
        <is>
          <t>avverkningsanmälan</t>
        </is>
      </c>
      <c r="C1300" t="inlineStr">
        <is>
          <t>Föryngringsavverkning</t>
        </is>
      </c>
      <c r="D1300" s="1" t="n">
        <v>45803</v>
      </c>
      <c r="E1300" s="1" t="n">
        <v>46316</v>
      </c>
      <c r="F1300" t="inlineStr">
        <is>
          <t>KRONOBERGS LÄN</t>
        </is>
      </c>
      <c r="G1300" t="inlineStr">
        <is>
          <t>VÄXJÖ</t>
        </is>
      </c>
      <c r="I1300" t="n">
        <v>0.6</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7143-2025</t>
        </is>
      </c>
      <c r="B1301" t="inlineStr">
        <is>
          <t>avverkningsanmälan</t>
        </is>
      </c>
      <c r="C1301" t="inlineStr">
        <is>
          <t>Föryngringsavverkning</t>
        </is>
      </c>
      <c r="D1301" s="1" t="n">
        <v>45702</v>
      </c>
      <c r="E1301" s="1" t="n">
        <v>46316</v>
      </c>
      <c r="F1301" t="inlineStr">
        <is>
          <t>KRONOBERGS LÄN</t>
        </is>
      </c>
      <c r="G1301" t="inlineStr">
        <is>
          <t>ÄLMHULT</t>
        </is>
      </c>
      <c r="I1301" t="n">
        <v>1.2</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8173-2025</t>
        </is>
      </c>
      <c r="B1302" t="inlineStr">
        <is>
          <t>avverkningsanmälan</t>
        </is>
      </c>
      <c r="C1302" t="inlineStr">
        <is>
          <t>Avverkning för annat ändamål</t>
        </is>
      </c>
      <c r="D1302" s="1" t="n">
        <v>45708</v>
      </c>
      <c r="E1302" s="1" t="n">
        <v>46316</v>
      </c>
      <c r="F1302" t="inlineStr">
        <is>
          <t>KRONOBERGS LÄN</t>
        </is>
      </c>
      <c r="G1302" t="inlineStr">
        <is>
          <t>LESSEBO</t>
        </is>
      </c>
      <c r="I1302" t="n">
        <v>0.9</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25421-2025</t>
        </is>
      </c>
      <c r="B1303" t="inlineStr">
        <is>
          <t>avverkningsanmälan</t>
        </is>
      </c>
      <c r="C1303" t="inlineStr">
        <is>
          <t>Föryngringsavverkning</t>
        </is>
      </c>
      <c r="D1303" s="1" t="n">
        <v>45800</v>
      </c>
      <c r="E1303" s="1" t="n">
        <v>46316</v>
      </c>
      <c r="F1303" t="inlineStr">
        <is>
          <t>KRONOBERGS LÄN</t>
        </is>
      </c>
      <c r="G1303" t="inlineStr">
        <is>
          <t>MARKARYD</t>
        </is>
      </c>
      <c r="I1303" t="n">
        <v>1.7</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25423-2025</t>
        </is>
      </c>
      <c r="B1304" t="inlineStr">
        <is>
          <t>avverkningsanmälan</t>
        </is>
      </c>
      <c r="C1304" t="inlineStr">
        <is>
          <t>Föryngringsavverkning</t>
        </is>
      </c>
      <c r="D1304" s="1" t="n">
        <v>45800</v>
      </c>
      <c r="E1304" s="1" t="n">
        <v>46316</v>
      </c>
      <c r="F1304" t="inlineStr">
        <is>
          <t>KRONOBERGS LÄN</t>
        </is>
      </c>
      <c r="G1304" t="inlineStr">
        <is>
          <t>MARKARYD</t>
        </is>
      </c>
      <c r="I1304" t="n">
        <v>2.7</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42232-2024</t>
        </is>
      </c>
      <c r="B1305" t="inlineStr">
        <is>
          <t>avverkningsanmälan</t>
        </is>
      </c>
      <c r="C1305" t="inlineStr">
        <is>
          <t>Avverkning för annat ändamål</t>
        </is>
      </c>
      <c r="D1305" s="1" t="n">
        <v>45562</v>
      </c>
      <c r="E1305" s="1" t="n">
        <v>46316</v>
      </c>
      <c r="F1305" t="inlineStr">
        <is>
          <t>KRONOBERGS LÄN</t>
        </is>
      </c>
      <c r="G1305" t="inlineStr">
        <is>
          <t>LJUNGBY</t>
        </is>
      </c>
      <c r="I1305" t="n">
        <v>1.4</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21438-2025</t>
        </is>
      </c>
      <c r="B1306" t="inlineStr">
        <is>
          <t>avverkningsanmälan</t>
        </is>
      </c>
      <c r="C1306" t="inlineStr">
        <is>
          <t>Föryngringsavverkning</t>
        </is>
      </c>
      <c r="D1306" s="1" t="n">
        <v>45782</v>
      </c>
      <c r="E1306" s="1" t="n">
        <v>46316</v>
      </c>
      <c r="F1306" t="inlineStr">
        <is>
          <t>KRONOBERGS LÄN</t>
        </is>
      </c>
      <c r="G1306" t="inlineStr">
        <is>
          <t>ALVESTA</t>
        </is>
      </c>
      <c r="I1306" t="n">
        <v>3.1</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28015-2024</t>
        </is>
      </c>
      <c r="B1307" t="inlineStr">
        <is>
          <t>avverkningsanmälan</t>
        </is>
      </c>
      <c r="C1307" t="inlineStr">
        <is>
          <t>Föryngringsavverkning</t>
        </is>
      </c>
      <c r="D1307" s="1" t="n">
        <v>45476</v>
      </c>
      <c r="E1307" s="1" t="n">
        <v>46316</v>
      </c>
      <c r="F1307" t="inlineStr">
        <is>
          <t>KRONOBERGS LÄN</t>
        </is>
      </c>
      <c r="G1307" t="inlineStr">
        <is>
          <t>ALVESTA</t>
        </is>
      </c>
      <c r="I1307" t="n">
        <v>1.9</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25449-2025</t>
        </is>
      </c>
      <c r="B1308" t="inlineStr">
        <is>
          <t>avverkningsanmälan</t>
        </is>
      </c>
      <c r="C1308" t="inlineStr">
        <is>
          <t>Föryngringsavverkning</t>
        </is>
      </c>
      <c r="D1308" s="1" t="n">
        <v>45801</v>
      </c>
      <c r="E1308" s="1" t="n">
        <v>46316</v>
      </c>
      <c r="F1308" t="inlineStr">
        <is>
          <t>KRONOBERGS LÄN</t>
        </is>
      </c>
      <c r="G1308" t="inlineStr">
        <is>
          <t>UPPVIDINGE</t>
        </is>
      </c>
      <c r="I1308" t="n">
        <v>0.8</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37318-2023</t>
        </is>
      </c>
      <c r="B1309" t="inlineStr">
        <is>
          <t>avverkningsanmälan</t>
        </is>
      </c>
      <c r="C1309" t="inlineStr">
        <is>
          <t>Föryngringsavverkning</t>
        </is>
      </c>
      <c r="D1309" s="1" t="n">
        <v>45156</v>
      </c>
      <c r="E1309" s="1" t="n">
        <v>46316</v>
      </c>
      <c r="F1309" t="inlineStr">
        <is>
          <t>KRONOBERGS LÄN</t>
        </is>
      </c>
      <c r="G1309" t="inlineStr">
        <is>
          <t>LJUNGBY</t>
        </is>
      </c>
      <c r="I1309" t="n">
        <v>0.7</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5522-2023</t>
        </is>
      </c>
      <c r="B1310" t="inlineStr">
        <is>
          <t>avverkningsanmälan</t>
        </is>
      </c>
      <c r="C1310" t="inlineStr">
        <is>
          <t>Föryngringsavverkning</t>
        </is>
      </c>
      <c r="D1310" s="1" t="n">
        <v>44957</v>
      </c>
      <c r="E1310" s="1" t="n">
        <v>46316</v>
      </c>
      <c r="F1310" t="inlineStr">
        <is>
          <t>KRONOBERGS LÄN</t>
        </is>
      </c>
      <c r="G1310" t="inlineStr">
        <is>
          <t>ALVESTA</t>
        </is>
      </c>
      <c r="I1310" t="n">
        <v>4</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48026-2024</t>
        </is>
      </c>
      <c r="B1311" t="inlineStr">
        <is>
          <t>avverkningsanmälan</t>
        </is>
      </c>
      <c r="C1311" t="inlineStr">
        <is>
          <t>Föryngringsavverkning</t>
        </is>
      </c>
      <c r="D1311" s="1" t="n">
        <v>45589</v>
      </c>
      <c r="E1311" s="1" t="n">
        <v>46316</v>
      </c>
      <c r="F1311" t="inlineStr">
        <is>
          <t>KRONOBERGS LÄN</t>
        </is>
      </c>
      <c r="G1311" t="inlineStr">
        <is>
          <t>ÄLMHULT</t>
        </is>
      </c>
      <c r="I1311" t="n">
        <v>1.5</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2119-2024</t>
        </is>
      </c>
      <c r="B1312" t="inlineStr">
        <is>
          <t>avverkningsanmälan</t>
        </is>
      </c>
      <c r="C1312" t="inlineStr">
        <is>
          <t>Föryngringsavverkning</t>
        </is>
      </c>
      <c r="D1312" s="1" t="n">
        <v>45309</v>
      </c>
      <c r="E1312" s="1" t="n">
        <v>46316</v>
      </c>
      <c r="F1312" t="inlineStr">
        <is>
          <t>KRONOBERGS LÄN</t>
        </is>
      </c>
      <c r="G1312" t="inlineStr">
        <is>
          <t>VÄXJÖ</t>
        </is>
      </c>
      <c r="I1312" t="n">
        <v>2.4</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59366-2023</t>
        </is>
      </c>
      <c r="B1313" t="inlineStr">
        <is>
          <t>avverkningsanmälan</t>
        </is>
      </c>
      <c r="C1313" t="inlineStr">
        <is>
          <t>Föryngringsavverkning</t>
        </is>
      </c>
      <c r="D1313" s="1" t="n">
        <v>45253</v>
      </c>
      <c r="E1313" s="1" t="n">
        <v>46316</v>
      </c>
      <c r="F1313" t="inlineStr">
        <is>
          <t>KRONOBERGS LÄN</t>
        </is>
      </c>
      <c r="G1313" t="inlineStr">
        <is>
          <t>LJUNGBY</t>
        </is>
      </c>
      <c r="H1313" t="inlineStr">
        <is>
          <t>Kyrkan</t>
        </is>
      </c>
      <c r="I1313" t="n">
        <v>0.9</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8174-2025</t>
        </is>
      </c>
      <c r="B1314" t="inlineStr">
        <is>
          <t>avverkningsanmälan</t>
        </is>
      </c>
      <c r="C1314" t="inlineStr">
        <is>
          <t>Avverkning för annat ändamål</t>
        </is>
      </c>
      <c r="D1314" s="1" t="n">
        <v>45708</v>
      </c>
      <c r="E1314" s="1" t="n">
        <v>46316</v>
      </c>
      <c r="F1314" t="inlineStr">
        <is>
          <t>KRONOBERGS LÄN</t>
        </is>
      </c>
      <c r="G1314" t="inlineStr">
        <is>
          <t>LESSEBO</t>
        </is>
      </c>
      <c r="I1314" t="n">
        <v>4.2</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48682-2024</t>
        </is>
      </c>
      <c r="B1315" t="inlineStr">
        <is>
          <t>avverkningsanmälan</t>
        </is>
      </c>
      <c r="C1315" t="inlineStr">
        <is>
          <t>Föryngringsavverkning</t>
        </is>
      </c>
      <c r="D1315" s="1" t="n">
        <v>45593</v>
      </c>
      <c r="E1315" s="1" t="n">
        <v>46316</v>
      </c>
      <c r="F1315" t="inlineStr">
        <is>
          <t>KRONOBERGS LÄN</t>
        </is>
      </c>
      <c r="G1315" t="inlineStr">
        <is>
          <t>LJUNGBY</t>
        </is>
      </c>
      <c r="H1315" t="inlineStr">
        <is>
          <t>Sveaskog</t>
        </is>
      </c>
      <c r="I1315" t="n">
        <v>0.5</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47674-2022</t>
        </is>
      </c>
      <c r="B1316" t="inlineStr">
        <is>
          <t>avverkningsanmälan</t>
        </is>
      </c>
      <c r="C1316" t="inlineStr">
        <is>
          <t>Föryngringsavverkning</t>
        </is>
      </c>
      <c r="D1316" s="1" t="n">
        <v>44854</v>
      </c>
      <c r="E1316" s="1" t="n">
        <v>46316</v>
      </c>
      <c r="F1316" t="inlineStr">
        <is>
          <t>KRONOBERGS LÄN</t>
        </is>
      </c>
      <c r="G1316" t="inlineStr">
        <is>
          <t>VÄXJÖ</t>
        </is>
      </c>
      <c r="I1316" t="n">
        <v>5.6</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52168-2024</t>
        </is>
      </c>
      <c r="B1317" t="inlineStr">
        <is>
          <t>avverkningsanmälan</t>
        </is>
      </c>
      <c r="C1317" t="inlineStr">
        <is>
          <t>Föryngringsavverkning</t>
        </is>
      </c>
      <c r="D1317" s="1" t="n">
        <v>45608</v>
      </c>
      <c r="E1317" s="1" t="n">
        <v>46316</v>
      </c>
      <c r="F1317" t="inlineStr">
        <is>
          <t>KRONOBERGS LÄN</t>
        </is>
      </c>
      <c r="G1317" t="inlineStr">
        <is>
          <t>TINGSRYD</t>
        </is>
      </c>
      <c r="I1317" t="n">
        <v>5.1</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24524-2024</t>
        </is>
      </c>
      <c r="B1318" t="inlineStr">
        <is>
          <t>avverkningsanmälan</t>
        </is>
      </c>
      <c r="C1318" t="inlineStr">
        <is>
          <t>Föryngringsavverkning</t>
        </is>
      </c>
      <c r="D1318" s="1" t="n">
        <v>45460</v>
      </c>
      <c r="E1318" s="1" t="n">
        <v>46316</v>
      </c>
      <c r="F1318" t="inlineStr">
        <is>
          <t>KRONOBERGS LÄN</t>
        </is>
      </c>
      <c r="G1318" t="inlineStr">
        <is>
          <t>VÄXJÖ</t>
        </is>
      </c>
      <c r="I1318" t="n">
        <v>1.5</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25774-2024</t>
        </is>
      </c>
      <c r="B1319" t="inlineStr">
        <is>
          <t>avverkningsanmälan</t>
        </is>
      </c>
      <c r="C1319" t="inlineStr">
        <is>
          <t>Föryngringsavverkning</t>
        </is>
      </c>
      <c r="D1319" s="1" t="n">
        <v>45466</v>
      </c>
      <c r="E1319" s="1" t="n">
        <v>46316</v>
      </c>
      <c r="F1319" t="inlineStr">
        <is>
          <t>KRONOBERGS LÄN</t>
        </is>
      </c>
      <c r="G1319" t="inlineStr">
        <is>
          <t>TINGSRYD</t>
        </is>
      </c>
      <c r="I1319" t="n">
        <v>0.6</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62969-2023</t>
        </is>
      </c>
      <c r="B1320" t="inlineStr">
        <is>
          <t>avverkningsanmälan</t>
        </is>
      </c>
      <c r="C1320" t="inlineStr">
        <is>
          <t>Föryngringsavverkning</t>
        </is>
      </c>
      <c r="D1320" s="1" t="n">
        <v>45272</v>
      </c>
      <c r="E1320" s="1" t="n">
        <v>46316</v>
      </c>
      <c r="F1320" t="inlineStr">
        <is>
          <t>KRONOBERGS LÄN</t>
        </is>
      </c>
      <c r="G1320" t="inlineStr">
        <is>
          <t>ALVESTA</t>
        </is>
      </c>
      <c r="I1320" t="n">
        <v>0.5</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62975-2023</t>
        </is>
      </c>
      <c r="B1321" t="inlineStr">
        <is>
          <t>avverkningsanmälan</t>
        </is>
      </c>
      <c r="C1321" t="inlineStr">
        <is>
          <t>Föryngringsavverkning</t>
        </is>
      </c>
      <c r="D1321" s="1" t="n">
        <v>45272</v>
      </c>
      <c r="E1321" s="1" t="n">
        <v>46316</v>
      </c>
      <c r="F1321" t="inlineStr">
        <is>
          <t>KRONOBERGS LÄN</t>
        </is>
      </c>
      <c r="G1321" t="inlineStr">
        <is>
          <t>TINGSRYD</t>
        </is>
      </c>
      <c r="I1321" t="n">
        <v>6.5</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48414-2022</t>
        </is>
      </c>
      <c r="B1322" t="inlineStr">
        <is>
          <t>avverkningsanmälan</t>
        </is>
      </c>
      <c r="C1322" t="inlineStr">
        <is>
          <t>Föryngringsavverkning</t>
        </is>
      </c>
      <c r="D1322" s="1" t="n">
        <v>44858</v>
      </c>
      <c r="E1322" s="1" t="n">
        <v>46316</v>
      </c>
      <c r="F1322" t="inlineStr">
        <is>
          <t>KRONOBERGS LÄN</t>
        </is>
      </c>
      <c r="G1322" t="inlineStr">
        <is>
          <t>LJUNGBY</t>
        </is>
      </c>
      <c r="I1322" t="n">
        <v>5</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38765-2022</t>
        </is>
      </c>
      <c r="B1323" t="inlineStr">
        <is>
          <t>avverkningsanmälan</t>
        </is>
      </c>
      <c r="C1323" t="inlineStr">
        <is>
          <t>Föryngringsavverkning</t>
        </is>
      </c>
      <c r="D1323" s="1" t="n">
        <v>44816</v>
      </c>
      <c r="E1323" s="1" t="n">
        <v>46316</v>
      </c>
      <c r="F1323" t="inlineStr">
        <is>
          <t>KRONOBERGS LÄN</t>
        </is>
      </c>
      <c r="G1323" t="inlineStr">
        <is>
          <t>ALVESTA</t>
        </is>
      </c>
      <c r="I1323" t="n">
        <v>1.1</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887-2025</t>
        </is>
      </c>
      <c r="B1324" t="inlineStr">
        <is>
          <t>avverkningsanmälan</t>
        </is>
      </c>
      <c r="C1324" t="inlineStr">
        <is>
          <t>Föryngringsavverkning</t>
        </is>
      </c>
      <c r="D1324" s="1" t="n">
        <v>45665</v>
      </c>
      <c r="E1324" s="1" t="n">
        <v>46316</v>
      </c>
      <c r="F1324" t="inlineStr">
        <is>
          <t>KRONOBERGS LÄN</t>
        </is>
      </c>
      <c r="G1324" t="inlineStr">
        <is>
          <t>VÄXJÖ</t>
        </is>
      </c>
      <c r="I1324" t="n">
        <v>1.7</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24638-2024</t>
        </is>
      </c>
      <c r="B1325" t="inlineStr">
        <is>
          <t>avverkningsanmälan</t>
        </is>
      </c>
      <c r="C1325" t="inlineStr">
        <is>
          <t>Föryngringsavverkning</t>
        </is>
      </c>
      <c r="D1325" s="1" t="n">
        <v>45460</v>
      </c>
      <c r="E1325" s="1" t="n">
        <v>46316</v>
      </c>
      <c r="F1325" t="inlineStr">
        <is>
          <t>KRONOBERGS LÄN</t>
        </is>
      </c>
      <c r="G1325" t="inlineStr">
        <is>
          <t>ÄLMHULT</t>
        </is>
      </c>
      <c r="I1325" t="n">
        <v>1.1</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46-2023</t>
        </is>
      </c>
      <c r="B1326" t="inlineStr">
        <is>
          <t>avverkningsanmälan</t>
        </is>
      </c>
      <c r="C1326" t="inlineStr">
        <is>
          <t>Föryngringsavverkning</t>
        </is>
      </c>
      <c r="D1326" s="1" t="n">
        <v>44928</v>
      </c>
      <c r="E1326" s="1" t="n">
        <v>46316</v>
      </c>
      <c r="F1326" t="inlineStr">
        <is>
          <t>KRONOBERGS LÄN</t>
        </is>
      </c>
      <c r="G1326" t="inlineStr">
        <is>
          <t>TINGSRYD</t>
        </is>
      </c>
      <c r="I1326" t="n">
        <v>0.4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11541-2025</t>
        </is>
      </c>
      <c r="B1327" t="inlineStr">
        <is>
          <t>avverkningsanmälan</t>
        </is>
      </c>
      <c r="C1327" t="inlineStr">
        <is>
          <t>Föryngringsavverkning</t>
        </is>
      </c>
      <c r="D1327" s="1" t="n">
        <v>45727</v>
      </c>
      <c r="E1327" s="1" t="n">
        <v>46316</v>
      </c>
      <c r="F1327" t="inlineStr">
        <is>
          <t>KRONOBERGS LÄN</t>
        </is>
      </c>
      <c r="G1327" t="inlineStr">
        <is>
          <t>TINGSRYD</t>
        </is>
      </c>
      <c r="I1327" t="n">
        <v>10</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34130-2023</t>
        </is>
      </c>
      <c r="B1328" t="inlineStr">
        <is>
          <t>avverkningsanmälan</t>
        </is>
      </c>
      <c r="C1328" t="inlineStr">
        <is>
          <t>Föryngringsavverkning</t>
        </is>
      </c>
      <c r="D1328" s="1" t="n">
        <v>45135</v>
      </c>
      <c r="E1328" s="1" t="n">
        <v>46316</v>
      </c>
      <c r="F1328" t="inlineStr">
        <is>
          <t>KRONOBERGS LÄN</t>
        </is>
      </c>
      <c r="G1328" t="inlineStr">
        <is>
          <t>ALVESTA</t>
        </is>
      </c>
      <c r="I1328" t="n">
        <v>0.5</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49620-2023</t>
        </is>
      </c>
      <c r="B1329" t="inlineStr">
        <is>
          <t>avverkningsanmälan</t>
        </is>
      </c>
      <c r="C1329" t="inlineStr">
        <is>
          <t>Föryngringsavverkning</t>
        </is>
      </c>
      <c r="D1329" s="1" t="n">
        <v>45211</v>
      </c>
      <c r="E1329" s="1" t="n">
        <v>46316</v>
      </c>
      <c r="F1329" t="inlineStr">
        <is>
          <t>KRONOBERGS LÄN</t>
        </is>
      </c>
      <c r="G1329" t="inlineStr">
        <is>
          <t>VÄXJÖ</t>
        </is>
      </c>
      <c r="I1329" t="n">
        <v>2.7</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21484-2024</t>
        </is>
      </c>
      <c r="B1330" t="inlineStr">
        <is>
          <t>avverkningsanmälan</t>
        </is>
      </c>
      <c r="C1330" t="inlineStr">
        <is>
          <t>Föryngringsavverkning</t>
        </is>
      </c>
      <c r="D1330" s="1" t="n">
        <v>45441</v>
      </c>
      <c r="E1330" s="1" t="n">
        <v>46316</v>
      </c>
      <c r="F1330" t="inlineStr">
        <is>
          <t>KRONOBERGS LÄN</t>
        </is>
      </c>
      <c r="G1330" t="inlineStr">
        <is>
          <t>LJUNGBY</t>
        </is>
      </c>
      <c r="I1330" t="n">
        <v>2.6</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68681-2021</t>
        </is>
      </c>
      <c r="B1331" t="inlineStr">
        <is>
          <t>avverkningsanmälan</t>
        </is>
      </c>
      <c r="C1331" t="inlineStr">
        <is>
          <t>Föryngringsavverkning</t>
        </is>
      </c>
      <c r="D1331" s="1" t="n">
        <v>44529</v>
      </c>
      <c r="E1331" s="1" t="n">
        <v>46316</v>
      </c>
      <c r="F1331" t="inlineStr">
        <is>
          <t>KRONOBERGS LÄN</t>
        </is>
      </c>
      <c r="G1331" t="inlineStr">
        <is>
          <t>TINGSRYD</t>
        </is>
      </c>
      <c r="I1331" t="n">
        <v>1.5</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62714-2025</t>
        </is>
      </c>
      <c r="B1332" t="inlineStr">
        <is>
          <t>avverkningsanmälan</t>
        </is>
      </c>
      <c r="C1332" t="inlineStr">
        <is>
          <t>Föryngringsavverkning</t>
        </is>
      </c>
      <c r="D1332" s="1" t="n">
        <v>46008</v>
      </c>
      <c r="E1332" s="1" t="n">
        <v>46316</v>
      </c>
      <c r="F1332" t="inlineStr">
        <is>
          <t>KRONOBERGS LÄN</t>
        </is>
      </c>
      <c r="G1332" t="inlineStr">
        <is>
          <t>VÄXJÖ</t>
        </is>
      </c>
      <c r="I1332" t="n">
        <v>1.2</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62728-2025</t>
        </is>
      </c>
      <c r="B1333" t="inlineStr">
        <is>
          <t>avverkningsanmälan</t>
        </is>
      </c>
      <c r="C1333" t="inlineStr">
        <is>
          <t>Föryngringsavverkning</t>
        </is>
      </c>
      <c r="D1333" s="1" t="n">
        <v>46008</v>
      </c>
      <c r="E1333" s="1" t="n">
        <v>46316</v>
      </c>
      <c r="F1333" t="inlineStr">
        <is>
          <t>KRONOBERGS LÄN</t>
        </is>
      </c>
      <c r="G1333" t="inlineStr">
        <is>
          <t>LESSEBO</t>
        </is>
      </c>
      <c r="H1333" t="inlineStr">
        <is>
          <t>Sveaskog</t>
        </is>
      </c>
      <c r="I1333" t="n">
        <v>2.2</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53685-2022</t>
        </is>
      </c>
      <c r="B1334" t="inlineStr">
        <is>
          <t>avverkningsanmälan</t>
        </is>
      </c>
      <c r="C1334" t="inlineStr">
        <is>
          <t>Föryngringsavverkning</t>
        </is>
      </c>
      <c r="D1334" s="1" t="n">
        <v>44880</v>
      </c>
      <c r="E1334" s="1" t="n">
        <v>46316</v>
      </c>
      <c r="F1334" t="inlineStr">
        <is>
          <t>KRONOBERGS LÄN</t>
        </is>
      </c>
      <c r="G1334" t="inlineStr">
        <is>
          <t>VÄXJÖ</t>
        </is>
      </c>
      <c r="I1334" t="n">
        <v>5.3</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43656-2023</t>
        </is>
      </c>
      <c r="B1335" t="inlineStr">
        <is>
          <t>avverkningsanmälan</t>
        </is>
      </c>
      <c r="C1335" t="inlineStr">
        <is>
          <t>Föryngringsavverkning</t>
        </is>
      </c>
      <c r="D1335" s="1" t="n">
        <v>45187</v>
      </c>
      <c r="E1335" s="1" t="n">
        <v>46316</v>
      </c>
      <c r="F1335" t="inlineStr">
        <is>
          <t>KRONOBERGS LÄN</t>
        </is>
      </c>
      <c r="G1335" t="inlineStr">
        <is>
          <t>ALVESTA</t>
        </is>
      </c>
      <c r="I1335" t="n">
        <v>2</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418-2025</t>
        </is>
      </c>
      <c r="B1336" t="inlineStr">
        <is>
          <t>avverkningsanmälan</t>
        </is>
      </c>
      <c r="C1336" t="inlineStr">
        <is>
          <t>Föryngringsavverkning</t>
        </is>
      </c>
      <c r="D1336" s="1" t="n">
        <v>45663</v>
      </c>
      <c r="E1336" s="1" t="n">
        <v>46316</v>
      </c>
      <c r="F1336" t="inlineStr">
        <is>
          <t>KRONOBERGS LÄN</t>
        </is>
      </c>
      <c r="G1336" t="inlineStr">
        <is>
          <t>ÄLMHULT</t>
        </is>
      </c>
      <c r="I1336" t="n">
        <v>2.7</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61141-2024</t>
        </is>
      </c>
      <c r="B1337" t="inlineStr">
        <is>
          <t>avverkningsanmälan</t>
        </is>
      </c>
      <c r="C1337" t="inlineStr">
        <is>
          <t>Föryngringsavverkning</t>
        </is>
      </c>
      <c r="D1337" s="1" t="n">
        <v>45645</v>
      </c>
      <c r="E1337" s="1" t="n">
        <v>46316</v>
      </c>
      <c r="F1337" t="inlineStr">
        <is>
          <t>KRONOBERGS LÄN</t>
        </is>
      </c>
      <c r="G1337" t="inlineStr">
        <is>
          <t>LJUNGBY</t>
        </is>
      </c>
      <c r="I1337" t="n">
        <v>5.3</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59052-2021</t>
        </is>
      </c>
      <c r="B1338" t="inlineStr">
        <is>
          <t>avverkningsanmälan</t>
        </is>
      </c>
      <c r="C1338" t="inlineStr">
        <is>
          <t>Föryngringsavverkning</t>
        </is>
      </c>
      <c r="D1338" s="1" t="n">
        <v>44490</v>
      </c>
      <c r="E1338" s="1" t="n">
        <v>46316</v>
      </c>
      <c r="F1338" t="inlineStr">
        <is>
          <t>KRONOBERGS LÄN</t>
        </is>
      </c>
      <c r="G1338" t="inlineStr">
        <is>
          <t>ALVESTA</t>
        </is>
      </c>
      <c r="I1338" t="n">
        <v>1</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13841-2025</t>
        </is>
      </c>
      <c r="B1339" t="inlineStr">
        <is>
          <t>avverkningsanmälan</t>
        </is>
      </c>
      <c r="C1339" t="inlineStr">
        <is>
          <t>Föryngringsavverkning</t>
        </is>
      </c>
      <c r="D1339" s="1" t="n">
        <v>45737</v>
      </c>
      <c r="E1339" s="1" t="n">
        <v>46316</v>
      </c>
      <c r="F1339" t="inlineStr">
        <is>
          <t>KRONOBERGS LÄN</t>
        </is>
      </c>
      <c r="G1339" t="inlineStr">
        <is>
          <t>VÄXJÖ</t>
        </is>
      </c>
      <c r="I1339" t="n">
        <v>0.7</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26009-2025</t>
        </is>
      </c>
      <c r="B1340" t="inlineStr">
        <is>
          <t>avverkningsanmälan</t>
        </is>
      </c>
      <c r="C1340" t="inlineStr">
        <is>
          <t>Avverkning för annat ändamål</t>
        </is>
      </c>
      <c r="D1340" s="1" t="n">
        <v>45804</v>
      </c>
      <c r="E1340" s="1" t="n">
        <v>46316</v>
      </c>
      <c r="F1340" t="inlineStr">
        <is>
          <t>KRONOBERGS LÄN</t>
        </is>
      </c>
      <c r="G1340" t="inlineStr">
        <is>
          <t>UPPVIDINGE</t>
        </is>
      </c>
      <c r="I1340" t="n">
        <v>4</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12221-2023</t>
        </is>
      </c>
      <c r="B1341" t="inlineStr">
        <is>
          <t>avverkningsanmälan</t>
        </is>
      </c>
      <c r="C1341" t="inlineStr">
        <is>
          <t>Föryngringsavverkning</t>
        </is>
      </c>
      <c r="D1341" s="1" t="n">
        <v>44998</v>
      </c>
      <c r="E1341" s="1" t="n">
        <v>46316</v>
      </c>
      <c r="F1341" t="inlineStr">
        <is>
          <t>KRONOBERGS LÄN</t>
        </is>
      </c>
      <c r="G1341" t="inlineStr">
        <is>
          <t>ÄLMHULT</t>
        </is>
      </c>
      <c r="H1341" t="inlineStr">
        <is>
          <t>Sveaskog</t>
        </is>
      </c>
      <c r="I1341" t="n">
        <v>9.300000000000001</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15930-2025</t>
        </is>
      </c>
      <c r="B1342" t="inlineStr">
        <is>
          <t>avverkningsanmälan</t>
        </is>
      </c>
      <c r="C1342" t="inlineStr">
        <is>
          <t>Föryngringsavverkning</t>
        </is>
      </c>
      <c r="D1342" s="1" t="n">
        <v>45749</v>
      </c>
      <c r="E1342" s="1" t="n">
        <v>46316</v>
      </c>
      <c r="F1342" t="inlineStr">
        <is>
          <t>KRONOBERGS LÄN</t>
        </is>
      </c>
      <c r="G1342" t="inlineStr">
        <is>
          <t>VÄXJÖ</t>
        </is>
      </c>
      <c r="I1342" t="n">
        <v>0.6</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58704-2022</t>
        </is>
      </c>
      <c r="B1343" t="inlineStr">
        <is>
          <t>avverkningsanmälan</t>
        </is>
      </c>
      <c r="C1343" t="inlineStr">
        <is>
          <t>Föryngringsavverkning</t>
        </is>
      </c>
      <c r="D1343" s="1" t="n">
        <v>44902</v>
      </c>
      <c r="E1343" s="1" t="n">
        <v>46316</v>
      </c>
      <c r="F1343" t="inlineStr">
        <is>
          <t>KRONOBERGS LÄN</t>
        </is>
      </c>
      <c r="G1343" t="inlineStr">
        <is>
          <t>UPPVIDINGE</t>
        </is>
      </c>
      <c r="I1343" t="n">
        <v>2.6</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9531-2025</t>
        </is>
      </c>
      <c r="B1344" t="inlineStr">
        <is>
          <t>avverkningsanmälan</t>
        </is>
      </c>
      <c r="C1344" t="inlineStr">
        <is>
          <t>Föryngringsavverkning</t>
        </is>
      </c>
      <c r="D1344" s="1" t="n">
        <v>45715</v>
      </c>
      <c r="E1344" s="1" t="n">
        <v>46316</v>
      </c>
      <c r="F1344" t="inlineStr">
        <is>
          <t>KRONOBERGS LÄN</t>
        </is>
      </c>
      <c r="G1344" t="inlineStr">
        <is>
          <t>LJUNGBY</t>
        </is>
      </c>
      <c r="I1344" t="n">
        <v>1.1</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63228-2025</t>
        </is>
      </c>
      <c r="B1345" t="inlineStr">
        <is>
          <t>avverkningsanmälan</t>
        </is>
      </c>
      <c r="C1345" t="inlineStr">
        <is>
          <t>Föryngringsavverkning</t>
        </is>
      </c>
      <c r="D1345" s="1" t="n">
        <v>46010</v>
      </c>
      <c r="E1345" s="1" t="n">
        <v>46316</v>
      </c>
      <c r="F1345" t="inlineStr">
        <is>
          <t>KRONOBERGS LÄN</t>
        </is>
      </c>
      <c r="G1345" t="inlineStr">
        <is>
          <t>VÄXJÖ</t>
        </is>
      </c>
      <c r="I1345" t="n">
        <v>1.5</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63240-2025</t>
        </is>
      </c>
      <c r="B1346" t="inlineStr">
        <is>
          <t>avverkningsanmälan</t>
        </is>
      </c>
      <c r="C1346" t="inlineStr">
        <is>
          <t>Föryngringsavverkning</t>
        </is>
      </c>
      <c r="D1346" s="1" t="n">
        <v>46010</v>
      </c>
      <c r="E1346" s="1" t="n">
        <v>46316</v>
      </c>
      <c r="F1346" t="inlineStr">
        <is>
          <t>KRONOBERGS LÄN</t>
        </is>
      </c>
      <c r="G1346" t="inlineStr">
        <is>
          <t>VÄXJÖ</t>
        </is>
      </c>
      <c r="I1346" t="n">
        <v>2.9</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10047-2024</t>
        </is>
      </c>
      <c r="B1347" t="inlineStr">
        <is>
          <t>avverkningsanmälan</t>
        </is>
      </c>
      <c r="C1347" t="inlineStr">
        <is>
          <t>Föryngringsavverkning</t>
        </is>
      </c>
      <c r="D1347" s="1" t="n">
        <v>45364</v>
      </c>
      <c r="E1347" s="1" t="n">
        <v>46316</v>
      </c>
      <c r="F1347" t="inlineStr">
        <is>
          <t>KRONOBERGS LÄN</t>
        </is>
      </c>
      <c r="G1347" t="inlineStr">
        <is>
          <t>LESSEBO</t>
        </is>
      </c>
      <c r="H1347" t="inlineStr">
        <is>
          <t>Övriga Aktiebolag</t>
        </is>
      </c>
      <c r="I1347" t="n">
        <v>1.5</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11172-2023</t>
        </is>
      </c>
      <c r="B1348" t="inlineStr">
        <is>
          <t>avverkningsanmälan</t>
        </is>
      </c>
      <c r="C1348" t="inlineStr">
        <is>
          <t>Föryngringsavverkning</t>
        </is>
      </c>
      <c r="D1348" s="1" t="n">
        <v>44992</v>
      </c>
      <c r="E1348" s="1" t="n">
        <v>46316</v>
      </c>
      <c r="F1348" t="inlineStr">
        <is>
          <t>KRONOBERGS LÄN</t>
        </is>
      </c>
      <c r="G1348" t="inlineStr">
        <is>
          <t>MARKARYD</t>
        </is>
      </c>
      <c r="I1348" t="n">
        <v>1.6</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27334-2025</t>
        </is>
      </c>
      <c r="B1349" t="inlineStr">
        <is>
          <t>avverkningsanmälan</t>
        </is>
      </c>
      <c r="C1349" t="inlineStr">
        <is>
          <t>Avverkning för annat ändamål</t>
        </is>
      </c>
      <c r="D1349" s="1" t="n">
        <v>45812</v>
      </c>
      <c r="E1349" s="1" t="n">
        <v>46316</v>
      </c>
      <c r="F1349" t="inlineStr">
        <is>
          <t>KRONOBERGS LÄN</t>
        </is>
      </c>
      <c r="G1349" t="inlineStr">
        <is>
          <t>ÄLMHULT</t>
        </is>
      </c>
      <c r="I1349" t="n">
        <v>1.5</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11219-2025</t>
        </is>
      </c>
      <c r="B1350" t="inlineStr">
        <is>
          <t>avverkningsanmälan</t>
        </is>
      </c>
      <c r="C1350" t="inlineStr">
        <is>
          <t>Föryngringsavverkning</t>
        </is>
      </c>
      <c r="D1350" s="1" t="n">
        <v>45726</v>
      </c>
      <c r="E1350" s="1" t="n">
        <v>46316</v>
      </c>
      <c r="F1350" t="inlineStr">
        <is>
          <t>KRONOBERGS LÄN</t>
        </is>
      </c>
      <c r="G1350" t="inlineStr">
        <is>
          <t>TINGSRYD</t>
        </is>
      </c>
      <c r="I1350" t="n">
        <v>1.4</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38476-2025</t>
        </is>
      </c>
      <c r="B1351" t="inlineStr">
        <is>
          <t>avverkningsanmälan</t>
        </is>
      </c>
      <c r="C1351" t="inlineStr">
        <is>
          <t>Föryngringsavverkning</t>
        </is>
      </c>
      <c r="D1351" s="1" t="n">
        <v>45884</v>
      </c>
      <c r="E1351" s="1" t="n">
        <v>46316</v>
      </c>
      <c r="F1351" t="inlineStr">
        <is>
          <t>KRONOBERGS LÄN</t>
        </is>
      </c>
      <c r="G1351" t="inlineStr">
        <is>
          <t>ÄLMHULT</t>
        </is>
      </c>
      <c r="I1351" t="n">
        <v>0.5</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22581-2024</t>
        </is>
      </c>
      <c r="B1352" t="inlineStr">
        <is>
          <t>avverkningsanmälan</t>
        </is>
      </c>
      <c r="C1352" t="inlineStr">
        <is>
          <t>Föryngringsavverkning</t>
        </is>
      </c>
      <c r="D1352" s="1" t="n">
        <v>45447</v>
      </c>
      <c r="E1352" s="1" t="n">
        <v>46316</v>
      </c>
      <c r="F1352" t="inlineStr">
        <is>
          <t>KRONOBERGS LÄN</t>
        </is>
      </c>
      <c r="G1352" t="inlineStr">
        <is>
          <t>TINGSRYD</t>
        </is>
      </c>
      <c r="I1352" t="n">
        <v>4.1</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63355-2025</t>
        </is>
      </c>
      <c r="B1353" t="inlineStr">
        <is>
          <t>avverkningsanmälan</t>
        </is>
      </c>
      <c r="C1353" t="inlineStr">
        <is>
          <t>Föryngringsavverkning</t>
        </is>
      </c>
      <c r="D1353" s="1" t="n">
        <v>46010</v>
      </c>
      <c r="E1353" s="1" t="n">
        <v>46316</v>
      </c>
      <c r="F1353" t="inlineStr">
        <is>
          <t>KRONOBERGS LÄN</t>
        </is>
      </c>
      <c r="G1353" t="inlineStr">
        <is>
          <t>VÄXJÖ</t>
        </is>
      </c>
      <c r="I1353" t="n">
        <v>2.2</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26381-2022</t>
        </is>
      </c>
      <c r="B1354" t="inlineStr">
        <is>
          <t>avverkningsanmälan</t>
        </is>
      </c>
      <c r="C1354" t="inlineStr">
        <is>
          <t>Föryngringsavverkning</t>
        </is>
      </c>
      <c r="D1354" s="1" t="n">
        <v>44735</v>
      </c>
      <c r="E1354" s="1" t="n">
        <v>46316</v>
      </c>
      <c r="F1354" t="inlineStr">
        <is>
          <t>KRONOBERGS LÄN</t>
        </is>
      </c>
      <c r="G1354" t="inlineStr">
        <is>
          <t>ALVESTA</t>
        </is>
      </c>
      <c r="I1354" t="n">
        <v>3.4</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57948-2023</t>
        </is>
      </c>
      <c r="B1355" t="inlineStr">
        <is>
          <t>avverkningsanmälan</t>
        </is>
      </c>
      <c r="C1355" t="inlineStr">
        <is>
          <t>Föryngringsavverkning</t>
        </is>
      </c>
      <c r="D1355" s="1" t="n">
        <v>45247</v>
      </c>
      <c r="E1355" s="1" t="n">
        <v>46316</v>
      </c>
      <c r="F1355" t="inlineStr">
        <is>
          <t>KRONOBERGS LÄN</t>
        </is>
      </c>
      <c r="G1355" t="inlineStr">
        <is>
          <t>ALVESTA</t>
        </is>
      </c>
      <c r="I1355" t="n">
        <v>0.5</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57955-2023</t>
        </is>
      </c>
      <c r="B1356" t="inlineStr">
        <is>
          <t>avverkningsanmälan</t>
        </is>
      </c>
      <c r="C1356" t="inlineStr">
        <is>
          <t>Föryngringsavverkning</t>
        </is>
      </c>
      <c r="D1356" s="1" t="n">
        <v>45247</v>
      </c>
      <c r="E1356" s="1" t="n">
        <v>46316</v>
      </c>
      <c r="F1356" t="inlineStr">
        <is>
          <t>KRONOBERGS LÄN</t>
        </is>
      </c>
      <c r="G1356" t="inlineStr">
        <is>
          <t>TINGSRYD</t>
        </is>
      </c>
      <c r="I1356" t="n">
        <v>0.5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26072-2025</t>
        </is>
      </c>
      <c r="B1357" t="inlineStr">
        <is>
          <t>avverkningsanmälan</t>
        </is>
      </c>
      <c r="C1357" t="inlineStr">
        <is>
          <t>Avverkning för annat ändamål</t>
        </is>
      </c>
      <c r="D1357" s="1" t="n">
        <v>45805</v>
      </c>
      <c r="E1357" s="1" t="n">
        <v>46316</v>
      </c>
      <c r="F1357" t="inlineStr">
        <is>
          <t>KRONOBERGS LÄN</t>
        </is>
      </c>
      <c r="G1357" t="inlineStr">
        <is>
          <t>VÄXJÖ</t>
        </is>
      </c>
      <c r="I1357" t="n">
        <v>0.4</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63521-2025</t>
        </is>
      </c>
      <c r="B1358" t="inlineStr">
        <is>
          <t>avverkningsanmälan</t>
        </is>
      </c>
      <c r="C1358" t="inlineStr">
        <is>
          <t>Föryngringsavverkning</t>
        </is>
      </c>
      <c r="D1358" s="1" t="n">
        <v>46013</v>
      </c>
      <c r="E1358" s="1" t="n">
        <v>46316</v>
      </c>
      <c r="F1358" t="inlineStr">
        <is>
          <t>KRONOBERGS LÄN</t>
        </is>
      </c>
      <c r="G1358" t="inlineStr">
        <is>
          <t>UPPVIDINGE</t>
        </is>
      </c>
      <c r="I1358" t="n">
        <v>1.2</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60163-2022</t>
        </is>
      </c>
      <c r="B1359" t="inlineStr">
        <is>
          <t>avverkningsanmälan</t>
        </is>
      </c>
      <c r="C1359" t="inlineStr">
        <is>
          <t>Föryngringsavverkning</t>
        </is>
      </c>
      <c r="D1359" s="1" t="n">
        <v>44909</v>
      </c>
      <c r="E1359" s="1" t="n">
        <v>46316</v>
      </c>
      <c r="F1359" t="inlineStr">
        <is>
          <t>KRONOBERGS LÄN</t>
        </is>
      </c>
      <c r="G1359" t="inlineStr">
        <is>
          <t>VÄXJÖ</t>
        </is>
      </c>
      <c r="I1359" t="n">
        <v>0.8</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42669-2023</t>
        </is>
      </c>
      <c r="B1360" t="inlineStr">
        <is>
          <t>avverkningsanmälan</t>
        </is>
      </c>
      <c r="C1360" t="inlineStr">
        <is>
          <t>Föryngringsavverkning</t>
        </is>
      </c>
      <c r="D1360" s="1" t="n">
        <v>45181</v>
      </c>
      <c r="E1360" s="1" t="n">
        <v>46316</v>
      </c>
      <c r="F1360" t="inlineStr">
        <is>
          <t>KRONOBERGS LÄN</t>
        </is>
      </c>
      <c r="G1360" t="inlineStr">
        <is>
          <t>LJUNGBY</t>
        </is>
      </c>
      <c r="I1360" t="n">
        <v>3.3</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1781-2025</t>
        </is>
      </c>
      <c r="B1361" t="inlineStr">
        <is>
          <t>avverkningsanmälan</t>
        </is>
      </c>
      <c r="C1361" t="inlineStr">
        <is>
          <t>Föryngringsavverkning</t>
        </is>
      </c>
      <c r="D1361" s="1" t="n">
        <v>45671</v>
      </c>
      <c r="E1361" s="1" t="n">
        <v>46316</v>
      </c>
      <c r="F1361" t="inlineStr">
        <is>
          <t>KRONOBERGS LÄN</t>
        </is>
      </c>
      <c r="G1361" t="inlineStr">
        <is>
          <t>TINGSRYD</t>
        </is>
      </c>
      <c r="I1361" t="n">
        <v>2.9</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618-2023</t>
        </is>
      </c>
      <c r="B1362" t="inlineStr">
        <is>
          <t>avverkningsanmälan</t>
        </is>
      </c>
      <c r="C1362" t="inlineStr">
        <is>
          <t>Föryngringsavverkning</t>
        </is>
      </c>
      <c r="D1362" s="1" t="n">
        <v>44930</v>
      </c>
      <c r="E1362" s="1" t="n">
        <v>46316</v>
      </c>
      <c r="F1362" t="inlineStr">
        <is>
          <t>KRONOBERGS LÄN</t>
        </is>
      </c>
      <c r="G1362" t="inlineStr">
        <is>
          <t>TINGSRYD</t>
        </is>
      </c>
      <c r="I1362" t="n">
        <v>2.1</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47243-2022</t>
        </is>
      </c>
      <c r="B1363" t="inlineStr">
        <is>
          <t>avverkningsanmälan</t>
        </is>
      </c>
      <c r="C1363" t="inlineStr">
        <is>
          <t>Föryngringsavverkning</t>
        </is>
      </c>
      <c r="D1363" s="1" t="n">
        <v>44852</v>
      </c>
      <c r="E1363" s="1" t="n">
        <v>46316</v>
      </c>
      <c r="F1363" t="inlineStr">
        <is>
          <t>KRONOBERGS LÄN</t>
        </is>
      </c>
      <c r="G1363" t="inlineStr">
        <is>
          <t>LJUNGBY</t>
        </is>
      </c>
      <c r="I1363" t="n">
        <v>1</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63413-2025</t>
        </is>
      </c>
      <c r="B1364" t="inlineStr">
        <is>
          <t>avverkningsanmälan</t>
        </is>
      </c>
      <c r="C1364" t="inlineStr">
        <is>
          <t>Föryngringsavverkning</t>
        </is>
      </c>
      <c r="D1364" s="1" t="n">
        <v>46013</v>
      </c>
      <c r="E1364" s="1" t="n">
        <v>46316</v>
      </c>
      <c r="F1364" t="inlineStr">
        <is>
          <t>KRONOBERGS LÄN</t>
        </is>
      </c>
      <c r="G1364" t="inlineStr">
        <is>
          <t>ALVESTA</t>
        </is>
      </c>
      <c r="I1364" t="n">
        <v>2.1</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4412-2025</t>
        </is>
      </c>
      <c r="B1365" t="inlineStr">
        <is>
          <t>avverkningsanmälan</t>
        </is>
      </c>
      <c r="C1365" t="inlineStr">
        <is>
          <t>Föryngringsavverkning</t>
        </is>
      </c>
      <c r="D1365" s="1" t="n">
        <v>45686</v>
      </c>
      <c r="E1365" s="1" t="n">
        <v>46316</v>
      </c>
      <c r="F1365" t="inlineStr">
        <is>
          <t>KRONOBERGS LÄN</t>
        </is>
      </c>
      <c r="G1365" t="inlineStr">
        <is>
          <t>VÄXJÖ</t>
        </is>
      </c>
      <c r="I1365" t="n">
        <v>1</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54397-2023</t>
        </is>
      </c>
      <c r="B1366" t="inlineStr">
        <is>
          <t>avverkningsanmälan</t>
        </is>
      </c>
      <c r="C1366" t="inlineStr">
        <is>
          <t>Föryngringsavverkning</t>
        </is>
      </c>
      <c r="D1366" s="1" t="n">
        <v>45233</v>
      </c>
      <c r="E1366" s="1" t="n">
        <v>46316</v>
      </c>
      <c r="F1366" t="inlineStr">
        <is>
          <t>KRONOBERGS LÄN</t>
        </is>
      </c>
      <c r="G1366" t="inlineStr">
        <is>
          <t>VÄXJÖ</t>
        </is>
      </c>
      <c r="I1366" t="n">
        <v>2.2</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37189-2023</t>
        </is>
      </c>
      <c r="B1367" t="inlineStr">
        <is>
          <t>avverkningsanmälan</t>
        </is>
      </c>
      <c r="C1367" t="inlineStr">
        <is>
          <t>Föryngringsavverkning</t>
        </is>
      </c>
      <c r="D1367" s="1" t="n">
        <v>45155</v>
      </c>
      <c r="E1367" s="1" t="n">
        <v>46316</v>
      </c>
      <c r="F1367" t="inlineStr">
        <is>
          <t>KRONOBERGS LÄN</t>
        </is>
      </c>
      <c r="G1367" t="inlineStr">
        <is>
          <t>TINGSRYD</t>
        </is>
      </c>
      <c r="I1367" t="n">
        <v>0.5</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37195-2023</t>
        </is>
      </c>
      <c r="B1368" t="inlineStr">
        <is>
          <t>avverkningsanmälan</t>
        </is>
      </c>
      <c r="C1368" t="inlineStr">
        <is>
          <t>Föryngringsavverkning</t>
        </is>
      </c>
      <c r="D1368" s="1" t="n">
        <v>45155</v>
      </c>
      <c r="E1368" s="1" t="n">
        <v>46316</v>
      </c>
      <c r="F1368" t="inlineStr">
        <is>
          <t>KRONOBERGS LÄN</t>
        </is>
      </c>
      <c r="G1368" t="inlineStr">
        <is>
          <t>TINGSRYD</t>
        </is>
      </c>
      <c r="I1368" t="n">
        <v>0.5</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63520-2025</t>
        </is>
      </c>
      <c r="B1369" t="inlineStr">
        <is>
          <t>avverkningsanmälan</t>
        </is>
      </c>
      <c r="C1369" t="inlineStr">
        <is>
          <t>Föryngringsavverkning</t>
        </is>
      </c>
      <c r="D1369" s="1" t="n">
        <v>46013</v>
      </c>
      <c r="E1369" s="1" t="n">
        <v>46316</v>
      </c>
      <c r="F1369" t="inlineStr">
        <is>
          <t>KRONOBERGS LÄN</t>
        </is>
      </c>
      <c r="G1369" t="inlineStr">
        <is>
          <t>UPPVIDINGE</t>
        </is>
      </c>
      <c r="I1369" t="n">
        <v>0.8</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2114-2024</t>
        </is>
      </c>
      <c r="B1370" t="inlineStr">
        <is>
          <t>avverkningsanmälan</t>
        </is>
      </c>
      <c r="C1370" t="inlineStr">
        <is>
          <t>Föryngringsavverkning</t>
        </is>
      </c>
      <c r="D1370" s="1" t="n">
        <v>45309</v>
      </c>
      <c r="E1370" s="1" t="n">
        <v>46316</v>
      </c>
      <c r="F1370" t="inlineStr">
        <is>
          <t>KRONOBERGS LÄN</t>
        </is>
      </c>
      <c r="G1370" t="inlineStr">
        <is>
          <t>VÄXJÖ</t>
        </is>
      </c>
      <c r="I1370" t="n">
        <v>0.8</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785-2022</t>
        </is>
      </c>
      <c r="B1371" t="inlineStr">
        <is>
          <t>avverkningsanmälan</t>
        </is>
      </c>
      <c r="C1371" t="inlineStr">
        <is>
          <t>Föryngringsavverkning</t>
        </is>
      </c>
      <c r="D1371" s="1" t="n">
        <v>44570</v>
      </c>
      <c r="E1371" s="1" t="n">
        <v>46316</v>
      </c>
      <c r="F1371" t="inlineStr">
        <is>
          <t>KRONOBERGS LÄN</t>
        </is>
      </c>
      <c r="G1371" t="inlineStr">
        <is>
          <t>TINGSRYD</t>
        </is>
      </c>
      <c r="I1371" t="n">
        <v>0.6</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63468-2025</t>
        </is>
      </c>
      <c r="B1372" t="inlineStr">
        <is>
          <t>avverkningsanmälan</t>
        </is>
      </c>
      <c r="C1372" t="inlineStr">
        <is>
          <t>Föryngringsavverkning</t>
        </is>
      </c>
      <c r="D1372" s="1" t="n">
        <v>46013</v>
      </c>
      <c r="E1372" s="1" t="n">
        <v>46316</v>
      </c>
      <c r="F1372" t="inlineStr">
        <is>
          <t>KRONOBERGS LÄN</t>
        </is>
      </c>
      <c r="G1372" t="inlineStr">
        <is>
          <t>MARKARYD</t>
        </is>
      </c>
      <c r="I1372" t="n">
        <v>1.4</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11777-2022</t>
        </is>
      </c>
      <c r="B1373" t="inlineStr">
        <is>
          <t>avverkningsanmälan</t>
        </is>
      </c>
      <c r="C1373" t="inlineStr">
        <is>
          <t>Föryngringsavverkning</t>
        </is>
      </c>
      <c r="D1373" s="1" t="n">
        <v>44634</v>
      </c>
      <c r="E1373" s="1" t="n">
        <v>46316</v>
      </c>
      <c r="F1373" t="inlineStr">
        <is>
          <t>KRONOBERGS LÄN</t>
        </is>
      </c>
      <c r="G1373" t="inlineStr">
        <is>
          <t>LJUNGBY</t>
        </is>
      </c>
      <c r="I1373" t="n">
        <v>0.5</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63466-2025</t>
        </is>
      </c>
      <c r="B1374" t="inlineStr">
        <is>
          <t>avverkningsanmälan</t>
        </is>
      </c>
      <c r="C1374" t="inlineStr">
        <is>
          <t>Föryngringsavverkning</t>
        </is>
      </c>
      <c r="D1374" s="1" t="n">
        <v>46013</v>
      </c>
      <c r="E1374" s="1" t="n">
        <v>46316</v>
      </c>
      <c r="F1374" t="inlineStr">
        <is>
          <t>KRONOBERGS LÄN</t>
        </is>
      </c>
      <c r="G1374" t="inlineStr">
        <is>
          <t>MARKARYD</t>
        </is>
      </c>
      <c r="I1374" t="n">
        <v>1.6</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63462-2025</t>
        </is>
      </c>
      <c r="B1375" t="inlineStr">
        <is>
          <t>avverkningsanmälan</t>
        </is>
      </c>
      <c r="C1375" t="inlineStr">
        <is>
          <t>Föryngringsavverkning</t>
        </is>
      </c>
      <c r="D1375" s="1" t="n">
        <v>46013</v>
      </c>
      <c r="E1375" s="1" t="n">
        <v>46316</v>
      </c>
      <c r="F1375" t="inlineStr">
        <is>
          <t>KRONOBERGS LÄN</t>
        </is>
      </c>
      <c r="G1375" t="inlineStr">
        <is>
          <t>MARKARYD</t>
        </is>
      </c>
      <c r="I1375" t="n">
        <v>5.3</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859-2025</t>
        </is>
      </c>
      <c r="B1376" t="inlineStr">
        <is>
          <t>avverkningsanmälan</t>
        </is>
      </c>
      <c r="C1376" t="inlineStr">
        <is>
          <t>Avverkning för att bevara och utveckla /försöksver</t>
        </is>
      </c>
      <c r="D1376" s="1" t="n">
        <v>45665</v>
      </c>
      <c r="E1376" s="1" t="n">
        <v>46316</v>
      </c>
      <c r="F1376" t="inlineStr">
        <is>
          <t>KRONOBERGS LÄN</t>
        </is>
      </c>
      <c r="G1376" t="inlineStr">
        <is>
          <t>LESSEBO</t>
        </is>
      </c>
      <c r="H1376" t="inlineStr">
        <is>
          <t>Sveaskog</t>
        </is>
      </c>
      <c r="I1376" t="n">
        <v>2.5</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59294-2023</t>
        </is>
      </c>
      <c r="B1377" t="inlineStr">
        <is>
          <t>avverkningsanmälan</t>
        </is>
      </c>
      <c r="C1377" t="inlineStr">
        <is>
          <t>Föryngringsavverkning</t>
        </is>
      </c>
      <c r="D1377" s="1" t="n">
        <v>45253</v>
      </c>
      <c r="E1377" s="1" t="n">
        <v>46316</v>
      </c>
      <c r="F1377" t="inlineStr">
        <is>
          <t>KRONOBERGS LÄN</t>
        </is>
      </c>
      <c r="G1377" t="inlineStr">
        <is>
          <t>VÄXJÖ</t>
        </is>
      </c>
      <c r="I1377" t="n">
        <v>1.7</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59202-2024</t>
        </is>
      </c>
      <c r="B1378" t="inlineStr">
        <is>
          <t>avverkningsanmälan</t>
        </is>
      </c>
      <c r="C1378" t="inlineStr">
        <is>
          <t>Föryngringsavverkning</t>
        </is>
      </c>
      <c r="D1378" s="1" t="n">
        <v>45637</v>
      </c>
      <c r="E1378" s="1" t="n">
        <v>46316</v>
      </c>
      <c r="F1378" t="inlineStr">
        <is>
          <t>KRONOBERGS LÄN</t>
        </is>
      </c>
      <c r="G1378" t="inlineStr">
        <is>
          <t>ÄLMHULT</t>
        </is>
      </c>
      <c r="I1378" t="n">
        <v>3.8</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25598-2023</t>
        </is>
      </c>
      <c r="B1379" t="inlineStr">
        <is>
          <t>avverkningsanmälan</t>
        </is>
      </c>
      <c r="C1379" t="inlineStr">
        <is>
          <t>Föryngringsavverkning</t>
        </is>
      </c>
      <c r="D1379" s="1" t="n">
        <v>45089</v>
      </c>
      <c r="E1379" s="1" t="n">
        <v>46316</v>
      </c>
      <c r="F1379" t="inlineStr">
        <is>
          <t>KRONOBERGS LÄN</t>
        </is>
      </c>
      <c r="G1379" t="inlineStr">
        <is>
          <t>ALVESTA</t>
        </is>
      </c>
      <c r="I1379" t="n">
        <v>1.4</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73827-2021</t>
        </is>
      </c>
      <c r="B1380" t="inlineStr">
        <is>
          <t>avverkningsanmälan</t>
        </is>
      </c>
      <c r="C1380" t="inlineStr">
        <is>
          <t>Föryngringsavverkning</t>
        </is>
      </c>
      <c r="D1380" s="1" t="n">
        <v>44552</v>
      </c>
      <c r="E1380" s="1" t="n">
        <v>46316</v>
      </c>
      <c r="F1380" t="inlineStr">
        <is>
          <t>KRONOBERGS LÄN</t>
        </is>
      </c>
      <c r="G1380" t="inlineStr">
        <is>
          <t>VÄXJÖ</t>
        </is>
      </c>
      <c r="I1380" t="n">
        <v>1</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2112-2024</t>
        </is>
      </c>
      <c r="B1381" t="inlineStr">
        <is>
          <t>avverkningsanmälan</t>
        </is>
      </c>
      <c r="C1381" t="inlineStr">
        <is>
          <t>Föryngringsavverkning</t>
        </is>
      </c>
      <c r="D1381" s="1" t="n">
        <v>45309</v>
      </c>
      <c r="E1381" s="1" t="n">
        <v>46316</v>
      </c>
      <c r="F1381" t="inlineStr">
        <is>
          <t>KRONOBERGS LÄN</t>
        </is>
      </c>
      <c r="G1381" t="inlineStr">
        <is>
          <t>VÄXJÖ</t>
        </is>
      </c>
      <c r="I1381" t="n">
        <v>1.2</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57023-2023</t>
        </is>
      </c>
      <c r="B1382" t="inlineStr">
        <is>
          <t>avverkningsanmälan</t>
        </is>
      </c>
      <c r="C1382" t="inlineStr">
        <is>
          <t>Föryngringsavverkning</t>
        </is>
      </c>
      <c r="D1382" s="1" t="n">
        <v>45244</v>
      </c>
      <c r="E1382" s="1" t="n">
        <v>46316</v>
      </c>
      <c r="F1382" t="inlineStr">
        <is>
          <t>KRONOBERGS LÄN</t>
        </is>
      </c>
      <c r="G1382" t="inlineStr">
        <is>
          <t>VÄXJÖ</t>
        </is>
      </c>
      <c r="I1382" t="n">
        <v>0.6</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57034-2023</t>
        </is>
      </c>
      <c r="B1383" t="inlineStr">
        <is>
          <t>avverkningsanmälan</t>
        </is>
      </c>
      <c r="C1383" t="inlineStr">
        <is>
          <t>Föryngringsavverkning</t>
        </is>
      </c>
      <c r="D1383" s="1" t="n">
        <v>45244</v>
      </c>
      <c r="E1383" s="1" t="n">
        <v>46316</v>
      </c>
      <c r="F1383" t="inlineStr">
        <is>
          <t>KRONOBERGS LÄN</t>
        </is>
      </c>
      <c r="G1383" t="inlineStr">
        <is>
          <t>VÄXJÖ</t>
        </is>
      </c>
      <c r="I1383" t="n">
        <v>1.3</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38999-2025</t>
        </is>
      </c>
      <c r="B1384" t="inlineStr">
        <is>
          <t>avverkningsanmälan</t>
        </is>
      </c>
      <c r="C1384" t="inlineStr">
        <is>
          <t>Föryngringsavverkning</t>
        </is>
      </c>
      <c r="D1384" s="1" t="n">
        <v>45888</v>
      </c>
      <c r="E1384" s="1" t="n">
        <v>46316</v>
      </c>
      <c r="F1384" t="inlineStr">
        <is>
          <t>KRONOBERGS LÄN</t>
        </is>
      </c>
      <c r="G1384" t="inlineStr">
        <is>
          <t>LJUNGBY</t>
        </is>
      </c>
      <c r="I1384" t="n">
        <v>1.3</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39102-2025</t>
        </is>
      </c>
      <c r="B1385" t="inlineStr">
        <is>
          <t>avverkningsanmälan</t>
        </is>
      </c>
      <c r="C1385" t="inlineStr">
        <is>
          <t>Föryngringsavverkning</t>
        </is>
      </c>
      <c r="D1385" s="1" t="n">
        <v>45888</v>
      </c>
      <c r="E1385" s="1" t="n">
        <v>46316</v>
      </c>
      <c r="F1385" t="inlineStr">
        <is>
          <t>KRONOBERGS LÄN</t>
        </is>
      </c>
      <c r="G1385" t="inlineStr">
        <is>
          <t>ÄLMHULT</t>
        </is>
      </c>
      <c r="I1385" t="n">
        <v>4.5</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42871-2024</t>
        </is>
      </c>
      <c r="B1386" t="inlineStr">
        <is>
          <t>avverkningsanmälan</t>
        </is>
      </c>
      <c r="C1386" t="inlineStr">
        <is>
          <t>Föryngringsavverkning</t>
        </is>
      </c>
      <c r="D1386" s="1" t="n">
        <v>45566</v>
      </c>
      <c r="E1386" s="1" t="n">
        <v>46316</v>
      </c>
      <c r="F1386" t="inlineStr">
        <is>
          <t>KRONOBERGS LÄN</t>
        </is>
      </c>
      <c r="G1386" t="inlineStr">
        <is>
          <t>ÄLMHULT</t>
        </is>
      </c>
      <c r="I1386" t="n">
        <v>1.5</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39133-2025</t>
        </is>
      </c>
      <c r="B1387" t="inlineStr">
        <is>
          <t>avverkningsanmälan</t>
        </is>
      </c>
      <c r="C1387" t="inlineStr">
        <is>
          <t>Föryngringsavverkning</t>
        </is>
      </c>
      <c r="D1387" s="1" t="n">
        <v>45888</v>
      </c>
      <c r="E1387" s="1" t="n">
        <v>46316</v>
      </c>
      <c r="F1387" t="inlineStr">
        <is>
          <t>KRONOBERGS LÄN</t>
        </is>
      </c>
      <c r="G1387" t="inlineStr">
        <is>
          <t>LJUNGBY</t>
        </is>
      </c>
      <c r="I1387" t="n">
        <v>1.5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51759-2023</t>
        </is>
      </c>
      <c r="B1388" t="inlineStr">
        <is>
          <t>avverkningsanmälan</t>
        </is>
      </c>
      <c r="C1388" t="inlineStr">
        <is>
          <t>Föryngringsavverkning</t>
        </is>
      </c>
      <c r="D1388" s="1" t="n">
        <v>45222</v>
      </c>
      <c r="E1388" s="1" t="n">
        <v>46316</v>
      </c>
      <c r="F1388" t="inlineStr">
        <is>
          <t>KRONOBERGS LÄN</t>
        </is>
      </c>
      <c r="G1388" t="inlineStr">
        <is>
          <t>ÄLMHULT</t>
        </is>
      </c>
      <c r="I1388" t="n">
        <v>0.7</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51766-2023</t>
        </is>
      </c>
      <c r="B1389" t="inlineStr">
        <is>
          <t>avverkningsanmälan</t>
        </is>
      </c>
      <c r="C1389" t="inlineStr">
        <is>
          <t>Föryngringsavverkning</t>
        </is>
      </c>
      <c r="D1389" s="1" t="n">
        <v>45222</v>
      </c>
      <c r="E1389" s="1" t="n">
        <v>46316</v>
      </c>
      <c r="F1389" t="inlineStr">
        <is>
          <t>KRONOBERGS LÄN</t>
        </is>
      </c>
      <c r="G1389" t="inlineStr">
        <is>
          <t>ÄLMHULT</t>
        </is>
      </c>
      <c r="I1389" t="n">
        <v>2.4</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52859-2023</t>
        </is>
      </c>
      <c r="B1390" t="inlineStr">
        <is>
          <t>avverkningsanmälan</t>
        </is>
      </c>
      <c r="C1390" t="inlineStr">
        <is>
          <t>Föryngringsavverkning</t>
        </is>
      </c>
      <c r="D1390" s="1" t="n">
        <v>45226</v>
      </c>
      <c r="E1390" s="1" t="n">
        <v>46316</v>
      </c>
      <c r="F1390" t="inlineStr">
        <is>
          <t>KRONOBERGS LÄN</t>
        </is>
      </c>
      <c r="G1390" t="inlineStr">
        <is>
          <t>LJUNGBY</t>
        </is>
      </c>
      <c r="I1390" t="n">
        <v>0.3</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52865-2023</t>
        </is>
      </c>
      <c r="B1391" t="inlineStr">
        <is>
          <t>avverkningsanmälan</t>
        </is>
      </c>
      <c r="C1391" t="inlineStr">
        <is>
          <t>Föryngringsavverkning</t>
        </is>
      </c>
      <c r="D1391" s="1" t="n">
        <v>45226</v>
      </c>
      <c r="E1391" s="1" t="n">
        <v>46316</v>
      </c>
      <c r="F1391" t="inlineStr">
        <is>
          <t>KRONOBERGS LÄN</t>
        </is>
      </c>
      <c r="G1391" t="inlineStr">
        <is>
          <t>UPPVIDINGE</t>
        </is>
      </c>
      <c r="I1391" t="n">
        <v>0.9</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51274-2025</t>
        </is>
      </c>
      <c r="B1392" t="inlineStr">
        <is>
          <t>avverkningsanmälan</t>
        </is>
      </c>
      <c r="C1392" t="inlineStr">
        <is>
          <t>Föryngringsavverkning</t>
        </is>
      </c>
      <c r="D1392" s="1" t="n">
        <v>45949</v>
      </c>
      <c r="E1392" s="1" t="n">
        <v>46316</v>
      </c>
      <c r="F1392" t="inlineStr">
        <is>
          <t>KRONOBERGS LÄN</t>
        </is>
      </c>
      <c r="G1392" t="inlineStr">
        <is>
          <t>ALVESTA</t>
        </is>
      </c>
      <c r="I1392" t="n">
        <v>4.2</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2081-2025</t>
        </is>
      </c>
      <c r="B1393" t="inlineStr">
        <is>
          <t>avverkningsanmälan</t>
        </is>
      </c>
      <c r="C1393" t="inlineStr">
        <is>
          <t>Föryngringsavverkning</t>
        </is>
      </c>
      <c r="D1393" s="1" t="n">
        <v>45672</v>
      </c>
      <c r="E1393" s="1" t="n">
        <v>46316</v>
      </c>
      <c r="F1393" t="inlineStr">
        <is>
          <t>KRONOBERGS LÄN</t>
        </is>
      </c>
      <c r="G1393" t="inlineStr">
        <is>
          <t>LJUNGBY</t>
        </is>
      </c>
      <c r="I1393" t="n">
        <v>0.5</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6674-2024</t>
        </is>
      </c>
      <c r="B1394" t="inlineStr">
        <is>
          <t>avverkningsanmälan</t>
        </is>
      </c>
      <c r="C1394" t="inlineStr">
        <is>
          <t>Föryngringsavverkning</t>
        </is>
      </c>
      <c r="D1394" s="1" t="n">
        <v>45341</v>
      </c>
      <c r="E1394" s="1" t="n">
        <v>46316</v>
      </c>
      <c r="F1394" t="inlineStr">
        <is>
          <t>KRONOBERGS LÄN</t>
        </is>
      </c>
      <c r="G1394" t="inlineStr">
        <is>
          <t>ALVESTA</t>
        </is>
      </c>
      <c r="I1394" t="n">
        <v>0.6</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2072-2024</t>
        </is>
      </c>
      <c r="B1395" t="inlineStr">
        <is>
          <t>avverkningsanmälan</t>
        </is>
      </c>
      <c r="C1395" t="inlineStr">
        <is>
          <t>Föryngringsavverkning</t>
        </is>
      </c>
      <c r="D1395" s="1" t="n">
        <v>45309</v>
      </c>
      <c r="E1395" s="1" t="n">
        <v>46316</v>
      </c>
      <c r="F1395" t="inlineStr">
        <is>
          <t>KRONOBERGS LÄN</t>
        </is>
      </c>
      <c r="G1395" t="inlineStr">
        <is>
          <t>ÄLMHULT</t>
        </is>
      </c>
      <c r="I1395" t="n">
        <v>0.9</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72857-2021</t>
        </is>
      </c>
      <c r="B1396" t="inlineStr">
        <is>
          <t>avverkningsanmälan</t>
        </is>
      </c>
      <c r="C1396" t="inlineStr">
        <is>
          <t>Avverkning för annat ändamål</t>
        </is>
      </c>
      <c r="D1396" s="1" t="n">
        <v>44547</v>
      </c>
      <c r="E1396" s="1" t="n">
        <v>46316</v>
      </c>
      <c r="F1396" t="inlineStr">
        <is>
          <t>KRONOBERGS LÄN</t>
        </is>
      </c>
      <c r="G1396" t="inlineStr">
        <is>
          <t>VÄXJÖ</t>
        </is>
      </c>
      <c r="I1396" t="n">
        <v>1</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25865-2025</t>
        </is>
      </c>
      <c r="B1397" t="inlineStr">
        <is>
          <t>avverkningsanmälan</t>
        </is>
      </c>
      <c r="C1397" t="inlineStr">
        <is>
          <t>Föryngringsavverkning</t>
        </is>
      </c>
      <c r="D1397" s="1" t="n">
        <v>45804</v>
      </c>
      <c r="E1397" s="1" t="n">
        <v>46316</v>
      </c>
      <c r="F1397" t="inlineStr">
        <is>
          <t>KRONOBERGS LÄN</t>
        </is>
      </c>
      <c r="G1397" t="inlineStr">
        <is>
          <t>ÄLMHULT</t>
        </is>
      </c>
      <c r="I1397" t="n">
        <v>0.5</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51867-2023</t>
        </is>
      </c>
      <c r="B1398" t="inlineStr">
        <is>
          <t>avverkningsanmälan</t>
        </is>
      </c>
      <c r="C1398" t="inlineStr">
        <is>
          <t>Föryngringsavverkning</t>
        </is>
      </c>
      <c r="D1398" s="1" t="n">
        <v>45223</v>
      </c>
      <c r="E1398" s="1" t="n">
        <v>46316</v>
      </c>
      <c r="F1398" t="inlineStr">
        <is>
          <t>KRONOBERGS LÄN</t>
        </is>
      </c>
      <c r="G1398" t="inlineStr">
        <is>
          <t>LJUNGBY</t>
        </is>
      </c>
      <c r="I1398" t="n">
        <v>0.3</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46554-2024</t>
        </is>
      </c>
      <c r="B1399" t="inlineStr">
        <is>
          <t>avverkningsanmälan</t>
        </is>
      </c>
      <c r="C1399" t="inlineStr">
        <is>
          <t>Föryngringsavverkning</t>
        </is>
      </c>
      <c r="D1399" s="1" t="n">
        <v>45582</v>
      </c>
      <c r="E1399" s="1" t="n">
        <v>46316</v>
      </c>
      <c r="F1399" t="inlineStr">
        <is>
          <t>KRONOBERGS LÄN</t>
        </is>
      </c>
      <c r="G1399" t="inlineStr">
        <is>
          <t>MARKARYD</t>
        </is>
      </c>
      <c r="I1399" t="n">
        <v>1.2</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63656-2025</t>
        </is>
      </c>
      <c r="B1400" t="inlineStr">
        <is>
          <t>avverkningsanmälan</t>
        </is>
      </c>
      <c r="C1400" t="inlineStr">
        <is>
          <t>Föryngringsavverkning</t>
        </is>
      </c>
      <c r="D1400" s="1" t="n">
        <v>46014</v>
      </c>
      <c r="E1400" s="1" t="n">
        <v>46316</v>
      </c>
      <c r="F1400" t="inlineStr">
        <is>
          <t>KRONOBERGS LÄN</t>
        </is>
      </c>
      <c r="G1400" t="inlineStr">
        <is>
          <t>LJUNGBY</t>
        </is>
      </c>
      <c r="I1400" t="n">
        <v>3.5</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39884-2025</t>
        </is>
      </c>
      <c r="B1401" t="inlineStr">
        <is>
          <t>avverkningsanmälan</t>
        </is>
      </c>
      <c r="C1401" t="inlineStr">
        <is>
          <t>Föryngringsavverkning</t>
        </is>
      </c>
      <c r="D1401" s="1" t="n">
        <v>45891</v>
      </c>
      <c r="E1401" s="1" t="n">
        <v>46316</v>
      </c>
      <c r="F1401" t="inlineStr">
        <is>
          <t>KRONOBERGS LÄN</t>
        </is>
      </c>
      <c r="G1401" t="inlineStr">
        <is>
          <t>LESSEBO</t>
        </is>
      </c>
      <c r="I1401" t="n">
        <v>0.4</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25889-2025</t>
        </is>
      </c>
      <c r="B1402" t="inlineStr">
        <is>
          <t>avverkningsanmälan</t>
        </is>
      </c>
      <c r="C1402" t="inlineStr">
        <is>
          <t>Föryngringsavverkning</t>
        </is>
      </c>
      <c r="D1402" s="1" t="n">
        <v>45804</v>
      </c>
      <c r="E1402" s="1" t="n">
        <v>46316</v>
      </c>
      <c r="F1402" t="inlineStr">
        <is>
          <t>KRONOBERGS LÄN</t>
        </is>
      </c>
      <c r="G1402" t="inlineStr">
        <is>
          <t>UPPVIDINGE</t>
        </is>
      </c>
      <c r="I1402" t="n">
        <v>0.5</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32393-2025</t>
        </is>
      </c>
      <c r="B1403" t="inlineStr">
        <is>
          <t>avverkningsanmälan</t>
        </is>
      </c>
      <c r="C1403" t="inlineStr">
        <is>
          <t>Föryngringsavverkning</t>
        </is>
      </c>
      <c r="D1403" s="1" t="n">
        <v>45837</v>
      </c>
      <c r="E1403" s="1" t="n">
        <v>46316</v>
      </c>
      <c r="F1403" t="inlineStr">
        <is>
          <t>KRONOBERGS LÄN</t>
        </is>
      </c>
      <c r="G1403" t="inlineStr">
        <is>
          <t>LJUNGBY</t>
        </is>
      </c>
      <c r="I1403" t="n">
        <v>2.1</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54454-2022</t>
        </is>
      </c>
      <c r="B1404" t="inlineStr">
        <is>
          <t>avverkningsanmälan</t>
        </is>
      </c>
      <c r="C1404" t="inlineStr">
        <is>
          <t>Föryngringsavverkning</t>
        </is>
      </c>
      <c r="D1404" s="1" t="n">
        <v>44882</v>
      </c>
      <c r="E1404" s="1" t="n">
        <v>46316</v>
      </c>
      <c r="F1404" t="inlineStr">
        <is>
          <t>KRONOBERGS LÄN</t>
        </is>
      </c>
      <c r="G1404" t="inlineStr">
        <is>
          <t>LJUNGBY</t>
        </is>
      </c>
      <c r="I1404" t="n">
        <v>2.8</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39549-2025</t>
        </is>
      </c>
      <c r="B1405" t="inlineStr">
        <is>
          <t>avverkningsanmälan</t>
        </is>
      </c>
      <c r="C1405" t="inlineStr">
        <is>
          <t>Föryngringsavverkning</t>
        </is>
      </c>
      <c r="D1405" s="1" t="n">
        <v>45890</v>
      </c>
      <c r="E1405" s="1" t="n">
        <v>46316</v>
      </c>
      <c r="F1405" t="inlineStr">
        <is>
          <t>KRONOBERGS LÄN</t>
        </is>
      </c>
      <c r="G1405" t="inlineStr">
        <is>
          <t>LESSEBO</t>
        </is>
      </c>
      <c r="I1405" t="n">
        <v>7.2</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63742-2025</t>
        </is>
      </c>
      <c r="B1406" t="inlineStr">
        <is>
          <t>avverkningsanmälan</t>
        </is>
      </c>
      <c r="C1406" t="inlineStr">
        <is>
          <t>Föryngringsavverkning</t>
        </is>
      </c>
      <c r="D1406" s="1" t="n">
        <v>46016</v>
      </c>
      <c r="E1406" s="1" t="n">
        <v>46316</v>
      </c>
      <c r="F1406" t="inlineStr">
        <is>
          <t>KRONOBERGS LÄN</t>
        </is>
      </c>
      <c r="G1406" t="inlineStr">
        <is>
          <t>ÄLMHULT</t>
        </is>
      </c>
      <c r="I1406" t="n">
        <v>2.2</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39712-2025</t>
        </is>
      </c>
      <c r="B1407" t="inlineStr">
        <is>
          <t>avverkningsanmälan</t>
        </is>
      </c>
      <c r="C1407" t="inlineStr">
        <is>
          <t>Föryngringsavverkning</t>
        </is>
      </c>
      <c r="D1407" s="1" t="n">
        <v>45890</v>
      </c>
      <c r="E1407" s="1" t="n">
        <v>46316</v>
      </c>
      <c r="F1407" t="inlineStr">
        <is>
          <t>KRONOBERGS LÄN</t>
        </is>
      </c>
      <c r="G1407" t="inlineStr">
        <is>
          <t>VÄXJÖ</t>
        </is>
      </c>
      <c r="I1407" t="n">
        <v>4.8</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771-2024</t>
        </is>
      </c>
      <c r="B1408" t="inlineStr">
        <is>
          <t>avverkningsanmälan</t>
        </is>
      </c>
      <c r="C1408" t="inlineStr">
        <is>
          <t>Föryngringsavverkning</t>
        </is>
      </c>
      <c r="D1408" s="1" t="n">
        <v>45300</v>
      </c>
      <c r="E1408" s="1" t="n">
        <v>46316</v>
      </c>
      <c r="F1408" t="inlineStr">
        <is>
          <t>KRONOBERGS LÄN</t>
        </is>
      </c>
      <c r="G1408" t="inlineStr">
        <is>
          <t>VÄXJÖ</t>
        </is>
      </c>
      <c r="I1408" t="n">
        <v>1</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7175-2023</t>
        </is>
      </c>
      <c r="B1409" t="inlineStr">
        <is>
          <t>avverkningsanmälan</t>
        </is>
      </c>
      <c r="C1409" t="inlineStr">
        <is>
          <t>Föryngringsavverkning</t>
        </is>
      </c>
      <c r="D1409" s="1" t="n">
        <v>44970</v>
      </c>
      <c r="E1409" s="1" t="n">
        <v>46316</v>
      </c>
      <c r="F1409" t="inlineStr">
        <is>
          <t>KRONOBERGS LÄN</t>
        </is>
      </c>
      <c r="G1409" t="inlineStr">
        <is>
          <t>ALVESTA</t>
        </is>
      </c>
      <c r="I1409" t="n">
        <v>1.3</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39750-2025</t>
        </is>
      </c>
      <c r="B1410" t="inlineStr">
        <is>
          <t>avverkningsanmälan</t>
        </is>
      </c>
      <c r="C1410" t="inlineStr">
        <is>
          <t>Föryngringsavverkning</t>
        </is>
      </c>
      <c r="D1410" s="1" t="n">
        <v>45891</v>
      </c>
      <c r="E1410" s="1" t="n">
        <v>46316</v>
      </c>
      <c r="F1410" t="inlineStr">
        <is>
          <t>KRONOBERGS LÄN</t>
        </is>
      </c>
      <c r="G1410" t="inlineStr">
        <is>
          <t>LESSEBO</t>
        </is>
      </c>
      <c r="I1410" t="n">
        <v>0.9</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40323-2025</t>
        </is>
      </c>
      <c r="B1411" t="inlineStr">
        <is>
          <t>avverkningsanmälan</t>
        </is>
      </c>
      <c r="C1411" t="inlineStr">
        <is>
          <t>Föryngringsavverkning</t>
        </is>
      </c>
      <c r="D1411" s="1" t="n">
        <v>45895</v>
      </c>
      <c r="E1411" s="1" t="n">
        <v>46316</v>
      </c>
      <c r="F1411" t="inlineStr">
        <is>
          <t>KRONOBERGS LÄN</t>
        </is>
      </c>
      <c r="G1411" t="inlineStr">
        <is>
          <t>LJUNGBY</t>
        </is>
      </c>
      <c r="I1411" t="n">
        <v>1.1</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48264-2022</t>
        </is>
      </c>
      <c r="B1412" t="inlineStr">
        <is>
          <t>avverkningsanmälan</t>
        </is>
      </c>
      <c r="C1412" t="inlineStr">
        <is>
          <t>Föryngringsavverkning</t>
        </is>
      </c>
      <c r="D1412" s="1" t="n">
        <v>44858</v>
      </c>
      <c r="E1412" s="1" t="n">
        <v>46316</v>
      </c>
      <c r="F1412" t="inlineStr">
        <is>
          <t>KRONOBERGS LÄN</t>
        </is>
      </c>
      <c r="G1412" t="inlineStr">
        <is>
          <t>VÄXJÖ</t>
        </is>
      </c>
      <c r="I1412" t="n">
        <v>2.7</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18699-2025</t>
        </is>
      </c>
      <c r="B1413" t="inlineStr">
        <is>
          <t>avverkningsanmälan</t>
        </is>
      </c>
      <c r="C1413" t="inlineStr">
        <is>
          <t>Föryngringsavverkning</t>
        </is>
      </c>
      <c r="D1413" s="1" t="n">
        <v>45763</v>
      </c>
      <c r="E1413" s="1" t="n">
        <v>46316</v>
      </c>
      <c r="F1413" t="inlineStr">
        <is>
          <t>KRONOBERGS LÄN</t>
        </is>
      </c>
      <c r="G1413" t="inlineStr">
        <is>
          <t>VÄXJÖ</t>
        </is>
      </c>
      <c r="I1413" t="n">
        <v>4.1</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19057-2025</t>
        </is>
      </c>
      <c r="B1414" t="inlineStr">
        <is>
          <t>avverkningsanmälan</t>
        </is>
      </c>
      <c r="C1414" t="inlineStr">
        <is>
          <t>Föryngringsavverkning</t>
        </is>
      </c>
      <c r="D1414" s="1" t="n">
        <v>45764</v>
      </c>
      <c r="E1414" s="1" t="n">
        <v>46316</v>
      </c>
      <c r="F1414" t="inlineStr">
        <is>
          <t>KRONOBERGS LÄN</t>
        </is>
      </c>
      <c r="G1414" t="inlineStr">
        <is>
          <t>UPPVIDINGE</t>
        </is>
      </c>
      <c r="H1414" t="inlineStr">
        <is>
          <t>Sveaskog</t>
        </is>
      </c>
      <c r="I1414" t="n">
        <v>0.9</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26471-2025</t>
        </is>
      </c>
      <c r="B1415" t="inlineStr">
        <is>
          <t>avverkningsanmälan</t>
        </is>
      </c>
      <c r="C1415" t="inlineStr">
        <is>
          <t>Föryngringsavverkning</t>
        </is>
      </c>
      <c r="D1415" s="1" t="n">
        <v>45807</v>
      </c>
      <c r="E1415" s="1" t="n">
        <v>46316</v>
      </c>
      <c r="F1415" t="inlineStr">
        <is>
          <t>KRONOBERGS LÄN</t>
        </is>
      </c>
      <c r="G1415" t="inlineStr">
        <is>
          <t>UPPVIDINGE</t>
        </is>
      </c>
      <c r="I1415" t="n">
        <v>0.7</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40415-2025</t>
        </is>
      </c>
      <c r="B1416" t="inlineStr">
        <is>
          <t>avverkningsanmälan</t>
        </is>
      </c>
      <c r="C1416" t="inlineStr">
        <is>
          <t>Föryngringsavverkning</t>
        </is>
      </c>
      <c r="D1416" s="1" t="n">
        <v>45895</v>
      </c>
      <c r="E1416" s="1" t="n">
        <v>46316</v>
      </c>
      <c r="F1416" t="inlineStr">
        <is>
          <t>KRONOBERGS LÄN</t>
        </is>
      </c>
      <c r="G1416" t="inlineStr">
        <is>
          <t>LJUNGBY</t>
        </is>
      </c>
      <c r="I1416" t="n">
        <v>4</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40317-2025</t>
        </is>
      </c>
      <c r="B1417" t="inlineStr">
        <is>
          <t>avverkningsanmälan</t>
        </is>
      </c>
      <c r="C1417" t="inlineStr">
        <is>
          <t>Föryngringsavverkning</t>
        </is>
      </c>
      <c r="D1417" s="1" t="n">
        <v>45895</v>
      </c>
      <c r="E1417" s="1" t="n">
        <v>46316</v>
      </c>
      <c r="F1417" t="inlineStr">
        <is>
          <t>KRONOBERGS LÄN</t>
        </is>
      </c>
      <c r="G1417" t="inlineStr">
        <is>
          <t>VÄXJÖ</t>
        </is>
      </c>
      <c r="I1417" t="n">
        <v>0.5</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37029-2022</t>
        </is>
      </c>
      <c r="B1418" t="inlineStr">
        <is>
          <t>avverkningsanmälan</t>
        </is>
      </c>
      <c r="C1418" t="inlineStr">
        <is>
          <t>Föryngringsavverkning</t>
        </is>
      </c>
      <c r="D1418" s="1" t="n">
        <v>44806</v>
      </c>
      <c r="E1418" s="1" t="n">
        <v>46316</v>
      </c>
      <c r="F1418" t="inlineStr">
        <is>
          <t>KRONOBERGS LÄN</t>
        </is>
      </c>
      <c r="G1418" t="inlineStr">
        <is>
          <t>MARKARYD</t>
        </is>
      </c>
      <c r="I1418" t="n">
        <v>1</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111-2026</t>
        </is>
      </c>
      <c r="B1419" t="inlineStr">
        <is>
          <t>avverkningsanmälan</t>
        </is>
      </c>
      <c r="C1419" t="inlineStr">
        <is>
          <t>Föryngringsavverkning</t>
        </is>
      </c>
      <c r="D1419" s="1" t="n">
        <v>46019</v>
      </c>
      <c r="E1419" s="1" t="n">
        <v>46316</v>
      </c>
      <c r="F1419" t="inlineStr">
        <is>
          <t>KRONOBERGS LÄN</t>
        </is>
      </c>
      <c r="G1419" t="inlineStr">
        <is>
          <t>VÄXJÖ</t>
        </is>
      </c>
      <c r="I1419" t="n">
        <v>3.1</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53134-2023</t>
        </is>
      </c>
      <c r="B1420" t="inlineStr">
        <is>
          <t>avverkningsanmälan</t>
        </is>
      </c>
      <c r="C1420" t="inlineStr">
        <is>
          <t>Föryngringsavverkning</t>
        </is>
      </c>
      <c r="D1420" s="1" t="n">
        <v>45229</v>
      </c>
      <c r="E1420" s="1" t="n">
        <v>46316</v>
      </c>
      <c r="F1420" t="inlineStr">
        <is>
          <t>KRONOBERGS LÄN</t>
        </is>
      </c>
      <c r="G1420" t="inlineStr">
        <is>
          <t>UPPVIDINGE</t>
        </is>
      </c>
      <c r="I1420" t="n">
        <v>2.1</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63971-2025</t>
        </is>
      </c>
      <c r="B1421" t="inlineStr">
        <is>
          <t>avverkningsanmälan</t>
        </is>
      </c>
      <c r="C1421" t="inlineStr">
        <is>
          <t>Föryngringsavverkning</t>
        </is>
      </c>
      <c r="D1421" s="1" t="n">
        <v>46021</v>
      </c>
      <c r="E1421" s="1" t="n">
        <v>46316</v>
      </c>
      <c r="F1421" t="inlineStr">
        <is>
          <t>KRONOBERGS LÄN</t>
        </is>
      </c>
      <c r="G1421" t="inlineStr">
        <is>
          <t>MARKARYD</t>
        </is>
      </c>
      <c r="I1421" t="n">
        <v>8.300000000000001</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26965-2025</t>
        </is>
      </c>
      <c r="B1422" t="inlineStr">
        <is>
          <t>avverkningsanmälan</t>
        </is>
      </c>
      <c r="C1422" t="inlineStr">
        <is>
          <t>Föryngringsavverkning</t>
        </is>
      </c>
      <c r="D1422" s="1" t="n">
        <v>45811</v>
      </c>
      <c r="E1422" s="1" t="n">
        <v>46316</v>
      </c>
      <c r="F1422" t="inlineStr">
        <is>
          <t>KRONOBERGS LÄN</t>
        </is>
      </c>
      <c r="G1422" t="inlineStr">
        <is>
          <t>ALVESTA</t>
        </is>
      </c>
      <c r="I1422" t="n">
        <v>1</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40058-2025</t>
        </is>
      </c>
      <c r="B1423" t="inlineStr">
        <is>
          <t>avverkningsanmälan</t>
        </is>
      </c>
      <c r="C1423" t="inlineStr">
        <is>
          <t>Föryngringsavverkning</t>
        </is>
      </c>
      <c r="D1423" s="1" t="n">
        <v>45894</v>
      </c>
      <c r="E1423" s="1" t="n">
        <v>46316</v>
      </c>
      <c r="F1423" t="inlineStr">
        <is>
          <t>KRONOBERGS LÄN</t>
        </is>
      </c>
      <c r="G1423" t="inlineStr">
        <is>
          <t>VÄXJÖ</t>
        </is>
      </c>
      <c r="I1423" t="n">
        <v>0.5</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62364-2022</t>
        </is>
      </c>
      <c r="B1424" t="inlineStr">
        <is>
          <t>avverkningsanmälan</t>
        </is>
      </c>
      <c r="C1424" t="inlineStr">
        <is>
          <t>Föryngringsavverkning</t>
        </is>
      </c>
      <c r="D1424" s="1" t="n">
        <v>44923</v>
      </c>
      <c r="E1424" s="1" t="n">
        <v>46316</v>
      </c>
      <c r="F1424" t="inlineStr">
        <is>
          <t>KRONOBERGS LÄN</t>
        </is>
      </c>
      <c r="G1424" t="inlineStr">
        <is>
          <t>LJUNGBY</t>
        </is>
      </c>
      <c r="I1424" t="n">
        <v>1.1</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38688-2022</t>
        </is>
      </c>
      <c r="B1425" t="inlineStr">
        <is>
          <t>avverkningsanmälan</t>
        </is>
      </c>
      <c r="C1425" t="inlineStr">
        <is>
          <t>Föryngringsavverkning</t>
        </is>
      </c>
      <c r="D1425" s="1" t="n">
        <v>44814</v>
      </c>
      <c r="E1425" s="1" t="n">
        <v>46316</v>
      </c>
      <c r="F1425" t="inlineStr">
        <is>
          <t>KRONOBERGS LÄN</t>
        </is>
      </c>
      <c r="G1425" t="inlineStr">
        <is>
          <t>VÄXJÖ</t>
        </is>
      </c>
      <c r="I1425" t="n">
        <v>0.5</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38689-2022</t>
        </is>
      </c>
      <c r="B1426" t="inlineStr">
        <is>
          <t>avverkningsanmälan</t>
        </is>
      </c>
      <c r="C1426" t="inlineStr">
        <is>
          <t>Föryngringsavverkning</t>
        </is>
      </c>
      <c r="D1426" s="1" t="n">
        <v>44814</v>
      </c>
      <c r="E1426" s="1" t="n">
        <v>46316</v>
      </c>
      <c r="F1426" t="inlineStr">
        <is>
          <t>KRONOBERGS LÄN</t>
        </is>
      </c>
      <c r="G1426" t="inlineStr">
        <is>
          <t>VÄXJÖ</t>
        </is>
      </c>
      <c r="I1426" t="n">
        <v>0.7</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63878-2025</t>
        </is>
      </c>
      <c r="B1427" t="inlineStr">
        <is>
          <t>avverkningsanmälan</t>
        </is>
      </c>
      <c r="C1427" t="inlineStr">
        <is>
          <t>Föryngringsavverkning</t>
        </is>
      </c>
      <c r="D1427" s="1" t="n">
        <v>46020</v>
      </c>
      <c r="E1427" s="1" t="n">
        <v>46316</v>
      </c>
      <c r="F1427" t="inlineStr">
        <is>
          <t>KRONOBERGS LÄN</t>
        </is>
      </c>
      <c r="G1427" t="inlineStr">
        <is>
          <t>LJUNGBY</t>
        </is>
      </c>
      <c r="I1427" t="n">
        <v>1.6</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21023-2023</t>
        </is>
      </c>
      <c r="B1428" t="inlineStr">
        <is>
          <t>avverkningsanmälan</t>
        </is>
      </c>
      <c r="C1428" t="inlineStr">
        <is>
          <t>Föryngringsavverkning</t>
        </is>
      </c>
      <c r="D1428" s="1" t="n">
        <v>45061</v>
      </c>
      <c r="E1428" s="1" t="n">
        <v>46316</v>
      </c>
      <c r="F1428" t="inlineStr">
        <is>
          <t>KRONOBERGS LÄN</t>
        </is>
      </c>
      <c r="G1428" t="inlineStr">
        <is>
          <t>VÄXJÖ</t>
        </is>
      </c>
      <c r="I1428" t="n">
        <v>0.5</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22520-2024</t>
        </is>
      </c>
      <c r="B1429" t="inlineStr">
        <is>
          <t>avverkningsanmälan</t>
        </is>
      </c>
      <c r="C1429" t="inlineStr">
        <is>
          <t>Föryngringsavverkning</t>
        </is>
      </c>
      <c r="D1429" s="1" t="n">
        <v>45447</v>
      </c>
      <c r="E1429" s="1" t="n">
        <v>46316</v>
      </c>
      <c r="F1429" t="inlineStr">
        <is>
          <t>KRONOBERGS LÄN</t>
        </is>
      </c>
      <c r="G1429" t="inlineStr">
        <is>
          <t>VÄXJÖ</t>
        </is>
      </c>
      <c r="I1429" t="n">
        <v>2.6</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12510-2025</t>
        </is>
      </c>
      <c r="B1430" t="inlineStr">
        <is>
          <t>avverkningsanmälan</t>
        </is>
      </c>
      <c r="C1430" t="inlineStr">
        <is>
          <t>Föryngringsavverkning</t>
        </is>
      </c>
      <c r="D1430" s="1" t="n">
        <v>45730</v>
      </c>
      <c r="E1430" s="1" t="n">
        <v>46316</v>
      </c>
      <c r="F1430" t="inlineStr">
        <is>
          <t>KRONOBERGS LÄN</t>
        </is>
      </c>
      <c r="G1430" t="inlineStr">
        <is>
          <t>LJUNGBY</t>
        </is>
      </c>
      <c r="I1430" t="n">
        <v>0.6</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60487-2023</t>
        </is>
      </c>
      <c r="B1431" t="inlineStr">
        <is>
          <t>avverkningsanmälan</t>
        </is>
      </c>
      <c r="C1431" t="inlineStr">
        <is>
          <t>Avverkning för annat ändamål</t>
        </is>
      </c>
      <c r="D1431" s="1" t="n">
        <v>45259</v>
      </c>
      <c r="E1431" s="1" t="n">
        <v>46316</v>
      </c>
      <c r="F1431" t="inlineStr">
        <is>
          <t>KRONOBERGS LÄN</t>
        </is>
      </c>
      <c r="G1431" t="inlineStr">
        <is>
          <t>ALVESTA</t>
        </is>
      </c>
      <c r="I1431" t="n">
        <v>0.5</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52873-2022</t>
        </is>
      </c>
      <c r="B1432" t="inlineStr">
        <is>
          <t>avverkningsanmälan</t>
        </is>
      </c>
      <c r="C1432" t="inlineStr">
        <is>
          <t>Föryngringsavverkning</t>
        </is>
      </c>
      <c r="D1432" s="1" t="n">
        <v>44875</v>
      </c>
      <c r="E1432" s="1" t="n">
        <v>46316</v>
      </c>
      <c r="F1432" t="inlineStr">
        <is>
          <t>KRONOBERGS LÄN</t>
        </is>
      </c>
      <c r="G1432" t="inlineStr">
        <is>
          <t>MARKARYD</t>
        </is>
      </c>
      <c r="I1432" t="n">
        <v>5.6</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6812-2025</t>
        </is>
      </c>
      <c r="B1433" t="inlineStr">
        <is>
          <t>avverkningsanmälan</t>
        </is>
      </c>
      <c r="C1433" t="inlineStr">
        <is>
          <t>Föryngringsavverkning</t>
        </is>
      </c>
      <c r="D1433" s="1" t="n">
        <v>45700</v>
      </c>
      <c r="E1433" s="1" t="n">
        <v>46316</v>
      </c>
      <c r="F1433" t="inlineStr">
        <is>
          <t>KRONOBERGS LÄN</t>
        </is>
      </c>
      <c r="G1433" t="inlineStr">
        <is>
          <t>LJUNGBY</t>
        </is>
      </c>
      <c r="I1433" t="n">
        <v>2.7</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30097-2022</t>
        </is>
      </c>
      <c r="B1434" t="inlineStr">
        <is>
          <t>avverkningsanmälan</t>
        </is>
      </c>
      <c r="C1434" t="inlineStr">
        <is>
          <t>Föryngringsavverkning</t>
        </is>
      </c>
      <c r="D1434" s="1" t="n">
        <v>44757</v>
      </c>
      <c r="E1434" s="1" t="n">
        <v>46316</v>
      </c>
      <c r="F1434" t="inlineStr">
        <is>
          <t>KRONOBERGS LÄN</t>
        </is>
      </c>
      <c r="G1434" t="inlineStr">
        <is>
          <t>UPPVIDINGE</t>
        </is>
      </c>
      <c r="H1434" t="inlineStr">
        <is>
          <t>Sveaskog</t>
        </is>
      </c>
      <c r="I1434" t="n">
        <v>1.8</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53053-2022</t>
        </is>
      </c>
      <c r="B1435" t="inlineStr">
        <is>
          <t>avverkningsanmälan</t>
        </is>
      </c>
      <c r="C1435" t="inlineStr">
        <is>
          <t>Föryngringsavverkning</t>
        </is>
      </c>
      <c r="D1435" s="1" t="n">
        <v>44876</v>
      </c>
      <c r="E1435" s="1" t="n">
        <v>46316</v>
      </c>
      <c r="F1435" t="inlineStr">
        <is>
          <t>KRONOBERGS LÄN</t>
        </is>
      </c>
      <c r="G1435" t="inlineStr">
        <is>
          <t>ÄLMHULT</t>
        </is>
      </c>
      <c r="I1435" t="n">
        <v>0.9</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40329-2025</t>
        </is>
      </c>
      <c r="B1436" t="inlineStr">
        <is>
          <t>avverkningsanmälan</t>
        </is>
      </c>
      <c r="C1436" t="inlineStr">
        <is>
          <t>Föryngringsavverkning</t>
        </is>
      </c>
      <c r="D1436" s="1" t="n">
        <v>45895</v>
      </c>
      <c r="E1436" s="1" t="n">
        <v>46316</v>
      </c>
      <c r="F1436" t="inlineStr">
        <is>
          <t>KRONOBERGS LÄN</t>
        </is>
      </c>
      <c r="G1436" t="inlineStr">
        <is>
          <t>LJUNGBY</t>
        </is>
      </c>
      <c r="I1436" t="n">
        <v>0.4</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57235-2024</t>
        </is>
      </c>
      <c r="B1437" t="inlineStr">
        <is>
          <t>avverkningsanmälan</t>
        </is>
      </c>
      <c r="C1437" t="inlineStr">
        <is>
          <t>Föryngringsavverkning</t>
        </is>
      </c>
      <c r="D1437" s="1" t="n">
        <v>45629</v>
      </c>
      <c r="E1437" s="1" t="n">
        <v>46316</v>
      </c>
      <c r="F1437" t="inlineStr">
        <is>
          <t>KRONOBERGS LÄN</t>
        </is>
      </c>
      <c r="G1437" t="inlineStr">
        <is>
          <t>ALVESTA</t>
        </is>
      </c>
      <c r="I1437" t="n">
        <v>1.3</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46869-2022</t>
        </is>
      </c>
      <c r="B1438" t="inlineStr">
        <is>
          <t>avverkningsanmälan</t>
        </is>
      </c>
      <c r="C1438" t="inlineStr">
        <is>
          <t>Föryngringsavverkning</t>
        </is>
      </c>
      <c r="D1438" s="1" t="n">
        <v>44851</v>
      </c>
      <c r="E1438" s="1" t="n">
        <v>46316</v>
      </c>
      <c r="F1438" t="inlineStr">
        <is>
          <t>KRONOBERGS LÄN</t>
        </is>
      </c>
      <c r="G1438" t="inlineStr">
        <is>
          <t>LJUNGBY</t>
        </is>
      </c>
      <c r="H1438" t="inlineStr">
        <is>
          <t>Sveaskog</t>
        </is>
      </c>
      <c r="I1438" t="n">
        <v>0.7</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26969-2025</t>
        </is>
      </c>
      <c r="B1439" t="inlineStr">
        <is>
          <t>avverkningsanmälan</t>
        </is>
      </c>
      <c r="C1439" t="inlineStr">
        <is>
          <t>Föryngringsavverkning</t>
        </is>
      </c>
      <c r="D1439" s="1" t="n">
        <v>45811</v>
      </c>
      <c r="E1439" s="1" t="n">
        <v>46316</v>
      </c>
      <c r="F1439" t="inlineStr">
        <is>
          <t>KRONOBERGS LÄN</t>
        </is>
      </c>
      <c r="G1439" t="inlineStr">
        <is>
          <t>ALVESTA</t>
        </is>
      </c>
      <c r="I1439" t="n">
        <v>2.9</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15294-2025</t>
        </is>
      </c>
      <c r="B1440" t="inlineStr">
        <is>
          <t>avverkningsanmälan</t>
        </is>
      </c>
      <c r="C1440" t="inlineStr">
        <is>
          <t>Föryngringsavverkning</t>
        </is>
      </c>
      <c r="D1440" s="1" t="n">
        <v>45745</v>
      </c>
      <c r="E1440" s="1" t="n">
        <v>46316</v>
      </c>
      <c r="F1440" t="inlineStr">
        <is>
          <t>KRONOBERGS LÄN</t>
        </is>
      </c>
      <c r="G1440" t="inlineStr">
        <is>
          <t>UPPVIDINGE</t>
        </is>
      </c>
      <c r="I1440" t="n">
        <v>1.1</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45838-2022</t>
        </is>
      </c>
      <c r="B1441" t="inlineStr">
        <is>
          <t>avverkningsanmälan</t>
        </is>
      </c>
      <c r="C1441" t="inlineStr">
        <is>
          <t>Föryngringsavverkning</t>
        </is>
      </c>
      <c r="D1441" s="1" t="n">
        <v>44846</v>
      </c>
      <c r="E1441" s="1" t="n">
        <v>46316</v>
      </c>
      <c r="F1441" t="inlineStr">
        <is>
          <t>KRONOBERGS LÄN</t>
        </is>
      </c>
      <c r="G1441" t="inlineStr">
        <is>
          <t>LESSEBO</t>
        </is>
      </c>
      <c r="I1441" t="n">
        <v>4.4</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26926-2025</t>
        </is>
      </c>
      <c r="B1442" t="inlineStr">
        <is>
          <t>avverkningsanmälan</t>
        </is>
      </c>
      <c r="C1442" t="inlineStr">
        <is>
          <t>Föryngringsavverkning</t>
        </is>
      </c>
      <c r="D1442" s="1" t="n">
        <v>45811</v>
      </c>
      <c r="E1442" s="1" t="n">
        <v>46316</v>
      </c>
      <c r="F1442" t="inlineStr">
        <is>
          <t>KRONOBERGS LÄN</t>
        </is>
      </c>
      <c r="G1442" t="inlineStr">
        <is>
          <t>LJUNGBY</t>
        </is>
      </c>
      <c r="I1442" t="n">
        <v>2.2</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26928-2025</t>
        </is>
      </c>
      <c r="B1443" t="inlineStr">
        <is>
          <t>avverkningsanmälan</t>
        </is>
      </c>
      <c r="C1443" t="inlineStr">
        <is>
          <t>Föryngringsavverkning</t>
        </is>
      </c>
      <c r="D1443" s="1" t="n">
        <v>45811</v>
      </c>
      <c r="E1443" s="1" t="n">
        <v>46316</v>
      </c>
      <c r="F1443" t="inlineStr">
        <is>
          <t>KRONOBERGS LÄN</t>
        </is>
      </c>
      <c r="G1443" t="inlineStr">
        <is>
          <t>LJUNGBY</t>
        </is>
      </c>
      <c r="I1443" t="n">
        <v>0.6</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26936-2025</t>
        </is>
      </c>
      <c r="B1444" t="inlineStr">
        <is>
          <t>avverkningsanmälan</t>
        </is>
      </c>
      <c r="C1444" t="inlineStr">
        <is>
          <t>Föryngringsavverkning</t>
        </is>
      </c>
      <c r="D1444" s="1" t="n">
        <v>45811</v>
      </c>
      <c r="E1444" s="1" t="n">
        <v>46316</v>
      </c>
      <c r="F1444" t="inlineStr">
        <is>
          <t>KRONOBERGS LÄN</t>
        </is>
      </c>
      <c r="G1444" t="inlineStr">
        <is>
          <t>LJUNGBY</t>
        </is>
      </c>
      <c r="I1444" t="n">
        <v>0.3</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26971-2025</t>
        </is>
      </c>
      <c r="B1445" t="inlineStr">
        <is>
          <t>avverkningsanmälan</t>
        </is>
      </c>
      <c r="C1445" t="inlineStr">
        <is>
          <t>Föryngringsavverkning</t>
        </is>
      </c>
      <c r="D1445" s="1" t="n">
        <v>45811</v>
      </c>
      <c r="E1445" s="1" t="n">
        <v>46316</v>
      </c>
      <c r="F1445" t="inlineStr">
        <is>
          <t>KRONOBERGS LÄN</t>
        </is>
      </c>
      <c r="G1445" t="inlineStr">
        <is>
          <t>ALVESTA</t>
        </is>
      </c>
      <c r="I1445" t="n">
        <v>1.8</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74236-2021</t>
        </is>
      </c>
      <c r="B1446" t="inlineStr">
        <is>
          <t>avverkningsanmälan</t>
        </is>
      </c>
      <c r="C1446" t="inlineStr">
        <is>
          <t>Föryngringsavverkning</t>
        </is>
      </c>
      <c r="D1446" s="1" t="n">
        <v>44558</v>
      </c>
      <c r="E1446" s="1" t="n">
        <v>46316</v>
      </c>
      <c r="F1446" t="inlineStr">
        <is>
          <t>KRONOBERGS LÄN</t>
        </is>
      </c>
      <c r="G1446" t="inlineStr">
        <is>
          <t>TINGSRYD</t>
        </is>
      </c>
      <c r="I1446" t="n">
        <v>1.1</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35534-2025</t>
        </is>
      </c>
      <c r="B1447" t="inlineStr">
        <is>
          <t>avverkningsanmälan</t>
        </is>
      </c>
      <c r="C1447" t="inlineStr">
        <is>
          <t>Föryngringsavverkning</t>
        </is>
      </c>
      <c r="D1447" s="1" t="n">
        <v>45856</v>
      </c>
      <c r="E1447" s="1" t="n">
        <v>46316</v>
      </c>
      <c r="F1447" t="inlineStr">
        <is>
          <t>KRONOBERGS LÄN</t>
        </is>
      </c>
      <c r="G1447" t="inlineStr">
        <is>
          <t>VÄXJÖ</t>
        </is>
      </c>
      <c r="I1447" t="n">
        <v>1.8</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26983-2025</t>
        </is>
      </c>
      <c r="B1448" t="inlineStr">
        <is>
          <t>avverkningsanmälan</t>
        </is>
      </c>
      <c r="C1448" t="inlineStr">
        <is>
          <t>Föryngringsavverkning</t>
        </is>
      </c>
      <c r="D1448" s="1" t="n">
        <v>45811</v>
      </c>
      <c r="E1448" s="1" t="n">
        <v>46316</v>
      </c>
      <c r="F1448" t="inlineStr">
        <is>
          <t>KRONOBERGS LÄN</t>
        </is>
      </c>
      <c r="G1448" t="inlineStr">
        <is>
          <t>TINGSRYD</t>
        </is>
      </c>
      <c r="I1448" t="n">
        <v>1.2</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412-2025</t>
        </is>
      </c>
      <c r="B1449" t="inlineStr">
        <is>
          <t>avverkningsanmälan</t>
        </is>
      </c>
      <c r="C1449" t="inlineStr">
        <is>
          <t>Avverkning för annat ändamål</t>
        </is>
      </c>
      <c r="D1449" s="1" t="n">
        <v>45663</v>
      </c>
      <c r="E1449" s="1" t="n">
        <v>46316</v>
      </c>
      <c r="F1449" t="inlineStr">
        <is>
          <t>KRONOBERGS LÄN</t>
        </is>
      </c>
      <c r="G1449" t="inlineStr">
        <is>
          <t>MARKARYD</t>
        </is>
      </c>
      <c r="I1449" t="n">
        <v>0.3</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39099-2023</t>
        </is>
      </c>
      <c r="B1450" t="inlineStr">
        <is>
          <t>avverkningsanmälan</t>
        </is>
      </c>
      <c r="C1450" t="inlineStr">
        <is>
          <t>Avverkning för annat ändamål</t>
        </is>
      </c>
      <c r="D1450" s="1" t="n">
        <v>45164</v>
      </c>
      <c r="E1450" s="1" t="n">
        <v>46316</v>
      </c>
      <c r="F1450" t="inlineStr">
        <is>
          <t>KRONOBERGS LÄN</t>
        </is>
      </c>
      <c r="G1450" t="inlineStr">
        <is>
          <t>TINGSRYD</t>
        </is>
      </c>
      <c r="I1450" t="n">
        <v>0.4</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39103-2023</t>
        </is>
      </c>
      <c r="B1451" t="inlineStr">
        <is>
          <t>avverkningsanmälan</t>
        </is>
      </c>
      <c r="C1451" t="inlineStr">
        <is>
          <t>Föryngringsavverkning</t>
        </is>
      </c>
      <c r="D1451" s="1" t="n">
        <v>45164</v>
      </c>
      <c r="E1451" s="1" t="n">
        <v>46316</v>
      </c>
      <c r="F1451" t="inlineStr">
        <is>
          <t>KRONOBERGS LÄN</t>
        </is>
      </c>
      <c r="G1451" t="inlineStr">
        <is>
          <t>TINGSRYD</t>
        </is>
      </c>
      <c r="I1451" t="n">
        <v>1</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63824-2021</t>
        </is>
      </c>
      <c r="B1452" t="inlineStr">
        <is>
          <t>avverkningsanmälan</t>
        </is>
      </c>
      <c r="C1452" t="inlineStr">
        <is>
          <t>Föryngringsavverkning</t>
        </is>
      </c>
      <c r="D1452" s="1" t="n">
        <v>44509</v>
      </c>
      <c r="E1452" s="1" t="n">
        <v>46316</v>
      </c>
      <c r="F1452" t="inlineStr">
        <is>
          <t>KRONOBERGS LÄN</t>
        </is>
      </c>
      <c r="G1452" t="inlineStr">
        <is>
          <t>TINGSRYD</t>
        </is>
      </c>
      <c r="I1452" t="n">
        <v>0.9</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116-2026</t>
        </is>
      </c>
      <c r="B1453" t="inlineStr">
        <is>
          <t>avverkningsanmälan</t>
        </is>
      </c>
      <c r="C1453" t="inlineStr">
        <is>
          <t>Föryngringsavverkning</t>
        </is>
      </c>
      <c r="D1453" s="1" t="n">
        <v>46019</v>
      </c>
      <c r="E1453" s="1" t="n">
        <v>46316</v>
      </c>
      <c r="F1453" t="inlineStr">
        <is>
          <t>KRONOBERGS LÄN</t>
        </is>
      </c>
      <c r="G1453" t="inlineStr">
        <is>
          <t>VÄXJÖ</t>
        </is>
      </c>
      <c r="I1453" t="n">
        <v>1.5</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39258-2023</t>
        </is>
      </c>
      <c r="B1454" t="inlineStr">
        <is>
          <t>avverkningsanmälan</t>
        </is>
      </c>
      <c r="C1454" t="inlineStr">
        <is>
          <t>Föryngringsavverkning</t>
        </is>
      </c>
      <c r="D1454" s="1" t="n">
        <v>45166</v>
      </c>
      <c r="E1454" s="1" t="n">
        <v>46316</v>
      </c>
      <c r="F1454" t="inlineStr">
        <is>
          <t>KRONOBERGS LÄN</t>
        </is>
      </c>
      <c r="G1454" t="inlineStr">
        <is>
          <t>ALVESTA</t>
        </is>
      </c>
      <c r="I1454" t="n">
        <v>1.3</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40310-2025</t>
        </is>
      </c>
      <c r="B1455" t="inlineStr">
        <is>
          <t>avverkningsanmälan</t>
        </is>
      </c>
      <c r="C1455" t="inlineStr">
        <is>
          <t>Föryngringsavverkning</t>
        </is>
      </c>
      <c r="D1455" s="1" t="n">
        <v>45895</v>
      </c>
      <c r="E1455" s="1" t="n">
        <v>46316</v>
      </c>
      <c r="F1455" t="inlineStr">
        <is>
          <t>KRONOBERGS LÄN</t>
        </is>
      </c>
      <c r="G1455" t="inlineStr">
        <is>
          <t>LJUNGBY</t>
        </is>
      </c>
      <c r="H1455" t="inlineStr">
        <is>
          <t>Sveaskog</t>
        </is>
      </c>
      <c r="I1455" t="n">
        <v>0.4</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40311-2025</t>
        </is>
      </c>
      <c r="B1456" t="inlineStr">
        <is>
          <t>avverkningsanmälan</t>
        </is>
      </c>
      <c r="C1456" t="inlineStr">
        <is>
          <t>Föryngringsavverkning</t>
        </is>
      </c>
      <c r="D1456" s="1" t="n">
        <v>45895</v>
      </c>
      <c r="E1456" s="1" t="n">
        <v>46316</v>
      </c>
      <c r="F1456" t="inlineStr">
        <is>
          <t>KRONOBERGS LÄN</t>
        </is>
      </c>
      <c r="G1456" t="inlineStr">
        <is>
          <t>LJUNGBY</t>
        </is>
      </c>
      <c r="H1456" t="inlineStr">
        <is>
          <t>Sveaskog</t>
        </is>
      </c>
      <c r="I1456" t="n">
        <v>0.4</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40320-2025</t>
        </is>
      </c>
      <c r="B1457" t="inlineStr">
        <is>
          <t>avverkningsanmälan</t>
        </is>
      </c>
      <c r="C1457" t="inlineStr">
        <is>
          <t>Föryngringsavverkning</t>
        </is>
      </c>
      <c r="D1457" s="1" t="n">
        <v>45895</v>
      </c>
      <c r="E1457" s="1" t="n">
        <v>46316</v>
      </c>
      <c r="F1457" t="inlineStr">
        <is>
          <t>KRONOBERGS LÄN</t>
        </is>
      </c>
      <c r="G1457" t="inlineStr">
        <is>
          <t>LJUNGBY</t>
        </is>
      </c>
      <c r="I1457" t="n">
        <v>1</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4829-2024</t>
        </is>
      </c>
      <c r="B1458" t="inlineStr">
        <is>
          <t>avverkningsanmälan</t>
        </is>
      </c>
      <c r="C1458" t="inlineStr">
        <is>
          <t>Föryngringsavverkning</t>
        </is>
      </c>
      <c r="D1458" s="1" t="n">
        <v>45329</v>
      </c>
      <c r="E1458" s="1" t="n">
        <v>46316</v>
      </c>
      <c r="F1458" t="inlineStr">
        <is>
          <t>KRONOBERGS LÄN</t>
        </is>
      </c>
      <c r="G1458" t="inlineStr">
        <is>
          <t>MARKARYD</t>
        </is>
      </c>
      <c r="I1458" t="n">
        <v>0.7</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29895-2023</t>
        </is>
      </c>
      <c r="B1459" t="inlineStr">
        <is>
          <t>avverkningsanmälan</t>
        </is>
      </c>
      <c r="C1459" t="inlineStr">
        <is>
          <t>Föryngringsavverkning</t>
        </is>
      </c>
      <c r="D1459" s="1" t="n">
        <v>45107</v>
      </c>
      <c r="E1459" s="1" t="n">
        <v>46316</v>
      </c>
      <c r="F1459" t="inlineStr">
        <is>
          <t>KRONOBERGS LÄN</t>
        </is>
      </c>
      <c r="G1459" t="inlineStr">
        <is>
          <t>TINGSRYD</t>
        </is>
      </c>
      <c r="I1459" t="n">
        <v>1.1</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40152-2025</t>
        </is>
      </c>
      <c r="B1460" t="inlineStr">
        <is>
          <t>avverkningsanmälan</t>
        </is>
      </c>
      <c r="C1460" t="inlineStr">
        <is>
          <t>Föryngringsavverkning</t>
        </is>
      </c>
      <c r="D1460" s="1" t="n">
        <v>45894</v>
      </c>
      <c r="E1460" s="1" t="n">
        <v>46316</v>
      </c>
      <c r="F1460" t="inlineStr">
        <is>
          <t>KRONOBERGS LÄN</t>
        </is>
      </c>
      <c r="G1460" t="inlineStr">
        <is>
          <t>UPPVIDINGE</t>
        </is>
      </c>
      <c r="I1460" t="n">
        <v>0.5</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64295-2023</t>
        </is>
      </c>
      <c r="B1461" t="inlineStr">
        <is>
          <t>avverkningsanmälan</t>
        </is>
      </c>
      <c r="C1461" t="inlineStr">
        <is>
          <t>Föryngringsavverkning</t>
        </is>
      </c>
      <c r="D1461" s="1" t="n">
        <v>45280</v>
      </c>
      <c r="E1461" s="1" t="n">
        <v>46316</v>
      </c>
      <c r="F1461" t="inlineStr">
        <is>
          <t>KRONOBERGS LÄN</t>
        </is>
      </c>
      <c r="G1461" t="inlineStr">
        <is>
          <t>VÄXJÖ</t>
        </is>
      </c>
      <c r="I1461" t="n">
        <v>2.2</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64338-2023</t>
        </is>
      </c>
      <c r="B1462" t="inlineStr">
        <is>
          <t>avverkningsanmälan</t>
        </is>
      </c>
      <c r="C1462" t="inlineStr">
        <is>
          <t>Föryngringsavverkning</t>
        </is>
      </c>
      <c r="D1462" s="1" t="n">
        <v>45279</v>
      </c>
      <c r="E1462" s="1" t="n">
        <v>46316</v>
      </c>
      <c r="F1462" t="inlineStr">
        <is>
          <t>KRONOBERGS LÄN</t>
        </is>
      </c>
      <c r="G1462" t="inlineStr">
        <is>
          <t>LJUNGBY</t>
        </is>
      </c>
      <c r="H1462" t="inlineStr">
        <is>
          <t>Kyrkan</t>
        </is>
      </c>
      <c r="I1462" t="n">
        <v>1.8</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40894-2025</t>
        </is>
      </c>
      <c r="B1463" t="inlineStr">
        <is>
          <t>avverkningsanmälan</t>
        </is>
      </c>
      <c r="C1463" t="inlineStr">
        <is>
          <t>Föryngringsavverkning</t>
        </is>
      </c>
      <c r="D1463" s="1" t="n">
        <v>45897</v>
      </c>
      <c r="E1463" s="1" t="n">
        <v>46316</v>
      </c>
      <c r="F1463" t="inlineStr">
        <is>
          <t>KRONOBERGS LÄN</t>
        </is>
      </c>
      <c r="G1463" t="inlineStr">
        <is>
          <t>LJUNGBY</t>
        </is>
      </c>
      <c r="I1463" t="n">
        <v>2.2</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52010-2023</t>
        </is>
      </c>
      <c r="B1464" t="inlineStr">
        <is>
          <t>avverkningsanmälan</t>
        </is>
      </c>
      <c r="C1464" t="inlineStr">
        <is>
          <t>Föryngringsavverkning</t>
        </is>
      </c>
      <c r="D1464" s="1" t="n">
        <v>45223</v>
      </c>
      <c r="E1464" s="1" t="n">
        <v>46316</v>
      </c>
      <c r="F1464" t="inlineStr">
        <is>
          <t>KRONOBERGS LÄN</t>
        </is>
      </c>
      <c r="G1464" t="inlineStr">
        <is>
          <t>UPPVIDINGE</t>
        </is>
      </c>
      <c r="I1464" t="n">
        <v>1.5</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52061-2023</t>
        </is>
      </c>
      <c r="B1465" t="inlineStr">
        <is>
          <t>avverkningsanmälan</t>
        </is>
      </c>
      <c r="C1465" t="inlineStr">
        <is>
          <t>Föryngringsavverkning</t>
        </is>
      </c>
      <c r="D1465" s="1" t="n">
        <v>45216</v>
      </c>
      <c r="E1465" s="1" t="n">
        <v>46316</v>
      </c>
      <c r="F1465" t="inlineStr">
        <is>
          <t>KRONOBERGS LÄN</t>
        </is>
      </c>
      <c r="G1465" t="inlineStr">
        <is>
          <t>ALVESTA</t>
        </is>
      </c>
      <c r="I1465" t="n">
        <v>6</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59093-2021</t>
        </is>
      </c>
      <c r="B1466" t="inlineStr">
        <is>
          <t>avverkningsanmälan</t>
        </is>
      </c>
      <c r="C1466" t="inlineStr">
        <is>
          <t>Föryngringsavverkning</t>
        </is>
      </c>
      <c r="D1466" s="1" t="n">
        <v>44490</v>
      </c>
      <c r="E1466" s="1" t="n">
        <v>46316</v>
      </c>
      <c r="F1466" t="inlineStr">
        <is>
          <t>KRONOBERGS LÄN</t>
        </is>
      </c>
      <c r="G1466" t="inlineStr">
        <is>
          <t>TINGSRYD</t>
        </is>
      </c>
      <c r="H1466" t="inlineStr">
        <is>
          <t>Sveaskog</t>
        </is>
      </c>
      <c r="I1466" t="n">
        <v>2.3</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17010-2024</t>
        </is>
      </c>
      <c r="B1467" t="inlineStr">
        <is>
          <t>avverkningsanmälan</t>
        </is>
      </c>
      <c r="C1467" t="inlineStr">
        <is>
          <t>Föryngringsavverkning</t>
        </is>
      </c>
      <c r="D1467" s="1" t="n">
        <v>45412</v>
      </c>
      <c r="E1467" s="1" t="n">
        <v>46316</v>
      </c>
      <c r="F1467" t="inlineStr">
        <is>
          <t>KRONOBERGS LÄN</t>
        </is>
      </c>
      <c r="G1467" t="inlineStr">
        <is>
          <t>VÄXJÖ</t>
        </is>
      </c>
      <c r="I1467" t="n">
        <v>0.8</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26977-2025</t>
        </is>
      </c>
      <c r="B1468" t="inlineStr">
        <is>
          <t>avverkningsanmälan</t>
        </is>
      </c>
      <c r="C1468" t="inlineStr">
        <is>
          <t>Föryngringsavverkning</t>
        </is>
      </c>
      <c r="D1468" s="1" t="n">
        <v>45811</v>
      </c>
      <c r="E1468" s="1" t="n">
        <v>46316</v>
      </c>
      <c r="F1468" t="inlineStr">
        <is>
          <t>KRONOBERGS LÄN</t>
        </is>
      </c>
      <c r="G1468" t="inlineStr">
        <is>
          <t>ALVESTA</t>
        </is>
      </c>
      <c r="I1468" t="n">
        <v>0.5</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40961-2025</t>
        </is>
      </c>
      <c r="B1469" t="inlineStr">
        <is>
          <t>avverkningsanmälan</t>
        </is>
      </c>
      <c r="C1469" t="inlineStr">
        <is>
          <t>Föryngringsavverkning</t>
        </is>
      </c>
      <c r="D1469" s="1" t="n">
        <v>45897</v>
      </c>
      <c r="E1469" s="1" t="n">
        <v>46316</v>
      </c>
      <c r="F1469" t="inlineStr">
        <is>
          <t>KRONOBERGS LÄN</t>
        </is>
      </c>
      <c r="G1469" t="inlineStr">
        <is>
          <t>ÄLMHULT</t>
        </is>
      </c>
      <c r="I1469" t="n">
        <v>3.9</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40875-2025</t>
        </is>
      </c>
      <c r="B1470" t="inlineStr">
        <is>
          <t>avverkningsanmälan</t>
        </is>
      </c>
      <c r="C1470" t="inlineStr">
        <is>
          <t>Föryngringsavverkning</t>
        </is>
      </c>
      <c r="D1470" s="1" t="n">
        <v>45897</v>
      </c>
      <c r="E1470" s="1" t="n">
        <v>46316</v>
      </c>
      <c r="F1470" t="inlineStr">
        <is>
          <t>KRONOBERGS LÄN</t>
        </is>
      </c>
      <c r="G1470" t="inlineStr">
        <is>
          <t>VÄXJÖ</t>
        </is>
      </c>
      <c r="H1470" t="inlineStr">
        <is>
          <t>Sveaskog</t>
        </is>
      </c>
      <c r="I1470" t="n">
        <v>1.7</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11302-2024</t>
        </is>
      </c>
      <c r="B1471" t="inlineStr">
        <is>
          <t>avverkningsanmälan</t>
        </is>
      </c>
      <c r="C1471" t="inlineStr">
        <is>
          <t>Avverkning för annat ändamål</t>
        </is>
      </c>
      <c r="D1471" s="1" t="n">
        <v>45371</v>
      </c>
      <c r="E1471" s="1" t="n">
        <v>46316</v>
      </c>
      <c r="F1471" t="inlineStr">
        <is>
          <t>KRONOBERGS LÄN</t>
        </is>
      </c>
      <c r="G1471" t="inlineStr">
        <is>
          <t>LJUNGBY</t>
        </is>
      </c>
      <c r="I1471" t="n">
        <v>12</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155-2026</t>
        </is>
      </c>
      <c r="B1472" t="inlineStr">
        <is>
          <t>avverkningsanmälan</t>
        </is>
      </c>
      <c r="C1472" t="inlineStr">
        <is>
          <t>Föryngringsavverkning</t>
        </is>
      </c>
      <c r="D1472" s="1" t="n">
        <v>46024</v>
      </c>
      <c r="E1472" s="1" t="n">
        <v>46316</v>
      </c>
      <c r="F1472" t="inlineStr">
        <is>
          <t>KRONOBERGS LÄN</t>
        </is>
      </c>
      <c r="G1472" t="inlineStr">
        <is>
          <t>LJUNGBY</t>
        </is>
      </c>
      <c r="I1472" t="n">
        <v>5.8</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578-2026</t>
        </is>
      </c>
      <c r="B1473" t="inlineStr">
        <is>
          <t>avverkningsanmälan</t>
        </is>
      </c>
      <c r="C1473" t="inlineStr">
        <is>
          <t>Föryngringsavverkning</t>
        </is>
      </c>
      <c r="D1473" s="1" t="n">
        <v>46029</v>
      </c>
      <c r="E1473" s="1" t="n">
        <v>46316</v>
      </c>
      <c r="F1473" t="inlineStr">
        <is>
          <t>KRONOBERGS LÄN</t>
        </is>
      </c>
      <c r="G1473" t="inlineStr">
        <is>
          <t>VÄXJÖ</t>
        </is>
      </c>
      <c r="I1473" t="n">
        <v>4.4</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40581-2025</t>
        </is>
      </c>
      <c r="B1474" t="inlineStr">
        <is>
          <t>avverkningsanmälan</t>
        </is>
      </c>
      <c r="C1474" t="inlineStr">
        <is>
          <t>Föryngringsavverkning</t>
        </is>
      </c>
      <c r="D1474" s="1" t="n">
        <v>45896</v>
      </c>
      <c r="E1474" s="1" t="n">
        <v>46316</v>
      </c>
      <c r="F1474" t="inlineStr">
        <is>
          <t>KRONOBERGS LÄN</t>
        </is>
      </c>
      <c r="G1474" t="inlineStr">
        <is>
          <t>TINGSRYD</t>
        </is>
      </c>
      <c r="I1474" t="n">
        <v>0.5</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587-2026</t>
        </is>
      </c>
      <c r="B1475" t="inlineStr">
        <is>
          <t>avverkningsanmälan</t>
        </is>
      </c>
      <c r="C1475" t="inlineStr">
        <is>
          <t>Föryngringsavverkning</t>
        </is>
      </c>
      <c r="D1475" s="1" t="n">
        <v>46029</v>
      </c>
      <c r="E1475" s="1" t="n">
        <v>46316</v>
      </c>
      <c r="F1475" t="inlineStr">
        <is>
          <t>KRONOBERGS LÄN</t>
        </is>
      </c>
      <c r="G1475" t="inlineStr">
        <is>
          <t>VÄXJÖ</t>
        </is>
      </c>
      <c r="I1475" t="n">
        <v>2.7</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32374-2023</t>
        </is>
      </c>
      <c r="B1476" t="inlineStr">
        <is>
          <t>avverkningsanmälan</t>
        </is>
      </c>
      <c r="C1476" t="inlineStr">
        <is>
          <t>Föryngringsavverkning</t>
        </is>
      </c>
      <c r="D1476" s="1" t="n">
        <v>45110</v>
      </c>
      <c r="E1476" s="1" t="n">
        <v>46316</v>
      </c>
      <c r="F1476" t="inlineStr">
        <is>
          <t>KRONOBERGS LÄN</t>
        </is>
      </c>
      <c r="G1476" t="inlineStr">
        <is>
          <t>ALVESTA</t>
        </is>
      </c>
      <c r="I1476" t="n">
        <v>0.7</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18440-2022</t>
        </is>
      </c>
      <c r="B1477" t="inlineStr">
        <is>
          <t>avverkningsanmälan</t>
        </is>
      </c>
      <c r="C1477" t="inlineStr">
        <is>
          <t>Föryngringsavverkning</t>
        </is>
      </c>
      <c r="D1477" s="1" t="n">
        <v>44686</v>
      </c>
      <c r="E1477" s="1" t="n">
        <v>46316</v>
      </c>
      <c r="F1477" t="inlineStr">
        <is>
          <t>KRONOBERGS LÄN</t>
        </is>
      </c>
      <c r="G1477" t="inlineStr">
        <is>
          <t>ÄLMHULT</t>
        </is>
      </c>
      <c r="I1477" t="n">
        <v>2.8</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11800-2023</t>
        </is>
      </c>
      <c r="B1478" t="inlineStr">
        <is>
          <t>avverkningsanmälan</t>
        </is>
      </c>
      <c r="C1478" t="inlineStr">
        <is>
          <t>Föryngringsavverkning</t>
        </is>
      </c>
      <c r="D1478" s="1" t="n">
        <v>44994</v>
      </c>
      <c r="E1478" s="1" t="n">
        <v>46316</v>
      </c>
      <c r="F1478" t="inlineStr">
        <is>
          <t>KRONOBERGS LÄN</t>
        </is>
      </c>
      <c r="G1478" t="inlineStr">
        <is>
          <t>ÄLMHULT</t>
        </is>
      </c>
      <c r="I1478" t="n">
        <v>0.9</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1096-2023</t>
        </is>
      </c>
      <c r="B1479" t="inlineStr">
        <is>
          <t>avverkningsanmälan</t>
        </is>
      </c>
      <c r="C1479" t="inlineStr">
        <is>
          <t>Avverkning för annat ändamål</t>
        </is>
      </c>
      <c r="D1479" s="1" t="n">
        <v>44929</v>
      </c>
      <c r="E1479" s="1" t="n">
        <v>46316</v>
      </c>
      <c r="F1479" t="inlineStr">
        <is>
          <t>KRONOBERGS LÄN</t>
        </is>
      </c>
      <c r="G1479" t="inlineStr">
        <is>
          <t>VÄXJÖ</t>
        </is>
      </c>
      <c r="H1479" t="inlineStr">
        <is>
          <t>Kyrkan</t>
        </is>
      </c>
      <c r="I1479" t="n">
        <v>3.6</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11519-2024</t>
        </is>
      </c>
      <c r="B1480" t="inlineStr">
        <is>
          <t>avverkningsanmälan</t>
        </is>
      </c>
      <c r="C1480" t="inlineStr">
        <is>
          <t>Föryngringsavverkning</t>
        </is>
      </c>
      <c r="D1480" s="1" t="n">
        <v>45372</v>
      </c>
      <c r="E1480" s="1" t="n">
        <v>46316</v>
      </c>
      <c r="F1480" t="inlineStr">
        <is>
          <t>KRONOBERGS LÄN</t>
        </is>
      </c>
      <c r="G1480" t="inlineStr">
        <is>
          <t>VÄXJÖ</t>
        </is>
      </c>
      <c r="I1480" t="n">
        <v>2.7</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503-2026</t>
        </is>
      </c>
      <c r="B1481" t="inlineStr">
        <is>
          <t>avverkningsanmälan</t>
        </is>
      </c>
      <c r="C1481" t="inlineStr">
        <is>
          <t>Föryngringsavverkning</t>
        </is>
      </c>
      <c r="D1481" s="1" t="n">
        <v>46029</v>
      </c>
      <c r="E1481" s="1" t="n">
        <v>46316</v>
      </c>
      <c r="F1481" t="inlineStr">
        <is>
          <t>KRONOBERGS LÄN</t>
        </is>
      </c>
      <c r="G1481" t="inlineStr">
        <is>
          <t>UPPVIDINGE</t>
        </is>
      </c>
      <c r="I1481" t="n">
        <v>3.5</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30103-2025</t>
        </is>
      </c>
      <c r="B1482" t="inlineStr">
        <is>
          <t>avverkningsanmälan</t>
        </is>
      </c>
      <c r="C1482" t="inlineStr">
        <is>
          <t>Avverkning för annat ändamål</t>
        </is>
      </c>
      <c r="D1482" s="1" t="n">
        <v>45826</v>
      </c>
      <c r="E1482" s="1" t="n">
        <v>46316</v>
      </c>
      <c r="F1482" t="inlineStr">
        <is>
          <t>KRONOBERGS LÄN</t>
        </is>
      </c>
      <c r="G1482" t="inlineStr">
        <is>
          <t>LJUNGBY</t>
        </is>
      </c>
      <c r="I1482" t="n">
        <v>0.9</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208-2023</t>
        </is>
      </c>
      <c r="B1483" t="inlineStr">
        <is>
          <t>avverkningsanmälan</t>
        </is>
      </c>
      <c r="C1483" t="inlineStr">
        <is>
          <t>Föryngringsavverkning</t>
        </is>
      </c>
      <c r="D1483" s="1" t="n">
        <v>44928</v>
      </c>
      <c r="E1483" s="1" t="n">
        <v>46316</v>
      </c>
      <c r="F1483" t="inlineStr">
        <is>
          <t>KRONOBERGS LÄN</t>
        </is>
      </c>
      <c r="G1483" t="inlineStr">
        <is>
          <t>TINGSRYD</t>
        </is>
      </c>
      <c r="I1483" t="n">
        <v>1.3</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28096-2022</t>
        </is>
      </c>
      <c r="B1484" t="inlineStr">
        <is>
          <t>avverkningsanmälan</t>
        </is>
      </c>
      <c r="C1484" t="inlineStr">
        <is>
          <t>Föryngringsavverkning</t>
        </is>
      </c>
      <c r="D1484" s="1" t="n">
        <v>44746</v>
      </c>
      <c r="E1484" s="1" t="n">
        <v>46316</v>
      </c>
      <c r="F1484" t="inlineStr">
        <is>
          <t>KRONOBERGS LÄN</t>
        </is>
      </c>
      <c r="G1484" t="inlineStr">
        <is>
          <t>VÄXJÖ</t>
        </is>
      </c>
      <c r="I1484" t="n">
        <v>1.5</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41129-2025</t>
        </is>
      </c>
      <c r="B1485" t="inlineStr">
        <is>
          <t>avverkningsanmälan</t>
        </is>
      </c>
      <c r="C1485" t="inlineStr">
        <is>
          <t>Föryngringsavverkning</t>
        </is>
      </c>
      <c r="D1485" s="1" t="n">
        <v>45898</v>
      </c>
      <c r="E1485" s="1" t="n">
        <v>46316</v>
      </c>
      <c r="F1485" t="inlineStr">
        <is>
          <t>KRONOBERGS LÄN</t>
        </is>
      </c>
      <c r="G1485" t="inlineStr">
        <is>
          <t>ÄLMHULT</t>
        </is>
      </c>
      <c r="I1485" t="n">
        <v>1.3</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505-2026</t>
        </is>
      </c>
      <c r="B1486" t="inlineStr">
        <is>
          <t>avverkningsanmälan</t>
        </is>
      </c>
      <c r="C1486" t="inlineStr">
        <is>
          <t>Föryngringsavverkning</t>
        </is>
      </c>
      <c r="D1486" s="1" t="n">
        <v>46029</v>
      </c>
      <c r="E1486" s="1" t="n">
        <v>46316</v>
      </c>
      <c r="F1486" t="inlineStr">
        <is>
          <t>KRONOBERGS LÄN</t>
        </is>
      </c>
      <c r="G1486" t="inlineStr">
        <is>
          <t>UPPVIDINGE</t>
        </is>
      </c>
      <c r="I1486" t="n">
        <v>1.8</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19722-2023</t>
        </is>
      </c>
      <c r="B1487" t="inlineStr">
        <is>
          <t>avverkningsanmälan</t>
        </is>
      </c>
      <c r="C1487" t="inlineStr">
        <is>
          <t>Avverkning för annat ändamål</t>
        </is>
      </c>
      <c r="D1487" s="1" t="n">
        <v>45051</v>
      </c>
      <c r="E1487" s="1" t="n">
        <v>46316</v>
      </c>
      <c r="F1487" t="inlineStr">
        <is>
          <t>KRONOBERGS LÄN</t>
        </is>
      </c>
      <c r="G1487" t="inlineStr">
        <is>
          <t>ÄLMHULT</t>
        </is>
      </c>
      <c r="I1487" t="n">
        <v>2.6</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41552-2025</t>
        </is>
      </c>
      <c r="B1488" t="inlineStr">
        <is>
          <t>avverkningsanmälan</t>
        </is>
      </c>
      <c r="C1488" t="inlineStr">
        <is>
          <t>Föryngringsavverkning</t>
        </is>
      </c>
      <c r="D1488" s="1" t="n">
        <v>45901</v>
      </c>
      <c r="E1488" s="1" t="n">
        <v>46316</v>
      </c>
      <c r="F1488" t="inlineStr">
        <is>
          <t>KRONOBERGS LÄN</t>
        </is>
      </c>
      <c r="G1488" t="inlineStr">
        <is>
          <t>ALVESTA</t>
        </is>
      </c>
      <c r="I1488" t="n">
        <v>1.2</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22637-2023</t>
        </is>
      </c>
      <c r="B1489" t="inlineStr">
        <is>
          <t>avverkningsanmälan</t>
        </is>
      </c>
      <c r="C1489" t="inlineStr">
        <is>
          <t>Föryngringsavverkning</t>
        </is>
      </c>
      <c r="D1489" s="1" t="n">
        <v>45071</v>
      </c>
      <c r="E1489" s="1" t="n">
        <v>46316</v>
      </c>
      <c r="F1489" t="inlineStr">
        <is>
          <t>KRONOBERGS LÄN</t>
        </is>
      </c>
      <c r="G1489" t="inlineStr">
        <is>
          <t>TINGSRYD</t>
        </is>
      </c>
      <c r="I1489" t="n">
        <v>0.7</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28677-2023</t>
        </is>
      </c>
      <c r="B1490" t="inlineStr">
        <is>
          <t>avverkningsanmälan</t>
        </is>
      </c>
      <c r="C1490" t="inlineStr">
        <is>
          <t>Föryngringsavverkning</t>
        </is>
      </c>
      <c r="D1490" s="1" t="n">
        <v>45103</v>
      </c>
      <c r="E1490" s="1" t="n">
        <v>46316</v>
      </c>
      <c r="F1490" t="inlineStr">
        <is>
          <t>KRONOBERGS LÄN</t>
        </is>
      </c>
      <c r="G1490" t="inlineStr">
        <is>
          <t>LJUNGBY</t>
        </is>
      </c>
      <c r="I1490" t="n">
        <v>0.4</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28694-2023</t>
        </is>
      </c>
      <c r="B1491" t="inlineStr">
        <is>
          <t>avverkningsanmälan</t>
        </is>
      </c>
      <c r="C1491" t="inlineStr">
        <is>
          <t>Föryngringsavverkning</t>
        </is>
      </c>
      <c r="D1491" s="1" t="n">
        <v>45103</v>
      </c>
      <c r="E1491" s="1" t="n">
        <v>46316</v>
      </c>
      <c r="F1491" t="inlineStr">
        <is>
          <t>KRONOBERGS LÄN</t>
        </is>
      </c>
      <c r="G1491" t="inlineStr">
        <is>
          <t>ÄLMHULT</t>
        </is>
      </c>
      <c r="I1491" t="n">
        <v>1.2</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57367-2022</t>
        </is>
      </c>
      <c r="B1492" t="inlineStr">
        <is>
          <t>avverkningsanmälan</t>
        </is>
      </c>
      <c r="C1492" t="inlineStr">
        <is>
          <t>Föryngringsavverkning</t>
        </is>
      </c>
      <c r="D1492" s="1" t="n">
        <v>44896</v>
      </c>
      <c r="E1492" s="1" t="n">
        <v>46316</v>
      </c>
      <c r="F1492" t="inlineStr">
        <is>
          <t>KRONOBERGS LÄN</t>
        </is>
      </c>
      <c r="G1492" t="inlineStr">
        <is>
          <t>VÄXJÖ</t>
        </is>
      </c>
      <c r="I1492" t="n">
        <v>3.2</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24884-2024</t>
        </is>
      </c>
      <c r="B1493" t="inlineStr">
        <is>
          <t>avverkningsanmälan</t>
        </is>
      </c>
      <c r="C1493" t="inlineStr">
        <is>
          <t>Föryngringsavverkning</t>
        </is>
      </c>
      <c r="D1493" s="1" t="n">
        <v>45461</v>
      </c>
      <c r="E1493" s="1" t="n">
        <v>46316</v>
      </c>
      <c r="F1493" t="inlineStr">
        <is>
          <t>KRONOBERGS LÄN</t>
        </is>
      </c>
      <c r="G1493" t="inlineStr">
        <is>
          <t>LJUNGBY</t>
        </is>
      </c>
      <c r="I1493" t="n">
        <v>0.4</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59968-2025</t>
        </is>
      </c>
      <c r="B1494" t="inlineStr">
        <is>
          <t>avverkningsanmälan</t>
        </is>
      </c>
      <c r="C1494" t="inlineStr">
        <is>
          <t>Avverkning för att bevara och utveckla /försöksver</t>
        </is>
      </c>
      <c r="D1494" s="1" t="n">
        <v>45993</v>
      </c>
      <c r="E1494" s="1" t="n">
        <v>46316</v>
      </c>
      <c r="F1494" t="inlineStr">
        <is>
          <t>KRONOBERGS LÄN</t>
        </is>
      </c>
      <c r="G1494" t="inlineStr">
        <is>
          <t>LJUNGBY</t>
        </is>
      </c>
      <c r="I1494" t="n">
        <v>2.7</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64003-2023</t>
        </is>
      </c>
      <c r="B1495" t="inlineStr">
        <is>
          <t>avverkningsanmälan</t>
        </is>
      </c>
      <c r="C1495" t="inlineStr">
        <is>
          <t>Föryngringsavverkning</t>
        </is>
      </c>
      <c r="D1495" s="1" t="n">
        <v>45278</v>
      </c>
      <c r="E1495" s="1" t="n">
        <v>46316</v>
      </c>
      <c r="F1495" t="inlineStr">
        <is>
          <t>KRONOBERGS LÄN</t>
        </is>
      </c>
      <c r="G1495" t="inlineStr">
        <is>
          <t>LJUNGBY</t>
        </is>
      </c>
      <c r="H1495" t="inlineStr">
        <is>
          <t>Kyrkan</t>
        </is>
      </c>
      <c r="I1495" t="n">
        <v>4.7</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21724-2022</t>
        </is>
      </c>
      <c r="B1496" t="inlineStr">
        <is>
          <t>avverkningsanmälan</t>
        </is>
      </c>
      <c r="C1496" t="inlineStr">
        <is>
          <t>Föryngringsavverkning</t>
        </is>
      </c>
      <c r="D1496" s="1" t="n">
        <v>44706</v>
      </c>
      <c r="E1496" s="1" t="n">
        <v>46316</v>
      </c>
      <c r="F1496" t="inlineStr">
        <is>
          <t>KRONOBERGS LÄN</t>
        </is>
      </c>
      <c r="G1496" t="inlineStr">
        <is>
          <t>LJUNGBY</t>
        </is>
      </c>
      <c r="I1496" t="n">
        <v>2.1</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35904-2025</t>
        </is>
      </c>
      <c r="B1497" t="inlineStr">
        <is>
          <t>avverkningsanmälan</t>
        </is>
      </c>
      <c r="C1497" t="inlineStr">
        <is>
          <t>Föryngringsavverkning</t>
        </is>
      </c>
      <c r="D1497" s="1" t="n">
        <v>45862</v>
      </c>
      <c r="E1497" s="1" t="n">
        <v>46316</v>
      </c>
      <c r="F1497" t="inlineStr">
        <is>
          <t>KRONOBERGS LÄN</t>
        </is>
      </c>
      <c r="G1497" t="inlineStr">
        <is>
          <t>LESSEBO</t>
        </is>
      </c>
      <c r="H1497" t="inlineStr">
        <is>
          <t>Sveaskog</t>
        </is>
      </c>
      <c r="I1497" t="n">
        <v>2.1</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59585-2024</t>
        </is>
      </c>
      <c r="B1498" t="inlineStr">
        <is>
          <t>avverkningsanmälan</t>
        </is>
      </c>
      <c r="C1498" t="inlineStr">
        <is>
          <t>Föryngringsavverkning</t>
        </is>
      </c>
      <c r="D1498" s="1" t="n">
        <v>45638</v>
      </c>
      <c r="E1498" s="1" t="n">
        <v>46316</v>
      </c>
      <c r="F1498" t="inlineStr">
        <is>
          <t>KRONOBERGS LÄN</t>
        </is>
      </c>
      <c r="G1498" t="inlineStr">
        <is>
          <t>ÄLMHULT</t>
        </is>
      </c>
      <c r="I1498" t="n">
        <v>2.6</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59631-2024</t>
        </is>
      </c>
      <c r="B1499" t="inlineStr">
        <is>
          <t>avverkningsanmälan</t>
        </is>
      </c>
      <c r="C1499" t="inlineStr">
        <is>
          <t>Föryngringsavverkning</t>
        </is>
      </c>
      <c r="D1499" s="1" t="n">
        <v>45638</v>
      </c>
      <c r="E1499" s="1" t="n">
        <v>46316</v>
      </c>
      <c r="F1499" t="inlineStr">
        <is>
          <t>KRONOBERGS LÄN</t>
        </is>
      </c>
      <c r="G1499" t="inlineStr">
        <is>
          <t>ÄLMHULT</t>
        </is>
      </c>
      <c r="I1499" t="n">
        <v>4.7</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9397-2023</t>
        </is>
      </c>
      <c r="B1500" t="inlineStr">
        <is>
          <t>avverkningsanmälan</t>
        </is>
      </c>
      <c r="C1500" t="inlineStr">
        <is>
          <t>Avverkning för annat ändamål</t>
        </is>
      </c>
      <c r="D1500" s="1" t="n">
        <v>44981</v>
      </c>
      <c r="E1500" s="1" t="n">
        <v>46316</v>
      </c>
      <c r="F1500" t="inlineStr">
        <is>
          <t>KRONOBERGS LÄN</t>
        </is>
      </c>
      <c r="G1500" t="inlineStr">
        <is>
          <t>VÄXJÖ</t>
        </is>
      </c>
      <c r="I1500" t="n">
        <v>3.3</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59969-2025</t>
        </is>
      </c>
      <c r="B1501" t="inlineStr">
        <is>
          <t>avverkningsanmälan</t>
        </is>
      </c>
      <c r="C1501" t="inlineStr">
        <is>
          <t>Avverkning för att bevara och utveckla /försöksver</t>
        </is>
      </c>
      <c r="D1501" s="1" t="n">
        <v>45993</v>
      </c>
      <c r="E1501" s="1" t="n">
        <v>46316</v>
      </c>
      <c r="F1501" t="inlineStr">
        <is>
          <t>KRONOBERGS LÄN</t>
        </is>
      </c>
      <c r="G1501" t="inlineStr">
        <is>
          <t>LJUNGBY</t>
        </is>
      </c>
      <c r="I1501" t="n">
        <v>1.4</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4437-2025</t>
        </is>
      </c>
      <c r="B1502" t="inlineStr">
        <is>
          <t>avverkningsanmälan</t>
        </is>
      </c>
      <c r="C1502" t="inlineStr">
        <is>
          <t>Föryngringsavverkning</t>
        </is>
      </c>
      <c r="D1502" s="1" t="n">
        <v>45686</v>
      </c>
      <c r="E1502" s="1" t="n">
        <v>46316</v>
      </c>
      <c r="F1502" t="inlineStr">
        <is>
          <t>KRONOBERGS LÄN</t>
        </is>
      </c>
      <c r="G1502" t="inlineStr">
        <is>
          <t>LJUNGBY</t>
        </is>
      </c>
      <c r="I1502" t="n">
        <v>3.5</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38736-2023</t>
        </is>
      </c>
      <c r="B1503" t="inlineStr">
        <is>
          <t>avverkningsanmälan</t>
        </is>
      </c>
      <c r="C1503" t="inlineStr">
        <is>
          <t>Föryngringsavverkning</t>
        </is>
      </c>
      <c r="D1503" s="1" t="n">
        <v>45163</v>
      </c>
      <c r="E1503" s="1" t="n">
        <v>46316</v>
      </c>
      <c r="F1503" t="inlineStr">
        <is>
          <t>KRONOBERGS LÄN</t>
        </is>
      </c>
      <c r="G1503" t="inlineStr">
        <is>
          <t>LJUNGBY</t>
        </is>
      </c>
      <c r="I1503" t="n">
        <v>0.3</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1222-2026</t>
        </is>
      </c>
      <c r="B1504" t="inlineStr">
        <is>
          <t>avverkningsanmälan</t>
        </is>
      </c>
      <c r="C1504" t="inlineStr">
        <is>
          <t>Föryngringsavverkning</t>
        </is>
      </c>
      <c r="D1504" s="1" t="n">
        <v>46031</v>
      </c>
      <c r="E1504" s="1" t="n">
        <v>46316</v>
      </c>
      <c r="F1504" t="inlineStr">
        <is>
          <t>KRONOBERGS LÄN</t>
        </is>
      </c>
      <c r="G1504" t="inlineStr">
        <is>
          <t>VÄXJÖ</t>
        </is>
      </c>
      <c r="H1504" t="inlineStr">
        <is>
          <t>Sveaskog</t>
        </is>
      </c>
      <c r="I1504" t="n">
        <v>17</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41392-2025</t>
        </is>
      </c>
      <c r="B1505" t="inlineStr">
        <is>
          <t>avverkningsanmälan</t>
        </is>
      </c>
      <c r="C1505" t="inlineStr">
        <is>
          <t>Föryngringsavverkning</t>
        </is>
      </c>
      <c r="D1505" s="1" t="n">
        <v>45901</v>
      </c>
      <c r="E1505" s="1" t="n">
        <v>46316</v>
      </c>
      <c r="F1505" t="inlineStr">
        <is>
          <t>KRONOBERGS LÄN</t>
        </is>
      </c>
      <c r="G1505" t="inlineStr">
        <is>
          <t>UPPVIDINGE</t>
        </is>
      </c>
      <c r="I1505" t="n">
        <v>0.4</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27972-2025</t>
        </is>
      </c>
      <c r="B1506" t="inlineStr">
        <is>
          <t>avverkningsanmälan</t>
        </is>
      </c>
      <c r="C1506" t="inlineStr">
        <is>
          <t>Föryngringsavverkning</t>
        </is>
      </c>
      <c r="D1506" s="1" t="n">
        <v>45817</v>
      </c>
      <c r="E1506" s="1" t="n">
        <v>46316</v>
      </c>
      <c r="F1506" t="inlineStr">
        <is>
          <t>KRONOBERGS LÄN</t>
        </is>
      </c>
      <c r="G1506" t="inlineStr">
        <is>
          <t>LJUNGBY</t>
        </is>
      </c>
      <c r="I1506" t="n">
        <v>2.2</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41393-2025</t>
        </is>
      </c>
      <c r="B1507" t="inlineStr">
        <is>
          <t>avverkningsanmälan</t>
        </is>
      </c>
      <c r="C1507" t="inlineStr">
        <is>
          <t>Föryngringsavverkning</t>
        </is>
      </c>
      <c r="D1507" s="1" t="n">
        <v>45901</v>
      </c>
      <c r="E1507" s="1" t="n">
        <v>46316</v>
      </c>
      <c r="F1507" t="inlineStr">
        <is>
          <t>KRONOBERGS LÄN</t>
        </is>
      </c>
      <c r="G1507" t="inlineStr">
        <is>
          <t>UPPVIDINGE</t>
        </is>
      </c>
      <c r="I1507" t="n">
        <v>0.5</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1022-2026</t>
        </is>
      </c>
      <c r="B1508" t="inlineStr">
        <is>
          <t>avverkningsanmälan</t>
        </is>
      </c>
      <c r="C1508" t="inlineStr">
        <is>
          <t>Föryngringsavverkning</t>
        </is>
      </c>
      <c r="D1508" s="1" t="n">
        <v>46030</v>
      </c>
      <c r="E1508" s="1" t="n">
        <v>46316</v>
      </c>
      <c r="F1508" t="inlineStr">
        <is>
          <t>KRONOBERGS LÄN</t>
        </is>
      </c>
      <c r="G1508" t="inlineStr">
        <is>
          <t>LESSEBO</t>
        </is>
      </c>
      <c r="I1508" t="n">
        <v>0.5</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1218-2026</t>
        </is>
      </c>
      <c r="B1509" t="inlineStr">
        <is>
          <t>avverkningsanmälan</t>
        </is>
      </c>
      <c r="C1509" t="inlineStr">
        <is>
          <t>Föryngringsavverkning</t>
        </is>
      </c>
      <c r="D1509" s="1" t="n">
        <v>46031</v>
      </c>
      <c r="E1509" s="1" t="n">
        <v>46316</v>
      </c>
      <c r="F1509" t="inlineStr">
        <is>
          <t>KRONOBERGS LÄN</t>
        </is>
      </c>
      <c r="G1509" t="inlineStr">
        <is>
          <t>VÄXJÖ</t>
        </is>
      </c>
      <c r="H1509" t="inlineStr">
        <is>
          <t>Sveaskog</t>
        </is>
      </c>
      <c r="I1509" t="n">
        <v>3.6</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43852-2023</t>
        </is>
      </c>
      <c r="B1510" t="inlineStr">
        <is>
          <t>avverkningsanmälan</t>
        </is>
      </c>
      <c r="C1510" t="inlineStr">
        <is>
          <t>Föryngringsavverkning</t>
        </is>
      </c>
      <c r="D1510" s="1" t="n">
        <v>45187</v>
      </c>
      <c r="E1510" s="1" t="n">
        <v>46316</v>
      </c>
      <c r="F1510" t="inlineStr">
        <is>
          <t>KRONOBERGS LÄN</t>
        </is>
      </c>
      <c r="G1510" t="inlineStr">
        <is>
          <t>ÄLMHULT</t>
        </is>
      </c>
      <c r="I1510" t="n">
        <v>1.5</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18403-2025</t>
        </is>
      </c>
      <c r="B1511" t="inlineStr">
        <is>
          <t>avverkningsanmälan</t>
        </is>
      </c>
      <c r="C1511" t="inlineStr">
        <is>
          <t>Föryngringsavverkning</t>
        </is>
      </c>
      <c r="D1511" s="1" t="n">
        <v>45762</v>
      </c>
      <c r="E1511" s="1" t="n">
        <v>46316</v>
      </c>
      <c r="F1511" t="inlineStr">
        <is>
          <t>KRONOBERGS LÄN</t>
        </is>
      </c>
      <c r="G1511" t="inlineStr">
        <is>
          <t>LJUNGBY</t>
        </is>
      </c>
      <c r="I1511" t="n">
        <v>4.9</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1357-2026</t>
        </is>
      </c>
      <c r="B1512" t="inlineStr">
        <is>
          <t>avverkningsanmälan</t>
        </is>
      </c>
      <c r="C1512" t="inlineStr">
        <is>
          <t>Föryngringsavverkning</t>
        </is>
      </c>
      <c r="D1512" s="1" t="n">
        <v>46031</v>
      </c>
      <c r="E1512" s="1" t="n">
        <v>46316</v>
      </c>
      <c r="F1512" t="inlineStr">
        <is>
          <t>KRONOBERGS LÄN</t>
        </is>
      </c>
      <c r="G1512" t="inlineStr">
        <is>
          <t>TINGSRYD</t>
        </is>
      </c>
      <c r="I1512" t="n">
        <v>0.6</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41823-2025</t>
        </is>
      </c>
      <c r="B1513" t="inlineStr">
        <is>
          <t>avverkningsanmälan</t>
        </is>
      </c>
      <c r="C1513" t="inlineStr">
        <is>
          <t>Föryngringsavverkning</t>
        </is>
      </c>
      <c r="D1513" s="1" t="n">
        <v>45902</v>
      </c>
      <c r="E1513" s="1" t="n">
        <v>46316</v>
      </c>
      <c r="F1513" t="inlineStr">
        <is>
          <t>KRONOBERGS LÄN</t>
        </is>
      </c>
      <c r="G1513" t="inlineStr">
        <is>
          <t>VÄXJÖ</t>
        </is>
      </c>
      <c r="I1513" t="n">
        <v>1</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1016-2026</t>
        </is>
      </c>
      <c r="B1514" t="inlineStr">
        <is>
          <t>avverkningsanmälan</t>
        </is>
      </c>
      <c r="C1514" t="inlineStr">
        <is>
          <t>Föryngringsavverkning</t>
        </is>
      </c>
      <c r="D1514" s="1" t="n">
        <v>46030</v>
      </c>
      <c r="E1514" s="1" t="n">
        <v>46316</v>
      </c>
      <c r="F1514" t="inlineStr">
        <is>
          <t>KRONOBERGS LÄN</t>
        </is>
      </c>
      <c r="G1514" t="inlineStr">
        <is>
          <t>LESSEBO</t>
        </is>
      </c>
      <c r="I1514" t="n">
        <v>1.1</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33176-2024</t>
        </is>
      </c>
      <c r="B1515" t="inlineStr">
        <is>
          <t>avverkningsanmälan</t>
        </is>
      </c>
      <c r="C1515" t="inlineStr">
        <is>
          <t>Avverkning för annat ändamål</t>
        </is>
      </c>
      <c r="D1515" s="1" t="n">
        <v>45518</v>
      </c>
      <c r="E1515" s="1" t="n">
        <v>46316</v>
      </c>
      <c r="F1515" t="inlineStr">
        <is>
          <t>KRONOBERGS LÄN</t>
        </is>
      </c>
      <c r="G1515" t="inlineStr">
        <is>
          <t>LJUNGBY</t>
        </is>
      </c>
      <c r="I1515" t="n">
        <v>3.1</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28081-2025</t>
        </is>
      </c>
      <c r="B1516" t="inlineStr">
        <is>
          <t>avverkningsanmälan</t>
        </is>
      </c>
      <c r="C1516" t="inlineStr">
        <is>
          <t>Föryngringsavverkning</t>
        </is>
      </c>
      <c r="D1516" s="1" t="n">
        <v>45817</v>
      </c>
      <c r="E1516" s="1" t="n">
        <v>46316</v>
      </c>
      <c r="F1516" t="inlineStr">
        <is>
          <t>KRONOBERGS LÄN</t>
        </is>
      </c>
      <c r="G1516" t="inlineStr">
        <is>
          <t>VÄXJÖ</t>
        </is>
      </c>
      <c r="I1516" t="n">
        <v>0.5</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26801-2025</t>
        </is>
      </c>
      <c r="B1517" t="inlineStr">
        <is>
          <t>avverkningsanmälan</t>
        </is>
      </c>
      <c r="C1517" t="inlineStr">
        <is>
          <t>Föryngringsavverkning</t>
        </is>
      </c>
      <c r="D1517" s="1" t="n">
        <v>45810</v>
      </c>
      <c r="E1517" s="1" t="n">
        <v>46316</v>
      </c>
      <c r="F1517" t="inlineStr">
        <is>
          <t>KRONOBERGS LÄN</t>
        </is>
      </c>
      <c r="G1517" t="inlineStr">
        <is>
          <t>VÄXJÖ</t>
        </is>
      </c>
      <c r="H1517" t="inlineStr">
        <is>
          <t>Övriga Aktiebolag</t>
        </is>
      </c>
      <c r="I1517" t="n">
        <v>1.4</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857-2026</t>
        </is>
      </c>
      <c r="B1518" t="inlineStr">
        <is>
          <t>avverkningsanmälan</t>
        </is>
      </c>
      <c r="C1518" t="inlineStr">
        <is>
          <t>Föryngringsavverkning</t>
        </is>
      </c>
      <c r="D1518" s="1" t="n">
        <v>46030</v>
      </c>
      <c r="E1518" s="1" t="n">
        <v>46316</v>
      </c>
      <c r="F1518" t="inlineStr">
        <is>
          <t>KRONOBERGS LÄN</t>
        </is>
      </c>
      <c r="G1518" t="inlineStr">
        <is>
          <t>LJUNGBY</t>
        </is>
      </c>
      <c r="I1518" t="n">
        <v>1.3</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15753-2025</t>
        </is>
      </c>
      <c r="B1519" t="inlineStr">
        <is>
          <t>avverkningsanmälan</t>
        </is>
      </c>
      <c r="C1519" t="inlineStr">
        <is>
          <t>Föryngringsavverkning</t>
        </is>
      </c>
      <c r="D1519" s="1" t="n">
        <v>45748</v>
      </c>
      <c r="E1519" s="1" t="n">
        <v>46316</v>
      </c>
      <c r="F1519" t="inlineStr">
        <is>
          <t>KRONOBERGS LÄN</t>
        </is>
      </c>
      <c r="G1519" t="inlineStr">
        <is>
          <t>ÄLMHULT</t>
        </is>
      </c>
      <c r="I1519" t="n">
        <v>2.1</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1682-2026</t>
        </is>
      </c>
      <c r="B1520" t="inlineStr">
        <is>
          <t>avverkningsanmälan</t>
        </is>
      </c>
      <c r="C1520" t="inlineStr">
        <is>
          <t>Avverkning för annat ändamål</t>
        </is>
      </c>
      <c r="D1520" s="1" t="n">
        <v>46034</v>
      </c>
      <c r="E1520" s="1" t="n">
        <v>46316</v>
      </c>
      <c r="F1520" t="inlineStr">
        <is>
          <t>KRONOBERGS LÄN</t>
        </is>
      </c>
      <c r="G1520" t="inlineStr">
        <is>
          <t>MARKARYD</t>
        </is>
      </c>
      <c r="I1520" t="n">
        <v>0.7</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21980-2024</t>
        </is>
      </c>
      <c r="B1521" t="inlineStr">
        <is>
          <t>avverkningsanmälan</t>
        </is>
      </c>
      <c r="C1521" t="inlineStr">
        <is>
          <t>Föryngringsavverkning</t>
        </is>
      </c>
      <c r="D1521" s="1" t="n">
        <v>45443</v>
      </c>
      <c r="E1521" s="1" t="n">
        <v>46316</v>
      </c>
      <c r="F1521" t="inlineStr">
        <is>
          <t>KRONOBERGS LÄN</t>
        </is>
      </c>
      <c r="G1521" t="inlineStr">
        <is>
          <t>TINGSRYD</t>
        </is>
      </c>
      <c r="I1521" t="n">
        <v>1.1</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61658-2024</t>
        </is>
      </c>
      <c r="B1522" t="inlineStr">
        <is>
          <t>avverkningsanmälan</t>
        </is>
      </c>
      <c r="C1522" t="inlineStr">
        <is>
          <t>Föryngringsavverkning</t>
        </is>
      </c>
      <c r="D1522" s="1" t="n">
        <v>45646</v>
      </c>
      <c r="E1522" s="1" t="n">
        <v>46316</v>
      </c>
      <c r="F1522" t="inlineStr">
        <is>
          <t>KRONOBERGS LÄN</t>
        </is>
      </c>
      <c r="G1522" t="inlineStr">
        <is>
          <t>TINGSRYD</t>
        </is>
      </c>
      <c r="I1522" t="n">
        <v>0.9</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1798-2026</t>
        </is>
      </c>
      <c r="B1523" t="inlineStr">
        <is>
          <t>avverkningsanmälan</t>
        </is>
      </c>
      <c r="C1523" t="inlineStr">
        <is>
          <t>Föryngringsavverkning</t>
        </is>
      </c>
      <c r="D1523" s="1" t="n">
        <v>46035</v>
      </c>
      <c r="E1523" s="1" t="n">
        <v>46316</v>
      </c>
      <c r="F1523" t="inlineStr">
        <is>
          <t>KRONOBERGS LÄN</t>
        </is>
      </c>
      <c r="G1523" t="inlineStr">
        <is>
          <t>VÄXJÖ</t>
        </is>
      </c>
      <c r="H1523" t="inlineStr">
        <is>
          <t>Sveaskog</t>
        </is>
      </c>
      <c r="I1523" t="n">
        <v>3.4</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19237-2024</t>
        </is>
      </c>
      <c r="B1524" t="inlineStr">
        <is>
          <t>avverkningsanmälan</t>
        </is>
      </c>
      <c r="C1524" t="inlineStr">
        <is>
          <t>Föryngringsavverkning</t>
        </is>
      </c>
      <c r="D1524" s="1" t="n">
        <v>45428</v>
      </c>
      <c r="E1524" s="1" t="n">
        <v>46316</v>
      </c>
      <c r="F1524" t="inlineStr">
        <is>
          <t>KRONOBERGS LÄN</t>
        </is>
      </c>
      <c r="G1524" t="inlineStr">
        <is>
          <t>UPPVIDINGE</t>
        </is>
      </c>
      <c r="I1524" t="n">
        <v>4.2</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33252-2025</t>
        </is>
      </c>
      <c r="B1525" t="inlineStr">
        <is>
          <t>avverkningsanmälan</t>
        </is>
      </c>
      <c r="C1525" t="inlineStr">
        <is>
          <t>Föryngringsavverkning</t>
        </is>
      </c>
      <c r="D1525" s="1" t="n">
        <v>45840</v>
      </c>
      <c r="E1525" s="1" t="n">
        <v>46316</v>
      </c>
      <c r="F1525" t="inlineStr">
        <is>
          <t>KRONOBERGS LÄN</t>
        </is>
      </c>
      <c r="G1525" t="inlineStr">
        <is>
          <t>UPPVIDINGE</t>
        </is>
      </c>
      <c r="I1525" t="n">
        <v>1.2</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28334-2025</t>
        </is>
      </c>
      <c r="B1526" t="inlineStr">
        <is>
          <t>avverkningsanmälan</t>
        </is>
      </c>
      <c r="C1526" t="inlineStr">
        <is>
          <t>Föryngringsavverkning</t>
        </is>
      </c>
      <c r="D1526" s="1" t="n">
        <v>45818</v>
      </c>
      <c r="E1526" s="1" t="n">
        <v>46316</v>
      </c>
      <c r="F1526" t="inlineStr">
        <is>
          <t>KRONOBERGS LÄN</t>
        </is>
      </c>
      <c r="G1526" t="inlineStr">
        <is>
          <t>LJUNGBY</t>
        </is>
      </c>
      <c r="I1526" t="n">
        <v>0.8</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10061-2025</t>
        </is>
      </c>
      <c r="B1527" t="inlineStr">
        <is>
          <t>avverkningsanmälan</t>
        </is>
      </c>
      <c r="C1527" t="inlineStr">
        <is>
          <t>Föryngringsavverkning</t>
        </is>
      </c>
      <c r="D1527" s="1" t="n">
        <v>45719</v>
      </c>
      <c r="E1527" s="1" t="n">
        <v>46316</v>
      </c>
      <c r="F1527" t="inlineStr">
        <is>
          <t>KRONOBERGS LÄN</t>
        </is>
      </c>
      <c r="G1527" t="inlineStr">
        <is>
          <t>VÄXJÖ</t>
        </is>
      </c>
      <c r="I1527" t="n">
        <v>1.8</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61187-2024</t>
        </is>
      </c>
      <c r="B1528" t="inlineStr">
        <is>
          <t>avverkningsanmälan</t>
        </is>
      </c>
      <c r="C1528" t="inlineStr">
        <is>
          <t>Föryngringsavverkning</t>
        </is>
      </c>
      <c r="D1528" s="1" t="n">
        <v>45645</v>
      </c>
      <c r="E1528" s="1" t="n">
        <v>46316</v>
      </c>
      <c r="F1528" t="inlineStr">
        <is>
          <t>KRONOBERGS LÄN</t>
        </is>
      </c>
      <c r="G1528" t="inlineStr">
        <is>
          <t>VÄXJÖ</t>
        </is>
      </c>
      <c r="I1528" t="n">
        <v>1.8</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32005-2025</t>
        </is>
      </c>
      <c r="B1529" t="inlineStr">
        <is>
          <t>avverkningsanmälan</t>
        </is>
      </c>
      <c r="C1529" t="inlineStr">
        <is>
          <t>Föryngringsavverkning</t>
        </is>
      </c>
      <c r="D1529" s="1" t="n">
        <v>45835</v>
      </c>
      <c r="E1529" s="1" t="n">
        <v>46316</v>
      </c>
      <c r="F1529" t="inlineStr">
        <is>
          <t>KRONOBERGS LÄN</t>
        </is>
      </c>
      <c r="G1529" t="inlineStr">
        <is>
          <t>VÄXJÖ</t>
        </is>
      </c>
      <c r="I1529" t="n">
        <v>1.4</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1913-2026</t>
        </is>
      </c>
      <c r="B1530" t="inlineStr">
        <is>
          <t>avverkningsanmälan</t>
        </is>
      </c>
      <c r="C1530" t="inlineStr">
        <is>
          <t>Föryngringsavverkning</t>
        </is>
      </c>
      <c r="D1530" s="1" t="n">
        <v>46035</v>
      </c>
      <c r="E1530" s="1" t="n">
        <v>46316</v>
      </c>
      <c r="F1530" t="inlineStr">
        <is>
          <t>KRONOBERGS LÄN</t>
        </is>
      </c>
      <c r="G1530" t="inlineStr">
        <is>
          <t>ÄLMHULT</t>
        </is>
      </c>
      <c r="I1530" t="n">
        <v>0.7</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19349-2025</t>
        </is>
      </c>
      <c r="B1531" t="inlineStr">
        <is>
          <t>avverkningsanmälan</t>
        </is>
      </c>
      <c r="C1531" t="inlineStr">
        <is>
          <t>Avverkning för annat ändamål</t>
        </is>
      </c>
      <c r="D1531" s="1" t="n">
        <v>45769</v>
      </c>
      <c r="E1531" s="1" t="n">
        <v>46316</v>
      </c>
      <c r="F1531" t="inlineStr">
        <is>
          <t>KRONOBERGS LÄN</t>
        </is>
      </c>
      <c r="G1531" t="inlineStr">
        <is>
          <t>VÄXJÖ</t>
        </is>
      </c>
      <c r="I1531" t="n">
        <v>0.5</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43094-2024</t>
        </is>
      </c>
      <c r="B1532" t="inlineStr">
        <is>
          <t>avverkningsanmälan</t>
        </is>
      </c>
      <c r="C1532" t="inlineStr">
        <is>
          <t>Föryngringsavverkning</t>
        </is>
      </c>
      <c r="D1532" s="1" t="n">
        <v>45567</v>
      </c>
      <c r="E1532" s="1" t="n">
        <v>46316</v>
      </c>
      <c r="F1532" t="inlineStr">
        <is>
          <t>KRONOBERGS LÄN</t>
        </is>
      </c>
      <c r="G1532" t="inlineStr">
        <is>
          <t>UPPVIDINGE</t>
        </is>
      </c>
      <c r="I1532" t="n">
        <v>5.3</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41817-2025</t>
        </is>
      </c>
      <c r="B1533" t="inlineStr">
        <is>
          <t>avverkningsanmälan</t>
        </is>
      </c>
      <c r="C1533" t="inlineStr">
        <is>
          <t>Föryngringsavverkning</t>
        </is>
      </c>
      <c r="D1533" s="1" t="n">
        <v>45902</v>
      </c>
      <c r="E1533" s="1" t="n">
        <v>46316</v>
      </c>
      <c r="F1533" t="inlineStr">
        <is>
          <t>KRONOBERGS LÄN</t>
        </is>
      </c>
      <c r="G1533" t="inlineStr">
        <is>
          <t>VÄXJÖ</t>
        </is>
      </c>
      <c r="I1533" t="n">
        <v>8.4</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41798-2025</t>
        </is>
      </c>
      <c r="B1534" t="inlineStr">
        <is>
          <t>avverkningsanmälan</t>
        </is>
      </c>
      <c r="C1534" t="inlineStr">
        <is>
          <t>Föryngringsavverkning</t>
        </is>
      </c>
      <c r="D1534" s="1" t="n">
        <v>45902</v>
      </c>
      <c r="E1534" s="1" t="n">
        <v>46316</v>
      </c>
      <c r="F1534" t="inlineStr">
        <is>
          <t>KRONOBERGS LÄN</t>
        </is>
      </c>
      <c r="G1534" t="inlineStr">
        <is>
          <t>LJUNGBY</t>
        </is>
      </c>
      <c r="I1534" t="n">
        <v>0.4</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41822-2025</t>
        </is>
      </c>
      <c r="B1535" t="inlineStr">
        <is>
          <t>avverkningsanmälan</t>
        </is>
      </c>
      <c r="C1535" t="inlineStr">
        <is>
          <t>Föryngringsavverkning</t>
        </is>
      </c>
      <c r="D1535" s="1" t="n">
        <v>45902</v>
      </c>
      <c r="E1535" s="1" t="n">
        <v>46316</v>
      </c>
      <c r="F1535" t="inlineStr">
        <is>
          <t>KRONOBERGS LÄN</t>
        </is>
      </c>
      <c r="G1535" t="inlineStr">
        <is>
          <t>VÄXJÖ</t>
        </is>
      </c>
      <c r="I1535" t="n">
        <v>0.9</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1483-2026</t>
        </is>
      </c>
      <c r="B1536" t="inlineStr">
        <is>
          <t>avverkningsanmälan</t>
        </is>
      </c>
      <c r="C1536" t="inlineStr">
        <is>
          <t>Föryngringsavverkning</t>
        </is>
      </c>
      <c r="D1536" s="1" t="n">
        <v>46033</v>
      </c>
      <c r="E1536" s="1" t="n">
        <v>46316</v>
      </c>
      <c r="F1536" t="inlineStr">
        <is>
          <t>KRONOBERGS LÄN</t>
        </is>
      </c>
      <c r="G1536" t="inlineStr">
        <is>
          <t>UPPVIDINGE</t>
        </is>
      </c>
      <c r="I1536" t="n">
        <v>3.3</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39125-2024</t>
        </is>
      </c>
      <c r="B1537" t="inlineStr">
        <is>
          <t>avverkningsanmälan</t>
        </is>
      </c>
      <c r="C1537" t="inlineStr">
        <is>
          <t>Föryngringsavverkning</t>
        </is>
      </c>
      <c r="D1537" s="1" t="n">
        <v>45548</v>
      </c>
      <c r="E1537" s="1" t="n">
        <v>46316</v>
      </c>
      <c r="F1537" t="inlineStr">
        <is>
          <t>KRONOBERGS LÄN</t>
        </is>
      </c>
      <c r="G1537" t="inlineStr">
        <is>
          <t>ÄLMHULT</t>
        </is>
      </c>
      <c r="I1537" t="n">
        <v>1.6</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28301-2025</t>
        </is>
      </c>
      <c r="B1538" t="inlineStr">
        <is>
          <t>avverkningsanmälan</t>
        </is>
      </c>
      <c r="C1538" t="inlineStr">
        <is>
          <t>Föryngringsavverkning</t>
        </is>
      </c>
      <c r="D1538" s="1" t="n">
        <v>45818</v>
      </c>
      <c r="E1538" s="1" t="n">
        <v>46316</v>
      </c>
      <c r="F1538" t="inlineStr">
        <is>
          <t>KRONOBERGS LÄN</t>
        </is>
      </c>
      <c r="G1538" t="inlineStr">
        <is>
          <t>ÄLMHULT</t>
        </is>
      </c>
      <c r="I1538" t="n">
        <v>4.3</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42465-2025</t>
        </is>
      </c>
      <c r="B1539" t="inlineStr">
        <is>
          <t>avverkningsanmälan</t>
        </is>
      </c>
      <c r="C1539" t="inlineStr">
        <is>
          <t>Föryngringsavverkning</t>
        </is>
      </c>
      <c r="D1539" s="1" t="n">
        <v>45905</v>
      </c>
      <c r="E1539" s="1" t="n">
        <v>46316</v>
      </c>
      <c r="F1539" t="inlineStr">
        <is>
          <t>KRONOBERGS LÄN</t>
        </is>
      </c>
      <c r="G1539" t="inlineStr">
        <is>
          <t>LJUNGBY</t>
        </is>
      </c>
      <c r="I1539" t="n">
        <v>7.1</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40392-2025</t>
        </is>
      </c>
      <c r="B1540" t="inlineStr">
        <is>
          <t>avverkningsanmälan</t>
        </is>
      </c>
      <c r="C1540" t="inlineStr">
        <is>
          <t>Föryngringsavverkning</t>
        </is>
      </c>
      <c r="D1540" s="1" t="n">
        <v>45895</v>
      </c>
      <c r="E1540" s="1" t="n">
        <v>46316</v>
      </c>
      <c r="F1540" t="inlineStr">
        <is>
          <t>KRONOBERGS LÄN</t>
        </is>
      </c>
      <c r="G1540" t="inlineStr">
        <is>
          <t>ALVESTA</t>
        </is>
      </c>
      <c r="I1540" t="n">
        <v>0.6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54474-2024</t>
        </is>
      </c>
      <c r="B1541" t="inlineStr">
        <is>
          <t>avverkningsanmälan</t>
        </is>
      </c>
      <c r="C1541" t="inlineStr">
        <is>
          <t>Föryngringsavverkning</t>
        </is>
      </c>
      <c r="D1541" s="1" t="n">
        <v>45617</v>
      </c>
      <c r="E1541" s="1" t="n">
        <v>46316</v>
      </c>
      <c r="F1541" t="inlineStr">
        <is>
          <t>KRONOBERGS LÄN</t>
        </is>
      </c>
      <c r="G1541" t="inlineStr">
        <is>
          <t>LJUNGBY</t>
        </is>
      </c>
      <c r="I1541" t="n">
        <v>6.2</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28148-2025</t>
        </is>
      </c>
      <c r="B1542" t="inlineStr">
        <is>
          <t>avverkningsanmälan</t>
        </is>
      </c>
      <c r="C1542" t="inlineStr">
        <is>
          <t>Föryngringsavverkning</t>
        </is>
      </c>
      <c r="D1542" s="1" t="n">
        <v>45818</v>
      </c>
      <c r="E1542" s="1" t="n">
        <v>46316</v>
      </c>
      <c r="F1542" t="inlineStr">
        <is>
          <t>KRONOBERGS LÄN</t>
        </is>
      </c>
      <c r="G1542" t="inlineStr">
        <is>
          <t>UPPVIDINGE</t>
        </is>
      </c>
      <c r="I1542" t="n">
        <v>1.6</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12834-2024</t>
        </is>
      </c>
      <c r="B1543" t="inlineStr">
        <is>
          <t>avverkningsanmälan</t>
        </is>
      </c>
      <c r="C1543" t="inlineStr">
        <is>
          <t>Föryngringsavverkning</t>
        </is>
      </c>
      <c r="D1543" s="1" t="n">
        <v>45384</v>
      </c>
      <c r="E1543" s="1" t="n">
        <v>46316</v>
      </c>
      <c r="F1543" t="inlineStr">
        <is>
          <t>KRONOBERGS LÄN</t>
        </is>
      </c>
      <c r="G1543" t="inlineStr">
        <is>
          <t>ALVESTA</t>
        </is>
      </c>
      <c r="I1543" t="n">
        <v>1.5</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5865-2025</t>
        </is>
      </c>
      <c r="B1544" t="inlineStr">
        <is>
          <t>avverkningsanmälan</t>
        </is>
      </c>
      <c r="C1544" t="inlineStr">
        <is>
          <t>Föryngringsavverkning</t>
        </is>
      </c>
      <c r="D1544" s="1" t="n">
        <v>45695</v>
      </c>
      <c r="E1544" s="1" t="n">
        <v>46316</v>
      </c>
      <c r="F1544" t="inlineStr">
        <is>
          <t>KRONOBERGS LÄN</t>
        </is>
      </c>
      <c r="G1544" t="inlineStr">
        <is>
          <t>ÄLMHULT</t>
        </is>
      </c>
      <c r="I1544" t="n">
        <v>1.4</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1819-2026</t>
        </is>
      </c>
      <c r="B1545" t="inlineStr">
        <is>
          <t>avverkningsanmälan</t>
        </is>
      </c>
      <c r="C1545" t="inlineStr">
        <is>
          <t>Föryngringsavverkning</t>
        </is>
      </c>
      <c r="D1545" s="1" t="n">
        <v>46035</v>
      </c>
      <c r="E1545" s="1" t="n">
        <v>46316</v>
      </c>
      <c r="F1545" t="inlineStr">
        <is>
          <t>KRONOBERGS LÄN</t>
        </is>
      </c>
      <c r="G1545" t="inlineStr">
        <is>
          <t>VÄXJÖ</t>
        </is>
      </c>
      <c r="H1545" t="inlineStr">
        <is>
          <t>Sveaskog</t>
        </is>
      </c>
      <c r="I1545" t="n">
        <v>1.4</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15180-2023</t>
        </is>
      </c>
      <c r="B1546" t="inlineStr">
        <is>
          <t>avverkningsanmälan</t>
        </is>
      </c>
      <c r="C1546" t="inlineStr">
        <is>
          <t>Föryngringsavverkning</t>
        </is>
      </c>
      <c r="D1546" s="1" t="n">
        <v>45016</v>
      </c>
      <c r="E1546" s="1" t="n">
        <v>46316</v>
      </c>
      <c r="F1546" t="inlineStr">
        <is>
          <t>KRONOBERGS LÄN</t>
        </is>
      </c>
      <c r="G1546" t="inlineStr">
        <is>
          <t>LESSEBO</t>
        </is>
      </c>
      <c r="I1546" t="n">
        <v>0.4</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15218-2023</t>
        </is>
      </c>
      <c r="B1547" t="inlineStr">
        <is>
          <t>avverkningsanmälan</t>
        </is>
      </c>
      <c r="C1547" t="inlineStr">
        <is>
          <t>Föryngringsavverkning</t>
        </is>
      </c>
      <c r="D1547" s="1" t="n">
        <v>45019</v>
      </c>
      <c r="E1547" s="1" t="n">
        <v>46316</v>
      </c>
      <c r="F1547" t="inlineStr">
        <is>
          <t>KRONOBERGS LÄN</t>
        </is>
      </c>
      <c r="G1547" t="inlineStr">
        <is>
          <t>VÄXJÖ</t>
        </is>
      </c>
      <c r="I1547" t="n">
        <v>0.8</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42194-2025</t>
        </is>
      </c>
      <c r="B1548" t="inlineStr">
        <is>
          <t>avverkningsanmälan</t>
        </is>
      </c>
      <c r="C1548" t="inlineStr">
        <is>
          <t>Föryngringsavverkning</t>
        </is>
      </c>
      <c r="D1548" s="1" t="n">
        <v>45904</v>
      </c>
      <c r="E1548" s="1" t="n">
        <v>46316</v>
      </c>
      <c r="F1548" t="inlineStr">
        <is>
          <t>KRONOBERGS LÄN</t>
        </is>
      </c>
      <c r="G1548" t="inlineStr">
        <is>
          <t>ALVESTA</t>
        </is>
      </c>
      <c r="I1548" t="n">
        <v>0.5</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42111-2025</t>
        </is>
      </c>
      <c r="B1549" t="inlineStr">
        <is>
          <t>avverkningsanmälan</t>
        </is>
      </c>
      <c r="C1549" t="inlineStr">
        <is>
          <t>Föryngringsavverkning</t>
        </is>
      </c>
      <c r="D1549" s="1" t="n">
        <v>45904</v>
      </c>
      <c r="E1549" s="1" t="n">
        <v>46316</v>
      </c>
      <c r="F1549" t="inlineStr">
        <is>
          <t>KRONOBERGS LÄN</t>
        </is>
      </c>
      <c r="G1549" t="inlineStr">
        <is>
          <t>TINGSRYD</t>
        </is>
      </c>
      <c r="H1549" t="inlineStr">
        <is>
          <t>Kommuner</t>
        </is>
      </c>
      <c r="I1549" t="n">
        <v>1.7</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20963-2025</t>
        </is>
      </c>
      <c r="B1550" t="inlineStr">
        <is>
          <t>avverkningsanmälan</t>
        </is>
      </c>
      <c r="C1550" t="inlineStr">
        <is>
          <t>Föryngringsavverkning</t>
        </is>
      </c>
      <c r="D1550" s="1" t="n">
        <v>45777</v>
      </c>
      <c r="E1550" s="1" t="n">
        <v>46316</v>
      </c>
      <c r="F1550" t="inlineStr">
        <is>
          <t>KRONOBERGS LÄN</t>
        </is>
      </c>
      <c r="G1550" t="inlineStr">
        <is>
          <t>UPPVIDINGE</t>
        </is>
      </c>
      <c r="H1550" t="inlineStr">
        <is>
          <t>Sveaskog</t>
        </is>
      </c>
      <c r="I1550" t="n">
        <v>0.6</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36623-2022</t>
        </is>
      </c>
      <c r="B1551" t="inlineStr">
        <is>
          <t>avverkningsanmälan</t>
        </is>
      </c>
      <c r="C1551" t="inlineStr">
        <is>
          <t>Avverkning för att bevara och utveckla /försöksver</t>
        </is>
      </c>
      <c r="D1551" s="1" t="n">
        <v>44804</v>
      </c>
      <c r="E1551" s="1" t="n">
        <v>46316</v>
      </c>
      <c r="F1551" t="inlineStr">
        <is>
          <t>KRONOBERGS LÄN</t>
        </is>
      </c>
      <c r="G1551" t="inlineStr">
        <is>
          <t>TINGSRYD</t>
        </is>
      </c>
      <c r="I1551" t="n">
        <v>0.8</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36626-2022</t>
        </is>
      </c>
      <c r="B1552" t="inlineStr">
        <is>
          <t>avverkningsanmälan</t>
        </is>
      </c>
      <c r="C1552" t="inlineStr">
        <is>
          <t>Föryngringsavverkning</t>
        </is>
      </c>
      <c r="D1552" s="1" t="n">
        <v>44804</v>
      </c>
      <c r="E1552" s="1" t="n">
        <v>46316</v>
      </c>
      <c r="F1552" t="inlineStr">
        <is>
          <t>KRONOBERGS LÄN</t>
        </is>
      </c>
      <c r="G1552" t="inlineStr">
        <is>
          <t>TINGSRYD</t>
        </is>
      </c>
      <c r="I1552" t="n">
        <v>2.4</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42374-2025</t>
        </is>
      </c>
      <c r="B1553" t="inlineStr">
        <is>
          <t>avverkningsanmälan</t>
        </is>
      </c>
      <c r="C1553" t="inlineStr">
        <is>
          <t>Föryngringsavverkning</t>
        </is>
      </c>
      <c r="D1553" s="1" t="n">
        <v>45905</v>
      </c>
      <c r="E1553" s="1" t="n">
        <v>46316</v>
      </c>
      <c r="F1553" t="inlineStr">
        <is>
          <t>KRONOBERGS LÄN</t>
        </is>
      </c>
      <c r="G1553" t="inlineStr">
        <is>
          <t>VÄXJÖ</t>
        </is>
      </c>
      <c r="I1553" t="n">
        <v>1.3</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1802-2026</t>
        </is>
      </c>
      <c r="B1554" t="inlineStr">
        <is>
          <t>avverkningsanmälan</t>
        </is>
      </c>
      <c r="C1554" t="inlineStr">
        <is>
          <t>Föryngringsavverkning</t>
        </is>
      </c>
      <c r="D1554" s="1" t="n">
        <v>46035</v>
      </c>
      <c r="E1554" s="1" t="n">
        <v>46316</v>
      </c>
      <c r="F1554" t="inlineStr">
        <is>
          <t>KRONOBERGS LÄN</t>
        </is>
      </c>
      <c r="G1554" t="inlineStr">
        <is>
          <t>VÄXJÖ</t>
        </is>
      </c>
      <c r="H1554" t="inlineStr">
        <is>
          <t>Sveaskog</t>
        </is>
      </c>
      <c r="I1554" t="n">
        <v>5</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42494-2025</t>
        </is>
      </c>
      <c r="B1555" t="inlineStr">
        <is>
          <t>avverkningsanmälan</t>
        </is>
      </c>
      <c r="C1555" t="inlineStr">
        <is>
          <t>Föryngringsavverkning</t>
        </is>
      </c>
      <c r="D1555" s="1" t="n">
        <v>45905</v>
      </c>
      <c r="E1555" s="1" t="n">
        <v>46316</v>
      </c>
      <c r="F1555" t="inlineStr">
        <is>
          <t>KRONOBERGS LÄN</t>
        </is>
      </c>
      <c r="G1555" t="inlineStr">
        <is>
          <t>LJUNGBY</t>
        </is>
      </c>
      <c r="I1555" t="n">
        <v>0.5</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28391-2025</t>
        </is>
      </c>
      <c r="B1556" t="inlineStr">
        <is>
          <t>avverkningsanmälan</t>
        </is>
      </c>
      <c r="C1556" t="inlineStr">
        <is>
          <t>Föryngringsavverkning</t>
        </is>
      </c>
      <c r="D1556" s="1" t="n">
        <v>45819</v>
      </c>
      <c r="E1556" s="1" t="n">
        <v>46316</v>
      </c>
      <c r="F1556" t="inlineStr">
        <is>
          <t>KRONOBERGS LÄN</t>
        </is>
      </c>
      <c r="G1556" t="inlineStr">
        <is>
          <t>UPPVIDINGE</t>
        </is>
      </c>
      <c r="H1556" t="inlineStr">
        <is>
          <t>Sveaskog</t>
        </is>
      </c>
      <c r="I1556" t="n">
        <v>1.9</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20478-2025</t>
        </is>
      </c>
      <c r="B1557" t="inlineStr">
        <is>
          <t>avverkningsanmälan</t>
        </is>
      </c>
      <c r="C1557" t="inlineStr">
        <is>
          <t>Föryngringsavverkning</t>
        </is>
      </c>
      <c r="D1557" s="1" t="n">
        <v>45775</v>
      </c>
      <c r="E1557" s="1" t="n">
        <v>46316</v>
      </c>
      <c r="F1557" t="inlineStr">
        <is>
          <t>KRONOBERGS LÄN</t>
        </is>
      </c>
      <c r="G1557" t="inlineStr">
        <is>
          <t>LESSEBO</t>
        </is>
      </c>
      <c r="H1557" t="inlineStr">
        <is>
          <t>Sveaskog</t>
        </is>
      </c>
      <c r="I1557" t="n">
        <v>3.6</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46585-2023</t>
        </is>
      </c>
      <c r="B1558" t="inlineStr">
        <is>
          <t>avverkningsanmälan</t>
        </is>
      </c>
      <c r="C1558" t="inlineStr">
        <is>
          <t>Föryngringsavverkning</t>
        </is>
      </c>
      <c r="D1558" s="1" t="n">
        <v>45194</v>
      </c>
      <c r="E1558" s="1" t="n">
        <v>46316</v>
      </c>
      <c r="F1558" t="inlineStr">
        <is>
          <t>KRONOBERGS LÄN</t>
        </is>
      </c>
      <c r="G1558" t="inlineStr">
        <is>
          <t>VÄXJÖ</t>
        </is>
      </c>
      <c r="I1558" t="n">
        <v>3</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2150-2026</t>
        </is>
      </c>
      <c r="B1559" t="inlineStr">
        <is>
          <t>avverkningsanmälan</t>
        </is>
      </c>
      <c r="C1559" t="inlineStr">
        <is>
          <t>Föryngringsavverkning</t>
        </is>
      </c>
      <c r="D1559" s="1" t="n">
        <v>46036</v>
      </c>
      <c r="E1559" s="1" t="n">
        <v>46316</v>
      </c>
      <c r="F1559" t="inlineStr">
        <is>
          <t>KRONOBERGS LÄN</t>
        </is>
      </c>
      <c r="G1559" t="inlineStr">
        <is>
          <t>VÄXJÖ</t>
        </is>
      </c>
      <c r="I1559" t="n">
        <v>2.6</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23821-2025</t>
        </is>
      </c>
      <c r="B1560" t="inlineStr">
        <is>
          <t>avverkningsanmälan</t>
        </is>
      </c>
      <c r="C1560" t="inlineStr">
        <is>
          <t>Föryngringsavverkning</t>
        </is>
      </c>
      <c r="D1560" s="1" t="n">
        <v>45793</v>
      </c>
      <c r="E1560" s="1" t="n">
        <v>46316</v>
      </c>
      <c r="F1560" t="inlineStr">
        <is>
          <t>KRONOBERGS LÄN</t>
        </is>
      </c>
      <c r="G1560" t="inlineStr">
        <is>
          <t>TINGSRYD</t>
        </is>
      </c>
      <c r="I1560" t="n">
        <v>3.6</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2447-2026</t>
        </is>
      </c>
      <c r="B1561" t="inlineStr">
        <is>
          <t>avverkningsanmälan</t>
        </is>
      </c>
      <c r="C1561" t="inlineStr">
        <is>
          <t>Föryngringsavverkning</t>
        </is>
      </c>
      <c r="D1561" s="1" t="n">
        <v>46037</v>
      </c>
      <c r="E1561" s="1" t="n">
        <v>46316</v>
      </c>
      <c r="F1561" t="inlineStr">
        <is>
          <t>KRONOBERGS LÄN</t>
        </is>
      </c>
      <c r="G1561" t="inlineStr">
        <is>
          <t>ALVESTA</t>
        </is>
      </c>
      <c r="I1561" t="n">
        <v>3.4</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28490-2025</t>
        </is>
      </c>
      <c r="B1562" t="inlineStr">
        <is>
          <t>avverkningsanmälan</t>
        </is>
      </c>
      <c r="C1562" t="inlineStr">
        <is>
          <t>Föryngringsavverkning</t>
        </is>
      </c>
      <c r="D1562" s="1" t="n">
        <v>45819</v>
      </c>
      <c r="E1562" s="1" t="n">
        <v>46316</v>
      </c>
      <c r="F1562" t="inlineStr">
        <is>
          <t>KRONOBERGS LÄN</t>
        </is>
      </c>
      <c r="G1562" t="inlineStr">
        <is>
          <t>UPPVIDINGE</t>
        </is>
      </c>
      <c r="I1562" t="n">
        <v>1.7</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55206-2023</t>
        </is>
      </c>
      <c r="B1563" t="inlineStr">
        <is>
          <t>avverkningsanmälan</t>
        </is>
      </c>
      <c r="C1563" t="inlineStr">
        <is>
          <t>Föryngringsavverkning</t>
        </is>
      </c>
      <c r="D1563" s="1" t="n">
        <v>45237</v>
      </c>
      <c r="E1563" s="1" t="n">
        <v>46316</v>
      </c>
      <c r="F1563" t="inlineStr">
        <is>
          <t>KRONOBERGS LÄN</t>
        </is>
      </c>
      <c r="G1563" t="inlineStr">
        <is>
          <t>MARKARYD</t>
        </is>
      </c>
      <c r="I1563" t="n">
        <v>1.7</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28907-2025</t>
        </is>
      </c>
      <c r="B1564" t="inlineStr">
        <is>
          <t>avverkningsanmälan</t>
        </is>
      </c>
      <c r="C1564" t="inlineStr">
        <is>
          <t>Föryngringsavverkning</t>
        </is>
      </c>
      <c r="D1564" s="1" t="n">
        <v>45820</v>
      </c>
      <c r="E1564" s="1" t="n">
        <v>46316</v>
      </c>
      <c r="F1564" t="inlineStr">
        <is>
          <t>KRONOBERGS LÄN</t>
        </is>
      </c>
      <c r="G1564" t="inlineStr">
        <is>
          <t>VÄXJÖ</t>
        </is>
      </c>
      <c r="I1564" t="n">
        <v>14</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42598-2025</t>
        </is>
      </c>
      <c r="B1565" t="inlineStr">
        <is>
          <t>avverkningsanmälan</t>
        </is>
      </c>
      <c r="C1565" t="inlineStr">
        <is>
          <t>Föryngringsavverkning</t>
        </is>
      </c>
      <c r="D1565" s="1" t="n">
        <v>45905</v>
      </c>
      <c r="E1565" s="1" t="n">
        <v>46316</v>
      </c>
      <c r="F1565" t="inlineStr">
        <is>
          <t>KRONOBERGS LÄN</t>
        </is>
      </c>
      <c r="G1565" t="inlineStr">
        <is>
          <t>TINGSRYD</t>
        </is>
      </c>
      <c r="I1565" t="n">
        <v>0.5</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42195-2025</t>
        </is>
      </c>
      <c r="B1566" t="inlineStr">
        <is>
          <t>avverkningsanmälan</t>
        </is>
      </c>
      <c r="C1566" t="inlineStr">
        <is>
          <t>Föryngringsavverkning</t>
        </is>
      </c>
      <c r="D1566" s="1" t="n">
        <v>45904</v>
      </c>
      <c r="E1566" s="1" t="n">
        <v>46316</v>
      </c>
      <c r="F1566" t="inlineStr">
        <is>
          <t>KRONOBERGS LÄN</t>
        </is>
      </c>
      <c r="G1566" t="inlineStr">
        <is>
          <t>ALVESTA</t>
        </is>
      </c>
      <c r="I1566" t="n">
        <v>0.5</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2157-2026</t>
        </is>
      </c>
      <c r="B1567" t="inlineStr">
        <is>
          <t>avverkningsanmälan</t>
        </is>
      </c>
      <c r="C1567" t="inlineStr">
        <is>
          <t>Föryngringsavverkning</t>
        </is>
      </c>
      <c r="D1567" s="1" t="n">
        <v>46036</v>
      </c>
      <c r="E1567" s="1" t="n">
        <v>46316</v>
      </c>
      <c r="F1567" t="inlineStr">
        <is>
          <t>KRONOBERGS LÄN</t>
        </is>
      </c>
      <c r="G1567" t="inlineStr">
        <is>
          <t>VÄXJÖ</t>
        </is>
      </c>
      <c r="I1567" t="n">
        <v>1.7</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28732-2025</t>
        </is>
      </c>
      <c r="B1568" t="inlineStr">
        <is>
          <t>avverkningsanmälan</t>
        </is>
      </c>
      <c r="C1568" t="inlineStr">
        <is>
          <t>Föryngringsavverkning</t>
        </is>
      </c>
      <c r="D1568" s="1" t="n">
        <v>45820</v>
      </c>
      <c r="E1568" s="1" t="n">
        <v>46316</v>
      </c>
      <c r="F1568" t="inlineStr">
        <is>
          <t>KRONOBERGS LÄN</t>
        </is>
      </c>
      <c r="G1568" t="inlineStr">
        <is>
          <t>TINGSRYD</t>
        </is>
      </c>
      <c r="I1568" t="n">
        <v>0.8</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2706-2026</t>
        </is>
      </c>
      <c r="B1569" t="inlineStr">
        <is>
          <t>avverkningsanmälan</t>
        </is>
      </c>
      <c r="C1569" t="inlineStr">
        <is>
          <t>Föryngringsavverkning</t>
        </is>
      </c>
      <c r="D1569" s="1" t="n">
        <v>46037</v>
      </c>
      <c r="E1569" s="1" t="n">
        <v>46316</v>
      </c>
      <c r="F1569" t="inlineStr">
        <is>
          <t>KRONOBERGS LÄN</t>
        </is>
      </c>
      <c r="G1569" t="inlineStr">
        <is>
          <t>ÄLMHULT</t>
        </is>
      </c>
      <c r="I1569" t="n">
        <v>3</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2773-2026</t>
        </is>
      </c>
      <c r="B1570" t="inlineStr">
        <is>
          <t>avverkningsanmälan</t>
        </is>
      </c>
      <c r="C1570" t="inlineStr">
        <is>
          <t>Föryngringsavverkning</t>
        </is>
      </c>
      <c r="D1570" s="1" t="n">
        <v>46036</v>
      </c>
      <c r="E1570" s="1" t="n">
        <v>46316</v>
      </c>
      <c r="F1570" t="inlineStr">
        <is>
          <t>KRONOBERGS LÄN</t>
        </is>
      </c>
      <c r="G1570" t="inlineStr">
        <is>
          <t>TINGSRYD</t>
        </is>
      </c>
      <c r="H1570" t="inlineStr">
        <is>
          <t>Kyrkan</t>
        </is>
      </c>
      <c r="I1570" t="n">
        <v>2.1</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42082-2025</t>
        </is>
      </c>
      <c r="B1571" t="inlineStr">
        <is>
          <t>avverkningsanmälan</t>
        </is>
      </c>
      <c r="C1571" t="inlineStr">
        <is>
          <t>Föryngringsavverkning</t>
        </is>
      </c>
      <c r="D1571" s="1" t="n">
        <v>45903</v>
      </c>
      <c r="E1571" s="1" t="n">
        <v>46316</v>
      </c>
      <c r="F1571" t="inlineStr">
        <is>
          <t>KRONOBERGS LÄN</t>
        </is>
      </c>
      <c r="G1571" t="inlineStr">
        <is>
          <t>MARKARYD</t>
        </is>
      </c>
      <c r="I1571" t="n">
        <v>8.300000000000001</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43133-2025</t>
        </is>
      </c>
      <c r="B1572" t="inlineStr">
        <is>
          <t>avverkningsanmälan</t>
        </is>
      </c>
      <c r="C1572" t="inlineStr">
        <is>
          <t>Föryngringsavverkning</t>
        </is>
      </c>
      <c r="D1572" s="1" t="n">
        <v>45909</v>
      </c>
      <c r="E1572" s="1" t="n">
        <v>46316</v>
      </c>
      <c r="F1572" t="inlineStr">
        <is>
          <t>KRONOBERGS LÄN</t>
        </is>
      </c>
      <c r="G1572" t="inlineStr">
        <is>
          <t>MARKARYD</t>
        </is>
      </c>
      <c r="H1572" t="inlineStr">
        <is>
          <t>Kyrkan</t>
        </is>
      </c>
      <c r="I1572" t="n">
        <v>0.6</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28904-2025</t>
        </is>
      </c>
      <c r="B1573" t="inlineStr">
        <is>
          <t>avverkningsanmälan</t>
        </is>
      </c>
      <c r="C1573" t="inlineStr">
        <is>
          <t>Föryngringsavverkning</t>
        </is>
      </c>
      <c r="D1573" s="1" t="n">
        <v>45820</v>
      </c>
      <c r="E1573" s="1" t="n">
        <v>46316</v>
      </c>
      <c r="F1573" t="inlineStr">
        <is>
          <t>KRONOBERGS LÄN</t>
        </is>
      </c>
      <c r="G1573" t="inlineStr">
        <is>
          <t>VÄXJÖ</t>
        </is>
      </c>
      <c r="I1573" t="n">
        <v>3.6</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28174-2025</t>
        </is>
      </c>
      <c r="B1574" t="inlineStr">
        <is>
          <t>avverkningsanmälan</t>
        </is>
      </c>
      <c r="C1574" t="inlineStr">
        <is>
          <t>Föryngringsavverkning</t>
        </is>
      </c>
      <c r="D1574" s="1" t="n">
        <v>45818</v>
      </c>
      <c r="E1574" s="1" t="n">
        <v>46316</v>
      </c>
      <c r="F1574" t="inlineStr">
        <is>
          <t>KRONOBERGS LÄN</t>
        </is>
      </c>
      <c r="G1574" t="inlineStr">
        <is>
          <t>VÄXJÖ</t>
        </is>
      </c>
      <c r="I1574" t="n">
        <v>7</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2385-2026</t>
        </is>
      </c>
      <c r="B1575" t="inlineStr">
        <is>
          <t>avverkningsanmälan</t>
        </is>
      </c>
      <c r="C1575" t="inlineStr">
        <is>
          <t>Föryngringsavverkning</t>
        </is>
      </c>
      <c r="D1575" s="1" t="n">
        <v>46036</v>
      </c>
      <c r="E1575" s="1" t="n">
        <v>46316</v>
      </c>
      <c r="F1575" t="inlineStr">
        <is>
          <t>KRONOBERGS LÄN</t>
        </is>
      </c>
      <c r="G1575" t="inlineStr">
        <is>
          <t>VÄXJÖ</t>
        </is>
      </c>
      <c r="I1575" t="n">
        <v>3.8</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23530-2025</t>
        </is>
      </c>
      <c r="B1576" t="inlineStr">
        <is>
          <t>avverkningsanmälan</t>
        </is>
      </c>
      <c r="C1576" t="inlineStr">
        <is>
          <t>Föryngringsavverkning</t>
        </is>
      </c>
      <c r="D1576" s="1" t="n">
        <v>45792</v>
      </c>
      <c r="E1576" s="1" t="n">
        <v>46316</v>
      </c>
      <c r="F1576" t="inlineStr">
        <is>
          <t>KRONOBERGS LÄN</t>
        </is>
      </c>
      <c r="G1576" t="inlineStr">
        <is>
          <t>TINGSRYD</t>
        </is>
      </c>
      <c r="I1576" t="n">
        <v>1.4</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22576-2025</t>
        </is>
      </c>
      <c r="B1577" t="inlineStr">
        <is>
          <t>avverkningsanmälan</t>
        </is>
      </c>
      <c r="C1577" t="inlineStr">
        <is>
          <t>Föryngringsavverkning</t>
        </is>
      </c>
      <c r="D1577" s="1" t="n">
        <v>45789</v>
      </c>
      <c r="E1577" s="1" t="n">
        <v>46316</v>
      </c>
      <c r="F1577" t="inlineStr">
        <is>
          <t>KRONOBERGS LÄN</t>
        </is>
      </c>
      <c r="G1577" t="inlineStr">
        <is>
          <t>TINGSRYD</t>
        </is>
      </c>
      <c r="I1577" t="n">
        <v>2.7</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42946-2025</t>
        </is>
      </c>
      <c r="B1578" t="inlineStr">
        <is>
          <t>avverkningsanmälan</t>
        </is>
      </c>
      <c r="C1578" t="inlineStr">
        <is>
          <t>Föryngringsavverkning</t>
        </is>
      </c>
      <c r="D1578" s="1" t="n">
        <v>45909</v>
      </c>
      <c r="E1578" s="1" t="n">
        <v>46316</v>
      </c>
      <c r="F1578" t="inlineStr">
        <is>
          <t>KRONOBERGS LÄN</t>
        </is>
      </c>
      <c r="G1578" t="inlineStr">
        <is>
          <t>VÄXJÖ</t>
        </is>
      </c>
      <c r="I1578" t="n">
        <v>6.5</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29659-2025</t>
        </is>
      </c>
      <c r="B1579" t="inlineStr">
        <is>
          <t>avverkningsanmälan</t>
        </is>
      </c>
      <c r="C1579" t="inlineStr">
        <is>
          <t>Avverkning för att bevara och utveckla /försöksver</t>
        </is>
      </c>
      <c r="D1579" s="1" t="n">
        <v>45825</v>
      </c>
      <c r="E1579" s="1" t="n">
        <v>46316</v>
      </c>
      <c r="F1579" t="inlineStr">
        <is>
          <t>KRONOBERGS LÄN</t>
        </is>
      </c>
      <c r="G1579" t="inlineStr">
        <is>
          <t>LESSEBO</t>
        </is>
      </c>
      <c r="I1579" t="n">
        <v>3.3</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56933-2023</t>
        </is>
      </c>
      <c r="B1580" t="inlineStr">
        <is>
          <t>avverkningsanmälan</t>
        </is>
      </c>
      <c r="C1580" t="inlineStr">
        <is>
          <t>Föryngringsavverkning</t>
        </is>
      </c>
      <c r="D1580" s="1" t="n">
        <v>45244</v>
      </c>
      <c r="E1580" s="1" t="n">
        <v>46316</v>
      </c>
      <c r="F1580" t="inlineStr">
        <is>
          <t>KRONOBERGS LÄN</t>
        </is>
      </c>
      <c r="G1580" t="inlineStr">
        <is>
          <t>TINGSRYD</t>
        </is>
      </c>
      <c r="I1580" t="n">
        <v>2</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42858-2025</t>
        </is>
      </c>
      <c r="B1581" t="inlineStr">
        <is>
          <t>avverkningsanmälan</t>
        </is>
      </c>
      <c r="C1581" t="inlineStr">
        <is>
          <t>Föryngringsavverkning</t>
        </is>
      </c>
      <c r="D1581" s="1" t="n">
        <v>45908</v>
      </c>
      <c r="E1581" s="1" t="n">
        <v>46316</v>
      </c>
      <c r="F1581" t="inlineStr">
        <is>
          <t>KRONOBERGS LÄN</t>
        </is>
      </c>
      <c r="G1581" t="inlineStr">
        <is>
          <t>TINGSRYD</t>
        </is>
      </c>
      <c r="I1581" t="n">
        <v>0.5</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39187-2022</t>
        </is>
      </c>
      <c r="B1582" t="inlineStr">
        <is>
          <t>avverkningsanmälan</t>
        </is>
      </c>
      <c r="C1582" t="inlineStr">
        <is>
          <t>Föryngringsavverkning</t>
        </is>
      </c>
      <c r="D1582" s="1" t="n">
        <v>44817</v>
      </c>
      <c r="E1582" s="1" t="n">
        <v>46316</v>
      </c>
      <c r="F1582" t="inlineStr">
        <is>
          <t>KRONOBERGS LÄN</t>
        </is>
      </c>
      <c r="G1582" t="inlineStr">
        <is>
          <t>LJUNGBY</t>
        </is>
      </c>
      <c r="I1582" t="n">
        <v>3.5</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45307-2025</t>
        </is>
      </c>
      <c r="B1583" t="inlineStr">
        <is>
          <t>avverkningsanmälan</t>
        </is>
      </c>
      <c r="C1583" t="inlineStr">
        <is>
          <t>Avverkning för annat ändamål</t>
        </is>
      </c>
      <c r="D1583" s="1" t="n">
        <v>45921</v>
      </c>
      <c r="E1583" s="1" t="n">
        <v>46316</v>
      </c>
      <c r="F1583" t="inlineStr">
        <is>
          <t>KRONOBERGS LÄN</t>
        </is>
      </c>
      <c r="G1583" t="inlineStr">
        <is>
          <t>VÄXJÖ</t>
        </is>
      </c>
      <c r="I1583" t="n">
        <v>1.7</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51202-2023</t>
        </is>
      </c>
      <c r="B1584" t="inlineStr">
        <is>
          <t>avverkningsanmälan</t>
        </is>
      </c>
      <c r="C1584" t="inlineStr">
        <is>
          <t>Föryngringsavverkning</t>
        </is>
      </c>
      <c r="D1584" s="1" t="n">
        <v>45219</v>
      </c>
      <c r="E1584" s="1" t="n">
        <v>46316</v>
      </c>
      <c r="F1584" t="inlineStr">
        <is>
          <t>KRONOBERGS LÄN</t>
        </is>
      </c>
      <c r="G1584" t="inlineStr">
        <is>
          <t>MARKARYD</t>
        </is>
      </c>
      <c r="I1584" t="n">
        <v>0.5</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3133-2026</t>
        </is>
      </c>
      <c r="B1585" t="inlineStr">
        <is>
          <t>avverkningsanmälan</t>
        </is>
      </c>
      <c r="C1585" t="inlineStr">
        <is>
          <t>Föryngringsavverkning</t>
        </is>
      </c>
      <c r="D1585" s="1" t="n">
        <v>46041</v>
      </c>
      <c r="E1585" s="1" t="n">
        <v>46316</v>
      </c>
      <c r="F1585" t="inlineStr">
        <is>
          <t>KRONOBERGS LÄN</t>
        </is>
      </c>
      <c r="G1585" t="inlineStr">
        <is>
          <t>VÄXJÖ</t>
        </is>
      </c>
      <c r="I1585" t="n">
        <v>0.4</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9177-2025</t>
        </is>
      </c>
      <c r="B1586" t="inlineStr">
        <is>
          <t>avverkningsanmälan</t>
        </is>
      </c>
      <c r="C1586" t="inlineStr">
        <is>
          <t>Föryngringsavverkning</t>
        </is>
      </c>
      <c r="D1586" s="1" t="n">
        <v>45714</v>
      </c>
      <c r="E1586" s="1" t="n">
        <v>46316</v>
      </c>
      <c r="F1586" t="inlineStr">
        <is>
          <t>KRONOBERGS LÄN</t>
        </is>
      </c>
      <c r="G1586" t="inlineStr">
        <is>
          <t>VÄXJÖ</t>
        </is>
      </c>
      <c r="I1586" t="n">
        <v>0.7</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42679-2025</t>
        </is>
      </c>
      <c r="B1587" t="inlineStr">
        <is>
          <t>avverkningsanmälan</t>
        </is>
      </c>
      <c r="C1587" t="inlineStr">
        <is>
          <t>Föryngringsavverkning</t>
        </is>
      </c>
      <c r="D1587" s="1" t="n">
        <v>45908</v>
      </c>
      <c r="E1587" s="1" t="n">
        <v>46316</v>
      </c>
      <c r="F1587" t="inlineStr">
        <is>
          <t>KRONOBERGS LÄN</t>
        </is>
      </c>
      <c r="G1587" t="inlineStr">
        <is>
          <t>LJUNGBY</t>
        </is>
      </c>
      <c r="I1587" t="n">
        <v>0.4</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3075-2026</t>
        </is>
      </c>
      <c r="B1588" t="inlineStr">
        <is>
          <t>avverkningsanmälan</t>
        </is>
      </c>
      <c r="C1588" t="inlineStr">
        <is>
          <t>Föryngringsavverkning</t>
        </is>
      </c>
      <c r="D1588" s="1" t="n">
        <v>46040</v>
      </c>
      <c r="E1588" s="1" t="n">
        <v>46316</v>
      </c>
      <c r="F1588" t="inlineStr">
        <is>
          <t>KRONOBERGS LÄN</t>
        </is>
      </c>
      <c r="G1588" t="inlineStr">
        <is>
          <t>UPPVIDINGE</t>
        </is>
      </c>
      <c r="I1588" t="n">
        <v>2.6</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32437-2025</t>
        </is>
      </c>
      <c r="B1589" t="inlineStr">
        <is>
          <t>avverkningsanmälan</t>
        </is>
      </c>
      <c r="C1589" t="inlineStr">
        <is>
          <t>Föryngringsavverkning</t>
        </is>
      </c>
      <c r="D1589" s="1" t="n">
        <v>45838</v>
      </c>
      <c r="E1589" s="1" t="n">
        <v>46316</v>
      </c>
      <c r="F1589" t="inlineStr">
        <is>
          <t>KRONOBERGS LÄN</t>
        </is>
      </c>
      <c r="G1589" t="inlineStr">
        <is>
          <t>UPPVIDINGE</t>
        </is>
      </c>
      <c r="I1589" t="n">
        <v>2.5</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3019-2026</t>
        </is>
      </c>
      <c r="B1590" t="inlineStr">
        <is>
          <t>avverkningsanmälan</t>
        </is>
      </c>
      <c r="C1590" t="inlineStr">
        <is>
          <t>Föryngringsavverkning</t>
        </is>
      </c>
      <c r="D1590" s="1" t="n">
        <v>46038</v>
      </c>
      <c r="E1590" s="1" t="n">
        <v>46316</v>
      </c>
      <c r="F1590" t="inlineStr">
        <is>
          <t>KRONOBERGS LÄN</t>
        </is>
      </c>
      <c r="G1590" t="inlineStr">
        <is>
          <t>TINGSRYD</t>
        </is>
      </c>
      <c r="I1590" t="n">
        <v>0.7</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3024-2026</t>
        </is>
      </c>
      <c r="B1591" t="inlineStr">
        <is>
          <t>avverkningsanmälan</t>
        </is>
      </c>
      <c r="C1591" t="inlineStr">
        <is>
          <t>Föryngringsavverkning</t>
        </is>
      </c>
      <c r="D1591" s="1" t="n">
        <v>46038</v>
      </c>
      <c r="E1591" s="1" t="n">
        <v>46316</v>
      </c>
      <c r="F1591" t="inlineStr">
        <is>
          <t>KRONOBERGS LÄN</t>
        </is>
      </c>
      <c r="G1591" t="inlineStr">
        <is>
          <t>TINGSRYD</t>
        </is>
      </c>
      <c r="I1591" t="n">
        <v>0.5</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57444-2023</t>
        </is>
      </c>
      <c r="B1592" t="inlineStr">
        <is>
          <t>avverkningsanmälan</t>
        </is>
      </c>
      <c r="C1592" t="inlineStr">
        <is>
          <t>Föryngringsavverkning</t>
        </is>
      </c>
      <c r="D1592" s="1" t="n">
        <v>45246</v>
      </c>
      <c r="E1592" s="1" t="n">
        <v>46316</v>
      </c>
      <c r="F1592" t="inlineStr">
        <is>
          <t>KRONOBERGS LÄN</t>
        </is>
      </c>
      <c r="G1592" t="inlineStr">
        <is>
          <t>VÄXJÖ</t>
        </is>
      </c>
      <c r="I1592" t="n">
        <v>1.6</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57451-2023</t>
        </is>
      </c>
      <c r="B1593" t="inlineStr">
        <is>
          <t>avverkningsanmälan</t>
        </is>
      </c>
      <c r="C1593" t="inlineStr">
        <is>
          <t>Föryngringsavverkning</t>
        </is>
      </c>
      <c r="D1593" s="1" t="n">
        <v>45246</v>
      </c>
      <c r="E1593" s="1" t="n">
        <v>46316</v>
      </c>
      <c r="F1593" t="inlineStr">
        <is>
          <t>KRONOBERGS LÄN</t>
        </is>
      </c>
      <c r="G1593" t="inlineStr">
        <is>
          <t>TINGSRYD</t>
        </is>
      </c>
      <c r="I1593" t="n">
        <v>0.4</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1686-2025</t>
        </is>
      </c>
      <c r="B1594" t="inlineStr">
        <is>
          <t>avverkningsanmälan</t>
        </is>
      </c>
      <c r="C1594" t="inlineStr">
        <is>
          <t>Föryngringsavverkning</t>
        </is>
      </c>
      <c r="D1594" s="1" t="n">
        <v>45670</v>
      </c>
      <c r="E1594" s="1" t="n">
        <v>46316</v>
      </c>
      <c r="F1594" t="inlineStr">
        <is>
          <t>KRONOBERGS LÄN</t>
        </is>
      </c>
      <c r="G1594" t="inlineStr">
        <is>
          <t>ALVESTA</t>
        </is>
      </c>
      <c r="I1594" t="n">
        <v>1</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3005-2026</t>
        </is>
      </c>
      <c r="B1595" t="inlineStr">
        <is>
          <t>avverkningsanmälan</t>
        </is>
      </c>
      <c r="C1595" t="inlineStr">
        <is>
          <t>Föryngringsavverkning</t>
        </is>
      </c>
      <c r="D1595" s="1" t="n">
        <v>46038</v>
      </c>
      <c r="E1595" s="1" t="n">
        <v>46316</v>
      </c>
      <c r="F1595" t="inlineStr">
        <is>
          <t>KRONOBERGS LÄN</t>
        </is>
      </c>
      <c r="G1595" t="inlineStr">
        <is>
          <t>TINGSRYD</t>
        </is>
      </c>
      <c r="I1595" t="n">
        <v>1.1</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54015-2023</t>
        </is>
      </c>
      <c r="B1596" t="inlineStr">
        <is>
          <t>avverkningsanmälan</t>
        </is>
      </c>
      <c r="C1596" t="inlineStr">
        <is>
          <t>Föryngringsavverkning</t>
        </is>
      </c>
      <c r="D1596" s="1" t="n">
        <v>45231</v>
      </c>
      <c r="E1596" s="1" t="n">
        <v>46316</v>
      </c>
      <c r="F1596" t="inlineStr">
        <is>
          <t>KRONOBERGS LÄN</t>
        </is>
      </c>
      <c r="G1596" t="inlineStr">
        <is>
          <t>ALVESTA</t>
        </is>
      </c>
      <c r="I1596" t="n">
        <v>0.7</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43267-2025</t>
        </is>
      </c>
      <c r="B1597" t="inlineStr">
        <is>
          <t>avverkningsanmälan</t>
        </is>
      </c>
      <c r="C1597" t="inlineStr">
        <is>
          <t>Föryngringsavverkning</t>
        </is>
      </c>
      <c r="D1597" s="1" t="n">
        <v>45910</v>
      </c>
      <c r="E1597" s="1" t="n">
        <v>46316</v>
      </c>
      <c r="F1597" t="inlineStr">
        <is>
          <t>KRONOBERGS LÄN</t>
        </is>
      </c>
      <c r="G1597" t="inlineStr">
        <is>
          <t>LJUNGBY</t>
        </is>
      </c>
      <c r="I1597" t="n">
        <v>1.7</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43233-2025</t>
        </is>
      </c>
      <c r="B1598" t="inlineStr">
        <is>
          <t>avverkningsanmälan</t>
        </is>
      </c>
      <c r="C1598" t="inlineStr">
        <is>
          <t>Föryngringsavverkning</t>
        </is>
      </c>
      <c r="D1598" s="1" t="n">
        <v>45910</v>
      </c>
      <c r="E1598" s="1" t="n">
        <v>46316</v>
      </c>
      <c r="F1598" t="inlineStr">
        <is>
          <t>KRONOBERGS LÄN</t>
        </is>
      </c>
      <c r="G1598" t="inlineStr">
        <is>
          <t>UPPVIDINGE</t>
        </is>
      </c>
      <c r="I1598" t="n">
        <v>3.5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34636-2023</t>
        </is>
      </c>
      <c r="B1599" t="inlineStr">
        <is>
          <t>avverkningsanmälan</t>
        </is>
      </c>
      <c r="C1599" t="inlineStr">
        <is>
          <t>Föryngringsavverkning</t>
        </is>
      </c>
      <c r="D1599" s="1" t="n">
        <v>45140</v>
      </c>
      <c r="E1599" s="1" t="n">
        <v>46316</v>
      </c>
      <c r="F1599" t="inlineStr">
        <is>
          <t>KRONOBERGS LÄN</t>
        </is>
      </c>
      <c r="G1599" t="inlineStr">
        <is>
          <t>VÄXJÖ</t>
        </is>
      </c>
      <c r="I1599" t="n">
        <v>0.6</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30680-2023</t>
        </is>
      </c>
      <c r="B1600" t="inlineStr">
        <is>
          <t>avverkningsanmälan</t>
        </is>
      </c>
      <c r="C1600" t="inlineStr">
        <is>
          <t>Föryngringsavverkning</t>
        </is>
      </c>
      <c r="D1600" s="1" t="n">
        <v>45112</v>
      </c>
      <c r="E1600" s="1" t="n">
        <v>46316</v>
      </c>
      <c r="F1600" t="inlineStr">
        <is>
          <t>KRONOBERGS LÄN</t>
        </is>
      </c>
      <c r="G1600" t="inlineStr">
        <is>
          <t>VÄXJÖ</t>
        </is>
      </c>
      <c r="I1600" t="n">
        <v>0.5</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29799-2025</t>
        </is>
      </c>
      <c r="B1601" t="inlineStr">
        <is>
          <t>avverkningsanmälan</t>
        </is>
      </c>
      <c r="C1601" t="inlineStr">
        <is>
          <t>Föryngringsavverkning</t>
        </is>
      </c>
      <c r="D1601" s="1" t="n">
        <v>45825</v>
      </c>
      <c r="E1601" s="1" t="n">
        <v>46316</v>
      </c>
      <c r="F1601" t="inlineStr">
        <is>
          <t>KRONOBERGS LÄN</t>
        </is>
      </c>
      <c r="G1601" t="inlineStr">
        <is>
          <t>VÄXJÖ</t>
        </is>
      </c>
      <c r="I1601" t="n">
        <v>0.5</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61283-2022</t>
        </is>
      </c>
      <c r="B1602" t="inlineStr">
        <is>
          <t>avverkningsanmälan</t>
        </is>
      </c>
      <c r="C1602" t="inlineStr">
        <is>
          <t>Föryngringsavverkning</t>
        </is>
      </c>
      <c r="D1602" s="1" t="n">
        <v>44915</v>
      </c>
      <c r="E1602" s="1" t="n">
        <v>46316</v>
      </c>
      <c r="F1602" t="inlineStr">
        <is>
          <t>KRONOBERGS LÄN</t>
        </is>
      </c>
      <c r="G1602" t="inlineStr">
        <is>
          <t>MARKARYD</t>
        </is>
      </c>
      <c r="I1602" t="n">
        <v>1</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7627-2023</t>
        </is>
      </c>
      <c r="B1603" t="inlineStr">
        <is>
          <t>avverkningsanmälan</t>
        </is>
      </c>
      <c r="C1603" t="inlineStr">
        <is>
          <t>Föryngringsavverkning</t>
        </is>
      </c>
      <c r="D1603" s="1" t="n">
        <v>44972</v>
      </c>
      <c r="E1603" s="1" t="n">
        <v>46316</v>
      </c>
      <c r="F1603" t="inlineStr">
        <is>
          <t>KRONOBERGS LÄN</t>
        </is>
      </c>
      <c r="G1603" t="inlineStr">
        <is>
          <t>ALVESTA</t>
        </is>
      </c>
      <c r="I1603" t="n">
        <v>4.2</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39992-2023</t>
        </is>
      </c>
      <c r="B1604" t="inlineStr">
        <is>
          <t>avverkningsanmälan</t>
        </is>
      </c>
      <c r="C1604" t="inlineStr">
        <is>
          <t>Föryngringsavverkning</t>
        </is>
      </c>
      <c r="D1604" s="1" t="n">
        <v>45167</v>
      </c>
      <c r="E1604" s="1" t="n">
        <v>46316</v>
      </c>
      <c r="F1604" t="inlineStr">
        <is>
          <t>KRONOBERGS LÄN</t>
        </is>
      </c>
      <c r="G1604" t="inlineStr">
        <is>
          <t>TINGSRYD</t>
        </is>
      </c>
      <c r="I1604" t="n">
        <v>1</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26840-2025</t>
        </is>
      </c>
      <c r="B1605" t="inlineStr">
        <is>
          <t>avverkningsanmälan</t>
        </is>
      </c>
      <c r="C1605" t="inlineStr">
        <is>
          <t>Föryngringsavverkning</t>
        </is>
      </c>
      <c r="D1605" s="1" t="n">
        <v>45810</v>
      </c>
      <c r="E1605" s="1" t="n">
        <v>46316</v>
      </c>
      <c r="F1605" t="inlineStr">
        <is>
          <t>KRONOBERGS LÄN</t>
        </is>
      </c>
      <c r="G1605" t="inlineStr">
        <is>
          <t>MARKARYD</t>
        </is>
      </c>
      <c r="I1605" t="n">
        <v>1.1</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6746-2025</t>
        </is>
      </c>
      <c r="B1606" t="inlineStr">
        <is>
          <t>avverkningsanmälan</t>
        </is>
      </c>
      <c r="C1606" t="inlineStr">
        <is>
          <t>Föryngringsavverkning</t>
        </is>
      </c>
      <c r="D1606" s="1" t="n">
        <v>45700</v>
      </c>
      <c r="E1606" s="1" t="n">
        <v>46316</v>
      </c>
      <c r="F1606" t="inlineStr">
        <is>
          <t>KRONOBERGS LÄN</t>
        </is>
      </c>
      <c r="G1606" t="inlineStr">
        <is>
          <t>MARKARYD</t>
        </is>
      </c>
      <c r="I1606" t="n">
        <v>2</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2750-2026</t>
        </is>
      </c>
      <c r="B1607" t="inlineStr">
        <is>
          <t>avverkningsanmälan</t>
        </is>
      </c>
      <c r="C1607" t="inlineStr">
        <is>
          <t>Föryngringsavverkning</t>
        </is>
      </c>
      <c r="D1607" s="1" t="n">
        <v>46038</v>
      </c>
      <c r="E1607" s="1" t="n">
        <v>46316</v>
      </c>
      <c r="F1607" t="inlineStr">
        <is>
          <t>KRONOBERGS LÄN</t>
        </is>
      </c>
      <c r="G1607" t="inlineStr">
        <is>
          <t>ÄLMHULT</t>
        </is>
      </c>
      <c r="I1607" t="n">
        <v>2.4</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43640-2025</t>
        </is>
      </c>
      <c r="B1608" t="inlineStr">
        <is>
          <t>avverkningsanmälan</t>
        </is>
      </c>
      <c r="C1608" t="inlineStr">
        <is>
          <t>Föryngringsavverkning</t>
        </is>
      </c>
      <c r="D1608" s="1" t="n">
        <v>45911</v>
      </c>
      <c r="E1608" s="1" t="n">
        <v>46316</v>
      </c>
      <c r="F1608" t="inlineStr">
        <is>
          <t>KRONOBERGS LÄN</t>
        </is>
      </c>
      <c r="G1608" t="inlineStr">
        <is>
          <t>VÄXJÖ</t>
        </is>
      </c>
      <c r="I1608" t="n">
        <v>0.9</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51196-2023</t>
        </is>
      </c>
      <c r="B1609" t="inlineStr">
        <is>
          <t>avverkningsanmälan</t>
        </is>
      </c>
      <c r="C1609" t="inlineStr">
        <is>
          <t>Föryngringsavverkning</t>
        </is>
      </c>
      <c r="D1609" s="1" t="n">
        <v>45219</v>
      </c>
      <c r="E1609" s="1" t="n">
        <v>46316</v>
      </c>
      <c r="F1609" t="inlineStr">
        <is>
          <t>KRONOBERGS LÄN</t>
        </is>
      </c>
      <c r="G1609" t="inlineStr">
        <is>
          <t>VÄXJÖ</t>
        </is>
      </c>
      <c r="I1609" t="n">
        <v>1.1</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8080-2025</t>
        </is>
      </c>
      <c r="B1610" t="inlineStr">
        <is>
          <t>avverkningsanmälan</t>
        </is>
      </c>
      <c r="C1610" t="inlineStr">
        <is>
          <t>Föryngringsavverkning</t>
        </is>
      </c>
      <c r="D1610" s="1" t="n">
        <v>45707</v>
      </c>
      <c r="E1610" s="1" t="n">
        <v>46316</v>
      </c>
      <c r="F1610" t="inlineStr">
        <is>
          <t>KRONOBERGS LÄN</t>
        </is>
      </c>
      <c r="G1610" t="inlineStr">
        <is>
          <t>LJUNGBY</t>
        </is>
      </c>
      <c r="I1610" t="n">
        <v>1.3</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44818-2024</t>
        </is>
      </c>
      <c r="B1611" t="inlineStr">
        <is>
          <t>avverkningsanmälan</t>
        </is>
      </c>
      <c r="C1611" t="inlineStr">
        <is>
          <t>Avverkning för annat ändamål</t>
        </is>
      </c>
      <c r="D1611" s="1" t="n">
        <v>45574</v>
      </c>
      <c r="E1611" s="1" t="n">
        <v>46316</v>
      </c>
      <c r="F1611" t="inlineStr">
        <is>
          <t>KRONOBERGS LÄN</t>
        </is>
      </c>
      <c r="G1611" t="inlineStr">
        <is>
          <t>ALVESTA</t>
        </is>
      </c>
      <c r="I1611" t="n">
        <v>0.2</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3597-2026</t>
        </is>
      </c>
      <c r="B1612" t="inlineStr">
        <is>
          <t>avverkningsanmälan</t>
        </is>
      </c>
      <c r="C1612" t="inlineStr">
        <is>
          <t>Föryngringsavverkning</t>
        </is>
      </c>
      <c r="D1612" s="1" t="n">
        <v>46042</v>
      </c>
      <c r="E1612" s="1" t="n">
        <v>46316</v>
      </c>
      <c r="F1612" t="inlineStr">
        <is>
          <t>KRONOBERGS LÄN</t>
        </is>
      </c>
      <c r="G1612" t="inlineStr">
        <is>
          <t>MARKARYD</t>
        </is>
      </c>
      <c r="I1612" t="n">
        <v>1.6</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43311-2025</t>
        </is>
      </c>
      <c r="B1613" t="inlineStr">
        <is>
          <t>avverkningsanmälan</t>
        </is>
      </c>
      <c r="C1613" t="inlineStr">
        <is>
          <t>Föryngringsavverkning</t>
        </is>
      </c>
      <c r="D1613" s="1" t="n">
        <v>45910</v>
      </c>
      <c r="E1613" s="1" t="n">
        <v>46316</v>
      </c>
      <c r="F1613" t="inlineStr">
        <is>
          <t>KRONOBERGS LÄN</t>
        </is>
      </c>
      <c r="G1613" t="inlineStr">
        <is>
          <t>VÄXJÖ</t>
        </is>
      </c>
      <c r="I1613" t="n">
        <v>0.7</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43284-2025</t>
        </is>
      </c>
      <c r="B1614" t="inlineStr">
        <is>
          <t>avverkningsanmälan</t>
        </is>
      </c>
      <c r="C1614" t="inlineStr">
        <is>
          <t>Föryngringsavverkning</t>
        </is>
      </c>
      <c r="D1614" s="1" t="n">
        <v>45910</v>
      </c>
      <c r="E1614" s="1" t="n">
        <v>46316</v>
      </c>
      <c r="F1614" t="inlineStr">
        <is>
          <t>KRONOBERGS LÄN</t>
        </is>
      </c>
      <c r="G1614" t="inlineStr">
        <is>
          <t>UPPVIDINGE</t>
        </is>
      </c>
      <c r="I1614" t="n">
        <v>1.7</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43297-2025</t>
        </is>
      </c>
      <c r="B1615" t="inlineStr">
        <is>
          <t>avverkningsanmälan</t>
        </is>
      </c>
      <c r="C1615" t="inlineStr">
        <is>
          <t>Föryngringsavverkning</t>
        </is>
      </c>
      <c r="D1615" s="1" t="n">
        <v>45910</v>
      </c>
      <c r="E1615" s="1" t="n">
        <v>46316</v>
      </c>
      <c r="F1615" t="inlineStr">
        <is>
          <t>KRONOBERGS LÄN</t>
        </is>
      </c>
      <c r="G1615" t="inlineStr">
        <is>
          <t>UPPVIDINGE</t>
        </is>
      </c>
      <c r="I1615" t="n">
        <v>5.3</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43305-2025</t>
        </is>
      </c>
      <c r="B1616" t="inlineStr">
        <is>
          <t>avverkningsanmälan</t>
        </is>
      </c>
      <c r="C1616" t="inlineStr">
        <is>
          <t>Föryngringsavverkning</t>
        </is>
      </c>
      <c r="D1616" s="1" t="n">
        <v>45910</v>
      </c>
      <c r="E1616" s="1" t="n">
        <v>46316</v>
      </c>
      <c r="F1616" t="inlineStr">
        <is>
          <t>KRONOBERGS LÄN</t>
        </is>
      </c>
      <c r="G1616" t="inlineStr">
        <is>
          <t>UPPVIDINGE</t>
        </is>
      </c>
      <c r="I1616" t="n">
        <v>3</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22533-2025</t>
        </is>
      </c>
      <c r="B1617" t="inlineStr">
        <is>
          <t>avverkningsanmälan</t>
        </is>
      </c>
      <c r="C1617" t="inlineStr">
        <is>
          <t>Föryngringsavverkning</t>
        </is>
      </c>
      <c r="D1617" s="1" t="n">
        <v>45787</v>
      </c>
      <c r="E1617" s="1" t="n">
        <v>46316</v>
      </c>
      <c r="F1617" t="inlineStr">
        <is>
          <t>KRONOBERGS LÄN</t>
        </is>
      </c>
      <c r="G1617" t="inlineStr">
        <is>
          <t>VÄXJÖ</t>
        </is>
      </c>
      <c r="I1617" t="n">
        <v>1.5</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6554-2022</t>
        </is>
      </c>
      <c r="B1618" t="inlineStr">
        <is>
          <t>avverkningsanmälan</t>
        </is>
      </c>
      <c r="C1618" t="inlineStr">
        <is>
          <t>Föryngringsavverkning</t>
        </is>
      </c>
      <c r="D1618" s="1" t="n">
        <v>44601</v>
      </c>
      <c r="E1618" s="1" t="n">
        <v>46316</v>
      </c>
      <c r="F1618" t="inlineStr">
        <is>
          <t>KRONOBERGS LÄN</t>
        </is>
      </c>
      <c r="G1618" t="inlineStr">
        <is>
          <t>MARKARYD</t>
        </is>
      </c>
      <c r="H1618" t="inlineStr">
        <is>
          <t>Kommuner</t>
        </is>
      </c>
      <c r="I1618" t="n">
        <v>2.4</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49600-2024</t>
        </is>
      </c>
      <c r="B1619" t="inlineStr">
        <is>
          <t>avverkningsanmälan</t>
        </is>
      </c>
      <c r="C1619" t="inlineStr">
        <is>
          <t>Föryngringsavverkning</t>
        </is>
      </c>
      <c r="D1619" s="1" t="n">
        <v>45596</v>
      </c>
      <c r="E1619" s="1" t="n">
        <v>46316</v>
      </c>
      <c r="F1619" t="inlineStr">
        <is>
          <t>KRONOBERGS LÄN</t>
        </is>
      </c>
      <c r="G1619" t="inlineStr">
        <is>
          <t>ALVESTA</t>
        </is>
      </c>
      <c r="I1619" t="n">
        <v>1.4</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17931-2022</t>
        </is>
      </c>
      <c r="B1620" t="inlineStr">
        <is>
          <t>avverkningsanmälan</t>
        </is>
      </c>
      <c r="C1620" t="inlineStr">
        <is>
          <t>Föryngringsavverkning</t>
        </is>
      </c>
      <c r="D1620" s="1" t="n">
        <v>44683</v>
      </c>
      <c r="E1620" s="1" t="n">
        <v>46316</v>
      </c>
      <c r="F1620" t="inlineStr">
        <is>
          <t>KRONOBERGS LÄN</t>
        </is>
      </c>
      <c r="G1620" t="inlineStr">
        <is>
          <t>TINGSRYD</t>
        </is>
      </c>
      <c r="I1620" t="n">
        <v>3.1</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29313-2025</t>
        </is>
      </c>
      <c r="B1621" t="inlineStr">
        <is>
          <t>avverkningsanmälan</t>
        </is>
      </c>
      <c r="C1621" t="inlineStr">
        <is>
          <t>Föryngringsavverkning</t>
        </is>
      </c>
      <c r="D1621" s="1" t="n">
        <v>45824</v>
      </c>
      <c r="E1621" s="1" t="n">
        <v>46316</v>
      </c>
      <c r="F1621" t="inlineStr">
        <is>
          <t>KRONOBERGS LÄN</t>
        </is>
      </c>
      <c r="G1621" t="inlineStr">
        <is>
          <t>ALVESTA</t>
        </is>
      </c>
      <c r="I1621" t="n">
        <v>2.7</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56038-2023</t>
        </is>
      </c>
      <c r="B1622" t="inlineStr">
        <is>
          <t>avverkningsanmälan</t>
        </is>
      </c>
      <c r="C1622" t="inlineStr">
        <is>
          <t>Föryngringsavverkning</t>
        </is>
      </c>
      <c r="D1622" s="1" t="n">
        <v>45233</v>
      </c>
      <c r="E1622" s="1" t="n">
        <v>46316</v>
      </c>
      <c r="F1622" t="inlineStr">
        <is>
          <t>KRONOBERGS LÄN</t>
        </is>
      </c>
      <c r="G1622" t="inlineStr">
        <is>
          <t>UPPVIDINGE</t>
        </is>
      </c>
      <c r="I1622" t="n">
        <v>4.3</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37320-2025</t>
        </is>
      </c>
      <c r="B1623" t="inlineStr">
        <is>
          <t>avverkningsanmälan</t>
        </is>
      </c>
      <c r="C1623" t="inlineStr">
        <is>
          <t>Föryngringsavverkning</t>
        </is>
      </c>
      <c r="D1623" s="1" t="n">
        <v>45876</v>
      </c>
      <c r="E1623" s="1" t="n">
        <v>46316</v>
      </c>
      <c r="F1623" t="inlineStr">
        <is>
          <t>KRONOBERGS LÄN</t>
        </is>
      </c>
      <c r="G1623" t="inlineStr">
        <is>
          <t>LJUNGBY</t>
        </is>
      </c>
      <c r="I1623" t="n">
        <v>1</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5272-2023</t>
        </is>
      </c>
      <c r="B1624" t="inlineStr">
        <is>
          <t>avverkningsanmälan</t>
        </is>
      </c>
      <c r="C1624" t="inlineStr">
        <is>
          <t>Föryngringsavverkning</t>
        </is>
      </c>
      <c r="D1624" s="1" t="n">
        <v>44959</v>
      </c>
      <c r="E1624" s="1" t="n">
        <v>46316</v>
      </c>
      <c r="F1624" t="inlineStr">
        <is>
          <t>KRONOBERGS LÄN</t>
        </is>
      </c>
      <c r="G1624" t="inlineStr">
        <is>
          <t>VÄXJÖ</t>
        </is>
      </c>
      <c r="I1624" t="n">
        <v>0.4</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38498-2024</t>
        </is>
      </c>
      <c r="B1625" t="inlineStr">
        <is>
          <t>avverkningsanmälan</t>
        </is>
      </c>
      <c r="C1625" t="inlineStr">
        <is>
          <t>Föryngringsavverkning</t>
        </is>
      </c>
      <c r="D1625" s="1" t="n">
        <v>45546</v>
      </c>
      <c r="E1625" s="1" t="n">
        <v>46316</v>
      </c>
      <c r="F1625" t="inlineStr">
        <is>
          <t>KRONOBERGS LÄN</t>
        </is>
      </c>
      <c r="G1625" t="inlineStr">
        <is>
          <t>ALVESTA</t>
        </is>
      </c>
      <c r="I1625" t="n">
        <v>1.1</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40366-2023</t>
        </is>
      </c>
      <c r="B1626" t="inlineStr">
        <is>
          <t>avverkningsanmälan</t>
        </is>
      </c>
      <c r="C1626" t="inlineStr">
        <is>
          <t>Föryngringsavverkning</t>
        </is>
      </c>
      <c r="D1626" s="1" t="n">
        <v>45169</v>
      </c>
      <c r="E1626" s="1" t="n">
        <v>46316</v>
      </c>
      <c r="F1626" t="inlineStr">
        <is>
          <t>KRONOBERGS LÄN</t>
        </is>
      </c>
      <c r="G1626" t="inlineStr">
        <is>
          <t>ALVESTA</t>
        </is>
      </c>
      <c r="I1626" t="n">
        <v>1.4</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50781-2024</t>
        </is>
      </c>
      <c r="B1627" t="inlineStr">
        <is>
          <t>avverkningsanmälan</t>
        </is>
      </c>
      <c r="C1627" t="inlineStr">
        <is>
          <t>Föryngringsavverkning</t>
        </is>
      </c>
      <c r="D1627" s="1" t="n">
        <v>45602</v>
      </c>
      <c r="E1627" s="1" t="n">
        <v>46316</v>
      </c>
      <c r="F1627" t="inlineStr">
        <is>
          <t>KRONOBERGS LÄN</t>
        </is>
      </c>
      <c r="G1627" t="inlineStr">
        <is>
          <t>MARKARYD</t>
        </is>
      </c>
      <c r="I1627" t="n">
        <v>1.7</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3856-2026</t>
        </is>
      </c>
      <c r="B1628" t="inlineStr">
        <is>
          <t>avverkningsanmälan</t>
        </is>
      </c>
      <c r="C1628" t="inlineStr">
        <is>
          <t>Föryngringsavverkning</t>
        </is>
      </c>
      <c r="D1628" s="1" t="n">
        <v>46043</v>
      </c>
      <c r="E1628" s="1" t="n">
        <v>46316</v>
      </c>
      <c r="F1628" t="inlineStr">
        <is>
          <t>KRONOBERGS LÄN</t>
        </is>
      </c>
      <c r="G1628" t="inlineStr">
        <is>
          <t>VÄXJÖ</t>
        </is>
      </c>
      <c r="I1628" t="n">
        <v>2.5</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43485-2025</t>
        </is>
      </c>
      <c r="B1629" t="inlineStr">
        <is>
          <t>avverkningsanmälan</t>
        </is>
      </c>
      <c r="C1629" t="inlineStr">
        <is>
          <t>Föryngringsavverkning</t>
        </is>
      </c>
      <c r="D1629" s="1" t="n">
        <v>45911</v>
      </c>
      <c r="E1629" s="1" t="n">
        <v>46316</v>
      </c>
      <c r="F1629" t="inlineStr">
        <is>
          <t>KRONOBERGS LÄN</t>
        </is>
      </c>
      <c r="G1629" t="inlineStr">
        <is>
          <t>LJUNGBY</t>
        </is>
      </c>
      <c r="I1629" t="n">
        <v>0.9</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43643-2025</t>
        </is>
      </c>
      <c r="B1630" t="inlineStr">
        <is>
          <t>avverkningsanmälan</t>
        </is>
      </c>
      <c r="C1630" t="inlineStr">
        <is>
          <t>Föryngringsavverkning</t>
        </is>
      </c>
      <c r="D1630" s="1" t="n">
        <v>45911</v>
      </c>
      <c r="E1630" s="1" t="n">
        <v>46316</v>
      </c>
      <c r="F1630" t="inlineStr">
        <is>
          <t>KRONOBERGS LÄN</t>
        </is>
      </c>
      <c r="G1630" t="inlineStr">
        <is>
          <t>LJUNGBY</t>
        </is>
      </c>
      <c r="I1630" t="n">
        <v>0.7</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66789-2021</t>
        </is>
      </c>
      <c r="B1631" t="inlineStr">
        <is>
          <t>avverkningsanmälan</t>
        </is>
      </c>
      <c r="C1631" t="inlineStr">
        <is>
          <t>Föryngringsavverkning</t>
        </is>
      </c>
      <c r="D1631" s="1" t="n">
        <v>44522</v>
      </c>
      <c r="E1631" s="1" t="n">
        <v>46316</v>
      </c>
      <c r="F1631" t="inlineStr">
        <is>
          <t>KRONOBERGS LÄN</t>
        </is>
      </c>
      <c r="G1631" t="inlineStr">
        <is>
          <t>TINGSRYD</t>
        </is>
      </c>
      <c r="H1631" t="inlineStr">
        <is>
          <t>Övriga Aktiebolag</t>
        </is>
      </c>
      <c r="I1631" t="n">
        <v>1.8</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67714-2021</t>
        </is>
      </c>
      <c r="B1632" t="inlineStr">
        <is>
          <t>avverkningsanmälan</t>
        </is>
      </c>
      <c r="C1632" t="inlineStr">
        <is>
          <t>Föryngringsavverkning</t>
        </is>
      </c>
      <c r="D1632" s="1" t="n">
        <v>44524</v>
      </c>
      <c r="E1632" s="1" t="n">
        <v>46316</v>
      </c>
      <c r="F1632" t="inlineStr">
        <is>
          <t>KRONOBERGS LÄN</t>
        </is>
      </c>
      <c r="G1632" t="inlineStr">
        <is>
          <t>UPPVIDINGE</t>
        </is>
      </c>
      <c r="H1632" t="inlineStr">
        <is>
          <t>Kyrkan</t>
        </is>
      </c>
      <c r="I1632" t="n">
        <v>18.8</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44040-2025</t>
        </is>
      </c>
      <c r="B1633" t="inlineStr">
        <is>
          <t>avverkningsanmälan</t>
        </is>
      </c>
      <c r="C1633" t="inlineStr">
        <is>
          <t>Föryngringsavverkning</t>
        </is>
      </c>
      <c r="D1633" s="1" t="n">
        <v>45915</v>
      </c>
      <c r="E1633" s="1" t="n">
        <v>46316</v>
      </c>
      <c r="F1633" t="inlineStr">
        <is>
          <t>KRONOBERGS LÄN</t>
        </is>
      </c>
      <c r="G1633" t="inlineStr">
        <is>
          <t>ÄLMHULT</t>
        </is>
      </c>
      <c r="H1633" t="inlineStr">
        <is>
          <t>Sveaskog</t>
        </is>
      </c>
      <c r="I1633" t="n">
        <v>1.5</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43809-2025</t>
        </is>
      </c>
      <c r="B1634" t="inlineStr">
        <is>
          <t>avverkningsanmälan</t>
        </is>
      </c>
      <c r="C1634" t="inlineStr">
        <is>
          <t>Föryngringsavverkning</t>
        </is>
      </c>
      <c r="D1634" s="1" t="n">
        <v>45912</v>
      </c>
      <c r="E1634" s="1" t="n">
        <v>46316</v>
      </c>
      <c r="F1634" t="inlineStr">
        <is>
          <t>KRONOBERGS LÄN</t>
        </is>
      </c>
      <c r="G1634" t="inlineStr">
        <is>
          <t>LESSEBO</t>
        </is>
      </c>
      <c r="I1634" t="n">
        <v>5</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4236-2026</t>
        </is>
      </c>
      <c r="B1635" t="inlineStr">
        <is>
          <t>avverkningsanmälan</t>
        </is>
      </c>
      <c r="C1635" t="inlineStr">
        <is>
          <t>Föryngringsavverkning</t>
        </is>
      </c>
      <c r="D1635" s="1" t="n">
        <v>46044</v>
      </c>
      <c r="E1635" s="1" t="n">
        <v>46316</v>
      </c>
      <c r="F1635" t="inlineStr">
        <is>
          <t>KRONOBERGS LÄN</t>
        </is>
      </c>
      <c r="G1635" t="inlineStr">
        <is>
          <t>LESSEBO</t>
        </is>
      </c>
      <c r="I1635" t="n">
        <v>3.3</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4229-2026</t>
        </is>
      </c>
      <c r="B1636" t="inlineStr">
        <is>
          <t>avverkningsanmälan</t>
        </is>
      </c>
      <c r="C1636" t="inlineStr">
        <is>
          <t>Föryngringsavverkning</t>
        </is>
      </c>
      <c r="D1636" s="1" t="n">
        <v>46044</v>
      </c>
      <c r="E1636" s="1" t="n">
        <v>46316</v>
      </c>
      <c r="F1636" t="inlineStr">
        <is>
          <t>KRONOBERGS LÄN</t>
        </is>
      </c>
      <c r="G1636" t="inlineStr">
        <is>
          <t>LESSEBO</t>
        </is>
      </c>
      <c r="I1636" t="n">
        <v>9.699999999999999</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43922-2025</t>
        </is>
      </c>
      <c r="B1637" t="inlineStr">
        <is>
          <t>avverkningsanmälan</t>
        </is>
      </c>
      <c r="C1637" t="inlineStr">
        <is>
          <t>Föryngringsavverkning</t>
        </is>
      </c>
      <c r="D1637" s="1" t="n">
        <v>45914</v>
      </c>
      <c r="E1637" s="1" t="n">
        <v>46316</v>
      </c>
      <c r="F1637" t="inlineStr">
        <is>
          <t>KRONOBERGS LÄN</t>
        </is>
      </c>
      <c r="G1637" t="inlineStr">
        <is>
          <t>LJUNGBY</t>
        </is>
      </c>
      <c r="I1637" t="n">
        <v>1.4</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4413-2026</t>
        </is>
      </c>
      <c r="B1638" t="inlineStr">
        <is>
          <t>avverkningsanmälan</t>
        </is>
      </c>
      <c r="C1638" t="inlineStr">
        <is>
          <t>Föryngringsavverkning</t>
        </is>
      </c>
      <c r="D1638" s="1" t="n">
        <v>46045</v>
      </c>
      <c r="E1638" s="1" t="n">
        <v>46316</v>
      </c>
      <c r="F1638" t="inlineStr">
        <is>
          <t>KRONOBERGS LÄN</t>
        </is>
      </c>
      <c r="G1638" t="inlineStr">
        <is>
          <t>LJUNGBY</t>
        </is>
      </c>
      <c r="I1638" t="n">
        <v>1</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44189-2025</t>
        </is>
      </c>
      <c r="B1639" t="inlineStr">
        <is>
          <t>avverkningsanmälan</t>
        </is>
      </c>
      <c r="C1639" t="inlineStr">
        <is>
          <t>Föryngringsavverkning</t>
        </is>
      </c>
      <c r="D1639" s="1" t="n">
        <v>45915</v>
      </c>
      <c r="E1639" s="1" t="n">
        <v>46316</v>
      </c>
      <c r="F1639" t="inlineStr">
        <is>
          <t>KRONOBERGS LÄN</t>
        </is>
      </c>
      <c r="G1639" t="inlineStr">
        <is>
          <t>ALVESTA</t>
        </is>
      </c>
      <c r="I1639" t="n">
        <v>0.7</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28953-2022</t>
        </is>
      </c>
      <c r="B1640" t="inlineStr">
        <is>
          <t>avverkningsanmälan</t>
        </is>
      </c>
      <c r="C1640" t="inlineStr">
        <is>
          <t>Föryngringsavverkning</t>
        </is>
      </c>
      <c r="D1640" s="1" t="n">
        <v>44749</v>
      </c>
      <c r="E1640" s="1" t="n">
        <v>46316</v>
      </c>
      <c r="F1640" t="inlineStr">
        <is>
          <t>KRONOBERGS LÄN</t>
        </is>
      </c>
      <c r="G1640" t="inlineStr">
        <is>
          <t>TINGSRYD</t>
        </is>
      </c>
      <c r="I1640" t="n">
        <v>3.9</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2899-2024</t>
        </is>
      </c>
      <c r="B1641" t="inlineStr">
        <is>
          <t>avverkningsanmälan</t>
        </is>
      </c>
      <c r="C1641" t="inlineStr">
        <is>
          <t>Föryngringsavverkning</t>
        </is>
      </c>
      <c r="D1641" s="1" t="n">
        <v>45315</v>
      </c>
      <c r="E1641" s="1" t="n">
        <v>46316</v>
      </c>
      <c r="F1641" t="inlineStr">
        <is>
          <t>KRONOBERGS LÄN</t>
        </is>
      </c>
      <c r="G1641" t="inlineStr">
        <is>
          <t>ÄLMHULT</t>
        </is>
      </c>
      <c r="I1641" t="n">
        <v>1.1</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4457-2026</t>
        </is>
      </c>
      <c r="B1642" t="inlineStr">
        <is>
          <t>avverkningsanmälan</t>
        </is>
      </c>
      <c r="C1642" t="inlineStr">
        <is>
          <t>Föryngringsavverkning</t>
        </is>
      </c>
      <c r="D1642" s="1" t="n">
        <v>46045</v>
      </c>
      <c r="E1642" s="1" t="n">
        <v>46316</v>
      </c>
      <c r="F1642" t="inlineStr">
        <is>
          <t>KRONOBERGS LÄN</t>
        </is>
      </c>
      <c r="G1642" t="inlineStr">
        <is>
          <t>VÄXJÖ</t>
        </is>
      </c>
      <c r="I1642" t="n">
        <v>2.1</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4310-2026</t>
        </is>
      </c>
      <c r="B1643" t="inlineStr">
        <is>
          <t>avverkningsanmälan</t>
        </is>
      </c>
      <c r="C1643" t="inlineStr">
        <is>
          <t>Föryngringsavverkning</t>
        </is>
      </c>
      <c r="D1643" s="1" t="n">
        <v>46045</v>
      </c>
      <c r="E1643" s="1" t="n">
        <v>46316</v>
      </c>
      <c r="F1643" t="inlineStr">
        <is>
          <t>KRONOBERGS LÄN</t>
        </is>
      </c>
      <c r="G1643" t="inlineStr">
        <is>
          <t>VÄXJÖ</t>
        </is>
      </c>
      <c r="I1643" t="n">
        <v>0.8</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6929-2025</t>
        </is>
      </c>
      <c r="B1644" t="inlineStr">
        <is>
          <t>avverkningsanmälan</t>
        </is>
      </c>
      <c r="C1644" t="inlineStr">
        <is>
          <t>Föryngringsavverkning</t>
        </is>
      </c>
      <c r="D1644" s="1" t="n">
        <v>45701</v>
      </c>
      <c r="E1644" s="1" t="n">
        <v>46316</v>
      </c>
      <c r="F1644" t="inlineStr">
        <is>
          <t>KRONOBERGS LÄN</t>
        </is>
      </c>
      <c r="G1644" t="inlineStr">
        <is>
          <t>TINGSRYD</t>
        </is>
      </c>
      <c r="I1644" t="n">
        <v>0.5</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4386-2026</t>
        </is>
      </c>
      <c r="B1645" t="inlineStr">
        <is>
          <t>avverkningsanmälan</t>
        </is>
      </c>
      <c r="C1645" t="inlineStr">
        <is>
          <t>Föryngringsavverkning</t>
        </is>
      </c>
      <c r="D1645" s="1" t="n">
        <v>46045</v>
      </c>
      <c r="E1645" s="1" t="n">
        <v>46316</v>
      </c>
      <c r="F1645" t="inlineStr">
        <is>
          <t>KRONOBERGS LÄN</t>
        </is>
      </c>
      <c r="G1645" t="inlineStr">
        <is>
          <t>LJUNGBY</t>
        </is>
      </c>
      <c r="I1645" t="n">
        <v>1.2</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4396-2026</t>
        </is>
      </c>
      <c r="B1646" t="inlineStr">
        <is>
          <t>avverkningsanmälan</t>
        </is>
      </c>
      <c r="C1646" t="inlineStr">
        <is>
          <t>Föryngringsavverkning</t>
        </is>
      </c>
      <c r="D1646" s="1" t="n">
        <v>46045</v>
      </c>
      <c r="E1646" s="1" t="n">
        <v>46316</v>
      </c>
      <c r="F1646" t="inlineStr">
        <is>
          <t>KRONOBERGS LÄN</t>
        </is>
      </c>
      <c r="G1646" t="inlineStr">
        <is>
          <t>LJUNGBY</t>
        </is>
      </c>
      <c r="I1646" t="n">
        <v>1.6</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62704-2021</t>
        </is>
      </c>
      <c r="B1647" t="inlineStr">
        <is>
          <t>avverkningsanmälan</t>
        </is>
      </c>
      <c r="C1647" t="inlineStr">
        <is>
          <t>Föryngringsavverkning</t>
        </is>
      </c>
      <c r="D1647" s="1" t="n">
        <v>44504</v>
      </c>
      <c r="E1647" s="1" t="n">
        <v>46316</v>
      </c>
      <c r="F1647" t="inlineStr">
        <is>
          <t>KRONOBERGS LÄN</t>
        </is>
      </c>
      <c r="G1647" t="inlineStr">
        <is>
          <t>ALVESTA</t>
        </is>
      </c>
      <c r="I1647" t="n">
        <v>1.5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29163-2025</t>
        </is>
      </c>
      <c r="B1648" t="inlineStr">
        <is>
          <t>avverkningsanmälan</t>
        </is>
      </c>
      <c r="C1648" t="inlineStr">
        <is>
          <t>Föryngringsavverkning</t>
        </is>
      </c>
      <c r="D1648" s="1" t="n">
        <v>45821</v>
      </c>
      <c r="E1648" s="1" t="n">
        <v>46316</v>
      </c>
      <c r="F1648" t="inlineStr">
        <is>
          <t>KRONOBERGS LÄN</t>
        </is>
      </c>
      <c r="G1648" t="inlineStr">
        <is>
          <t>ALVESTA</t>
        </is>
      </c>
      <c r="I1648" t="n">
        <v>5.6</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43347-2023</t>
        </is>
      </c>
      <c r="B1649" t="inlineStr">
        <is>
          <t>avverkningsanmälan</t>
        </is>
      </c>
      <c r="C1649" t="inlineStr">
        <is>
          <t>Föryngringsavverkning</t>
        </is>
      </c>
      <c r="D1649" s="1" t="n">
        <v>45183</v>
      </c>
      <c r="E1649" s="1" t="n">
        <v>46316</v>
      </c>
      <c r="F1649" t="inlineStr">
        <is>
          <t>KRONOBERGS LÄN</t>
        </is>
      </c>
      <c r="G1649" t="inlineStr">
        <is>
          <t>LJUNGBY</t>
        </is>
      </c>
      <c r="I1649" t="n">
        <v>1</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39022-2022</t>
        </is>
      </c>
      <c r="B1650" t="inlineStr">
        <is>
          <t>avverkningsanmälan</t>
        </is>
      </c>
      <c r="C1650" t="inlineStr">
        <is>
          <t>Föryngringsavverkning</t>
        </is>
      </c>
      <c r="D1650" s="1" t="n">
        <v>44817</v>
      </c>
      <c r="E1650" s="1" t="n">
        <v>46316</v>
      </c>
      <c r="F1650" t="inlineStr">
        <is>
          <t>KRONOBERGS LÄN</t>
        </is>
      </c>
      <c r="G1650" t="inlineStr">
        <is>
          <t>ÄLMHULT</t>
        </is>
      </c>
      <c r="I1650" t="n">
        <v>1.3</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4392-2026</t>
        </is>
      </c>
      <c r="B1651" t="inlineStr">
        <is>
          <t>avverkningsanmälan</t>
        </is>
      </c>
      <c r="C1651" t="inlineStr">
        <is>
          <t>Föryngringsavverkning</t>
        </is>
      </c>
      <c r="D1651" s="1" t="n">
        <v>46045</v>
      </c>
      <c r="E1651" s="1" t="n">
        <v>46316</v>
      </c>
      <c r="F1651" t="inlineStr">
        <is>
          <t>KRONOBERGS LÄN</t>
        </is>
      </c>
      <c r="G1651" t="inlineStr">
        <is>
          <t>LJUNGBY</t>
        </is>
      </c>
      <c r="I1651" t="n">
        <v>1.4</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4325-2026</t>
        </is>
      </c>
      <c r="B1652" t="inlineStr">
        <is>
          <t>avverkningsanmälan</t>
        </is>
      </c>
      <c r="C1652" t="inlineStr">
        <is>
          <t>Föryngringsavverkning</t>
        </is>
      </c>
      <c r="D1652" s="1" t="n">
        <v>46045</v>
      </c>
      <c r="E1652" s="1" t="n">
        <v>46316</v>
      </c>
      <c r="F1652" t="inlineStr">
        <is>
          <t>KRONOBERGS LÄN</t>
        </is>
      </c>
      <c r="G1652" t="inlineStr">
        <is>
          <t>ÄLMHULT</t>
        </is>
      </c>
      <c r="I1652" t="n">
        <v>1.3</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62978-2023</t>
        </is>
      </c>
      <c r="B1653" t="inlineStr">
        <is>
          <t>avverkningsanmälan</t>
        </is>
      </c>
      <c r="C1653" t="inlineStr">
        <is>
          <t>Föryngringsavverkning</t>
        </is>
      </c>
      <c r="D1653" s="1" t="n">
        <v>45272</v>
      </c>
      <c r="E1653" s="1" t="n">
        <v>46316</v>
      </c>
      <c r="F1653" t="inlineStr">
        <is>
          <t>KRONOBERGS LÄN</t>
        </is>
      </c>
      <c r="G1653" t="inlineStr">
        <is>
          <t>LJUNGBY</t>
        </is>
      </c>
      <c r="I1653" t="n">
        <v>0.7</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8293-2025</t>
        </is>
      </c>
      <c r="B1654" t="inlineStr">
        <is>
          <t>avverkningsanmälan</t>
        </is>
      </c>
      <c r="C1654" t="inlineStr">
        <is>
          <t>Föryngringsavverkning</t>
        </is>
      </c>
      <c r="D1654" s="1" t="n">
        <v>45708</v>
      </c>
      <c r="E1654" s="1" t="n">
        <v>46316</v>
      </c>
      <c r="F1654" t="inlineStr">
        <is>
          <t>KRONOBERGS LÄN</t>
        </is>
      </c>
      <c r="G1654" t="inlineStr">
        <is>
          <t>ALVESTA</t>
        </is>
      </c>
      <c r="I1654" t="n">
        <v>0.5</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45854-2023</t>
        </is>
      </c>
      <c r="B1655" t="inlineStr">
        <is>
          <t>avverkningsanmälan</t>
        </is>
      </c>
      <c r="C1655" t="inlineStr">
        <is>
          <t>Föryngringsavverkning</t>
        </is>
      </c>
      <c r="D1655" s="1" t="n">
        <v>45195</v>
      </c>
      <c r="E1655" s="1" t="n">
        <v>46316</v>
      </c>
      <c r="F1655" t="inlineStr">
        <is>
          <t>KRONOBERGS LÄN</t>
        </is>
      </c>
      <c r="G1655" t="inlineStr">
        <is>
          <t>MARKARYD</t>
        </is>
      </c>
      <c r="I1655" t="n">
        <v>0.7</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40074-2023</t>
        </is>
      </c>
      <c r="B1656" t="inlineStr">
        <is>
          <t>avverkningsanmälan</t>
        </is>
      </c>
      <c r="C1656" t="inlineStr">
        <is>
          <t>Föryngringsavverkning</t>
        </is>
      </c>
      <c r="D1656" s="1" t="n">
        <v>45168</v>
      </c>
      <c r="E1656" s="1" t="n">
        <v>46316</v>
      </c>
      <c r="F1656" t="inlineStr">
        <is>
          <t>KRONOBERGS LÄN</t>
        </is>
      </c>
      <c r="G1656" t="inlineStr">
        <is>
          <t>VÄXJÖ</t>
        </is>
      </c>
      <c r="I1656" t="n">
        <v>0.5</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5182-2026</t>
        </is>
      </c>
      <c r="B1657" t="inlineStr">
        <is>
          <t>avverkningsanmälan</t>
        </is>
      </c>
      <c r="C1657" t="inlineStr">
        <is>
          <t>Föryngringsavverkning</t>
        </is>
      </c>
      <c r="D1657" s="1" t="n">
        <v>46049</v>
      </c>
      <c r="E1657" s="1" t="n">
        <v>46316</v>
      </c>
      <c r="F1657" t="inlineStr">
        <is>
          <t>KRONOBERGS LÄN</t>
        </is>
      </c>
      <c r="G1657" t="inlineStr">
        <is>
          <t>VÄXJÖ</t>
        </is>
      </c>
      <c r="I1657" t="n">
        <v>1.3</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29590-2023</t>
        </is>
      </c>
      <c r="B1658" t="inlineStr">
        <is>
          <t>avverkningsanmälan</t>
        </is>
      </c>
      <c r="C1658" t="inlineStr">
        <is>
          <t>Föryngringsavverkning</t>
        </is>
      </c>
      <c r="D1658" s="1" t="n">
        <v>45106</v>
      </c>
      <c r="E1658" s="1" t="n">
        <v>46316</v>
      </c>
      <c r="F1658" t="inlineStr">
        <is>
          <t>KRONOBERGS LÄN</t>
        </is>
      </c>
      <c r="G1658" t="inlineStr">
        <is>
          <t>LJUNGBY</t>
        </is>
      </c>
      <c r="I1658" t="n">
        <v>2.8</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44671-2025</t>
        </is>
      </c>
      <c r="B1659" t="inlineStr">
        <is>
          <t>avverkningsanmälan</t>
        </is>
      </c>
      <c r="C1659" t="inlineStr">
        <is>
          <t>Föryngringsavverkning</t>
        </is>
      </c>
      <c r="D1659" s="1" t="n">
        <v>45917</v>
      </c>
      <c r="E1659" s="1" t="n">
        <v>46316</v>
      </c>
      <c r="F1659" t="inlineStr">
        <is>
          <t>KRONOBERGS LÄN</t>
        </is>
      </c>
      <c r="G1659" t="inlineStr">
        <is>
          <t>MARKARYD</t>
        </is>
      </c>
      <c r="I1659" t="n">
        <v>0.7</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44542-2025</t>
        </is>
      </c>
      <c r="B1660" t="inlineStr">
        <is>
          <t>avverkningsanmälan</t>
        </is>
      </c>
      <c r="C1660" t="inlineStr">
        <is>
          <t>Föryngringsavverkning</t>
        </is>
      </c>
      <c r="D1660" s="1" t="n">
        <v>45917</v>
      </c>
      <c r="E1660" s="1" t="n">
        <v>46316</v>
      </c>
      <c r="F1660" t="inlineStr">
        <is>
          <t>KRONOBERGS LÄN</t>
        </is>
      </c>
      <c r="G1660" t="inlineStr">
        <is>
          <t>ÄLMHULT</t>
        </is>
      </c>
      <c r="H1660" t="inlineStr">
        <is>
          <t>Sveaskog</t>
        </is>
      </c>
      <c r="I1660" t="n">
        <v>1.5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44540-2025</t>
        </is>
      </c>
      <c r="B1661" t="inlineStr">
        <is>
          <t>avverkningsanmälan</t>
        </is>
      </c>
      <c r="C1661" t="inlineStr">
        <is>
          <t>Föryngringsavverkning</t>
        </is>
      </c>
      <c r="D1661" s="1" t="n">
        <v>45917</v>
      </c>
      <c r="E1661" s="1" t="n">
        <v>46316</v>
      </c>
      <c r="F1661" t="inlineStr">
        <is>
          <t>KRONOBERGS LÄN</t>
        </is>
      </c>
      <c r="G1661" t="inlineStr">
        <is>
          <t>ÄLMHULT</t>
        </is>
      </c>
      <c r="H1661" t="inlineStr">
        <is>
          <t>Sveaskog</t>
        </is>
      </c>
      <c r="I1661" t="n">
        <v>3.3</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37432-2024</t>
        </is>
      </c>
      <c r="B1662" t="inlineStr">
        <is>
          <t>avverkningsanmälan</t>
        </is>
      </c>
      <c r="C1662" t="inlineStr">
        <is>
          <t>Föryngringsavverkning</t>
        </is>
      </c>
      <c r="D1662" s="1" t="n">
        <v>45540</v>
      </c>
      <c r="E1662" s="1" t="n">
        <v>46316</v>
      </c>
      <c r="F1662" t="inlineStr">
        <is>
          <t>KRONOBERGS LÄN</t>
        </is>
      </c>
      <c r="G1662" t="inlineStr">
        <is>
          <t>VÄXJÖ</t>
        </is>
      </c>
      <c r="I1662" t="n">
        <v>3.2</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44655-2025</t>
        </is>
      </c>
      <c r="B1663" t="inlineStr">
        <is>
          <t>avverkningsanmälan</t>
        </is>
      </c>
      <c r="C1663" t="inlineStr">
        <is>
          <t>Föryngringsavverkning</t>
        </is>
      </c>
      <c r="D1663" s="1" t="n">
        <v>45917</v>
      </c>
      <c r="E1663" s="1" t="n">
        <v>46316</v>
      </c>
      <c r="F1663" t="inlineStr">
        <is>
          <t>KRONOBERGS LÄN</t>
        </is>
      </c>
      <c r="G1663" t="inlineStr">
        <is>
          <t>ALVESTA</t>
        </is>
      </c>
      <c r="I1663" t="n">
        <v>0.5</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5128-2026</t>
        </is>
      </c>
      <c r="B1664" t="inlineStr">
        <is>
          <t>avverkningsanmälan</t>
        </is>
      </c>
      <c r="C1664" t="inlineStr">
        <is>
          <t>Avverkning för annat ändamål</t>
        </is>
      </c>
      <c r="D1664" s="1" t="n">
        <v>46048</v>
      </c>
      <c r="E1664" s="1" t="n">
        <v>46316</v>
      </c>
      <c r="F1664" t="inlineStr">
        <is>
          <t>KRONOBERGS LÄN</t>
        </is>
      </c>
      <c r="G1664" t="inlineStr">
        <is>
          <t>VÄXJÖ</t>
        </is>
      </c>
      <c r="I1664" t="n">
        <v>0.9</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57127-2023</t>
        </is>
      </c>
      <c r="B1665" t="inlineStr">
        <is>
          <t>avverkningsanmälan</t>
        </is>
      </c>
      <c r="C1665" t="inlineStr">
        <is>
          <t>Föryngringsavverkning</t>
        </is>
      </c>
      <c r="D1665" s="1" t="n">
        <v>45245</v>
      </c>
      <c r="E1665" s="1" t="n">
        <v>46316</v>
      </c>
      <c r="F1665" t="inlineStr">
        <is>
          <t>KRONOBERGS LÄN</t>
        </is>
      </c>
      <c r="G1665" t="inlineStr">
        <is>
          <t>UPPVIDINGE</t>
        </is>
      </c>
      <c r="I1665" t="n">
        <v>1.4</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6100-2024</t>
        </is>
      </c>
      <c r="B1666" t="inlineStr">
        <is>
          <t>avverkningsanmälan</t>
        </is>
      </c>
      <c r="C1666" t="inlineStr">
        <is>
          <t>Föryngringsavverkning</t>
        </is>
      </c>
      <c r="D1666" s="1" t="n">
        <v>45337</v>
      </c>
      <c r="E1666" s="1" t="n">
        <v>46316</v>
      </c>
      <c r="F1666" t="inlineStr">
        <is>
          <t>KRONOBERGS LÄN</t>
        </is>
      </c>
      <c r="G1666" t="inlineStr">
        <is>
          <t>ALVESTA</t>
        </is>
      </c>
      <c r="I1666" t="n">
        <v>2</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44539-2025</t>
        </is>
      </c>
      <c r="B1667" t="inlineStr">
        <is>
          <t>avverkningsanmälan</t>
        </is>
      </c>
      <c r="C1667" t="inlineStr">
        <is>
          <t>Föryngringsavverkning</t>
        </is>
      </c>
      <c r="D1667" s="1" t="n">
        <v>45917</v>
      </c>
      <c r="E1667" s="1" t="n">
        <v>46316</v>
      </c>
      <c r="F1667" t="inlineStr">
        <is>
          <t>KRONOBERGS LÄN</t>
        </is>
      </c>
      <c r="G1667" t="inlineStr">
        <is>
          <t>ÄLMHULT</t>
        </is>
      </c>
      <c r="H1667" t="inlineStr">
        <is>
          <t>Sveaskog</t>
        </is>
      </c>
      <c r="I1667" t="n">
        <v>2.6</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36601-2023</t>
        </is>
      </c>
      <c r="B1668" t="inlineStr">
        <is>
          <t>avverkningsanmälan</t>
        </is>
      </c>
      <c r="C1668" t="inlineStr">
        <is>
          <t>Föryngringsavverkning</t>
        </is>
      </c>
      <c r="D1668" s="1" t="n">
        <v>45153</v>
      </c>
      <c r="E1668" s="1" t="n">
        <v>46316</v>
      </c>
      <c r="F1668" t="inlineStr">
        <is>
          <t>KRONOBERGS LÄN</t>
        </is>
      </c>
      <c r="G1668" t="inlineStr">
        <is>
          <t>UPPVIDINGE</t>
        </is>
      </c>
      <c r="I1668" t="n">
        <v>0.1</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44510-2025</t>
        </is>
      </c>
      <c r="B1669" t="inlineStr">
        <is>
          <t>avverkningsanmälan</t>
        </is>
      </c>
      <c r="C1669" t="inlineStr">
        <is>
          <t>Föryngringsavverkning</t>
        </is>
      </c>
      <c r="D1669" s="1" t="n">
        <v>45916</v>
      </c>
      <c r="E1669" s="1" t="n">
        <v>46316</v>
      </c>
      <c r="F1669" t="inlineStr">
        <is>
          <t>KRONOBERGS LÄN</t>
        </is>
      </c>
      <c r="G1669" t="inlineStr">
        <is>
          <t>ÄLMHULT</t>
        </is>
      </c>
      <c r="I1669" t="n">
        <v>5.3</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44513-2025</t>
        </is>
      </c>
      <c r="B1670" t="inlineStr">
        <is>
          <t>avverkningsanmälan</t>
        </is>
      </c>
      <c r="C1670" t="inlineStr">
        <is>
          <t>Föryngringsavverkning</t>
        </is>
      </c>
      <c r="D1670" s="1" t="n">
        <v>45916</v>
      </c>
      <c r="E1670" s="1" t="n">
        <v>46316</v>
      </c>
      <c r="F1670" t="inlineStr">
        <is>
          <t>KRONOBERGS LÄN</t>
        </is>
      </c>
      <c r="G1670" t="inlineStr">
        <is>
          <t>LJUNGBY</t>
        </is>
      </c>
      <c r="I1670" t="n">
        <v>0.5</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44528-2025</t>
        </is>
      </c>
      <c r="B1671" t="inlineStr">
        <is>
          <t>avverkningsanmälan</t>
        </is>
      </c>
      <c r="C1671" t="inlineStr">
        <is>
          <t>Avverkning för att bevara och utveckla /försöksver</t>
        </is>
      </c>
      <c r="D1671" s="1" t="n">
        <v>45916</v>
      </c>
      <c r="E1671" s="1" t="n">
        <v>46316</v>
      </c>
      <c r="F1671" t="inlineStr">
        <is>
          <t>KRONOBERGS LÄN</t>
        </is>
      </c>
      <c r="G1671" t="inlineStr">
        <is>
          <t>ALVESTA</t>
        </is>
      </c>
      <c r="I1671" t="n">
        <v>4.1</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44338-2025</t>
        </is>
      </c>
      <c r="B1672" t="inlineStr">
        <is>
          <t>avverkningsanmälan</t>
        </is>
      </c>
      <c r="C1672" t="inlineStr">
        <is>
          <t>Föryngringsavverkning</t>
        </is>
      </c>
      <c r="D1672" s="1" t="n">
        <v>45916</v>
      </c>
      <c r="E1672" s="1" t="n">
        <v>46316</v>
      </c>
      <c r="F1672" t="inlineStr">
        <is>
          <t>KRONOBERGS LÄN</t>
        </is>
      </c>
      <c r="G1672" t="inlineStr">
        <is>
          <t>LJUNGBY</t>
        </is>
      </c>
      <c r="I1672" t="n">
        <v>0.7</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12155-2022</t>
        </is>
      </c>
      <c r="B1673" t="inlineStr">
        <is>
          <t>avverkningsanmälan</t>
        </is>
      </c>
      <c r="C1673" t="inlineStr">
        <is>
          <t>Föryngringsavverkning</t>
        </is>
      </c>
      <c r="D1673" s="1" t="n">
        <v>44636</v>
      </c>
      <c r="E1673" s="1" t="n">
        <v>46316</v>
      </c>
      <c r="F1673" t="inlineStr">
        <is>
          <t>KRONOBERGS LÄN</t>
        </is>
      </c>
      <c r="G1673" t="inlineStr">
        <is>
          <t>MARKARYD</t>
        </is>
      </c>
      <c r="I1673" t="n">
        <v>2.5</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4755-2026</t>
        </is>
      </c>
      <c r="B1674" t="inlineStr">
        <is>
          <t>avverkningsanmälan</t>
        </is>
      </c>
      <c r="C1674" t="inlineStr">
        <is>
          <t>Föryngringsavverkning</t>
        </is>
      </c>
      <c r="D1674" s="1" t="n">
        <v>46048</v>
      </c>
      <c r="E1674" s="1" t="n">
        <v>46316</v>
      </c>
      <c r="F1674" t="inlineStr">
        <is>
          <t>KRONOBERGS LÄN</t>
        </is>
      </c>
      <c r="G1674" t="inlineStr">
        <is>
          <t>TINGSRYD</t>
        </is>
      </c>
      <c r="I1674" t="n">
        <v>0.7</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10685-2023</t>
        </is>
      </c>
      <c r="B1675" t="inlineStr">
        <is>
          <t>avverkningsanmälan</t>
        </is>
      </c>
      <c r="C1675" t="inlineStr">
        <is>
          <t>Föryngringsavverkning</t>
        </is>
      </c>
      <c r="D1675" s="1" t="n">
        <v>44988</v>
      </c>
      <c r="E1675" s="1" t="n">
        <v>46316</v>
      </c>
      <c r="F1675" t="inlineStr">
        <is>
          <t>KRONOBERGS LÄN</t>
        </is>
      </c>
      <c r="G1675" t="inlineStr">
        <is>
          <t>MARKARYD</t>
        </is>
      </c>
      <c r="I1675" t="n">
        <v>3.8</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39395-2023</t>
        </is>
      </c>
      <c r="B1676" t="inlineStr">
        <is>
          <t>avverkningsanmälan</t>
        </is>
      </c>
      <c r="C1676" t="inlineStr">
        <is>
          <t>Föryngringsavverkning</t>
        </is>
      </c>
      <c r="D1676" s="1" t="n">
        <v>45166</v>
      </c>
      <c r="E1676" s="1" t="n">
        <v>46316</v>
      </c>
      <c r="F1676" t="inlineStr">
        <is>
          <t>KRONOBERGS LÄN</t>
        </is>
      </c>
      <c r="G1676" t="inlineStr">
        <is>
          <t>VÄXJÖ</t>
        </is>
      </c>
      <c r="I1676" t="n">
        <v>3.5</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22383-2024</t>
        </is>
      </c>
      <c r="B1677" t="inlineStr">
        <is>
          <t>avverkningsanmälan</t>
        </is>
      </c>
      <c r="C1677" t="inlineStr">
        <is>
          <t>Föryngringsavverkning</t>
        </is>
      </c>
      <c r="D1677" s="1" t="n">
        <v>45446</v>
      </c>
      <c r="E1677" s="1" t="n">
        <v>46316</v>
      </c>
      <c r="F1677" t="inlineStr">
        <is>
          <t>KRONOBERGS LÄN</t>
        </is>
      </c>
      <c r="G1677" t="inlineStr">
        <is>
          <t>LJUNGBY</t>
        </is>
      </c>
      <c r="I1677" t="n">
        <v>1.5</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44667-2025</t>
        </is>
      </c>
      <c r="B1678" t="inlineStr">
        <is>
          <t>avverkningsanmälan</t>
        </is>
      </c>
      <c r="C1678" t="inlineStr">
        <is>
          <t>Föryngringsavverkning</t>
        </is>
      </c>
      <c r="D1678" s="1" t="n">
        <v>45917</v>
      </c>
      <c r="E1678" s="1" t="n">
        <v>46316</v>
      </c>
      <c r="F1678" t="inlineStr">
        <is>
          <t>KRONOBERGS LÄN</t>
        </is>
      </c>
      <c r="G1678" t="inlineStr">
        <is>
          <t>ALVESTA</t>
        </is>
      </c>
      <c r="I1678" t="n">
        <v>1.7</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44670-2025</t>
        </is>
      </c>
      <c r="B1679" t="inlineStr">
        <is>
          <t>avverkningsanmälan</t>
        </is>
      </c>
      <c r="C1679" t="inlineStr">
        <is>
          <t>Föryngringsavverkning</t>
        </is>
      </c>
      <c r="D1679" s="1" t="n">
        <v>45917</v>
      </c>
      <c r="E1679" s="1" t="n">
        <v>46316</v>
      </c>
      <c r="F1679" t="inlineStr">
        <is>
          <t>KRONOBERGS LÄN</t>
        </is>
      </c>
      <c r="G1679" t="inlineStr">
        <is>
          <t>LJUNGBY</t>
        </is>
      </c>
      <c r="I1679" t="n">
        <v>1.7</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44676-2025</t>
        </is>
      </c>
      <c r="B1680" t="inlineStr">
        <is>
          <t>avverkningsanmälan</t>
        </is>
      </c>
      <c r="C1680" t="inlineStr">
        <is>
          <t>Föryngringsavverkning</t>
        </is>
      </c>
      <c r="D1680" s="1" t="n">
        <v>45917</v>
      </c>
      <c r="E1680" s="1" t="n">
        <v>46316</v>
      </c>
      <c r="F1680" t="inlineStr">
        <is>
          <t>KRONOBERGS LÄN</t>
        </is>
      </c>
      <c r="G1680" t="inlineStr">
        <is>
          <t>LJUNGBY</t>
        </is>
      </c>
      <c r="I1680" t="n">
        <v>2.5</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5179-2026</t>
        </is>
      </c>
      <c r="B1681" t="inlineStr">
        <is>
          <t>avverkningsanmälan</t>
        </is>
      </c>
      <c r="C1681" t="inlineStr">
        <is>
          <t>Föryngringsavverkning</t>
        </is>
      </c>
      <c r="D1681" s="1" t="n">
        <v>46049</v>
      </c>
      <c r="E1681" s="1" t="n">
        <v>46316</v>
      </c>
      <c r="F1681" t="inlineStr">
        <is>
          <t>KRONOBERGS LÄN</t>
        </is>
      </c>
      <c r="G1681" t="inlineStr">
        <is>
          <t>VÄXJÖ</t>
        </is>
      </c>
      <c r="I1681" t="n">
        <v>2.2</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4781-2026</t>
        </is>
      </c>
      <c r="B1682" t="inlineStr">
        <is>
          <t>avverkningsanmälan</t>
        </is>
      </c>
      <c r="C1682" t="inlineStr">
        <is>
          <t>Föryngringsavverkning</t>
        </is>
      </c>
      <c r="D1682" s="1" t="n">
        <v>46048</v>
      </c>
      <c r="E1682" s="1" t="n">
        <v>46316</v>
      </c>
      <c r="F1682" t="inlineStr">
        <is>
          <t>KRONOBERGS LÄN</t>
        </is>
      </c>
      <c r="G1682" t="inlineStr">
        <is>
          <t>UPPVIDINGE</t>
        </is>
      </c>
      <c r="I1682" t="n">
        <v>1.9</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44882-2025</t>
        </is>
      </c>
      <c r="B1683" t="inlineStr">
        <is>
          <t>avverkningsanmälan</t>
        </is>
      </c>
      <c r="C1683" t="inlineStr">
        <is>
          <t>Avverkning för annat ändamål</t>
        </is>
      </c>
      <c r="D1683" s="1" t="n">
        <v>45918</v>
      </c>
      <c r="E1683" s="1" t="n">
        <v>46316</v>
      </c>
      <c r="F1683" t="inlineStr">
        <is>
          <t>KRONOBERGS LÄN</t>
        </is>
      </c>
      <c r="G1683" t="inlineStr">
        <is>
          <t>VÄXJÖ</t>
        </is>
      </c>
      <c r="I1683" t="n">
        <v>0.5</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44904-2025</t>
        </is>
      </c>
      <c r="B1684" t="inlineStr">
        <is>
          <t>avverkningsanmälan</t>
        </is>
      </c>
      <c r="C1684" t="inlineStr">
        <is>
          <t>Föryngringsavverkning</t>
        </is>
      </c>
      <c r="D1684" s="1" t="n">
        <v>45918</v>
      </c>
      <c r="E1684" s="1" t="n">
        <v>46316</v>
      </c>
      <c r="F1684" t="inlineStr">
        <is>
          <t>KRONOBERGS LÄN</t>
        </is>
      </c>
      <c r="G1684" t="inlineStr">
        <is>
          <t>LESSEBO</t>
        </is>
      </c>
      <c r="I1684" t="n">
        <v>0.5</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5196-2026</t>
        </is>
      </c>
      <c r="B1685" t="inlineStr">
        <is>
          <t>avverkningsanmälan</t>
        </is>
      </c>
      <c r="C1685" t="inlineStr">
        <is>
          <t>Föryngringsavverkning</t>
        </is>
      </c>
      <c r="D1685" s="1" t="n">
        <v>46049</v>
      </c>
      <c r="E1685" s="1" t="n">
        <v>46316</v>
      </c>
      <c r="F1685" t="inlineStr">
        <is>
          <t>KRONOBERGS LÄN</t>
        </is>
      </c>
      <c r="G1685" t="inlineStr">
        <is>
          <t>VÄXJÖ</t>
        </is>
      </c>
      <c r="I1685" t="n">
        <v>1.1</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5540-2026</t>
        </is>
      </c>
      <c r="B1686" t="inlineStr">
        <is>
          <t>avverkningsanmälan</t>
        </is>
      </c>
      <c r="C1686" t="inlineStr">
        <is>
          <t>Föryngringsavverkning</t>
        </is>
      </c>
      <c r="D1686" s="1" t="n">
        <v>46050</v>
      </c>
      <c r="E1686" s="1" t="n">
        <v>46316</v>
      </c>
      <c r="F1686" t="inlineStr">
        <is>
          <t>KRONOBERGS LÄN</t>
        </is>
      </c>
      <c r="G1686" t="inlineStr">
        <is>
          <t>UPPVIDINGE</t>
        </is>
      </c>
      <c r="H1686" t="inlineStr">
        <is>
          <t>Sveaskog</t>
        </is>
      </c>
      <c r="I1686" t="n">
        <v>0.8</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44899-2025</t>
        </is>
      </c>
      <c r="B1687" t="inlineStr">
        <is>
          <t>avverkningsanmälan</t>
        </is>
      </c>
      <c r="C1687" t="inlineStr">
        <is>
          <t>Föryngringsavverkning</t>
        </is>
      </c>
      <c r="D1687" s="1" t="n">
        <v>45918</v>
      </c>
      <c r="E1687" s="1" t="n">
        <v>46316</v>
      </c>
      <c r="F1687" t="inlineStr">
        <is>
          <t>KRONOBERGS LÄN</t>
        </is>
      </c>
      <c r="G1687" t="inlineStr">
        <is>
          <t>LESSEBO</t>
        </is>
      </c>
      <c r="I1687" t="n">
        <v>0.4</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49695-2023</t>
        </is>
      </c>
      <c r="B1688" t="inlineStr">
        <is>
          <t>avverkningsanmälan</t>
        </is>
      </c>
      <c r="C1688" t="inlineStr">
        <is>
          <t>Föryngringsavverkning</t>
        </is>
      </c>
      <c r="D1688" s="1" t="n">
        <v>45212</v>
      </c>
      <c r="E1688" s="1" t="n">
        <v>46316</v>
      </c>
      <c r="F1688" t="inlineStr">
        <is>
          <t>KRONOBERGS LÄN</t>
        </is>
      </c>
      <c r="G1688" t="inlineStr">
        <is>
          <t>MARKARYD</t>
        </is>
      </c>
      <c r="I1688" t="n">
        <v>3.3</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5504-2026</t>
        </is>
      </c>
      <c r="B1689" t="inlineStr">
        <is>
          <t>avverkningsanmälan</t>
        </is>
      </c>
      <c r="C1689" t="inlineStr">
        <is>
          <t>Föryngringsavverkning</t>
        </is>
      </c>
      <c r="D1689" s="1" t="n">
        <v>46050</v>
      </c>
      <c r="E1689" s="1" t="n">
        <v>46316</v>
      </c>
      <c r="F1689" t="inlineStr">
        <is>
          <t>KRONOBERGS LÄN</t>
        </is>
      </c>
      <c r="G1689" t="inlineStr">
        <is>
          <t>UPPVIDINGE</t>
        </is>
      </c>
      <c r="H1689" t="inlineStr">
        <is>
          <t>Sveaskog</t>
        </is>
      </c>
      <c r="I1689" t="n">
        <v>1.4</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5520-2026</t>
        </is>
      </c>
      <c r="B1690" t="inlineStr">
        <is>
          <t>avverkningsanmälan</t>
        </is>
      </c>
      <c r="C1690" t="inlineStr">
        <is>
          <t>Föryngringsavverkning</t>
        </is>
      </c>
      <c r="D1690" s="1" t="n">
        <v>46050</v>
      </c>
      <c r="E1690" s="1" t="n">
        <v>46316</v>
      </c>
      <c r="F1690" t="inlineStr">
        <is>
          <t>KRONOBERGS LÄN</t>
        </is>
      </c>
      <c r="G1690" t="inlineStr">
        <is>
          <t>ALVESTA</t>
        </is>
      </c>
      <c r="I1690" t="n">
        <v>1.6</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5783-2026</t>
        </is>
      </c>
      <c r="B1691" t="inlineStr">
        <is>
          <t>avverkningsanmälan</t>
        </is>
      </c>
      <c r="C1691" t="inlineStr">
        <is>
          <t>Föryngringsavverkning</t>
        </is>
      </c>
      <c r="D1691" s="1" t="n">
        <v>46051</v>
      </c>
      <c r="E1691" s="1" t="n">
        <v>46316</v>
      </c>
      <c r="F1691" t="inlineStr">
        <is>
          <t>KRONOBERGS LÄN</t>
        </is>
      </c>
      <c r="G1691" t="inlineStr">
        <is>
          <t>VÄXJÖ</t>
        </is>
      </c>
      <c r="I1691" t="n">
        <v>1.2</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45514-2023</t>
        </is>
      </c>
      <c r="B1692" t="inlineStr">
        <is>
          <t>avverkningsanmälan</t>
        </is>
      </c>
      <c r="C1692" t="inlineStr">
        <is>
          <t>Föryngringsavverkning</t>
        </is>
      </c>
      <c r="D1692" s="1" t="n">
        <v>45194</v>
      </c>
      <c r="E1692" s="1" t="n">
        <v>46316</v>
      </c>
      <c r="F1692" t="inlineStr">
        <is>
          <t>KRONOBERGS LÄN</t>
        </is>
      </c>
      <c r="G1692" t="inlineStr">
        <is>
          <t>VÄXJÖ</t>
        </is>
      </c>
      <c r="I1692" t="n">
        <v>1.8</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45522-2023</t>
        </is>
      </c>
      <c r="B1693" t="inlineStr">
        <is>
          <t>avverkningsanmälan</t>
        </is>
      </c>
      <c r="C1693" t="inlineStr">
        <is>
          <t>Föryngringsavverkning</t>
        </is>
      </c>
      <c r="D1693" s="1" t="n">
        <v>45194</v>
      </c>
      <c r="E1693" s="1" t="n">
        <v>46316</v>
      </c>
      <c r="F1693" t="inlineStr">
        <is>
          <t>KRONOBERGS LÄN</t>
        </is>
      </c>
      <c r="G1693" t="inlineStr">
        <is>
          <t>TINGSRYD</t>
        </is>
      </c>
      <c r="I1693" t="n">
        <v>2</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9923-2023</t>
        </is>
      </c>
      <c r="B1694" t="inlineStr">
        <is>
          <t>avverkningsanmälan</t>
        </is>
      </c>
      <c r="C1694" t="inlineStr">
        <is>
          <t>Föryngringsavverkning</t>
        </is>
      </c>
      <c r="D1694" s="1" t="n">
        <v>44985</v>
      </c>
      <c r="E1694" s="1" t="n">
        <v>46316</v>
      </c>
      <c r="F1694" t="inlineStr">
        <is>
          <t>KRONOBERGS LÄN</t>
        </is>
      </c>
      <c r="G1694" t="inlineStr">
        <is>
          <t>UPPVIDINGE</t>
        </is>
      </c>
      <c r="I1694" t="n">
        <v>0.7</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63209-2023</t>
        </is>
      </c>
      <c r="B1695" t="inlineStr">
        <is>
          <t>avverkningsanmälan</t>
        </is>
      </c>
      <c r="C1695" t="inlineStr">
        <is>
          <t>Föryngringsavverkning</t>
        </is>
      </c>
      <c r="D1695" s="1" t="n">
        <v>45273</v>
      </c>
      <c r="E1695" s="1" t="n">
        <v>46316</v>
      </c>
      <c r="F1695" t="inlineStr">
        <is>
          <t>KRONOBERGS LÄN</t>
        </is>
      </c>
      <c r="G1695" t="inlineStr">
        <is>
          <t>UPPVIDINGE</t>
        </is>
      </c>
      <c r="I1695" t="n">
        <v>5.5</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5530-2026</t>
        </is>
      </c>
      <c r="B1696" t="inlineStr">
        <is>
          <t>avverkningsanmälan</t>
        </is>
      </c>
      <c r="C1696" t="inlineStr">
        <is>
          <t>Föryngringsavverkning</t>
        </is>
      </c>
      <c r="D1696" s="1" t="n">
        <v>46050</v>
      </c>
      <c r="E1696" s="1" t="n">
        <v>46316</v>
      </c>
      <c r="F1696" t="inlineStr">
        <is>
          <t>KRONOBERGS LÄN</t>
        </is>
      </c>
      <c r="G1696" t="inlineStr">
        <is>
          <t>LJUNGBY</t>
        </is>
      </c>
      <c r="I1696" t="n">
        <v>1.8</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57315-2023</t>
        </is>
      </c>
      <c r="B1697" t="inlineStr">
        <is>
          <t>avverkningsanmälan</t>
        </is>
      </c>
      <c r="C1697" t="inlineStr">
        <is>
          <t>Föryngringsavverkning</t>
        </is>
      </c>
      <c r="D1697" s="1" t="n">
        <v>45240</v>
      </c>
      <c r="E1697" s="1" t="n">
        <v>46316</v>
      </c>
      <c r="F1697" t="inlineStr">
        <is>
          <t>KRONOBERGS LÄN</t>
        </is>
      </c>
      <c r="G1697" t="inlineStr">
        <is>
          <t>ÄLMHULT</t>
        </is>
      </c>
      <c r="H1697" t="inlineStr">
        <is>
          <t>Kyrkan</t>
        </is>
      </c>
      <c r="I1697" t="n">
        <v>0.5</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6484-2026</t>
        </is>
      </c>
      <c r="B1698" t="inlineStr">
        <is>
          <t>avverkningsanmälan</t>
        </is>
      </c>
      <c r="C1698" t="inlineStr">
        <is>
          <t>Föryngringsavverkning</t>
        </is>
      </c>
      <c r="D1698" s="1" t="n">
        <v>46051</v>
      </c>
      <c r="E1698" s="1" t="n">
        <v>46316</v>
      </c>
      <c r="F1698" t="inlineStr">
        <is>
          <t>KRONOBERGS LÄN</t>
        </is>
      </c>
      <c r="G1698" t="inlineStr">
        <is>
          <t>ALVESTA</t>
        </is>
      </c>
      <c r="H1698" t="inlineStr">
        <is>
          <t>Kyrkan</t>
        </is>
      </c>
      <c r="I1698" t="n">
        <v>0.6</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5531-2026</t>
        </is>
      </c>
      <c r="B1699" t="inlineStr">
        <is>
          <t>avverkningsanmälan</t>
        </is>
      </c>
      <c r="C1699" t="inlineStr">
        <is>
          <t>Föryngringsavverkning</t>
        </is>
      </c>
      <c r="D1699" s="1" t="n">
        <v>46050</v>
      </c>
      <c r="E1699" s="1" t="n">
        <v>46316</v>
      </c>
      <c r="F1699" t="inlineStr">
        <is>
          <t>KRONOBERGS LÄN</t>
        </is>
      </c>
      <c r="G1699" t="inlineStr">
        <is>
          <t>LJUNGBY</t>
        </is>
      </c>
      <c r="I1699" t="n">
        <v>0.9</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16901-2023</t>
        </is>
      </c>
      <c r="B1700" t="inlineStr">
        <is>
          <t>avverkningsanmälan</t>
        </is>
      </c>
      <c r="C1700" t="inlineStr">
        <is>
          <t>Föryngringsavverkning</t>
        </is>
      </c>
      <c r="D1700" s="1" t="n">
        <v>45033</v>
      </c>
      <c r="E1700" s="1" t="n">
        <v>46316</v>
      </c>
      <c r="F1700" t="inlineStr">
        <is>
          <t>KRONOBERGS LÄN</t>
        </is>
      </c>
      <c r="G1700" t="inlineStr">
        <is>
          <t>TINGSRYD</t>
        </is>
      </c>
      <c r="I1700" t="n">
        <v>0.5</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51659-2023</t>
        </is>
      </c>
      <c r="B1701" t="inlineStr">
        <is>
          <t>avverkningsanmälan</t>
        </is>
      </c>
      <c r="C1701" t="inlineStr">
        <is>
          <t>Föryngringsavverkning</t>
        </is>
      </c>
      <c r="D1701" s="1" t="n">
        <v>45222</v>
      </c>
      <c r="E1701" s="1" t="n">
        <v>46316</v>
      </c>
      <c r="F1701" t="inlineStr">
        <is>
          <t>KRONOBERGS LÄN</t>
        </is>
      </c>
      <c r="G1701" t="inlineStr">
        <is>
          <t>VÄXJÖ</t>
        </is>
      </c>
      <c r="I1701" t="n">
        <v>0.7</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5837-2026</t>
        </is>
      </c>
      <c r="B1702" t="inlineStr">
        <is>
          <t>avverkningsanmälan</t>
        </is>
      </c>
      <c r="C1702" t="inlineStr">
        <is>
          <t>Föryngringsavverkning</t>
        </is>
      </c>
      <c r="D1702" s="1" t="n">
        <v>46052</v>
      </c>
      <c r="E1702" s="1" t="n">
        <v>46316</v>
      </c>
      <c r="F1702" t="inlineStr">
        <is>
          <t>KRONOBERGS LÄN</t>
        </is>
      </c>
      <c r="G1702" t="inlineStr">
        <is>
          <t>UPPVIDINGE</t>
        </is>
      </c>
      <c r="H1702" t="inlineStr">
        <is>
          <t>Sveaskog</t>
        </is>
      </c>
      <c r="I1702" t="n">
        <v>1.6</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56890-2023</t>
        </is>
      </c>
      <c r="B1703" t="inlineStr">
        <is>
          <t>avverkningsanmälan</t>
        </is>
      </c>
      <c r="C1703" t="inlineStr">
        <is>
          <t>Föryngringsavverkning</t>
        </is>
      </c>
      <c r="D1703" s="1" t="n">
        <v>45244</v>
      </c>
      <c r="E1703" s="1" t="n">
        <v>46316</v>
      </c>
      <c r="F1703" t="inlineStr">
        <is>
          <t>KRONOBERGS LÄN</t>
        </is>
      </c>
      <c r="G1703" t="inlineStr">
        <is>
          <t>TINGSRYD</t>
        </is>
      </c>
      <c r="I1703" t="n">
        <v>14.7</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56947-2023</t>
        </is>
      </c>
      <c r="B1704" t="inlineStr">
        <is>
          <t>avverkningsanmälan</t>
        </is>
      </c>
      <c r="C1704" t="inlineStr">
        <is>
          <t>Föryngringsavverkning</t>
        </is>
      </c>
      <c r="D1704" s="1" t="n">
        <v>45244</v>
      </c>
      <c r="E1704" s="1" t="n">
        <v>46316</v>
      </c>
      <c r="F1704" t="inlineStr">
        <is>
          <t>KRONOBERGS LÄN</t>
        </is>
      </c>
      <c r="G1704" t="inlineStr">
        <is>
          <t>VÄXJÖ</t>
        </is>
      </c>
      <c r="I1704" t="n">
        <v>1.9</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46021-2024</t>
        </is>
      </c>
      <c r="B1705" t="inlineStr">
        <is>
          <t>avverkningsanmälan</t>
        </is>
      </c>
      <c r="C1705" t="inlineStr">
        <is>
          <t>Föryngringsavverkning</t>
        </is>
      </c>
      <c r="D1705" s="1" t="n">
        <v>45580</v>
      </c>
      <c r="E1705" s="1" t="n">
        <v>46316</v>
      </c>
      <c r="F1705" t="inlineStr">
        <is>
          <t>KRONOBERGS LÄN</t>
        </is>
      </c>
      <c r="G1705" t="inlineStr">
        <is>
          <t>TINGSRYD</t>
        </is>
      </c>
      <c r="I1705" t="n">
        <v>3.2</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7882-2024</t>
        </is>
      </c>
      <c r="B1706" t="inlineStr">
        <is>
          <t>avverkningsanmälan</t>
        </is>
      </c>
      <c r="C1706" t="inlineStr">
        <is>
          <t>Föryngringsavverkning</t>
        </is>
      </c>
      <c r="D1706" s="1" t="n">
        <v>45350</v>
      </c>
      <c r="E1706" s="1" t="n">
        <v>46316</v>
      </c>
      <c r="F1706" t="inlineStr">
        <is>
          <t>KRONOBERGS LÄN</t>
        </is>
      </c>
      <c r="G1706" t="inlineStr">
        <is>
          <t>ÄLMHULT</t>
        </is>
      </c>
      <c r="I1706" t="n">
        <v>0.9</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53367-2023</t>
        </is>
      </c>
      <c r="B1707" t="inlineStr">
        <is>
          <t>avverkningsanmälan</t>
        </is>
      </c>
      <c r="C1707" t="inlineStr">
        <is>
          <t>Föryngringsavverkning</t>
        </is>
      </c>
      <c r="D1707" s="1" t="n">
        <v>45229</v>
      </c>
      <c r="E1707" s="1" t="n">
        <v>46316</v>
      </c>
      <c r="F1707" t="inlineStr">
        <is>
          <t>KRONOBERGS LÄN</t>
        </is>
      </c>
      <c r="G1707" t="inlineStr">
        <is>
          <t>ALVESTA</t>
        </is>
      </c>
      <c r="I1707" t="n">
        <v>0.6</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45896-2025</t>
        </is>
      </c>
      <c r="B1708" t="inlineStr">
        <is>
          <t>avverkningsanmälan</t>
        </is>
      </c>
      <c r="C1708" t="inlineStr">
        <is>
          <t>Föryngringsavverkning</t>
        </is>
      </c>
      <c r="D1708" s="1" t="n">
        <v>45923</v>
      </c>
      <c r="E1708" s="1" t="n">
        <v>46316</v>
      </c>
      <c r="F1708" t="inlineStr">
        <is>
          <t>KRONOBERGS LÄN</t>
        </is>
      </c>
      <c r="G1708" t="inlineStr">
        <is>
          <t>TINGSRYD</t>
        </is>
      </c>
      <c r="I1708" t="n">
        <v>0.6</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5929-2026</t>
        </is>
      </c>
      <c r="B1709" t="inlineStr">
        <is>
          <t>avverkningsanmälan</t>
        </is>
      </c>
      <c r="C1709" t="inlineStr">
        <is>
          <t>Föryngringsavverkning</t>
        </is>
      </c>
      <c r="D1709" s="1" t="n">
        <v>46052</v>
      </c>
      <c r="E1709" s="1" t="n">
        <v>46316</v>
      </c>
      <c r="F1709" t="inlineStr">
        <is>
          <t>KRONOBERGS LÄN</t>
        </is>
      </c>
      <c r="G1709" t="inlineStr">
        <is>
          <t>ÄLMHULT</t>
        </is>
      </c>
      <c r="I1709" t="n">
        <v>0.5</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45695-2025</t>
        </is>
      </c>
      <c r="B1710" t="inlineStr">
        <is>
          <t>avverkningsanmälan</t>
        </is>
      </c>
      <c r="C1710" t="inlineStr">
        <is>
          <t>Föryngringsavverkning</t>
        </is>
      </c>
      <c r="D1710" s="1" t="n">
        <v>45923</v>
      </c>
      <c r="E1710" s="1" t="n">
        <v>46316</v>
      </c>
      <c r="F1710" t="inlineStr">
        <is>
          <t>KRONOBERGS LÄN</t>
        </is>
      </c>
      <c r="G1710" t="inlineStr">
        <is>
          <t>UPPVIDINGE</t>
        </is>
      </c>
      <c r="I1710" t="n">
        <v>2.2</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64069-2023</t>
        </is>
      </c>
      <c r="B1711" t="inlineStr">
        <is>
          <t>avverkningsanmälan</t>
        </is>
      </c>
      <c r="C1711" t="inlineStr">
        <is>
          <t>Föryngringsavverkning</t>
        </is>
      </c>
      <c r="D1711" s="1" t="n">
        <v>45279</v>
      </c>
      <c r="E1711" s="1" t="n">
        <v>46316</v>
      </c>
      <c r="F1711" t="inlineStr">
        <is>
          <t>KRONOBERGS LÄN</t>
        </is>
      </c>
      <c r="G1711" t="inlineStr">
        <is>
          <t>TINGSRYD</t>
        </is>
      </c>
      <c r="I1711" t="n">
        <v>2.1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57737-2023</t>
        </is>
      </c>
      <c r="B1712" t="inlineStr">
        <is>
          <t>avverkningsanmälan</t>
        </is>
      </c>
      <c r="C1712" t="inlineStr">
        <is>
          <t>Avverkning för annat ändamål</t>
        </is>
      </c>
      <c r="D1712" s="1" t="n">
        <v>45246</v>
      </c>
      <c r="E1712" s="1" t="n">
        <v>46316</v>
      </c>
      <c r="F1712" t="inlineStr">
        <is>
          <t>KRONOBERGS LÄN</t>
        </is>
      </c>
      <c r="G1712" t="inlineStr">
        <is>
          <t>LJUNGBY</t>
        </is>
      </c>
      <c r="I1712" t="n">
        <v>1.4</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5850-2026</t>
        </is>
      </c>
      <c r="B1713" t="inlineStr">
        <is>
          <t>avverkningsanmälan</t>
        </is>
      </c>
      <c r="C1713" t="inlineStr">
        <is>
          <t>Föryngringsavverkning</t>
        </is>
      </c>
      <c r="D1713" s="1" t="n">
        <v>46052</v>
      </c>
      <c r="E1713" s="1" t="n">
        <v>46316</v>
      </c>
      <c r="F1713" t="inlineStr">
        <is>
          <t>KRONOBERGS LÄN</t>
        </is>
      </c>
      <c r="G1713" t="inlineStr">
        <is>
          <t>UPPVIDINGE</t>
        </is>
      </c>
      <c r="H1713" t="inlineStr">
        <is>
          <t>Sveaskog</t>
        </is>
      </c>
      <c r="I1713" t="n">
        <v>1</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38457-2023</t>
        </is>
      </c>
      <c r="B1714" t="inlineStr">
        <is>
          <t>avverkningsanmälan</t>
        </is>
      </c>
      <c r="C1714" t="inlineStr">
        <is>
          <t>Föryngringsavverkning</t>
        </is>
      </c>
      <c r="D1714" s="1" t="n">
        <v>45162</v>
      </c>
      <c r="E1714" s="1" t="n">
        <v>46316</v>
      </c>
      <c r="F1714" t="inlineStr">
        <is>
          <t>KRONOBERGS LÄN</t>
        </is>
      </c>
      <c r="G1714" t="inlineStr">
        <is>
          <t>VÄXJÖ</t>
        </is>
      </c>
      <c r="I1714" t="n">
        <v>0.9</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38460-2023</t>
        </is>
      </c>
      <c r="B1715" t="inlineStr">
        <is>
          <t>avverkningsanmälan</t>
        </is>
      </c>
      <c r="C1715" t="inlineStr">
        <is>
          <t>Föryngringsavverkning</t>
        </is>
      </c>
      <c r="D1715" s="1" t="n">
        <v>45162</v>
      </c>
      <c r="E1715" s="1" t="n">
        <v>46316</v>
      </c>
      <c r="F1715" t="inlineStr">
        <is>
          <t>KRONOBERGS LÄN</t>
        </is>
      </c>
      <c r="G1715" t="inlineStr">
        <is>
          <t>VÄXJÖ</t>
        </is>
      </c>
      <c r="I1715" t="n">
        <v>0.6</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5847-2026</t>
        </is>
      </c>
      <c r="B1716" t="inlineStr">
        <is>
          <t>avverkningsanmälan</t>
        </is>
      </c>
      <c r="C1716" t="inlineStr">
        <is>
          <t>Föryngringsavverkning</t>
        </is>
      </c>
      <c r="D1716" s="1" t="n">
        <v>46052</v>
      </c>
      <c r="E1716" s="1" t="n">
        <v>46316</v>
      </c>
      <c r="F1716" t="inlineStr">
        <is>
          <t>KRONOBERGS LÄN</t>
        </is>
      </c>
      <c r="G1716" t="inlineStr">
        <is>
          <t>UPPVIDINGE</t>
        </is>
      </c>
      <c r="H1716" t="inlineStr">
        <is>
          <t>Sveaskog</t>
        </is>
      </c>
      <c r="I1716" t="n">
        <v>1.7</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5852-2026</t>
        </is>
      </c>
      <c r="B1717" t="inlineStr">
        <is>
          <t>avverkningsanmälan</t>
        </is>
      </c>
      <c r="C1717" t="inlineStr">
        <is>
          <t>Föryngringsavverkning</t>
        </is>
      </c>
      <c r="D1717" s="1" t="n">
        <v>46052</v>
      </c>
      <c r="E1717" s="1" t="n">
        <v>46316</v>
      </c>
      <c r="F1717" t="inlineStr">
        <is>
          <t>KRONOBERGS LÄN</t>
        </is>
      </c>
      <c r="G1717" t="inlineStr">
        <is>
          <t>UPPVIDINGE</t>
        </is>
      </c>
      <c r="H1717" t="inlineStr">
        <is>
          <t>Sveaskog</t>
        </is>
      </c>
      <c r="I1717" t="n">
        <v>2.8</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61285-2023</t>
        </is>
      </c>
      <c r="B1718" t="inlineStr">
        <is>
          <t>avverkningsanmälan</t>
        </is>
      </c>
      <c r="C1718" t="inlineStr">
        <is>
          <t>Föryngringsavverkning</t>
        </is>
      </c>
      <c r="D1718" s="1" t="n">
        <v>45264</v>
      </c>
      <c r="E1718" s="1" t="n">
        <v>46316</v>
      </c>
      <c r="F1718" t="inlineStr">
        <is>
          <t>KRONOBERGS LÄN</t>
        </is>
      </c>
      <c r="G1718" t="inlineStr">
        <is>
          <t>ALVESTA</t>
        </is>
      </c>
      <c r="I1718" t="n">
        <v>0.3</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25961-2023</t>
        </is>
      </c>
      <c r="B1719" t="inlineStr">
        <is>
          <t>avverkningsanmälan</t>
        </is>
      </c>
      <c r="C1719" t="inlineStr">
        <is>
          <t>Föryngringsavverkning</t>
        </is>
      </c>
      <c r="D1719" s="1" t="n">
        <v>45090</v>
      </c>
      <c r="E1719" s="1" t="n">
        <v>46316</v>
      </c>
      <c r="F1719" t="inlineStr">
        <is>
          <t>KRONOBERGS LÄN</t>
        </is>
      </c>
      <c r="G1719" t="inlineStr">
        <is>
          <t>VÄXJÖ</t>
        </is>
      </c>
      <c r="I1719" t="n">
        <v>0.9</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6147-2026</t>
        </is>
      </c>
      <c r="B1720" t="inlineStr">
        <is>
          <t>avverkningsanmälan</t>
        </is>
      </c>
      <c r="C1720" t="inlineStr">
        <is>
          <t>Föryngringsavverkning</t>
        </is>
      </c>
      <c r="D1720" s="1" t="n">
        <v>46054</v>
      </c>
      <c r="E1720" s="1" t="n">
        <v>46316</v>
      </c>
      <c r="F1720" t="inlineStr">
        <is>
          <t>KRONOBERGS LÄN</t>
        </is>
      </c>
      <c r="G1720" t="inlineStr">
        <is>
          <t>LJUNGBY</t>
        </is>
      </c>
      <c r="I1720" t="n">
        <v>0.6</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60599-2024</t>
        </is>
      </c>
      <c r="B1721" t="inlineStr">
        <is>
          <t>avverkningsanmälan</t>
        </is>
      </c>
      <c r="C1721" t="inlineStr">
        <is>
          <t>Föryngringsavverkning</t>
        </is>
      </c>
      <c r="D1721" s="1" t="n">
        <v>45644</v>
      </c>
      <c r="E1721" s="1" t="n">
        <v>46316</v>
      </c>
      <c r="F1721" t="inlineStr">
        <is>
          <t>KRONOBERGS LÄN</t>
        </is>
      </c>
      <c r="G1721" t="inlineStr">
        <is>
          <t>UPPVIDINGE</t>
        </is>
      </c>
      <c r="I1721" t="n">
        <v>0.9</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29749-2025</t>
        </is>
      </c>
      <c r="B1722" t="inlineStr">
        <is>
          <t>avverkningsanmälan</t>
        </is>
      </c>
      <c r="C1722" t="inlineStr">
        <is>
          <t>Föryngringsavverkning</t>
        </is>
      </c>
      <c r="D1722" s="1" t="n">
        <v>45825</v>
      </c>
      <c r="E1722" s="1" t="n">
        <v>46316</v>
      </c>
      <c r="F1722" t="inlineStr">
        <is>
          <t>KRONOBERGS LÄN</t>
        </is>
      </c>
      <c r="G1722" t="inlineStr">
        <is>
          <t>ALVESTA</t>
        </is>
      </c>
      <c r="I1722" t="n">
        <v>0.9</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17511-2022</t>
        </is>
      </c>
      <c r="B1723" t="inlineStr">
        <is>
          <t>avverkningsanmälan</t>
        </is>
      </c>
      <c r="C1723" t="inlineStr">
        <is>
          <t>Föryngringsavverkning</t>
        </is>
      </c>
      <c r="D1723" s="1" t="n">
        <v>44679</v>
      </c>
      <c r="E1723" s="1" t="n">
        <v>46316</v>
      </c>
      <c r="F1723" t="inlineStr">
        <is>
          <t>KRONOBERGS LÄN</t>
        </is>
      </c>
      <c r="G1723" t="inlineStr">
        <is>
          <t>VÄXJÖ</t>
        </is>
      </c>
      <c r="I1723" t="n">
        <v>1.6</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5833-2026</t>
        </is>
      </c>
      <c r="B1724" t="inlineStr">
        <is>
          <t>avverkningsanmälan</t>
        </is>
      </c>
      <c r="C1724" t="inlineStr">
        <is>
          <t>Föryngringsavverkning</t>
        </is>
      </c>
      <c r="D1724" s="1" t="n">
        <v>46052</v>
      </c>
      <c r="E1724" s="1" t="n">
        <v>46316</v>
      </c>
      <c r="F1724" t="inlineStr">
        <is>
          <t>KRONOBERGS LÄN</t>
        </is>
      </c>
      <c r="G1724" t="inlineStr">
        <is>
          <t>ALVESTA</t>
        </is>
      </c>
      <c r="I1724" t="n">
        <v>0.8</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33391-2023</t>
        </is>
      </c>
      <c r="B1725" t="inlineStr">
        <is>
          <t>avverkningsanmälan</t>
        </is>
      </c>
      <c r="C1725" t="inlineStr">
        <is>
          <t>Föryngringsavverkning</t>
        </is>
      </c>
      <c r="D1725" s="1" t="n">
        <v>45128</v>
      </c>
      <c r="E1725" s="1" t="n">
        <v>46316</v>
      </c>
      <c r="F1725" t="inlineStr">
        <is>
          <t>KRONOBERGS LÄN</t>
        </is>
      </c>
      <c r="G1725" t="inlineStr">
        <is>
          <t>VÄXJÖ</t>
        </is>
      </c>
      <c r="I1725" t="n">
        <v>1.5</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45890-2025</t>
        </is>
      </c>
      <c r="B1726" t="inlineStr">
        <is>
          <t>avverkningsanmälan</t>
        </is>
      </c>
      <c r="C1726" t="inlineStr">
        <is>
          <t>Föryngringsavverkning</t>
        </is>
      </c>
      <c r="D1726" s="1" t="n">
        <v>45923</v>
      </c>
      <c r="E1726" s="1" t="n">
        <v>46316</v>
      </c>
      <c r="F1726" t="inlineStr">
        <is>
          <t>KRONOBERGS LÄN</t>
        </is>
      </c>
      <c r="G1726" t="inlineStr">
        <is>
          <t>TINGSRYD</t>
        </is>
      </c>
      <c r="I1726" t="n">
        <v>0.7</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6146-2026</t>
        </is>
      </c>
      <c r="B1727" t="inlineStr">
        <is>
          <t>avverkningsanmälan</t>
        </is>
      </c>
      <c r="C1727" t="inlineStr">
        <is>
          <t>Föryngringsavverkning</t>
        </is>
      </c>
      <c r="D1727" s="1" t="n">
        <v>46054</v>
      </c>
      <c r="E1727" s="1" t="n">
        <v>46316</v>
      </c>
      <c r="F1727" t="inlineStr">
        <is>
          <t>KRONOBERGS LÄN</t>
        </is>
      </c>
      <c r="G1727" t="inlineStr">
        <is>
          <t>LJUNGBY</t>
        </is>
      </c>
      <c r="I1727" t="n">
        <v>1.2</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52694-2024</t>
        </is>
      </c>
      <c r="B1728" t="inlineStr">
        <is>
          <t>avverkningsanmälan</t>
        </is>
      </c>
      <c r="C1728" t="inlineStr">
        <is>
          <t>Föryngringsavverkning</t>
        </is>
      </c>
      <c r="D1728" s="1" t="n">
        <v>45610</v>
      </c>
      <c r="E1728" s="1" t="n">
        <v>46316</v>
      </c>
      <c r="F1728" t="inlineStr">
        <is>
          <t>KRONOBERGS LÄN</t>
        </is>
      </c>
      <c r="G1728" t="inlineStr">
        <is>
          <t>TINGSRYD</t>
        </is>
      </c>
      <c r="I1728" t="n">
        <v>4.1</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53189-2024</t>
        </is>
      </c>
      <c r="B1729" t="inlineStr">
        <is>
          <t>avverkningsanmälan</t>
        </is>
      </c>
      <c r="C1729" t="inlineStr">
        <is>
          <t>Föryngringsavverkning</t>
        </is>
      </c>
      <c r="D1729" s="1" t="n">
        <v>45611</v>
      </c>
      <c r="E1729" s="1" t="n">
        <v>46316</v>
      </c>
      <c r="F1729" t="inlineStr">
        <is>
          <t>KRONOBERGS LÄN</t>
        </is>
      </c>
      <c r="G1729" t="inlineStr">
        <is>
          <t>VÄXJÖ</t>
        </is>
      </c>
      <c r="I1729" t="n">
        <v>0.4</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45798-2025</t>
        </is>
      </c>
      <c r="B1730" t="inlineStr">
        <is>
          <t>avverkningsanmälan</t>
        </is>
      </c>
      <c r="C1730" t="inlineStr">
        <is>
          <t>Föryngringsavverkning</t>
        </is>
      </c>
      <c r="D1730" s="1" t="n">
        <v>45923</v>
      </c>
      <c r="E1730" s="1" t="n">
        <v>46316</v>
      </c>
      <c r="F1730" t="inlineStr">
        <is>
          <t>KRONOBERGS LÄN</t>
        </is>
      </c>
      <c r="G1730" t="inlineStr">
        <is>
          <t>UPPVIDINGE</t>
        </is>
      </c>
      <c r="I1730" t="n">
        <v>4.4</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6149-2026</t>
        </is>
      </c>
      <c r="B1731" t="inlineStr">
        <is>
          <t>avverkningsanmälan</t>
        </is>
      </c>
      <c r="C1731" t="inlineStr">
        <is>
          <t>Föryngringsavverkning</t>
        </is>
      </c>
      <c r="D1731" s="1" t="n">
        <v>46054</v>
      </c>
      <c r="E1731" s="1" t="n">
        <v>46316</v>
      </c>
      <c r="F1731" t="inlineStr">
        <is>
          <t>KRONOBERGS LÄN</t>
        </is>
      </c>
      <c r="G1731" t="inlineStr">
        <is>
          <t>LJUNGBY</t>
        </is>
      </c>
      <c r="I1731" t="n">
        <v>2.4</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5579-2025</t>
        </is>
      </c>
      <c r="B1732" t="inlineStr">
        <is>
          <t>avverkningsanmälan</t>
        </is>
      </c>
      <c r="C1732" t="inlineStr">
        <is>
          <t>Föryngringsavverkning</t>
        </is>
      </c>
      <c r="D1732" s="1" t="n">
        <v>45693</v>
      </c>
      <c r="E1732" s="1" t="n">
        <v>46316</v>
      </c>
      <c r="F1732" t="inlineStr">
        <is>
          <t>KRONOBERGS LÄN</t>
        </is>
      </c>
      <c r="G1732" t="inlineStr">
        <is>
          <t>ÄLMHULT</t>
        </is>
      </c>
      <c r="I1732" t="n">
        <v>0.6</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46172-2025</t>
        </is>
      </c>
      <c r="B1733" t="inlineStr">
        <is>
          <t>avverkningsanmälan</t>
        </is>
      </c>
      <c r="C1733" t="inlineStr">
        <is>
          <t>Föryngringsavverkning</t>
        </is>
      </c>
      <c r="D1733" s="1" t="n">
        <v>45924</v>
      </c>
      <c r="E1733" s="1" t="n">
        <v>46316</v>
      </c>
      <c r="F1733" t="inlineStr">
        <is>
          <t>KRONOBERGS LÄN</t>
        </is>
      </c>
      <c r="G1733" t="inlineStr">
        <is>
          <t>VÄXJÖ</t>
        </is>
      </c>
      <c r="I1733" t="n">
        <v>0.7</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5867-2026</t>
        </is>
      </c>
      <c r="B1734" t="inlineStr">
        <is>
          <t>avverkningsanmälan</t>
        </is>
      </c>
      <c r="C1734" t="inlineStr">
        <is>
          <t>Föryngringsavverkning</t>
        </is>
      </c>
      <c r="D1734" s="1" t="n">
        <v>46052</v>
      </c>
      <c r="E1734" s="1" t="n">
        <v>46316</v>
      </c>
      <c r="F1734" t="inlineStr">
        <is>
          <t>KRONOBERGS LÄN</t>
        </is>
      </c>
      <c r="G1734" t="inlineStr">
        <is>
          <t>UPPVIDINGE</t>
        </is>
      </c>
      <c r="H1734" t="inlineStr">
        <is>
          <t>Sveaskog</t>
        </is>
      </c>
      <c r="I1734" t="n">
        <v>0.7</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20851-2025</t>
        </is>
      </c>
      <c r="B1735" t="inlineStr">
        <is>
          <t>avverkningsanmälan</t>
        </is>
      </c>
      <c r="C1735" t="inlineStr">
        <is>
          <t>Föryngringsavverkning</t>
        </is>
      </c>
      <c r="D1735" s="1" t="n">
        <v>45777</v>
      </c>
      <c r="E1735" s="1" t="n">
        <v>46316</v>
      </c>
      <c r="F1735" t="inlineStr">
        <is>
          <t>KRONOBERGS LÄN</t>
        </is>
      </c>
      <c r="G1735" t="inlineStr">
        <is>
          <t>LESSEBO</t>
        </is>
      </c>
      <c r="H1735" t="inlineStr">
        <is>
          <t>Sveaskog</t>
        </is>
      </c>
      <c r="I1735" t="n">
        <v>2.9</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9740-2024</t>
        </is>
      </c>
      <c r="B1736" t="inlineStr">
        <is>
          <t>avverkningsanmälan</t>
        </is>
      </c>
      <c r="C1736" t="inlineStr">
        <is>
          <t>Föryngringsavverkning</t>
        </is>
      </c>
      <c r="D1736" s="1" t="n">
        <v>45362</v>
      </c>
      <c r="E1736" s="1" t="n">
        <v>46316</v>
      </c>
      <c r="F1736" t="inlineStr">
        <is>
          <t>KRONOBERGS LÄN</t>
        </is>
      </c>
      <c r="G1736" t="inlineStr">
        <is>
          <t>TINGSRYD</t>
        </is>
      </c>
      <c r="I1736" t="n">
        <v>2.6</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46461-2025</t>
        </is>
      </c>
      <c r="B1737" t="inlineStr">
        <is>
          <t>avverkningsanmälan</t>
        </is>
      </c>
      <c r="C1737" t="inlineStr">
        <is>
          <t>Föryngringsavverkning</t>
        </is>
      </c>
      <c r="D1737" s="1" t="n">
        <v>45925</v>
      </c>
      <c r="E1737" s="1" t="n">
        <v>46316</v>
      </c>
      <c r="F1737" t="inlineStr">
        <is>
          <t>KRONOBERGS LÄN</t>
        </is>
      </c>
      <c r="G1737" t="inlineStr">
        <is>
          <t>VÄXJÖ</t>
        </is>
      </c>
      <c r="I1737" t="n">
        <v>1.2</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5903-2026</t>
        </is>
      </c>
      <c r="B1738" t="inlineStr">
        <is>
          <t>avverkningsanmälan</t>
        </is>
      </c>
      <c r="C1738" t="inlineStr">
        <is>
          <t>Föryngringsavverkning</t>
        </is>
      </c>
      <c r="D1738" s="1" t="n">
        <v>46052</v>
      </c>
      <c r="E1738" s="1" t="n">
        <v>46316</v>
      </c>
      <c r="F1738" t="inlineStr">
        <is>
          <t>KRONOBERGS LÄN</t>
        </is>
      </c>
      <c r="G1738" t="inlineStr">
        <is>
          <t>ÄLMHULT</t>
        </is>
      </c>
      <c r="I1738" t="n">
        <v>1</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45913-2025</t>
        </is>
      </c>
      <c r="B1739" t="inlineStr">
        <is>
          <t>avverkningsanmälan</t>
        </is>
      </c>
      <c r="C1739" t="inlineStr">
        <is>
          <t>Föryngringsavverkning</t>
        </is>
      </c>
      <c r="D1739" s="1" t="n">
        <v>45923</v>
      </c>
      <c r="E1739" s="1" t="n">
        <v>46316</v>
      </c>
      <c r="F1739" t="inlineStr">
        <is>
          <t>KRONOBERGS LÄN</t>
        </is>
      </c>
      <c r="G1739" t="inlineStr">
        <is>
          <t>LJUNGBY</t>
        </is>
      </c>
      <c r="I1739" t="n">
        <v>0.4</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45915-2025</t>
        </is>
      </c>
      <c r="B1740" t="inlineStr">
        <is>
          <t>avverkningsanmälan</t>
        </is>
      </c>
      <c r="C1740" t="inlineStr">
        <is>
          <t>Föryngringsavverkning</t>
        </is>
      </c>
      <c r="D1740" s="1" t="n">
        <v>45923</v>
      </c>
      <c r="E1740" s="1" t="n">
        <v>46316</v>
      </c>
      <c r="F1740" t="inlineStr">
        <is>
          <t>KRONOBERGS LÄN</t>
        </is>
      </c>
      <c r="G1740" t="inlineStr">
        <is>
          <t>LJUNGBY</t>
        </is>
      </c>
      <c r="I1740" t="n">
        <v>0.5</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46229-2025</t>
        </is>
      </c>
      <c r="B1741" t="inlineStr">
        <is>
          <t>avverkningsanmälan</t>
        </is>
      </c>
      <c r="C1741" t="inlineStr">
        <is>
          <t>Föryngringsavverkning</t>
        </is>
      </c>
      <c r="D1741" s="1" t="n">
        <v>45924</v>
      </c>
      <c r="E1741" s="1" t="n">
        <v>46316</v>
      </c>
      <c r="F1741" t="inlineStr">
        <is>
          <t>KRONOBERGS LÄN</t>
        </is>
      </c>
      <c r="G1741" t="inlineStr">
        <is>
          <t>LJUNGBY</t>
        </is>
      </c>
      <c r="I1741" t="n">
        <v>3.9</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38961-2024</t>
        </is>
      </c>
      <c r="B1742" t="inlineStr">
        <is>
          <t>avverkningsanmälan</t>
        </is>
      </c>
      <c r="C1742" t="inlineStr">
        <is>
          <t>Föryngringsavverkning</t>
        </is>
      </c>
      <c r="D1742" s="1" t="n">
        <v>45548</v>
      </c>
      <c r="E1742" s="1" t="n">
        <v>46316</v>
      </c>
      <c r="F1742" t="inlineStr">
        <is>
          <t>KRONOBERGS LÄN</t>
        </is>
      </c>
      <c r="G1742" t="inlineStr">
        <is>
          <t>TINGSRYD</t>
        </is>
      </c>
      <c r="I1742" t="n">
        <v>1.8</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47536-2022</t>
        </is>
      </c>
      <c r="B1743" t="inlineStr">
        <is>
          <t>avverkningsanmälan</t>
        </is>
      </c>
      <c r="C1743" t="inlineStr">
        <is>
          <t>Föryngringsavverkning</t>
        </is>
      </c>
      <c r="D1743" s="1" t="n">
        <v>44853</v>
      </c>
      <c r="E1743" s="1" t="n">
        <v>46316</v>
      </c>
      <c r="F1743" t="inlineStr">
        <is>
          <t>KRONOBERGS LÄN</t>
        </is>
      </c>
      <c r="G1743" t="inlineStr">
        <is>
          <t>ÄLMHULT</t>
        </is>
      </c>
      <c r="I1743" t="n">
        <v>9.6</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39659-2022</t>
        </is>
      </c>
      <c r="B1744" t="inlineStr">
        <is>
          <t>avverkningsanmälan</t>
        </is>
      </c>
      <c r="C1744" t="inlineStr">
        <is>
          <t>Föryngringsavverkning</t>
        </is>
      </c>
      <c r="D1744" s="1" t="n">
        <v>44818</v>
      </c>
      <c r="E1744" s="1" t="n">
        <v>46316</v>
      </c>
      <c r="F1744" t="inlineStr">
        <is>
          <t>KRONOBERGS LÄN</t>
        </is>
      </c>
      <c r="G1744" t="inlineStr">
        <is>
          <t>TINGSRYD</t>
        </is>
      </c>
      <c r="I1744" t="n">
        <v>0.9</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1348-2024</t>
        </is>
      </c>
      <c r="B1745" t="inlineStr">
        <is>
          <t>avverkningsanmälan</t>
        </is>
      </c>
      <c r="C1745" t="inlineStr">
        <is>
          <t>Föryngringsavverkning</t>
        </is>
      </c>
      <c r="D1745" s="1" t="n">
        <v>45303</v>
      </c>
      <c r="E1745" s="1" t="n">
        <v>46316</v>
      </c>
      <c r="F1745" t="inlineStr">
        <is>
          <t>KRONOBERGS LÄN</t>
        </is>
      </c>
      <c r="G1745" t="inlineStr">
        <is>
          <t>ÄLMHULT</t>
        </is>
      </c>
      <c r="I1745" t="n">
        <v>1</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9134-2023</t>
        </is>
      </c>
      <c r="B1746" t="inlineStr">
        <is>
          <t>avverkningsanmälan</t>
        </is>
      </c>
      <c r="C1746" t="inlineStr">
        <is>
          <t>Föryngringsavverkning</t>
        </is>
      </c>
      <c r="D1746" s="1" t="n">
        <v>44980</v>
      </c>
      <c r="E1746" s="1" t="n">
        <v>46316</v>
      </c>
      <c r="F1746" t="inlineStr">
        <is>
          <t>KRONOBERGS LÄN</t>
        </is>
      </c>
      <c r="G1746" t="inlineStr">
        <is>
          <t>MARKARYD</t>
        </is>
      </c>
      <c r="I1746" t="n">
        <v>4.6</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1469-2024</t>
        </is>
      </c>
      <c r="B1747" t="inlineStr">
        <is>
          <t>avverkningsanmälan</t>
        </is>
      </c>
      <c r="C1747" t="inlineStr">
        <is>
          <t>Föryngringsavverkning</t>
        </is>
      </c>
      <c r="D1747" s="1" t="n">
        <v>45304</v>
      </c>
      <c r="E1747" s="1" t="n">
        <v>46316</v>
      </c>
      <c r="F1747" t="inlineStr">
        <is>
          <t>KRONOBERGS LÄN</t>
        </is>
      </c>
      <c r="G1747" t="inlineStr">
        <is>
          <t>VÄXJÖ</t>
        </is>
      </c>
      <c r="I1747" t="n">
        <v>1.8</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35687-2025</t>
        </is>
      </c>
      <c r="B1748" t="inlineStr">
        <is>
          <t>avverkningsanmälan</t>
        </is>
      </c>
      <c r="C1748" t="inlineStr">
        <is>
          <t>Föryngringsavverkning</t>
        </is>
      </c>
      <c r="D1748" s="1" t="n">
        <v>45860</v>
      </c>
      <c r="E1748" s="1" t="n">
        <v>46316</v>
      </c>
      <c r="F1748" t="inlineStr">
        <is>
          <t>KRONOBERGS LÄN</t>
        </is>
      </c>
      <c r="G1748" t="inlineStr">
        <is>
          <t>ALVESTA</t>
        </is>
      </c>
      <c r="I1748" t="n">
        <v>3.3</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65247-2023</t>
        </is>
      </c>
      <c r="B1749" t="inlineStr">
        <is>
          <t>avverkningsanmälan</t>
        </is>
      </c>
      <c r="C1749" t="inlineStr">
        <is>
          <t>Föryngringsavverkning</t>
        </is>
      </c>
      <c r="D1749" s="1" t="n">
        <v>45290</v>
      </c>
      <c r="E1749" s="1" t="n">
        <v>46316</v>
      </c>
      <c r="F1749" t="inlineStr">
        <is>
          <t>KRONOBERGS LÄN</t>
        </is>
      </c>
      <c r="G1749" t="inlineStr">
        <is>
          <t>ÄLMHULT</t>
        </is>
      </c>
      <c r="I1749" t="n">
        <v>1.7</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45928-2025</t>
        </is>
      </c>
      <c r="B1750" t="inlineStr">
        <is>
          <t>avverkningsanmälan</t>
        </is>
      </c>
      <c r="C1750" t="inlineStr">
        <is>
          <t>Föryngringsavverkning</t>
        </is>
      </c>
      <c r="D1750" s="1" t="n">
        <v>45923</v>
      </c>
      <c r="E1750" s="1" t="n">
        <v>46316</v>
      </c>
      <c r="F1750" t="inlineStr">
        <is>
          <t>KRONOBERGS LÄN</t>
        </is>
      </c>
      <c r="G1750" t="inlineStr">
        <is>
          <t>LJUNGBY</t>
        </is>
      </c>
      <c r="I1750" t="n">
        <v>0.4</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6580-2026</t>
        </is>
      </c>
      <c r="B1751" t="inlineStr">
        <is>
          <t>avverkningsanmälan</t>
        </is>
      </c>
      <c r="C1751" t="inlineStr">
        <is>
          <t>Föryngringsavverkning</t>
        </is>
      </c>
      <c r="D1751" s="1" t="n">
        <v>46056</v>
      </c>
      <c r="E1751" s="1" t="n">
        <v>46316</v>
      </c>
      <c r="F1751" t="inlineStr">
        <is>
          <t>KRONOBERGS LÄN</t>
        </is>
      </c>
      <c r="G1751" t="inlineStr">
        <is>
          <t>VÄXJÖ</t>
        </is>
      </c>
      <c r="I1751" t="n">
        <v>0.6</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10453-2024</t>
        </is>
      </c>
      <c r="B1752" t="inlineStr">
        <is>
          <t>avverkningsanmälan</t>
        </is>
      </c>
      <c r="C1752" t="inlineStr">
        <is>
          <t>Föryngringsavverkning</t>
        </is>
      </c>
      <c r="D1752" s="1" t="n">
        <v>45366</v>
      </c>
      <c r="E1752" s="1" t="n">
        <v>46316</v>
      </c>
      <c r="F1752" t="inlineStr">
        <is>
          <t>KRONOBERGS LÄN</t>
        </is>
      </c>
      <c r="G1752" t="inlineStr">
        <is>
          <t>TINGSRYD</t>
        </is>
      </c>
      <c r="I1752" t="n">
        <v>0.8</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6583-2026</t>
        </is>
      </c>
      <c r="B1753" t="inlineStr">
        <is>
          <t>avverkningsanmälan</t>
        </is>
      </c>
      <c r="C1753" t="inlineStr">
        <is>
          <t>Föryngringsavverkning</t>
        </is>
      </c>
      <c r="D1753" s="1" t="n">
        <v>46056</v>
      </c>
      <c r="E1753" s="1" t="n">
        <v>46316</v>
      </c>
      <c r="F1753" t="inlineStr">
        <is>
          <t>KRONOBERGS LÄN</t>
        </is>
      </c>
      <c r="G1753" t="inlineStr">
        <is>
          <t>VÄXJÖ</t>
        </is>
      </c>
      <c r="I1753" t="n">
        <v>0.9</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6942-2026</t>
        </is>
      </c>
      <c r="B1754" t="inlineStr">
        <is>
          <t>avverkningsanmälan</t>
        </is>
      </c>
      <c r="C1754" t="inlineStr">
        <is>
          <t>Föryngringsavverkning</t>
        </is>
      </c>
      <c r="D1754" s="1" t="n">
        <v>46057</v>
      </c>
      <c r="E1754" s="1" t="n">
        <v>46316</v>
      </c>
      <c r="F1754" t="inlineStr">
        <is>
          <t>KRONOBERGS LÄN</t>
        </is>
      </c>
      <c r="G1754" t="inlineStr">
        <is>
          <t>VÄXJÖ</t>
        </is>
      </c>
      <c r="I1754" t="n">
        <v>2</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795-2022</t>
        </is>
      </c>
      <c r="B1755" t="inlineStr">
        <is>
          <t>avverkningsanmälan</t>
        </is>
      </c>
      <c r="C1755" t="inlineStr">
        <is>
          <t>Föryngringsavverkning</t>
        </is>
      </c>
      <c r="D1755" s="1" t="n">
        <v>44566</v>
      </c>
      <c r="E1755" s="1" t="n">
        <v>46316</v>
      </c>
      <c r="F1755" t="inlineStr">
        <is>
          <t>KRONOBERGS LÄN</t>
        </is>
      </c>
      <c r="G1755" t="inlineStr">
        <is>
          <t>UPPVIDINGE</t>
        </is>
      </c>
      <c r="I1755" t="n">
        <v>3.3</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42489-2023</t>
        </is>
      </c>
      <c r="B1756" t="inlineStr">
        <is>
          <t>avverkningsanmälan</t>
        </is>
      </c>
      <c r="C1756" t="inlineStr">
        <is>
          <t>Föryngringsavverkning</t>
        </is>
      </c>
      <c r="D1756" s="1" t="n">
        <v>45180</v>
      </c>
      <c r="E1756" s="1" t="n">
        <v>46316</v>
      </c>
      <c r="F1756" t="inlineStr">
        <is>
          <t>KRONOBERGS LÄN</t>
        </is>
      </c>
      <c r="G1756" t="inlineStr">
        <is>
          <t>ÄLMHULT</t>
        </is>
      </c>
      <c r="I1756" t="n">
        <v>1.6</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7409-2023</t>
        </is>
      </c>
      <c r="B1757" t="inlineStr">
        <is>
          <t>avverkningsanmälan</t>
        </is>
      </c>
      <c r="C1757" t="inlineStr">
        <is>
          <t>Föryngringsavverkning</t>
        </is>
      </c>
      <c r="D1757" s="1" t="n">
        <v>44971</v>
      </c>
      <c r="E1757" s="1" t="n">
        <v>46316</v>
      </c>
      <c r="F1757" t="inlineStr">
        <is>
          <t>KRONOBERGS LÄN</t>
        </is>
      </c>
      <c r="G1757" t="inlineStr">
        <is>
          <t>TINGSRYD</t>
        </is>
      </c>
      <c r="I1757" t="n">
        <v>1.8</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7251-2026</t>
        </is>
      </c>
      <c r="B1758" t="inlineStr">
        <is>
          <t>avverkningsanmälan</t>
        </is>
      </c>
      <c r="C1758" t="inlineStr">
        <is>
          <t>Föryngringsavverkning</t>
        </is>
      </c>
      <c r="D1758" s="1" t="n">
        <v>46058</v>
      </c>
      <c r="E1758" s="1" t="n">
        <v>46316</v>
      </c>
      <c r="F1758" t="inlineStr">
        <is>
          <t>KRONOBERGS LÄN</t>
        </is>
      </c>
      <c r="G1758" t="inlineStr">
        <is>
          <t>UPPVIDINGE</t>
        </is>
      </c>
      <c r="I1758" t="n">
        <v>2.4</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46234-2023</t>
        </is>
      </c>
      <c r="B1759" t="inlineStr">
        <is>
          <t>avverkningsanmälan</t>
        </is>
      </c>
      <c r="C1759" t="inlineStr">
        <is>
          <t>Föryngringsavverkning</t>
        </is>
      </c>
      <c r="D1759" s="1" t="n">
        <v>45196</v>
      </c>
      <c r="E1759" s="1" t="n">
        <v>46316</v>
      </c>
      <c r="F1759" t="inlineStr">
        <is>
          <t>KRONOBERGS LÄN</t>
        </is>
      </c>
      <c r="G1759" t="inlineStr">
        <is>
          <t>ALVESTA</t>
        </is>
      </c>
      <c r="I1759" t="n">
        <v>2</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24886-2024</t>
        </is>
      </c>
      <c r="B1760" t="inlineStr">
        <is>
          <t>avverkningsanmälan</t>
        </is>
      </c>
      <c r="C1760" t="inlineStr">
        <is>
          <t>Föryngringsavverkning</t>
        </is>
      </c>
      <c r="D1760" s="1" t="n">
        <v>45461</v>
      </c>
      <c r="E1760" s="1" t="n">
        <v>46316</v>
      </c>
      <c r="F1760" t="inlineStr">
        <is>
          <t>KRONOBERGS LÄN</t>
        </is>
      </c>
      <c r="G1760" t="inlineStr">
        <is>
          <t>TINGSRYD</t>
        </is>
      </c>
      <c r="I1760" t="n">
        <v>1.7</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18001-2023</t>
        </is>
      </c>
      <c r="B1761" t="inlineStr">
        <is>
          <t>avverkningsanmälan</t>
        </is>
      </c>
      <c r="C1761" t="inlineStr">
        <is>
          <t>Föryngringsavverkning</t>
        </is>
      </c>
      <c r="D1761" s="1" t="n">
        <v>45040</v>
      </c>
      <c r="E1761" s="1" t="n">
        <v>46316</v>
      </c>
      <c r="F1761" t="inlineStr">
        <is>
          <t>KRONOBERGS LÄN</t>
        </is>
      </c>
      <c r="G1761" t="inlineStr">
        <is>
          <t>ALVESTA</t>
        </is>
      </c>
      <c r="I1761" t="n">
        <v>0.6</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50314-2023</t>
        </is>
      </c>
      <c r="B1762" t="inlineStr">
        <is>
          <t>avverkningsanmälan</t>
        </is>
      </c>
      <c r="C1762" t="inlineStr">
        <is>
          <t>Föryngringsavverkning</t>
        </is>
      </c>
      <c r="D1762" s="1" t="n">
        <v>45216</v>
      </c>
      <c r="E1762" s="1" t="n">
        <v>46316</v>
      </c>
      <c r="F1762" t="inlineStr">
        <is>
          <t>KRONOBERGS LÄN</t>
        </is>
      </c>
      <c r="G1762" t="inlineStr">
        <is>
          <t>LJUNGBY</t>
        </is>
      </c>
      <c r="I1762" t="n">
        <v>7.8</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5760-2023</t>
        </is>
      </c>
      <c r="B1763" t="inlineStr">
        <is>
          <t>avverkningsanmälan</t>
        </is>
      </c>
      <c r="C1763" t="inlineStr">
        <is>
          <t>Föryngringsavverkning</t>
        </is>
      </c>
      <c r="D1763" s="1" t="n">
        <v>44963</v>
      </c>
      <c r="E1763" s="1" t="n">
        <v>46316</v>
      </c>
      <c r="F1763" t="inlineStr">
        <is>
          <t>KRONOBERGS LÄN</t>
        </is>
      </c>
      <c r="G1763" t="inlineStr">
        <is>
          <t>VÄXJÖ</t>
        </is>
      </c>
      <c r="I1763" t="n">
        <v>0.5</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5761-2023</t>
        </is>
      </c>
      <c r="B1764" t="inlineStr">
        <is>
          <t>avverkningsanmälan</t>
        </is>
      </c>
      <c r="C1764" t="inlineStr">
        <is>
          <t>Föryngringsavverkning</t>
        </is>
      </c>
      <c r="D1764" s="1" t="n">
        <v>44963</v>
      </c>
      <c r="E1764" s="1" t="n">
        <v>46316</v>
      </c>
      <c r="F1764" t="inlineStr">
        <is>
          <t>KRONOBERGS LÄN</t>
        </is>
      </c>
      <c r="G1764" t="inlineStr">
        <is>
          <t>VÄXJÖ</t>
        </is>
      </c>
      <c r="I1764" t="n">
        <v>0.6</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5764-2023</t>
        </is>
      </c>
      <c r="B1765" t="inlineStr">
        <is>
          <t>avverkningsanmälan</t>
        </is>
      </c>
      <c r="C1765" t="inlineStr">
        <is>
          <t>Föryngringsavverkning</t>
        </is>
      </c>
      <c r="D1765" s="1" t="n">
        <v>44963</v>
      </c>
      <c r="E1765" s="1" t="n">
        <v>46316</v>
      </c>
      <c r="F1765" t="inlineStr">
        <is>
          <t>KRONOBERGS LÄN</t>
        </is>
      </c>
      <c r="G1765" t="inlineStr">
        <is>
          <t>VÄXJÖ</t>
        </is>
      </c>
      <c r="I1765" t="n">
        <v>3.2</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46499-2025</t>
        </is>
      </c>
      <c r="B1766" t="inlineStr">
        <is>
          <t>avverkningsanmälan</t>
        </is>
      </c>
      <c r="C1766" t="inlineStr">
        <is>
          <t>Föryngringsavverkning</t>
        </is>
      </c>
      <c r="D1766" s="1" t="n">
        <v>45925</v>
      </c>
      <c r="E1766" s="1" t="n">
        <v>46316</v>
      </c>
      <c r="F1766" t="inlineStr">
        <is>
          <t>KRONOBERGS LÄN</t>
        </is>
      </c>
      <c r="G1766" t="inlineStr">
        <is>
          <t>LJUNGBY</t>
        </is>
      </c>
      <c r="I1766" t="n">
        <v>3</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46501-2025</t>
        </is>
      </c>
      <c r="B1767" t="inlineStr">
        <is>
          <t>avverkningsanmälan</t>
        </is>
      </c>
      <c r="C1767" t="inlineStr">
        <is>
          <t>Föryngringsavverkning</t>
        </is>
      </c>
      <c r="D1767" s="1" t="n">
        <v>45925</v>
      </c>
      <c r="E1767" s="1" t="n">
        <v>46316</v>
      </c>
      <c r="F1767" t="inlineStr">
        <is>
          <t>KRONOBERGS LÄN</t>
        </is>
      </c>
      <c r="G1767" t="inlineStr">
        <is>
          <t>LJUNGBY</t>
        </is>
      </c>
      <c r="I1767" t="n">
        <v>1.1</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46513-2025</t>
        </is>
      </c>
      <c r="B1768" t="inlineStr">
        <is>
          <t>avverkningsanmälan</t>
        </is>
      </c>
      <c r="C1768" t="inlineStr">
        <is>
          <t>Föryngringsavverkning</t>
        </is>
      </c>
      <c r="D1768" s="1" t="n">
        <v>45926</v>
      </c>
      <c r="E1768" s="1" t="n">
        <v>46316</v>
      </c>
      <c r="F1768" t="inlineStr">
        <is>
          <t>KRONOBERGS LÄN</t>
        </is>
      </c>
      <c r="G1768" t="inlineStr">
        <is>
          <t>ALVESTA</t>
        </is>
      </c>
      <c r="I1768" t="n">
        <v>0.5</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7391-2026</t>
        </is>
      </c>
      <c r="B1769" t="inlineStr">
        <is>
          <t>avverkningsanmälan</t>
        </is>
      </c>
      <c r="C1769" t="inlineStr">
        <is>
          <t>Föryngringsavverkning</t>
        </is>
      </c>
      <c r="D1769" s="1" t="n">
        <v>46059</v>
      </c>
      <c r="E1769" s="1" t="n">
        <v>46316</v>
      </c>
      <c r="F1769" t="inlineStr">
        <is>
          <t>KRONOBERGS LÄN</t>
        </is>
      </c>
      <c r="G1769" t="inlineStr">
        <is>
          <t>VÄXJÖ</t>
        </is>
      </c>
      <c r="I1769" t="n">
        <v>2.2</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44093-2022</t>
        </is>
      </c>
      <c r="B1770" t="inlineStr">
        <is>
          <t>avverkningsanmälan</t>
        </is>
      </c>
      <c r="C1770" t="inlineStr">
        <is>
          <t>Föryngringsavverkning</t>
        </is>
      </c>
      <c r="D1770" s="1" t="n">
        <v>44839</v>
      </c>
      <c r="E1770" s="1" t="n">
        <v>46316</v>
      </c>
      <c r="F1770" t="inlineStr">
        <is>
          <t>KRONOBERGS LÄN</t>
        </is>
      </c>
      <c r="G1770" t="inlineStr">
        <is>
          <t>ALVESTA</t>
        </is>
      </c>
      <c r="I1770" t="n">
        <v>1.4</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14808-2023</t>
        </is>
      </c>
      <c r="B1771" t="inlineStr">
        <is>
          <t>avverkningsanmälan</t>
        </is>
      </c>
      <c r="C1771" t="inlineStr">
        <is>
          <t>Föryngringsavverkning</t>
        </is>
      </c>
      <c r="D1771" s="1" t="n">
        <v>45014</v>
      </c>
      <c r="E1771" s="1" t="n">
        <v>46316</v>
      </c>
      <c r="F1771" t="inlineStr">
        <is>
          <t>KRONOBERGS LÄN</t>
        </is>
      </c>
      <c r="G1771" t="inlineStr">
        <is>
          <t>TINGSRYD</t>
        </is>
      </c>
      <c r="I1771" t="n">
        <v>2.3</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7403-2026</t>
        </is>
      </c>
      <c r="B1772" t="inlineStr">
        <is>
          <t>avverkningsanmälan</t>
        </is>
      </c>
      <c r="C1772" t="inlineStr">
        <is>
          <t>Föryngringsavverkning</t>
        </is>
      </c>
      <c r="D1772" s="1" t="n">
        <v>46059</v>
      </c>
      <c r="E1772" s="1" t="n">
        <v>46316</v>
      </c>
      <c r="F1772" t="inlineStr">
        <is>
          <t>KRONOBERGS LÄN</t>
        </is>
      </c>
      <c r="G1772" t="inlineStr">
        <is>
          <t>LJUNGBY</t>
        </is>
      </c>
      <c r="I1772" t="n">
        <v>2.7</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50503-2022</t>
        </is>
      </c>
      <c r="B1773" t="inlineStr">
        <is>
          <t>avverkningsanmälan</t>
        </is>
      </c>
      <c r="C1773" t="inlineStr">
        <is>
          <t>Föryngringsavverkning</t>
        </is>
      </c>
      <c r="D1773" s="1" t="n">
        <v>44866</v>
      </c>
      <c r="E1773" s="1" t="n">
        <v>46316</v>
      </c>
      <c r="F1773" t="inlineStr">
        <is>
          <t>KRONOBERGS LÄN</t>
        </is>
      </c>
      <c r="G1773" t="inlineStr">
        <is>
          <t>VÄXJÖ</t>
        </is>
      </c>
      <c r="I1773" t="n">
        <v>2.2</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7406-2026</t>
        </is>
      </c>
      <c r="B1774" t="inlineStr">
        <is>
          <t>avverkningsanmälan</t>
        </is>
      </c>
      <c r="C1774" t="inlineStr">
        <is>
          <t>Föryngringsavverkning</t>
        </is>
      </c>
      <c r="D1774" s="1" t="n">
        <v>46059</v>
      </c>
      <c r="E1774" s="1" t="n">
        <v>46316</v>
      </c>
      <c r="F1774" t="inlineStr">
        <is>
          <t>KRONOBERGS LÄN</t>
        </is>
      </c>
      <c r="G1774" t="inlineStr">
        <is>
          <t>VÄXJÖ</t>
        </is>
      </c>
      <c r="I1774" t="n">
        <v>0.7</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7395-2026</t>
        </is>
      </c>
      <c r="B1775" t="inlineStr">
        <is>
          <t>avverkningsanmälan</t>
        </is>
      </c>
      <c r="C1775" t="inlineStr">
        <is>
          <t>Föryngringsavverkning</t>
        </is>
      </c>
      <c r="D1775" s="1" t="n">
        <v>46059</v>
      </c>
      <c r="E1775" s="1" t="n">
        <v>46316</v>
      </c>
      <c r="F1775" t="inlineStr">
        <is>
          <t>KRONOBERGS LÄN</t>
        </is>
      </c>
      <c r="G1775" t="inlineStr">
        <is>
          <t>VÄXJÖ</t>
        </is>
      </c>
      <c r="I1775" t="n">
        <v>0.9</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46500-2025</t>
        </is>
      </c>
      <c r="B1776" t="inlineStr">
        <is>
          <t>avverkningsanmälan</t>
        </is>
      </c>
      <c r="C1776" t="inlineStr">
        <is>
          <t>Föryngringsavverkning</t>
        </is>
      </c>
      <c r="D1776" s="1" t="n">
        <v>45925</v>
      </c>
      <c r="E1776" s="1" t="n">
        <v>46316</v>
      </c>
      <c r="F1776" t="inlineStr">
        <is>
          <t>KRONOBERGS LÄN</t>
        </is>
      </c>
      <c r="G1776" t="inlineStr">
        <is>
          <t>LJUNGBY</t>
        </is>
      </c>
      <c r="I1776" t="n">
        <v>1.4</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46502-2025</t>
        </is>
      </c>
      <c r="B1777" t="inlineStr">
        <is>
          <t>avverkningsanmälan</t>
        </is>
      </c>
      <c r="C1777" t="inlineStr">
        <is>
          <t>Föryngringsavverkning</t>
        </is>
      </c>
      <c r="D1777" s="1" t="n">
        <v>45925</v>
      </c>
      <c r="E1777" s="1" t="n">
        <v>46316</v>
      </c>
      <c r="F1777" t="inlineStr">
        <is>
          <t>KRONOBERGS LÄN</t>
        </is>
      </c>
      <c r="G1777" t="inlineStr">
        <is>
          <t>LJUNGBY</t>
        </is>
      </c>
      <c r="I1777" t="n">
        <v>0.5</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46509-2025</t>
        </is>
      </c>
      <c r="B1778" t="inlineStr">
        <is>
          <t>avverkningsanmälan</t>
        </is>
      </c>
      <c r="C1778" t="inlineStr">
        <is>
          <t>Föryngringsavverkning</t>
        </is>
      </c>
      <c r="D1778" s="1" t="n">
        <v>45925</v>
      </c>
      <c r="E1778" s="1" t="n">
        <v>46316</v>
      </c>
      <c r="F1778" t="inlineStr">
        <is>
          <t>KRONOBERGS LÄN</t>
        </is>
      </c>
      <c r="G1778" t="inlineStr">
        <is>
          <t>LJUNGBY</t>
        </is>
      </c>
      <c r="I1778" t="n">
        <v>4.1</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13126-2024</t>
        </is>
      </c>
      <c r="B1779" t="inlineStr">
        <is>
          <t>avverkningsanmälan</t>
        </is>
      </c>
      <c r="C1779" t="inlineStr">
        <is>
          <t>Föryngringsavverkning</t>
        </is>
      </c>
      <c r="D1779" s="1" t="n">
        <v>45385</v>
      </c>
      <c r="E1779" s="1" t="n">
        <v>46316</v>
      </c>
      <c r="F1779" t="inlineStr">
        <is>
          <t>KRONOBERGS LÄN</t>
        </is>
      </c>
      <c r="G1779" t="inlineStr">
        <is>
          <t>ALVESTA</t>
        </is>
      </c>
      <c r="I1779" t="n">
        <v>3.9</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7401-2026</t>
        </is>
      </c>
      <c r="B1780" t="inlineStr">
        <is>
          <t>avverkningsanmälan</t>
        </is>
      </c>
      <c r="C1780" t="inlineStr">
        <is>
          <t>Föryngringsavverkning</t>
        </is>
      </c>
      <c r="D1780" s="1" t="n">
        <v>46059</v>
      </c>
      <c r="E1780" s="1" t="n">
        <v>46316</v>
      </c>
      <c r="F1780" t="inlineStr">
        <is>
          <t>KRONOBERGS LÄN</t>
        </is>
      </c>
      <c r="G1780" t="inlineStr">
        <is>
          <t>LJUNGBY</t>
        </is>
      </c>
      <c r="I1780" t="n">
        <v>0.6</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46555-2025</t>
        </is>
      </c>
      <c r="B1781" t="inlineStr">
        <is>
          <t>avverkningsanmälan</t>
        </is>
      </c>
      <c r="C1781" t="inlineStr">
        <is>
          <t>Föryngringsavverkning</t>
        </is>
      </c>
      <c r="D1781" s="1" t="n">
        <v>45926</v>
      </c>
      <c r="E1781" s="1" t="n">
        <v>46316</v>
      </c>
      <c r="F1781" t="inlineStr">
        <is>
          <t>KRONOBERGS LÄN</t>
        </is>
      </c>
      <c r="G1781" t="inlineStr">
        <is>
          <t>ALVESTA</t>
        </is>
      </c>
      <c r="I1781" t="n">
        <v>0.6</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47281-2024</t>
        </is>
      </c>
      <c r="B1782" t="inlineStr">
        <is>
          <t>avverkningsanmälan</t>
        </is>
      </c>
      <c r="C1782" t="inlineStr">
        <is>
          <t>Föryngringsavverkning</t>
        </is>
      </c>
      <c r="D1782" s="1" t="n">
        <v>45586</v>
      </c>
      <c r="E1782" s="1" t="n">
        <v>46316</v>
      </c>
      <c r="F1782" t="inlineStr">
        <is>
          <t>KRONOBERGS LÄN</t>
        </is>
      </c>
      <c r="G1782" t="inlineStr">
        <is>
          <t>ÄLMHULT</t>
        </is>
      </c>
      <c r="I1782" t="n">
        <v>0.4</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7142-2026</t>
        </is>
      </c>
      <c r="B1783" t="inlineStr">
        <is>
          <t>avverkningsanmälan</t>
        </is>
      </c>
      <c r="C1783" t="inlineStr">
        <is>
          <t>Föryngringsavverkning</t>
        </is>
      </c>
      <c r="D1783" s="1" t="n">
        <v>46058</v>
      </c>
      <c r="E1783" s="1" t="n">
        <v>46316</v>
      </c>
      <c r="F1783" t="inlineStr">
        <is>
          <t>KRONOBERGS LÄN</t>
        </is>
      </c>
      <c r="G1783" t="inlineStr">
        <is>
          <t>UPPVIDINGE</t>
        </is>
      </c>
      <c r="H1783" t="inlineStr">
        <is>
          <t>Sveaskog</t>
        </is>
      </c>
      <c r="I1783" t="n">
        <v>0.5</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60600-2023</t>
        </is>
      </c>
      <c r="B1784" t="inlineStr">
        <is>
          <t>avverkningsanmälan</t>
        </is>
      </c>
      <c r="C1784" t="inlineStr">
        <is>
          <t>Föryngringsavverkning</t>
        </is>
      </c>
      <c r="D1784" s="1" t="n">
        <v>45260</v>
      </c>
      <c r="E1784" s="1" t="n">
        <v>46316</v>
      </c>
      <c r="F1784" t="inlineStr">
        <is>
          <t>KRONOBERGS LÄN</t>
        </is>
      </c>
      <c r="G1784" t="inlineStr">
        <is>
          <t>LJUNGBY</t>
        </is>
      </c>
      <c r="I1784" t="n">
        <v>0.8</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47002-2025</t>
        </is>
      </c>
      <c r="B1785" t="inlineStr">
        <is>
          <t>avverkningsanmälan</t>
        </is>
      </c>
      <c r="C1785" t="inlineStr">
        <is>
          <t>Föryngringsavverkning</t>
        </is>
      </c>
      <c r="D1785" s="1" t="n">
        <v>45929</v>
      </c>
      <c r="E1785" s="1" t="n">
        <v>46316</v>
      </c>
      <c r="F1785" t="inlineStr">
        <is>
          <t>KRONOBERGS LÄN</t>
        </is>
      </c>
      <c r="G1785" t="inlineStr">
        <is>
          <t>ÄLMHULT</t>
        </is>
      </c>
      <c r="I1785" t="n">
        <v>2</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7679-2026</t>
        </is>
      </c>
      <c r="B1786" t="inlineStr">
        <is>
          <t>avverkningsanmälan</t>
        </is>
      </c>
      <c r="C1786" t="inlineStr">
        <is>
          <t>Föryngringsavverkning</t>
        </is>
      </c>
      <c r="D1786" s="1" t="n">
        <v>46059</v>
      </c>
      <c r="E1786" s="1" t="n">
        <v>46316</v>
      </c>
      <c r="F1786" t="inlineStr">
        <is>
          <t>KRONOBERGS LÄN</t>
        </is>
      </c>
      <c r="G1786" t="inlineStr">
        <is>
          <t>LJUNGBY</t>
        </is>
      </c>
      <c r="H1786" t="inlineStr">
        <is>
          <t>Kyrkan</t>
        </is>
      </c>
      <c r="I1786" t="n">
        <v>2.6</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7156-2026</t>
        </is>
      </c>
      <c r="B1787" t="inlineStr">
        <is>
          <t>avverkningsanmälan</t>
        </is>
      </c>
      <c r="C1787" t="inlineStr">
        <is>
          <t>Föryngringsavverkning</t>
        </is>
      </c>
      <c r="D1787" s="1" t="n">
        <v>46058</v>
      </c>
      <c r="E1787" s="1" t="n">
        <v>46316</v>
      </c>
      <c r="F1787" t="inlineStr">
        <is>
          <t>KRONOBERGS LÄN</t>
        </is>
      </c>
      <c r="G1787" t="inlineStr">
        <is>
          <t>ALVESTA</t>
        </is>
      </c>
      <c r="I1787" t="n">
        <v>9.6</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47110-2025</t>
        </is>
      </c>
      <c r="B1788" t="inlineStr">
        <is>
          <t>avverkningsanmälan</t>
        </is>
      </c>
      <c r="C1788" t="inlineStr">
        <is>
          <t>Föryngringsavverkning</t>
        </is>
      </c>
      <c r="D1788" s="1" t="n">
        <v>45929</v>
      </c>
      <c r="E1788" s="1" t="n">
        <v>46316</v>
      </c>
      <c r="F1788" t="inlineStr">
        <is>
          <t>KRONOBERGS LÄN</t>
        </is>
      </c>
      <c r="G1788" t="inlineStr">
        <is>
          <t>ALVESTA</t>
        </is>
      </c>
      <c r="H1788" t="inlineStr">
        <is>
          <t>Kommuner</t>
        </is>
      </c>
      <c r="I1788" t="n">
        <v>1.6</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38921-2024</t>
        </is>
      </c>
      <c r="B1789" t="inlineStr">
        <is>
          <t>avverkningsanmälan</t>
        </is>
      </c>
      <c r="C1789" t="inlineStr">
        <is>
          <t>Föryngringsavverkning</t>
        </is>
      </c>
      <c r="D1789" s="1" t="n">
        <v>45547</v>
      </c>
      <c r="E1789" s="1" t="n">
        <v>46316</v>
      </c>
      <c r="F1789" t="inlineStr">
        <is>
          <t>KRONOBERGS LÄN</t>
        </is>
      </c>
      <c r="G1789" t="inlineStr">
        <is>
          <t>MARKARYD</t>
        </is>
      </c>
      <c r="H1789" t="inlineStr">
        <is>
          <t>Kyrkan</t>
        </is>
      </c>
      <c r="I1789" t="n">
        <v>0.9</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7658-2026</t>
        </is>
      </c>
      <c r="B1790" t="inlineStr">
        <is>
          <t>avverkningsanmälan</t>
        </is>
      </c>
      <c r="C1790" t="inlineStr">
        <is>
          <t>Föryngringsavverkning</t>
        </is>
      </c>
      <c r="D1790" s="1" t="n">
        <v>46062</v>
      </c>
      <c r="E1790" s="1" t="n">
        <v>46316</v>
      </c>
      <c r="F1790" t="inlineStr">
        <is>
          <t>KRONOBERGS LÄN</t>
        </is>
      </c>
      <c r="G1790" t="inlineStr">
        <is>
          <t>LJUNGBY</t>
        </is>
      </c>
      <c r="I1790" t="n">
        <v>1</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7957-2023</t>
        </is>
      </c>
      <c r="B1791" t="inlineStr">
        <is>
          <t>avverkningsanmälan</t>
        </is>
      </c>
      <c r="C1791" t="inlineStr">
        <is>
          <t>Föryngringsavverkning</t>
        </is>
      </c>
      <c r="D1791" s="1" t="n">
        <v>44973</v>
      </c>
      <c r="E1791" s="1" t="n">
        <v>46316</v>
      </c>
      <c r="F1791" t="inlineStr">
        <is>
          <t>KRONOBERGS LÄN</t>
        </is>
      </c>
      <c r="G1791" t="inlineStr">
        <is>
          <t>LESSEBO</t>
        </is>
      </c>
      <c r="I1791" t="n">
        <v>0.5</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24573-2024</t>
        </is>
      </c>
      <c r="B1792" t="inlineStr">
        <is>
          <t>avverkningsanmälan</t>
        </is>
      </c>
      <c r="C1792" t="inlineStr">
        <is>
          <t>Föryngringsavverkning</t>
        </is>
      </c>
      <c r="D1792" s="1" t="n">
        <v>45460</v>
      </c>
      <c r="E1792" s="1" t="n">
        <v>46316</v>
      </c>
      <c r="F1792" t="inlineStr">
        <is>
          <t>KRONOBERGS LÄN</t>
        </is>
      </c>
      <c r="G1792" t="inlineStr">
        <is>
          <t>ALVESTA</t>
        </is>
      </c>
      <c r="I1792" t="n">
        <v>1.3</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7832-2026</t>
        </is>
      </c>
      <c r="B1793" t="inlineStr">
        <is>
          <t>avverkningsanmälan</t>
        </is>
      </c>
      <c r="C1793" t="inlineStr">
        <is>
          <t>Föryngringsavverkning</t>
        </is>
      </c>
      <c r="D1793" s="1" t="n">
        <v>46062</v>
      </c>
      <c r="E1793" s="1" t="n">
        <v>46316</v>
      </c>
      <c r="F1793" t="inlineStr">
        <is>
          <t>KRONOBERGS LÄN</t>
        </is>
      </c>
      <c r="G1793" t="inlineStr">
        <is>
          <t>MARKARYD</t>
        </is>
      </c>
      <c r="I1793" t="n">
        <v>1.2</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8046-2026</t>
        </is>
      </c>
      <c r="B1794" t="inlineStr">
        <is>
          <t>avverkningsanmälan</t>
        </is>
      </c>
      <c r="C1794" t="inlineStr">
        <is>
          <t>Föryngringsavverkning</t>
        </is>
      </c>
      <c r="D1794" s="1" t="n">
        <v>46063</v>
      </c>
      <c r="E1794" s="1" t="n">
        <v>46316</v>
      </c>
      <c r="F1794" t="inlineStr">
        <is>
          <t>KRONOBERGS LÄN</t>
        </is>
      </c>
      <c r="G1794" t="inlineStr">
        <is>
          <t>LJUNGBY</t>
        </is>
      </c>
      <c r="I1794" t="n">
        <v>1.5</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8065-2026</t>
        </is>
      </c>
      <c r="B1795" t="inlineStr">
        <is>
          <t>avverkningsanmälan</t>
        </is>
      </c>
      <c r="C1795" t="inlineStr">
        <is>
          <t>Föryngringsavverkning</t>
        </is>
      </c>
      <c r="D1795" s="1" t="n">
        <v>46063</v>
      </c>
      <c r="E1795" s="1" t="n">
        <v>46316</v>
      </c>
      <c r="F1795" t="inlineStr">
        <is>
          <t>KRONOBERGS LÄN</t>
        </is>
      </c>
      <c r="G1795" t="inlineStr">
        <is>
          <t>LJUNGBY</t>
        </is>
      </c>
      <c r="I1795" t="n">
        <v>3</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7993-2026</t>
        </is>
      </c>
      <c r="B1796" t="inlineStr">
        <is>
          <t>avverkningsanmälan</t>
        </is>
      </c>
      <c r="C1796" t="inlineStr">
        <is>
          <t>Föryngringsavverkning</t>
        </is>
      </c>
      <c r="D1796" s="1" t="n">
        <v>46063</v>
      </c>
      <c r="E1796" s="1" t="n">
        <v>46316</v>
      </c>
      <c r="F1796" t="inlineStr">
        <is>
          <t>KRONOBERGS LÄN</t>
        </is>
      </c>
      <c r="G1796" t="inlineStr">
        <is>
          <t>ALVESTA</t>
        </is>
      </c>
      <c r="I1796" t="n">
        <v>1.6</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7887-2026</t>
        </is>
      </c>
      <c r="B1797" t="inlineStr">
        <is>
          <t>avverkningsanmälan</t>
        </is>
      </c>
      <c r="C1797" t="inlineStr">
        <is>
          <t>Föryngringsavverkning</t>
        </is>
      </c>
      <c r="D1797" s="1" t="n">
        <v>46063</v>
      </c>
      <c r="E1797" s="1" t="n">
        <v>46316</v>
      </c>
      <c r="F1797" t="inlineStr">
        <is>
          <t>KRONOBERGS LÄN</t>
        </is>
      </c>
      <c r="G1797" t="inlineStr">
        <is>
          <t>MARKARYD</t>
        </is>
      </c>
      <c r="I1797" t="n">
        <v>16.3</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8101-2026</t>
        </is>
      </c>
      <c r="B1798" t="inlineStr">
        <is>
          <t>avverkningsanmälan</t>
        </is>
      </c>
      <c r="C1798" t="inlineStr">
        <is>
          <t>Föryngringsavverkning</t>
        </is>
      </c>
      <c r="D1798" s="1" t="n">
        <v>46063</v>
      </c>
      <c r="E1798" s="1" t="n">
        <v>46316</v>
      </c>
      <c r="F1798" t="inlineStr">
        <is>
          <t>KRONOBERGS LÄN</t>
        </is>
      </c>
      <c r="G1798" t="inlineStr">
        <is>
          <t>TINGSRYD</t>
        </is>
      </c>
      <c r="I1798" t="n">
        <v>3</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8102-2026</t>
        </is>
      </c>
      <c r="B1799" t="inlineStr">
        <is>
          <t>avverkningsanmälan</t>
        </is>
      </c>
      <c r="C1799" t="inlineStr">
        <is>
          <t>Avverkning för annat ändamål</t>
        </is>
      </c>
      <c r="D1799" s="1" t="n">
        <v>46063</v>
      </c>
      <c r="E1799" s="1" t="n">
        <v>46316</v>
      </c>
      <c r="F1799" t="inlineStr">
        <is>
          <t>KRONOBERGS LÄN</t>
        </is>
      </c>
      <c r="G1799" t="inlineStr">
        <is>
          <t>ÄLMHULT</t>
        </is>
      </c>
      <c r="I1799" t="n">
        <v>1.2</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47051-2025</t>
        </is>
      </c>
      <c r="B1800" t="inlineStr">
        <is>
          <t>avverkningsanmälan</t>
        </is>
      </c>
      <c r="C1800" t="inlineStr">
        <is>
          <t>Föryngringsavverkning</t>
        </is>
      </c>
      <c r="D1800" s="1" t="n">
        <v>45929</v>
      </c>
      <c r="E1800" s="1" t="n">
        <v>46316</v>
      </c>
      <c r="F1800" t="inlineStr">
        <is>
          <t>KRONOBERGS LÄN</t>
        </is>
      </c>
      <c r="G1800" t="inlineStr">
        <is>
          <t>ALVESTA</t>
        </is>
      </c>
      <c r="H1800" t="inlineStr">
        <is>
          <t>Kommuner</t>
        </is>
      </c>
      <c r="I1800" t="n">
        <v>0.6</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57988-2022</t>
        </is>
      </c>
      <c r="B1801" t="inlineStr">
        <is>
          <t>avverkningsanmälan</t>
        </is>
      </c>
      <c r="C1801" t="inlineStr">
        <is>
          <t>Föryngringsavverkning</t>
        </is>
      </c>
      <c r="D1801" s="1" t="n">
        <v>44900</v>
      </c>
      <c r="E1801" s="1" t="n">
        <v>46316</v>
      </c>
      <c r="F1801" t="inlineStr">
        <is>
          <t>KRONOBERGS LÄN</t>
        </is>
      </c>
      <c r="G1801" t="inlineStr">
        <is>
          <t>TINGSRYD</t>
        </is>
      </c>
      <c r="I1801" t="n">
        <v>2.4</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8078-2026</t>
        </is>
      </c>
      <c r="B1802" t="inlineStr">
        <is>
          <t>avverkningsanmälan</t>
        </is>
      </c>
      <c r="C1802" t="inlineStr">
        <is>
          <t>Föryngringsavverkning</t>
        </is>
      </c>
      <c r="D1802" s="1" t="n">
        <v>46063</v>
      </c>
      <c r="E1802" s="1" t="n">
        <v>46316</v>
      </c>
      <c r="F1802" t="inlineStr">
        <is>
          <t>KRONOBERGS LÄN</t>
        </is>
      </c>
      <c r="G1802" t="inlineStr">
        <is>
          <t>LJUNGBY</t>
        </is>
      </c>
      <c r="I1802" t="n">
        <v>0.6</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29785-2025</t>
        </is>
      </c>
      <c r="B1803" t="inlineStr">
        <is>
          <t>avverkningsanmälan</t>
        </is>
      </c>
      <c r="C1803" t="inlineStr">
        <is>
          <t>Föryngringsavverkning</t>
        </is>
      </c>
      <c r="D1803" s="1" t="n">
        <v>45825</v>
      </c>
      <c r="E1803" s="1" t="n">
        <v>46316</v>
      </c>
      <c r="F1803" t="inlineStr">
        <is>
          <t>KRONOBERGS LÄN</t>
        </is>
      </c>
      <c r="G1803" t="inlineStr">
        <is>
          <t>LJUNGBY</t>
        </is>
      </c>
      <c r="I1803" t="n">
        <v>0.5</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21999-2024</t>
        </is>
      </c>
      <c r="B1804" t="inlineStr">
        <is>
          <t>avverkningsanmälan</t>
        </is>
      </c>
      <c r="C1804" t="inlineStr">
        <is>
          <t>Föryngringsavverkning</t>
        </is>
      </c>
      <c r="D1804" s="1" t="n">
        <v>45443</v>
      </c>
      <c r="E1804" s="1" t="n">
        <v>46316</v>
      </c>
      <c r="F1804" t="inlineStr">
        <is>
          <t>KRONOBERGS LÄN</t>
        </is>
      </c>
      <c r="G1804" t="inlineStr">
        <is>
          <t>ÄLMHULT</t>
        </is>
      </c>
      <c r="I1804" t="n">
        <v>0.6</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8054-2026</t>
        </is>
      </c>
      <c r="B1805" t="inlineStr">
        <is>
          <t>avverkningsanmälan</t>
        </is>
      </c>
      <c r="C1805" t="inlineStr">
        <is>
          <t>Föryngringsavverkning</t>
        </is>
      </c>
      <c r="D1805" s="1" t="n">
        <v>46063</v>
      </c>
      <c r="E1805" s="1" t="n">
        <v>46316</v>
      </c>
      <c r="F1805" t="inlineStr">
        <is>
          <t>KRONOBERGS LÄN</t>
        </is>
      </c>
      <c r="G1805" t="inlineStr">
        <is>
          <t>LJUNGBY</t>
        </is>
      </c>
      <c r="I1805" t="n">
        <v>0.7</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8039-2026</t>
        </is>
      </c>
      <c r="B1806" t="inlineStr">
        <is>
          <t>avverkningsanmälan</t>
        </is>
      </c>
      <c r="C1806" t="inlineStr">
        <is>
          <t>Föryngringsavverkning</t>
        </is>
      </c>
      <c r="D1806" s="1" t="n">
        <v>46063</v>
      </c>
      <c r="E1806" s="1" t="n">
        <v>46316</v>
      </c>
      <c r="F1806" t="inlineStr">
        <is>
          <t>KRONOBERGS LÄN</t>
        </is>
      </c>
      <c r="G1806" t="inlineStr">
        <is>
          <t>TINGSRYD</t>
        </is>
      </c>
      <c r="I1806" t="n">
        <v>0.7</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976-2023</t>
        </is>
      </c>
      <c r="B1807" t="inlineStr">
        <is>
          <t>avverkningsanmälan</t>
        </is>
      </c>
      <c r="C1807" t="inlineStr">
        <is>
          <t>Föryngringsavverkning</t>
        </is>
      </c>
      <c r="D1807" s="1" t="n">
        <v>44935</v>
      </c>
      <c r="E1807" s="1" t="n">
        <v>46316</v>
      </c>
      <c r="F1807" t="inlineStr">
        <is>
          <t>KRONOBERGS LÄN</t>
        </is>
      </c>
      <c r="G1807" t="inlineStr">
        <is>
          <t>ÄLMHULT</t>
        </is>
      </c>
      <c r="I1807" t="n">
        <v>2</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29324-2025</t>
        </is>
      </c>
      <c r="B1808" t="inlineStr">
        <is>
          <t>avverkningsanmälan</t>
        </is>
      </c>
      <c r="C1808" t="inlineStr">
        <is>
          <t>Föryngringsavverkning</t>
        </is>
      </c>
      <c r="D1808" s="1" t="n">
        <v>45824</v>
      </c>
      <c r="E1808" s="1" t="n">
        <v>46316</v>
      </c>
      <c r="F1808" t="inlineStr">
        <is>
          <t>KRONOBERGS LÄN</t>
        </is>
      </c>
      <c r="G1808" t="inlineStr">
        <is>
          <t>VÄXJÖ</t>
        </is>
      </c>
      <c r="I1808" t="n">
        <v>2.2</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29326-2025</t>
        </is>
      </c>
      <c r="B1809" t="inlineStr">
        <is>
          <t>avverkningsanmälan</t>
        </is>
      </c>
      <c r="C1809" t="inlineStr">
        <is>
          <t>Föryngringsavverkning</t>
        </is>
      </c>
      <c r="D1809" s="1" t="n">
        <v>45824</v>
      </c>
      <c r="E1809" s="1" t="n">
        <v>46316</v>
      </c>
      <c r="F1809" t="inlineStr">
        <is>
          <t>KRONOBERGS LÄN</t>
        </is>
      </c>
      <c r="G1809" t="inlineStr">
        <is>
          <t>VÄXJÖ</t>
        </is>
      </c>
      <c r="I1809" t="n">
        <v>1.3</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68473-2021</t>
        </is>
      </c>
      <c r="B1810" t="inlineStr">
        <is>
          <t>avverkningsanmälan</t>
        </is>
      </c>
      <c r="C1810" t="inlineStr">
        <is>
          <t>Föryngringsavverkning</t>
        </is>
      </c>
      <c r="D1810" s="1" t="n">
        <v>44529</v>
      </c>
      <c r="E1810" s="1" t="n">
        <v>46316</v>
      </c>
      <c r="F1810" t="inlineStr">
        <is>
          <t>KRONOBERGS LÄN</t>
        </is>
      </c>
      <c r="G1810" t="inlineStr">
        <is>
          <t>VÄXJÖ</t>
        </is>
      </c>
      <c r="I1810" t="n">
        <v>1.2</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18776-2024</t>
        </is>
      </c>
      <c r="B1811" t="inlineStr">
        <is>
          <t>avverkningsanmälan</t>
        </is>
      </c>
      <c r="C1811" t="inlineStr">
        <is>
          <t>Föryngringsavverkning</t>
        </is>
      </c>
      <c r="D1811" s="1" t="n">
        <v>45426</v>
      </c>
      <c r="E1811" s="1" t="n">
        <v>46316</v>
      </c>
      <c r="F1811" t="inlineStr">
        <is>
          <t>KRONOBERGS LÄN</t>
        </is>
      </c>
      <c r="G1811" t="inlineStr">
        <is>
          <t>MARKARYD</t>
        </is>
      </c>
      <c r="I1811" t="n">
        <v>2.2</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4457-2025</t>
        </is>
      </c>
      <c r="B1812" t="inlineStr">
        <is>
          <t>avverkningsanmälan</t>
        </is>
      </c>
      <c r="C1812" t="inlineStr">
        <is>
          <t>Föryngringsavverkning</t>
        </is>
      </c>
      <c r="D1812" s="1" t="n">
        <v>45686</v>
      </c>
      <c r="E1812" s="1" t="n">
        <v>46316</v>
      </c>
      <c r="F1812" t="inlineStr">
        <is>
          <t>KRONOBERGS LÄN</t>
        </is>
      </c>
      <c r="G1812" t="inlineStr">
        <is>
          <t>VÄXJÖ</t>
        </is>
      </c>
      <c r="I1812" t="n">
        <v>4.3</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4464-2025</t>
        </is>
      </c>
      <c r="B1813" t="inlineStr">
        <is>
          <t>avverkningsanmälan</t>
        </is>
      </c>
      <c r="C1813" t="inlineStr">
        <is>
          <t>Föryngringsavverkning</t>
        </is>
      </c>
      <c r="D1813" s="1" t="n">
        <v>45686</v>
      </c>
      <c r="E1813" s="1" t="n">
        <v>46316</v>
      </c>
      <c r="F1813" t="inlineStr">
        <is>
          <t>KRONOBERGS LÄN</t>
        </is>
      </c>
      <c r="G1813" t="inlineStr">
        <is>
          <t>LJUNGBY</t>
        </is>
      </c>
      <c r="I1813" t="n">
        <v>0.6</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4468-2025</t>
        </is>
      </c>
      <c r="B1814" t="inlineStr">
        <is>
          <t>avverkningsanmälan</t>
        </is>
      </c>
      <c r="C1814" t="inlineStr">
        <is>
          <t>Föryngringsavverkning</t>
        </is>
      </c>
      <c r="D1814" s="1" t="n">
        <v>45686</v>
      </c>
      <c r="E1814" s="1" t="n">
        <v>46316</v>
      </c>
      <c r="F1814" t="inlineStr">
        <is>
          <t>KRONOBERGS LÄN</t>
        </is>
      </c>
      <c r="G1814" t="inlineStr">
        <is>
          <t>VÄXJÖ</t>
        </is>
      </c>
      <c r="I1814" t="n">
        <v>9.9</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7575-2026</t>
        </is>
      </c>
      <c r="B1815" t="inlineStr">
        <is>
          <t>avverkningsanmälan</t>
        </is>
      </c>
      <c r="C1815" t="inlineStr">
        <is>
          <t>Avverkning för annat ändamål</t>
        </is>
      </c>
      <c r="D1815" s="1" t="n">
        <v>46061</v>
      </c>
      <c r="E1815" s="1" t="n">
        <v>46316</v>
      </c>
      <c r="F1815" t="inlineStr">
        <is>
          <t>KRONOBERGS LÄN</t>
        </is>
      </c>
      <c r="G1815" t="inlineStr">
        <is>
          <t>VÄXJÖ</t>
        </is>
      </c>
      <c r="I1815" t="n">
        <v>2.4</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7594-2026</t>
        </is>
      </c>
      <c r="B1816" t="inlineStr">
        <is>
          <t>avverkningsanmälan</t>
        </is>
      </c>
      <c r="C1816" t="inlineStr">
        <is>
          <t>Föryngringsavverkning</t>
        </is>
      </c>
      <c r="D1816" s="1" t="n">
        <v>46061</v>
      </c>
      <c r="E1816" s="1" t="n">
        <v>46316</v>
      </c>
      <c r="F1816" t="inlineStr">
        <is>
          <t>KRONOBERGS LÄN</t>
        </is>
      </c>
      <c r="G1816" t="inlineStr">
        <is>
          <t>ÄLMHULT</t>
        </is>
      </c>
      <c r="I1816" t="n">
        <v>4.8</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8949-2023</t>
        </is>
      </c>
      <c r="B1817" t="inlineStr">
        <is>
          <t>avverkningsanmälan</t>
        </is>
      </c>
      <c r="C1817" t="inlineStr">
        <is>
          <t>Föryngringsavverkning</t>
        </is>
      </c>
      <c r="D1817" s="1" t="n">
        <v>44979</v>
      </c>
      <c r="E1817" s="1" t="n">
        <v>46316</v>
      </c>
      <c r="F1817" t="inlineStr">
        <is>
          <t>KRONOBERGS LÄN</t>
        </is>
      </c>
      <c r="G1817" t="inlineStr">
        <is>
          <t>ÄLMHULT</t>
        </is>
      </c>
      <c r="I1817" t="n">
        <v>2</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7121-2023</t>
        </is>
      </c>
      <c r="B1818" t="inlineStr">
        <is>
          <t>avverkningsanmälan</t>
        </is>
      </c>
      <c r="C1818" t="inlineStr">
        <is>
          <t>Föryngringsavverkning</t>
        </is>
      </c>
      <c r="D1818" s="1" t="n">
        <v>44970</v>
      </c>
      <c r="E1818" s="1" t="n">
        <v>46316</v>
      </c>
      <c r="F1818" t="inlineStr">
        <is>
          <t>KRONOBERGS LÄN</t>
        </is>
      </c>
      <c r="G1818" t="inlineStr">
        <is>
          <t>MARKARYD</t>
        </is>
      </c>
      <c r="I1818" t="n">
        <v>0.7</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64691-2023</t>
        </is>
      </c>
      <c r="B1819" t="inlineStr">
        <is>
          <t>avverkningsanmälan</t>
        </is>
      </c>
      <c r="C1819" t="inlineStr">
        <is>
          <t>Föryngringsavverkning</t>
        </is>
      </c>
      <c r="D1819" s="1" t="n">
        <v>45281</v>
      </c>
      <c r="E1819" s="1" t="n">
        <v>46316</v>
      </c>
      <c r="F1819" t="inlineStr">
        <is>
          <t>KRONOBERGS LÄN</t>
        </is>
      </c>
      <c r="G1819" t="inlineStr">
        <is>
          <t>LJUNGBY</t>
        </is>
      </c>
      <c r="I1819" t="n">
        <v>1.3</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63910-2023</t>
        </is>
      </c>
      <c r="B1820" t="inlineStr">
        <is>
          <t>avverkningsanmälan</t>
        </is>
      </c>
      <c r="C1820" t="inlineStr">
        <is>
          <t>Föryngringsavverkning</t>
        </is>
      </c>
      <c r="D1820" s="1" t="n">
        <v>45278</v>
      </c>
      <c r="E1820" s="1" t="n">
        <v>46316</v>
      </c>
      <c r="F1820" t="inlineStr">
        <is>
          <t>KRONOBERGS LÄN</t>
        </is>
      </c>
      <c r="G1820" t="inlineStr">
        <is>
          <t>VÄXJÖ</t>
        </is>
      </c>
      <c r="I1820" t="n">
        <v>2.4</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48800-2022</t>
        </is>
      </c>
      <c r="B1821" t="inlineStr">
        <is>
          <t>avverkningsanmälan</t>
        </is>
      </c>
      <c r="C1821" t="inlineStr">
        <is>
          <t>Föryngringsavverkning</t>
        </is>
      </c>
      <c r="D1821" s="1" t="n">
        <v>44859</v>
      </c>
      <c r="E1821" s="1" t="n">
        <v>46316</v>
      </c>
      <c r="F1821" t="inlineStr">
        <is>
          <t>KRONOBERGS LÄN</t>
        </is>
      </c>
      <c r="G1821" t="inlineStr">
        <is>
          <t>ÄLMHULT</t>
        </is>
      </c>
      <c r="I1821" t="n">
        <v>1.7</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8320-2026</t>
        </is>
      </c>
      <c r="B1822" t="inlineStr">
        <is>
          <t>avverkningsanmälan</t>
        </is>
      </c>
      <c r="C1822" t="inlineStr">
        <is>
          <t>Föryngringsavverkning</t>
        </is>
      </c>
      <c r="D1822" s="1" t="n">
        <v>46064</v>
      </c>
      <c r="E1822" s="1" t="n">
        <v>46316</v>
      </c>
      <c r="F1822" t="inlineStr">
        <is>
          <t>KRONOBERGS LÄN</t>
        </is>
      </c>
      <c r="G1822" t="inlineStr">
        <is>
          <t>ALVESTA</t>
        </is>
      </c>
      <c r="I1822" t="n">
        <v>0.4</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23861-2024</t>
        </is>
      </c>
      <c r="B1823" t="inlineStr">
        <is>
          <t>avverkningsanmälan</t>
        </is>
      </c>
      <c r="C1823" t="inlineStr">
        <is>
          <t>Föryngringsavverkning</t>
        </is>
      </c>
      <c r="D1823" s="1" t="n">
        <v>45455</v>
      </c>
      <c r="E1823" s="1" t="n">
        <v>46316</v>
      </c>
      <c r="F1823" t="inlineStr">
        <is>
          <t>KRONOBERGS LÄN</t>
        </is>
      </c>
      <c r="G1823" t="inlineStr">
        <is>
          <t>TINGSRYD</t>
        </is>
      </c>
      <c r="I1823" t="n">
        <v>0.7</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8438-2026</t>
        </is>
      </c>
      <c r="B1824" t="inlineStr">
        <is>
          <t>avverkningsanmälan</t>
        </is>
      </c>
      <c r="C1824" t="inlineStr">
        <is>
          <t>Föryngringsavverkning</t>
        </is>
      </c>
      <c r="D1824" s="1" t="n">
        <v>46065</v>
      </c>
      <c r="E1824" s="1" t="n">
        <v>46316</v>
      </c>
      <c r="F1824" t="inlineStr">
        <is>
          <t>KRONOBERGS LÄN</t>
        </is>
      </c>
      <c r="G1824" t="inlineStr">
        <is>
          <t>LESSEBO</t>
        </is>
      </c>
      <c r="H1824" t="inlineStr">
        <is>
          <t>Sveaskog</t>
        </is>
      </c>
      <c r="I1824" t="n">
        <v>4.5</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74006-2021</t>
        </is>
      </c>
      <c r="B1825" t="inlineStr">
        <is>
          <t>avverkningsanmälan</t>
        </is>
      </c>
      <c r="C1825" t="inlineStr">
        <is>
          <t>Föryngringsavverkning</t>
        </is>
      </c>
      <c r="D1825" s="1" t="n">
        <v>44557</v>
      </c>
      <c r="E1825" s="1" t="n">
        <v>46316</v>
      </c>
      <c r="F1825" t="inlineStr">
        <is>
          <t>KRONOBERGS LÄN</t>
        </is>
      </c>
      <c r="G1825" t="inlineStr">
        <is>
          <t>MARKARYD</t>
        </is>
      </c>
      <c r="I1825" t="n">
        <v>7.1</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63792-2023</t>
        </is>
      </c>
      <c r="B1826" t="inlineStr">
        <is>
          <t>avverkningsanmälan</t>
        </is>
      </c>
      <c r="C1826" t="inlineStr">
        <is>
          <t>Föryngringsavverkning</t>
        </is>
      </c>
      <c r="D1826" s="1" t="n">
        <v>45278</v>
      </c>
      <c r="E1826" s="1" t="n">
        <v>46316</v>
      </c>
      <c r="F1826" t="inlineStr">
        <is>
          <t>KRONOBERGS LÄN</t>
        </is>
      </c>
      <c r="G1826" t="inlineStr">
        <is>
          <t>UPPVIDINGE</t>
        </is>
      </c>
      <c r="I1826" t="n">
        <v>0.5</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4077-2024</t>
        </is>
      </c>
      <c r="B1827" t="inlineStr">
        <is>
          <t>avverkningsanmälan</t>
        </is>
      </c>
      <c r="C1827" t="inlineStr">
        <is>
          <t>Föryngringsavverkning</t>
        </is>
      </c>
      <c r="D1827" s="1" t="n">
        <v>45323</v>
      </c>
      <c r="E1827" s="1" t="n">
        <v>46316</v>
      </c>
      <c r="F1827" t="inlineStr">
        <is>
          <t>KRONOBERGS LÄN</t>
        </is>
      </c>
      <c r="G1827" t="inlineStr">
        <is>
          <t>TINGSRYD</t>
        </is>
      </c>
      <c r="I1827" t="n">
        <v>2.6</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8019-2024</t>
        </is>
      </c>
      <c r="B1828" t="inlineStr">
        <is>
          <t>avverkningsanmälan</t>
        </is>
      </c>
      <c r="C1828" t="inlineStr">
        <is>
          <t>Föryngringsavverkning</t>
        </is>
      </c>
      <c r="D1828" s="1" t="n">
        <v>45350</v>
      </c>
      <c r="E1828" s="1" t="n">
        <v>46316</v>
      </c>
      <c r="F1828" t="inlineStr">
        <is>
          <t>KRONOBERGS LÄN</t>
        </is>
      </c>
      <c r="G1828" t="inlineStr">
        <is>
          <t>LJUNGBY</t>
        </is>
      </c>
      <c r="I1828" t="n">
        <v>4.2</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8020-2024</t>
        </is>
      </c>
      <c r="B1829" t="inlineStr">
        <is>
          <t>avverkningsanmälan</t>
        </is>
      </c>
      <c r="C1829" t="inlineStr">
        <is>
          <t>Föryngringsavverkning</t>
        </is>
      </c>
      <c r="D1829" s="1" t="n">
        <v>45350</v>
      </c>
      <c r="E1829" s="1" t="n">
        <v>46316</v>
      </c>
      <c r="F1829" t="inlineStr">
        <is>
          <t>KRONOBERGS LÄN</t>
        </is>
      </c>
      <c r="G1829" t="inlineStr">
        <is>
          <t>LJUNGBY</t>
        </is>
      </c>
      <c r="I1829" t="n">
        <v>0</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47457-2025</t>
        </is>
      </c>
      <c r="B1830" t="inlineStr">
        <is>
          <t>avverkningsanmälan</t>
        </is>
      </c>
      <c r="C1830" t="inlineStr">
        <is>
          <t>Föryngringsavverkning</t>
        </is>
      </c>
      <c r="D1830" s="1" t="n">
        <v>45930</v>
      </c>
      <c r="E1830" s="1" t="n">
        <v>46316</v>
      </c>
      <c r="F1830" t="inlineStr">
        <is>
          <t>KRONOBERGS LÄN</t>
        </is>
      </c>
      <c r="G1830" t="inlineStr">
        <is>
          <t>MARKARYD</t>
        </is>
      </c>
      <c r="I1830" t="n">
        <v>3.5</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47510-2025</t>
        </is>
      </c>
      <c r="B1831" t="inlineStr">
        <is>
          <t>avverkningsanmälan</t>
        </is>
      </c>
      <c r="C1831" t="inlineStr">
        <is>
          <t>Föryngringsavverkning</t>
        </is>
      </c>
      <c r="D1831" s="1" t="n">
        <v>45930</v>
      </c>
      <c r="E1831" s="1" t="n">
        <v>46316</v>
      </c>
      <c r="F1831" t="inlineStr">
        <is>
          <t>KRONOBERGS LÄN</t>
        </is>
      </c>
      <c r="G1831" t="inlineStr">
        <is>
          <t>ÄLMHULT</t>
        </is>
      </c>
      <c r="I1831" t="n">
        <v>0.4</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25615-2024</t>
        </is>
      </c>
      <c r="B1832" t="inlineStr">
        <is>
          <t>avverkningsanmälan</t>
        </is>
      </c>
      <c r="C1832" t="inlineStr">
        <is>
          <t>Föryngringsavverkning</t>
        </is>
      </c>
      <c r="D1832" s="1" t="n">
        <v>45463</v>
      </c>
      <c r="E1832" s="1" t="n">
        <v>46316</v>
      </c>
      <c r="F1832" t="inlineStr">
        <is>
          <t>KRONOBERGS LÄN</t>
        </is>
      </c>
      <c r="G1832" t="inlineStr">
        <is>
          <t>ALVESTA</t>
        </is>
      </c>
      <c r="I1832" t="n">
        <v>0.9</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47511-2025</t>
        </is>
      </c>
      <c r="B1833" t="inlineStr">
        <is>
          <t>avverkningsanmälan</t>
        </is>
      </c>
      <c r="C1833" t="inlineStr">
        <is>
          <t>Föryngringsavverkning</t>
        </is>
      </c>
      <c r="D1833" s="1" t="n">
        <v>45930</v>
      </c>
      <c r="E1833" s="1" t="n">
        <v>46316</v>
      </c>
      <c r="F1833" t="inlineStr">
        <is>
          <t>KRONOBERGS LÄN</t>
        </is>
      </c>
      <c r="G1833" t="inlineStr">
        <is>
          <t>ÄLMHULT</t>
        </is>
      </c>
      <c r="I1833" t="n">
        <v>0.4</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8566-2026</t>
        </is>
      </c>
      <c r="B1834" t="inlineStr">
        <is>
          <t>avverkningsanmälan</t>
        </is>
      </c>
      <c r="C1834" t="inlineStr">
        <is>
          <t>Föryngringsavverkning</t>
        </is>
      </c>
      <c r="D1834" s="1" t="n">
        <v>46065</v>
      </c>
      <c r="E1834" s="1" t="n">
        <v>46316</v>
      </c>
      <c r="F1834" t="inlineStr">
        <is>
          <t>KRONOBERGS LÄN</t>
        </is>
      </c>
      <c r="G1834" t="inlineStr">
        <is>
          <t>ÄLMHULT</t>
        </is>
      </c>
      <c r="I1834" t="n">
        <v>0.8</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48278-2025</t>
        </is>
      </c>
      <c r="B1835" t="inlineStr">
        <is>
          <t>avverkningsanmälan</t>
        </is>
      </c>
      <c r="C1835" t="inlineStr">
        <is>
          <t>Föryngringsavverkning</t>
        </is>
      </c>
      <c r="D1835" s="1" t="n">
        <v>45933</v>
      </c>
      <c r="E1835" s="1" t="n">
        <v>46316</v>
      </c>
      <c r="F1835" t="inlineStr">
        <is>
          <t>KRONOBERGS LÄN</t>
        </is>
      </c>
      <c r="G1835" t="inlineStr">
        <is>
          <t>UPPVIDINGE</t>
        </is>
      </c>
      <c r="I1835" t="n">
        <v>2.2</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38624-2024</t>
        </is>
      </c>
      <c r="B1836" t="inlineStr">
        <is>
          <t>avverkningsanmälan</t>
        </is>
      </c>
      <c r="C1836" t="inlineStr">
        <is>
          <t>Föryngringsavverkning</t>
        </is>
      </c>
      <c r="D1836" s="1" t="n">
        <v>45546</v>
      </c>
      <c r="E1836" s="1" t="n">
        <v>46316</v>
      </c>
      <c r="F1836" t="inlineStr">
        <is>
          <t>KRONOBERGS LÄN</t>
        </is>
      </c>
      <c r="G1836" t="inlineStr">
        <is>
          <t>MARKARYD</t>
        </is>
      </c>
      <c r="H1836" t="inlineStr">
        <is>
          <t>Kyrkan</t>
        </is>
      </c>
      <c r="I1836" t="n">
        <v>3.4</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38638-2024</t>
        </is>
      </c>
      <c r="B1837" t="inlineStr">
        <is>
          <t>avverkningsanmälan</t>
        </is>
      </c>
      <c r="C1837" t="inlineStr">
        <is>
          <t>Föryngringsavverkning</t>
        </is>
      </c>
      <c r="D1837" s="1" t="n">
        <v>45546</v>
      </c>
      <c r="E1837" s="1" t="n">
        <v>46316</v>
      </c>
      <c r="F1837" t="inlineStr">
        <is>
          <t>KRONOBERGS LÄN</t>
        </is>
      </c>
      <c r="G1837" t="inlineStr">
        <is>
          <t>LJUNGBY</t>
        </is>
      </c>
      <c r="H1837" t="inlineStr">
        <is>
          <t>Sveaskog</t>
        </is>
      </c>
      <c r="I1837" t="n">
        <v>4.7</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9064-2026</t>
        </is>
      </c>
      <c r="B1838" t="inlineStr">
        <is>
          <t>avverkningsanmälan</t>
        </is>
      </c>
      <c r="C1838" t="inlineStr">
        <is>
          <t>Föryngringsavverkning</t>
        </is>
      </c>
      <c r="D1838" s="1" t="n">
        <v>46069</v>
      </c>
      <c r="E1838" s="1" t="n">
        <v>46316</v>
      </c>
      <c r="F1838" t="inlineStr">
        <is>
          <t>KRONOBERGS LÄN</t>
        </is>
      </c>
      <c r="G1838" t="inlineStr">
        <is>
          <t>MARKARYD</t>
        </is>
      </c>
      <c r="H1838" t="inlineStr">
        <is>
          <t>Sveaskog</t>
        </is>
      </c>
      <c r="I1838" t="n">
        <v>11.2</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3589-2023</t>
        </is>
      </c>
      <c r="B1839" t="inlineStr">
        <is>
          <t>avverkningsanmälan</t>
        </is>
      </c>
      <c r="C1839" t="inlineStr">
        <is>
          <t>Föryngringsavverkning</t>
        </is>
      </c>
      <c r="D1839" s="1" t="n">
        <v>44950</v>
      </c>
      <c r="E1839" s="1" t="n">
        <v>46316</v>
      </c>
      <c r="F1839" t="inlineStr">
        <is>
          <t>KRONOBERGS LÄN</t>
        </is>
      </c>
      <c r="G1839" t="inlineStr">
        <is>
          <t>TINGSRYD</t>
        </is>
      </c>
      <c r="I1839" t="n">
        <v>1.3</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7516-2024</t>
        </is>
      </c>
      <c r="B1840" t="inlineStr">
        <is>
          <t>avverkningsanmälan</t>
        </is>
      </c>
      <c r="C1840" t="inlineStr">
        <is>
          <t>Föryngringsavverkning</t>
        </is>
      </c>
      <c r="D1840" s="1" t="n">
        <v>45348</v>
      </c>
      <c r="E1840" s="1" t="n">
        <v>46316</v>
      </c>
      <c r="F1840" t="inlineStr">
        <is>
          <t>KRONOBERGS LÄN</t>
        </is>
      </c>
      <c r="G1840" t="inlineStr">
        <is>
          <t>UPPVIDINGE</t>
        </is>
      </c>
      <c r="I1840" t="n">
        <v>3.2</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30436-2023</t>
        </is>
      </c>
      <c r="B1841" t="inlineStr">
        <is>
          <t>avverkningsanmälan</t>
        </is>
      </c>
      <c r="C1841" t="inlineStr">
        <is>
          <t>Föryngringsavverkning</t>
        </is>
      </c>
      <c r="D1841" s="1" t="n">
        <v>45111</v>
      </c>
      <c r="E1841" s="1" t="n">
        <v>46316</v>
      </c>
      <c r="F1841" t="inlineStr">
        <is>
          <t>KRONOBERGS LÄN</t>
        </is>
      </c>
      <c r="G1841" t="inlineStr">
        <is>
          <t>VÄXJÖ</t>
        </is>
      </c>
      <c r="I1841" t="n">
        <v>0.7</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9070-2026</t>
        </is>
      </c>
      <c r="B1842" t="inlineStr">
        <is>
          <t>avverkningsanmälan</t>
        </is>
      </c>
      <c r="C1842" t="inlineStr">
        <is>
          <t>Avverkning för annat ändamål</t>
        </is>
      </c>
      <c r="D1842" s="1" t="n">
        <v>46069</v>
      </c>
      <c r="E1842" s="1" t="n">
        <v>46316</v>
      </c>
      <c r="F1842" t="inlineStr">
        <is>
          <t>KRONOBERGS LÄN</t>
        </is>
      </c>
      <c r="G1842" t="inlineStr">
        <is>
          <t>LJUNGBY</t>
        </is>
      </c>
      <c r="H1842" t="inlineStr">
        <is>
          <t>Sveaskog</t>
        </is>
      </c>
      <c r="I1842" t="n">
        <v>0.6</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47232-2023</t>
        </is>
      </c>
      <c r="B1843" t="inlineStr">
        <is>
          <t>avverkningsanmälan</t>
        </is>
      </c>
      <c r="C1843" t="inlineStr">
        <is>
          <t>Föryngringsavverkning</t>
        </is>
      </c>
      <c r="D1843" s="1" t="n">
        <v>45202</v>
      </c>
      <c r="E1843" s="1" t="n">
        <v>46316</v>
      </c>
      <c r="F1843" t="inlineStr">
        <is>
          <t>KRONOBERGS LÄN</t>
        </is>
      </c>
      <c r="G1843" t="inlineStr">
        <is>
          <t>LJUNGBY</t>
        </is>
      </c>
      <c r="I1843" t="n">
        <v>1</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48143-2025</t>
        </is>
      </c>
      <c r="B1844" t="inlineStr">
        <is>
          <t>avverkningsanmälan</t>
        </is>
      </c>
      <c r="C1844" t="inlineStr">
        <is>
          <t>Föryngringsavverkning</t>
        </is>
      </c>
      <c r="D1844" s="1" t="n">
        <v>45933</v>
      </c>
      <c r="E1844" s="1" t="n">
        <v>46316</v>
      </c>
      <c r="F1844" t="inlineStr">
        <is>
          <t>KRONOBERGS LÄN</t>
        </is>
      </c>
      <c r="G1844" t="inlineStr">
        <is>
          <t>ALVESTA</t>
        </is>
      </c>
      <c r="I1844" t="n">
        <v>4.4</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33122-2023</t>
        </is>
      </c>
      <c r="B1845" t="inlineStr">
        <is>
          <t>avverkningsanmälan</t>
        </is>
      </c>
      <c r="C1845" t="inlineStr">
        <is>
          <t>Avverkning för annat ändamål</t>
        </is>
      </c>
      <c r="D1845" s="1" t="n">
        <v>45126</v>
      </c>
      <c r="E1845" s="1" t="n">
        <v>46316</v>
      </c>
      <c r="F1845" t="inlineStr">
        <is>
          <t>KRONOBERGS LÄN</t>
        </is>
      </c>
      <c r="G1845" t="inlineStr">
        <is>
          <t>LJUNGBY</t>
        </is>
      </c>
      <c r="I1845" t="n">
        <v>0.9</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9062-2026</t>
        </is>
      </c>
      <c r="B1846" t="inlineStr">
        <is>
          <t>avverkningsanmälan</t>
        </is>
      </c>
      <c r="C1846" t="inlineStr">
        <is>
          <t>Föryngringsavverkning</t>
        </is>
      </c>
      <c r="D1846" s="1" t="n">
        <v>46069</v>
      </c>
      <c r="E1846" s="1" t="n">
        <v>46316</v>
      </c>
      <c r="F1846" t="inlineStr">
        <is>
          <t>KRONOBERGS LÄN</t>
        </is>
      </c>
      <c r="G1846" t="inlineStr">
        <is>
          <t>MARKARYD</t>
        </is>
      </c>
      <c r="H1846" t="inlineStr">
        <is>
          <t>Sveaskog</t>
        </is>
      </c>
      <c r="I1846" t="n">
        <v>2.8</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27718-2024</t>
        </is>
      </c>
      <c r="B1847" t="inlineStr">
        <is>
          <t>avverkningsanmälan</t>
        </is>
      </c>
      <c r="C1847" t="inlineStr">
        <is>
          <t>Föryngringsavverkning</t>
        </is>
      </c>
      <c r="D1847" s="1" t="n">
        <v>45475</v>
      </c>
      <c r="E1847" s="1" t="n">
        <v>46316</v>
      </c>
      <c r="F1847" t="inlineStr">
        <is>
          <t>KRONOBERGS LÄN</t>
        </is>
      </c>
      <c r="G1847" t="inlineStr">
        <is>
          <t>TINGSRYD</t>
        </is>
      </c>
      <c r="I1847" t="n">
        <v>6.5</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29356-2025</t>
        </is>
      </c>
      <c r="B1848" t="inlineStr">
        <is>
          <t>avverkningsanmälan</t>
        </is>
      </c>
      <c r="C1848" t="inlineStr">
        <is>
          <t>Föryngringsavverkning</t>
        </is>
      </c>
      <c r="D1848" s="1" t="n">
        <v>45824</v>
      </c>
      <c r="E1848" s="1" t="n">
        <v>46316</v>
      </c>
      <c r="F1848" t="inlineStr">
        <is>
          <t>KRONOBERGS LÄN</t>
        </is>
      </c>
      <c r="G1848" t="inlineStr">
        <is>
          <t>LJUNGBY</t>
        </is>
      </c>
      <c r="I1848" t="n">
        <v>1.5</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9060-2026</t>
        </is>
      </c>
      <c r="B1849" t="inlineStr">
        <is>
          <t>avverkningsanmälan</t>
        </is>
      </c>
      <c r="C1849" t="inlineStr">
        <is>
          <t>Föryngringsavverkning</t>
        </is>
      </c>
      <c r="D1849" s="1" t="n">
        <v>46069</v>
      </c>
      <c r="E1849" s="1" t="n">
        <v>46316</v>
      </c>
      <c r="F1849" t="inlineStr">
        <is>
          <t>KRONOBERGS LÄN</t>
        </is>
      </c>
      <c r="G1849" t="inlineStr">
        <is>
          <t>MARKARYD</t>
        </is>
      </c>
      <c r="H1849" t="inlineStr">
        <is>
          <t>Sveaskog</t>
        </is>
      </c>
      <c r="I1849" t="n">
        <v>2.8</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9066-2026</t>
        </is>
      </c>
      <c r="B1850" t="inlineStr">
        <is>
          <t>avverkningsanmälan</t>
        </is>
      </c>
      <c r="C1850" t="inlineStr">
        <is>
          <t>Föryngringsavverkning</t>
        </is>
      </c>
      <c r="D1850" s="1" t="n">
        <v>46069</v>
      </c>
      <c r="E1850" s="1" t="n">
        <v>46316</v>
      </c>
      <c r="F1850" t="inlineStr">
        <is>
          <t>KRONOBERGS LÄN</t>
        </is>
      </c>
      <c r="G1850" t="inlineStr">
        <is>
          <t>MARKARYD</t>
        </is>
      </c>
      <c r="H1850" t="inlineStr">
        <is>
          <t>Sveaskog</t>
        </is>
      </c>
      <c r="I1850" t="n">
        <v>2.9</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9061-2026</t>
        </is>
      </c>
      <c r="B1851" t="inlineStr">
        <is>
          <t>avverkningsanmälan</t>
        </is>
      </c>
      <c r="C1851" t="inlineStr">
        <is>
          <t>Föryngringsavverkning</t>
        </is>
      </c>
      <c r="D1851" s="1" t="n">
        <v>46069</v>
      </c>
      <c r="E1851" s="1" t="n">
        <v>46316</v>
      </c>
      <c r="F1851" t="inlineStr">
        <is>
          <t>KRONOBERGS LÄN</t>
        </is>
      </c>
      <c r="G1851" t="inlineStr">
        <is>
          <t>MARKARYD</t>
        </is>
      </c>
      <c r="H1851" t="inlineStr">
        <is>
          <t>Sveaskog</t>
        </is>
      </c>
      <c r="I1851" t="n">
        <v>3.9</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37947-2024</t>
        </is>
      </c>
      <c r="B1852" t="inlineStr">
        <is>
          <t>avverkningsanmälan</t>
        </is>
      </c>
      <c r="C1852" t="inlineStr">
        <is>
          <t>Föryngringsavverkning</t>
        </is>
      </c>
      <c r="D1852" s="1" t="n">
        <v>45544</v>
      </c>
      <c r="E1852" s="1" t="n">
        <v>46316</v>
      </c>
      <c r="F1852" t="inlineStr">
        <is>
          <t>KRONOBERGS LÄN</t>
        </is>
      </c>
      <c r="G1852" t="inlineStr">
        <is>
          <t>ALVESTA</t>
        </is>
      </c>
      <c r="I1852" t="n">
        <v>0.5</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48093-2025</t>
        </is>
      </c>
      <c r="B1853" t="inlineStr">
        <is>
          <t>avverkningsanmälan</t>
        </is>
      </c>
      <c r="C1853" t="inlineStr">
        <is>
          <t>Föryngringsavverkning</t>
        </is>
      </c>
      <c r="D1853" s="1" t="n">
        <v>45933</v>
      </c>
      <c r="E1853" s="1" t="n">
        <v>46316</v>
      </c>
      <c r="F1853" t="inlineStr">
        <is>
          <t>KRONOBERGS LÄN</t>
        </is>
      </c>
      <c r="G1853" t="inlineStr">
        <is>
          <t>TINGSRYD</t>
        </is>
      </c>
      <c r="I1853" t="n">
        <v>1.3</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8604-2025</t>
        </is>
      </c>
      <c r="B1854" t="inlineStr">
        <is>
          <t>avverkningsanmälan</t>
        </is>
      </c>
      <c r="C1854" t="inlineStr">
        <is>
          <t>Föryngringsavverkning</t>
        </is>
      </c>
      <c r="D1854" s="1" t="n">
        <v>45710</v>
      </c>
      <c r="E1854" s="1" t="n">
        <v>46316</v>
      </c>
      <c r="F1854" t="inlineStr">
        <is>
          <t>KRONOBERGS LÄN</t>
        </is>
      </c>
      <c r="G1854" t="inlineStr">
        <is>
          <t>TINGSRYD</t>
        </is>
      </c>
      <c r="I1854" t="n">
        <v>0.5</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57118-2023</t>
        </is>
      </c>
      <c r="B1855" t="inlineStr">
        <is>
          <t>avverkningsanmälan</t>
        </is>
      </c>
      <c r="C1855" t="inlineStr">
        <is>
          <t>Avverkning för annat ändamål</t>
        </is>
      </c>
      <c r="D1855" s="1" t="n">
        <v>45245</v>
      </c>
      <c r="E1855" s="1" t="n">
        <v>46316</v>
      </c>
      <c r="F1855" t="inlineStr">
        <is>
          <t>KRONOBERGS LÄN</t>
        </is>
      </c>
      <c r="G1855" t="inlineStr">
        <is>
          <t>ALVESTA</t>
        </is>
      </c>
      <c r="I1855" t="n">
        <v>1.1</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57159-2023</t>
        </is>
      </c>
      <c r="B1856" t="inlineStr">
        <is>
          <t>avverkningsanmälan</t>
        </is>
      </c>
      <c r="C1856" t="inlineStr">
        <is>
          <t>Föryngringsavverkning</t>
        </is>
      </c>
      <c r="D1856" s="1" t="n">
        <v>45245</v>
      </c>
      <c r="E1856" s="1" t="n">
        <v>46316</v>
      </c>
      <c r="F1856" t="inlineStr">
        <is>
          <t>KRONOBERGS LÄN</t>
        </is>
      </c>
      <c r="G1856" t="inlineStr">
        <is>
          <t>VÄXJÖ</t>
        </is>
      </c>
      <c r="I1856" t="n">
        <v>5.3</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30321-2025</t>
        </is>
      </c>
      <c r="B1857" t="inlineStr">
        <is>
          <t>avverkningsanmälan</t>
        </is>
      </c>
      <c r="C1857" t="inlineStr">
        <is>
          <t>Föryngringsavverkning</t>
        </is>
      </c>
      <c r="D1857" s="1" t="n">
        <v>45827</v>
      </c>
      <c r="E1857" s="1" t="n">
        <v>46316</v>
      </c>
      <c r="F1857" t="inlineStr">
        <is>
          <t>KRONOBERGS LÄN</t>
        </is>
      </c>
      <c r="G1857" t="inlineStr">
        <is>
          <t>VÄXJÖ</t>
        </is>
      </c>
      <c r="I1857" t="n">
        <v>1</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1519-2023</t>
        </is>
      </c>
      <c r="B1858" t="inlineStr">
        <is>
          <t>avverkningsanmälan</t>
        </is>
      </c>
      <c r="C1858" t="inlineStr">
        <is>
          <t>Föryngringsavverkning</t>
        </is>
      </c>
      <c r="D1858" s="1" t="n">
        <v>44937</v>
      </c>
      <c r="E1858" s="1" t="n">
        <v>46316</v>
      </c>
      <c r="F1858" t="inlineStr">
        <is>
          <t>KRONOBERGS LÄN</t>
        </is>
      </c>
      <c r="G1858" t="inlineStr">
        <is>
          <t>TINGSRYD</t>
        </is>
      </c>
      <c r="I1858" t="n">
        <v>3.1</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9459-2026</t>
        </is>
      </c>
      <c r="B1859" t="inlineStr">
        <is>
          <t>avverkningsanmälan</t>
        </is>
      </c>
      <c r="C1859" t="inlineStr">
        <is>
          <t>Föryngringsavverkning</t>
        </is>
      </c>
      <c r="D1859" s="1" t="n">
        <v>46071</v>
      </c>
      <c r="E1859" s="1" t="n">
        <v>46316</v>
      </c>
      <c r="F1859" t="inlineStr">
        <is>
          <t>KRONOBERGS LÄN</t>
        </is>
      </c>
      <c r="G1859" t="inlineStr">
        <is>
          <t>UPPVIDINGE</t>
        </is>
      </c>
      <c r="I1859" t="n">
        <v>3.9</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19803-2025</t>
        </is>
      </c>
      <c r="B1860" t="inlineStr">
        <is>
          <t>avverkningsanmälan</t>
        </is>
      </c>
      <c r="C1860" t="inlineStr">
        <is>
          <t>Föryngringsavverkning</t>
        </is>
      </c>
      <c r="D1860" s="1" t="n">
        <v>45771</v>
      </c>
      <c r="E1860" s="1" t="n">
        <v>46316</v>
      </c>
      <c r="F1860" t="inlineStr">
        <is>
          <t>KRONOBERGS LÄN</t>
        </is>
      </c>
      <c r="G1860" t="inlineStr">
        <is>
          <t>ÄLMHULT</t>
        </is>
      </c>
      <c r="I1860" t="n">
        <v>1.1</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21470-2024</t>
        </is>
      </c>
      <c r="B1861" t="inlineStr">
        <is>
          <t>avverkningsanmälan</t>
        </is>
      </c>
      <c r="C1861" t="inlineStr">
        <is>
          <t>Föryngringsavverkning</t>
        </is>
      </c>
      <c r="D1861" s="1" t="n">
        <v>45441</v>
      </c>
      <c r="E1861" s="1" t="n">
        <v>46316</v>
      </c>
      <c r="F1861" t="inlineStr">
        <is>
          <t>KRONOBERGS LÄN</t>
        </is>
      </c>
      <c r="G1861" t="inlineStr">
        <is>
          <t>ÄLMHULT</t>
        </is>
      </c>
      <c r="I1861" t="n">
        <v>2.5</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226-2023</t>
        </is>
      </c>
      <c r="B1862" t="inlineStr">
        <is>
          <t>avverkningsanmälan</t>
        </is>
      </c>
      <c r="C1862" t="inlineStr">
        <is>
          <t>Avverkning för annat ändamål</t>
        </is>
      </c>
      <c r="D1862" s="1" t="n">
        <v>44928</v>
      </c>
      <c r="E1862" s="1" t="n">
        <v>46316</v>
      </c>
      <c r="F1862" t="inlineStr">
        <is>
          <t>KRONOBERGS LÄN</t>
        </is>
      </c>
      <c r="G1862" t="inlineStr">
        <is>
          <t>LJUNGBY</t>
        </is>
      </c>
      <c r="I1862" t="n">
        <v>3.4</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48716-2025</t>
        </is>
      </c>
      <c r="B1863" t="inlineStr">
        <is>
          <t>avverkningsanmälan</t>
        </is>
      </c>
      <c r="C1863" t="inlineStr">
        <is>
          <t>Föryngringsavverkning</t>
        </is>
      </c>
      <c r="D1863" s="1" t="n">
        <v>45936</v>
      </c>
      <c r="E1863" s="1" t="n">
        <v>46316</v>
      </c>
      <c r="F1863" t="inlineStr">
        <is>
          <t>KRONOBERGS LÄN</t>
        </is>
      </c>
      <c r="G1863" t="inlineStr">
        <is>
          <t>ALVESTA</t>
        </is>
      </c>
      <c r="I1863" t="n">
        <v>1</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37557-2022</t>
        </is>
      </c>
      <c r="B1864" t="inlineStr">
        <is>
          <t>avverkningsanmälan</t>
        </is>
      </c>
      <c r="C1864" t="inlineStr">
        <is>
          <t>Föryngringsavverkning</t>
        </is>
      </c>
      <c r="D1864" s="1" t="n">
        <v>44809</v>
      </c>
      <c r="E1864" s="1" t="n">
        <v>46316</v>
      </c>
      <c r="F1864" t="inlineStr">
        <is>
          <t>KRONOBERGS LÄN</t>
        </is>
      </c>
      <c r="G1864" t="inlineStr">
        <is>
          <t>MARKARYD</t>
        </is>
      </c>
      <c r="I1864" t="n">
        <v>1.5</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48399-2025</t>
        </is>
      </c>
      <c r="B1865" t="inlineStr">
        <is>
          <t>avverkningsanmälan</t>
        </is>
      </c>
      <c r="C1865" t="inlineStr">
        <is>
          <t>Föryngringsavverkning</t>
        </is>
      </c>
      <c r="D1865" s="1" t="n">
        <v>45934</v>
      </c>
      <c r="E1865" s="1" t="n">
        <v>46316</v>
      </c>
      <c r="F1865" t="inlineStr">
        <is>
          <t>KRONOBERGS LÄN</t>
        </is>
      </c>
      <c r="G1865" t="inlineStr">
        <is>
          <t>UPPVIDINGE</t>
        </is>
      </c>
      <c r="I1865" t="n">
        <v>0.5</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9535-2026</t>
        </is>
      </c>
      <c r="B1866" t="inlineStr">
        <is>
          <t>avverkningsanmälan</t>
        </is>
      </c>
      <c r="C1866" t="inlineStr">
        <is>
          <t>Föryngringsavverkning</t>
        </is>
      </c>
      <c r="D1866" s="1" t="n">
        <v>46071</v>
      </c>
      <c r="E1866" s="1" t="n">
        <v>46316</v>
      </c>
      <c r="F1866" t="inlineStr">
        <is>
          <t>KRONOBERGS LÄN</t>
        </is>
      </c>
      <c r="G1866" t="inlineStr">
        <is>
          <t>UPPVIDINGE</t>
        </is>
      </c>
      <c r="I1866" t="n">
        <v>0.7</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9532-2026</t>
        </is>
      </c>
      <c r="B1867" t="inlineStr">
        <is>
          <t>avverkningsanmälan</t>
        </is>
      </c>
      <c r="C1867" t="inlineStr">
        <is>
          <t>Föryngringsavverkning</t>
        </is>
      </c>
      <c r="D1867" s="1" t="n">
        <v>46071</v>
      </c>
      <c r="E1867" s="1" t="n">
        <v>46316</v>
      </c>
      <c r="F1867" t="inlineStr">
        <is>
          <t>KRONOBERGS LÄN</t>
        </is>
      </c>
      <c r="G1867" t="inlineStr">
        <is>
          <t>UPPVIDINGE</t>
        </is>
      </c>
      <c r="I1867" t="n">
        <v>1.9</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48429-2025</t>
        </is>
      </c>
      <c r="B1868" t="inlineStr">
        <is>
          <t>avverkningsanmälan</t>
        </is>
      </c>
      <c r="C1868" t="inlineStr">
        <is>
          <t>Föryngringsavverkning</t>
        </is>
      </c>
      <c r="D1868" s="1" t="n">
        <v>45934</v>
      </c>
      <c r="E1868" s="1" t="n">
        <v>46316</v>
      </c>
      <c r="F1868" t="inlineStr">
        <is>
          <t>KRONOBERGS LÄN</t>
        </is>
      </c>
      <c r="G1868" t="inlineStr">
        <is>
          <t>LESSEBO</t>
        </is>
      </c>
      <c r="I1868" t="n">
        <v>2.9</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48400-2025</t>
        </is>
      </c>
      <c r="B1869" t="inlineStr">
        <is>
          <t>avverkningsanmälan</t>
        </is>
      </c>
      <c r="C1869" t="inlineStr">
        <is>
          <t>Föryngringsavverkning</t>
        </is>
      </c>
      <c r="D1869" s="1" t="n">
        <v>45934</v>
      </c>
      <c r="E1869" s="1" t="n">
        <v>46316</v>
      </c>
      <c r="F1869" t="inlineStr">
        <is>
          <t>KRONOBERGS LÄN</t>
        </is>
      </c>
      <c r="G1869" t="inlineStr">
        <is>
          <t>UPPVIDINGE</t>
        </is>
      </c>
      <c r="I1869" t="n">
        <v>1.3</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58287-2022</t>
        </is>
      </c>
      <c r="B1870" t="inlineStr">
        <is>
          <t>avverkningsanmälan</t>
        </is>
      </c>
      <c r="C1870" t="inlineStr">
        <is>
          <t>Föryngringsavverkning</t>
        </is>
      </c>
      <c r="D1870" s="1" t="n">
        <v>44901</v>
      </c>
      <c r="E1870" s="1" t="n">
        <v>46316</v>
      </c>
      <c r="F1870" t="inlineStr">
        <is>
          <t>KRONOBERGS LÄN</t>
        </is>
      </c>
      <c r="G1870" t="inlineStr">
        <is>
          <t>ALVESTA</t>
        </is>
      </c>
      <c r="I1870" t="n">
        <v>2</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58289-2022</t>
        </is>
      </c>
      <c r="B1871" t="inlineStr">
        <is>
          <t>avverkningsanmälan</t>
        </is>
      </c>
      <c r="C1871" t="inlineStr">
        <is>
          <t>Föryngringsavverkning</t>
        </is>
      </c>
      <c r="D1871" s="1" t="n">
        <v>44901</v>
      </c>
      <c r="E1871" s="1" t="n">
        <v>46316</v>
      </c>
      <c r="F1871" t="inlineStr">
        <is>
          <t>KRONOBERGS LÄN</t>
        </is>
      </c>
      <c r="G1871" t="inlineStr">
        <is>
          <t>ALVESTA</t>
        </is>
      </c>
      <c r="I1871" t="n">
        <v>3.8</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18309-2023</t>
        </is>
      </c>
      <c r="B1872" t="inlineStr">
        <is>
          <t>avverkningsanmälan</t>
        </is>
      </c>
      <c r="C1872" t="inlineStr">
        <is>
          <t>Föryngringsavverkning</t>
        </is>
      </c>
      <c r="D1872" s="1" t="n">
        <v>45041</v>
      </c>
      <c r="E1872" s="1" t="n">
        <v>46316</v>
      </c>
      <c r="F1872" t="inlineStr">
        <is>
          <t>KRONOBERGS LÄN</t>
        </is>
      </c>
      <c r="G1872" t="inlineStr">
        <is>
          <t>UPPVIDINGE</t>
        </is>
      </c>
      <c r="I1872" t="n">
        <v>0.7</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18310-2023</t>
        </is>
      </c>
      <c r="B1873" t="inlineStr">
        <is>
          <t>avverkningsanmälan</t>
        </is>
      </c>
      <c r="C1873" t="inlineStr">
        <is>
          <t>Föryngringsavverkning</t>
        </is>
      </c>
      <c r="D1873" s="1" t="n">
        <v>45041</v>
      </c>
      <c r="E1873" s="1" t="n">
        <v>46316</v>
      </c>
      <c r="F1873" t="inlineStr">
        <is>
          <t>KRONOBERGS LÄN</t>
        </is>
      </c>
      <c r="G1873" t="inlineStr">
        <is>
          <t>UPPVIDINGE</t>
        </is>
      </c>
      <c r="I1873" t="n">
        <v>0.7</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48397-2025</t>
        </is>
      </c>
      <c r="B1874" t="inlineStr">
        <is>
          <t>avverkningsanmälan</t>
        </is>
      </c>
      <c r="C1874" t="inlineStr">
        <is>
          <t>Föryngringsavverkning</t>
        </is>
      </c>
      <c r="D1874" s="1" t="n">
        <v>45934</v>
      </c>
      <c r="E1874" s="1" t="n">
        <v>46316</v>
      </c>
      <c r="F1874" t="inlineStr">
        <is>
          <t>KRONOBERGS LÄN</t>
        </is>
      </c>
      <c r="G1874" t="inlineStr">
        <is>
          <t>UPPVIDINGE</t>
        </is>
      </c>
      <c r="I1874" t="n">
        <v>0.5</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48433-2025</t>
        </is>
      </c>
      <c r="B1875" t="inlineStr">
        <is>
          <t>avverkningsanmälan</t>
        </is>
      </c>
      <c r="C1875" t="inlineStr">
        <is>
          <t>Föryngringsavverkning</t>
        </is>
      </c>
      <c r="D1875" s="1" t="n">
        <v>45934</v>
      </c>
      <c r="E1875" s="1" t="n">
        <v>46316</v>
      </c>
      <c r="F1875" t="inlineStr">
        <is>
          <t>KRONOBERGS LÄN</t>
        </is>
      </c>
      <c r="G1875" t="inlineStr">
        <is>
          <t>LESSEBO</t>
        </is>
      </c>
      <c r="I1875" t="n">
        <v>0.6</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42654-2023</t>
        </is>
      </c>
      <c r="B1876" t="inlineStr">
        <is>
          <t>avverkningsanmälan</t>
        </is>
      </c>
      <c r="C1876" t="inlineStr">
        <is>
          <t>Föryngringsavverkning</t>
        </is>
      </c>
      <c r="D1876" s="1" t="n">
        <v>45181</v>
      </c>
      <c r="E1876" s="1" t="n">
        <v>46316</v>
      </c>
      <c r="F1876" t="inlineStr">
        <is>
          <t>KRONOBERGS LÄN</t>
        </is>
      </c>
      <c r="G1876" t="inlineStr">
        <is>
          <t>TINGSRYD</t>
        </is>
      </c>
      <c r="I1876" t="n">
        <v>2.7</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17836-2023</t>
        </is>
      </c>
      <c r="B1877" t="inlineStr">
        <is>
          <t>avverkningsanmälan</t>
        </is>
      </c>
      <c r="C1877" t="inlineStr">
        <is>
          <t>Föryngringsavverkning</t>
        </is>
      </c>
      <c r="D1877" s="1" t="n">
        <v>45037</v>
      </c>
      <c r="E1877" s="1" t="n">
        <v>46316</v>
      </c>
      <c r="F1877" t="inlineStr">
        <is>
          <t>KRONOBERGS LÄN</t>
        </is>
      </c>
      <c r="G1877" t="inlineStr">
        <is>
          <t>LESSEBO</t>
        </is>
      </c>
      <c r="I1877" t="n">
        <v>1.4</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10033-2026</t>
        </is>
      </c>
      <c r="B1878" t="inlineStr">
        <is>
          <t>avverkningsanmälan</t>
        </is>
      </c>
      <c r="C1878" t="inlineStr">
        <is>
          <t>Föryngringsavverkning</t>
        </is>
      </c>
      <c r="D1878" s="1" t="n">
        <v>46073</v>
      </c>
      <c r="E1878" s="1" t="n">
        <v>46316</v>
      </c>
      <c r="F1878" t="inlineStr">
        <is>
          <t>KRONOBERGS LÄN</t>
        </is>
      </c>
      <c r="G1878" t="inlineStr">
        <is>
          <t>VÄXJÖ</t>
        </is>
      </c>
      <c r="I1878" t="n">
        <v>2.4</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62566-2022</t>
        </is>
      </c>
      <c r="B1879" t="inlineStr">
        <is>
          <t>avverkningsanmälan</t>
        </is>
      </c>
      <c r="C1879" t="inlineStr">
        <is>
          <t>Föryngringsavverkning</t>
        </is>
      </c>
      <c r="D1879" s="1" t="n">
        <v>44924</v>
      </c>
      <c r="E1879" s="1" t="n">
        <v>46316</v>
      </c>
      <c r="F1879" t="inlineStr">
        <is>
          <t>KRONOBERGS LÄN</t>
        </is>
      </c>
      <c r="G1879" t="inlineStr">
        <is>
          <t>UPPVIDINGE</t>
        </is>
      </c>
      <c r="I1879" t="n">
        <v>0.5</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48905-2025</t>
        </is>
      </c>
      <c r="B1880" t="inlineStr">
        <is>
          <t>avverkningsanmälan</t>
        </is>
      </c>
      <c r="C1880" t="inlineStr">
        <is>
          <t>Föryngringsavverkning</t>
        </is>
      </c>
      <c r="D1880" s="1" t="n">
        <v>45937</v>
      </c>
      <c r="E1880" s="1" t="n">
        <v>46316</v>
      </c>
      <c r="F1880" t="inlineStr">
        <is>
          <t>KRONOBERGS LÄN</t>
        </is>
      </c>
      <c r="G1880" t="inlineStr">
        <is>
          <t>VÄXJÖ</t>
        </is>
      </c>
      <c r="I1880" t="n">
        <v>8.1</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10093-2026</t>
        </is>
      </c>
      <c r="B1881" t="inlineStr">
        <is>
          <t>avverkningsanmälan</t>
        </is>
      </c>
      <c r="C1881" t="inlineStr">
        <is>
          <t>Föryngringsavverkning</t>
        </is>
      </c>
      <c r="D1881" s="1" t="n">
        <v>46073</v>
      </c>
      <c r="E1881" s="1" t="n">
        <v>46316</v>
      </c>
      <c r="F1881" t="inlineStr">
        <is>
          <t>KRONOBERGS LÄN</t>
        </is>
      </c>
      <c r="G1881" t="inlineStr">
        <is>
          <t>VÄXJÖ</t>
        </is>
      </c>
      <c r="I1881" t="n">
        <v>0.6</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9710-2026</t>
        </is>
      </c>
      <c r="B1882" t="inlineStr">
        <is>
          <t>avverkningsanmälan</t>
        </is>
      </c>
      <c r="C1882" t="inlineStr">
        <is>
          <t>Föryngringsavverkning</t>
        </is>
      </c>
      <c r="D1882" s="1" t="n">
        <v>46072</v>
      </c>
      <c r="E1882" s="1" t="n">
        <v>46316</v>
      </c>
      <c r="F1882" t="inlineStr">
        <is>
          <t>KRONOBERGS LÄN</t>
        </is>
      </c>
      <c r="G1882" t="inlineStr">
        <is>
          <t>VÄXJÖ</t>
        </is>
      </c>
      <c r="I1882" t="n">
        <v>3.6</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3074-2022</t>
        </is>
      </c>
      <c r="B1883" t="inlineStr">
        <is>
          <t>avverkningsanmälan</t>
        </is>
      </c>
      <c r="C1883" t="inlineStr">
        <is>
          <t>Föryngringsavverkning</t>
        </is>
      </c>
      <c r="D1883" s="1" t="n">
        <v>44582</v>
      </c>
      <c r="E1883" s="1" t="n">
        <v>46316</v>
      </c>
      <c r="F1883" t="inlineStr">
        <is>
          <t>KRONOBERGS LÄN</t>
        </is>
      </c>
      <c r="G1883" t="inlineStr">
        <is>
          <t>LJUNGBY</t>
        </is>
      </c>
      <c r="I1883" t="n">
        <v>1.2</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17283-2022</t>
        </is>
      </c>
      <c r="B1884" t="inlineStr">
        <is>
          <t>avverkningsanmälan</t>
        </is>
      </c>
      <c r="C1884" t="inlineStr">
        <is>
          <t>Föryngringsavverkning</t>
        </is>
      </c>
      <c r="D1884" s="1" t="n">
        <v>44678</v>
      </c>
      <c r="E1884" s="1" t="n">
        <v>46316</v>
      </c>
      <c r="F1884" t="inlineStr">
        <is>
          <t>KRONOBERGS LÄN</t>
        </is>
      </c>
      <c r="G1884" t="inlineStr">
        <is>
          <t>VÄXJÖ</t>
        </is>
      </c>
      <c r="I1884" t="n">
        <v>10.8</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30914-2022</t>
        </is>
      </c>
      <c r="B1885" t="inlineStr">
        <is>
          <t>avverkningsanmälan</t>
        </is>
      </c>
      <c r="C1885" t="inlineStr">
        <is>
          <t>Föryngringsavverkning</t>
        </is>
      </c>
      <c r="D1885" s="1" t="n">
        <v>44767</v>
      </c>
      <c r="E1885" s="1" t="n">
        <v>46316</v>
      </c>
      <c r="F1885" t="inlineStr">
        <is>
          <t>KRONOBERGS LÄN</t>
        </is>
      </c>
      <c r="G1885" t="inlineStr">
        <is>
          <t>LESSEBO</t>
        </is>
      </c>
      <c r="I1885" t="n">
        <v>1.4</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48884-2025</t>
        </is>
      </c>
      <c r="B1886" t="inlineStr">
        <is>
          <t>avverkningsanmälan</t>
        </is>
      </c>
      <c r="C1886" t="inlineStr">
        <is>
          <t>Föryngringsavverkning</t>
        </is>
      </c>
      <c r="D1886" s="1" t="n">
        <v>45937</v>
      </c>
      <c r="E1886" s="1" t="n">
        <v>46316</v>
      </c>
      <c r="F1886" t="inlineStr">
        <is>
          <t>KRONOBERGS LÄN</t>
        </is>
      </c>
      <c r="G1886" t="inlineStr">
        <is>
          <t>VÄXJÖ</t>
        </is>
      </c>
      <c r="I1886" t="n">
        <v>1.5</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61055-2022</t>
        </is>
      </c>
      <c r="B1887" t="inlineStr">
        <is>
          <t>avverkningsanmälan</t>
        </is>
      </c>
      <c r="C1887" t="inlineStr">
        <is>
          <t>Föryngringsavverkning</t>
        </is>
      </c>
      <c r="D1887" s="1" t="n">
        <v>44915</v>
      </c>
      <c r="E1887" s="1" t="n">
        <v>46316</v>
      </c>
      <c r="F1887" t="inlineStr">
        <is>
          <t>KRONOBERGS LÄN</t>
        </is>
      </c>
      <c r="G1887" t="inlineStr">
        <is>
          <t>VÄXJÖ</t>
        </is>
      </c>
      <c r="I1887" t="n">
        <v>1.8</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14890-2023</t>
        </is>
      </c>
      <c r="B1888" t="inlineStr">
        <is>
          <t>avverkningsanmälan</t>
        </is>
      </c>
      <c r="C1888" t="inlineStr">
        <is>
          <t>Föryngringsavverkning</t>
        </is>
      </c>
      <c r="D1888" s="1" t="n">
        <v>45015</v>
      </c>
      <c r="E1888" s="1" t="n">
        <v>46316</v>
      </c>
      <c r="F1888" t="inlineStr">
        <is>
          <t>KRONOBERGS LÄN</t>
        </is>
      </c>
      <c r="G1888" t="inlineStr">
        <is>
          <t>ÄLMHULT</t>
        </is>
      </c>
      <c r="I1888" t="n">
        <v>1.9</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10711-2026</t>
        </is>
      </c>
      <c r="B1889" t="inlineStr">
        <is>
          <t>avverkningsanmälan</t>
        </is>
      </c>
      <c r="C1889" t="inlineStr">
        <is>
          <t>Föryngringsavverkning</t>
        </is>
      </c>
      <c r="D1889" s="1" t="n">
        <v>46078</v>
      </c>
      <c r="E1889" s="1" t="n">
        <v>46316</v>
      </c>
      <c r="F1889" t="inlineStr">
        <is>
          <t>KRONOBERGS LÄN</t>
        </is>
      </c>
      <c r="G1889" t="inlineStr">
        <is>
          <t>LJUNGBY</t>
        </is>
      </c>
      <c r="I1889" t="n">
        <v>5.6</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10189-2026</t>
        </is>
      </c>
      <c r="B1890" t="inlineStr">
        <is>
          <t>avverkningsanmälan</t>
        </is>
      </c>
      <c r="C1890" t="inlineStr">
        <is>
          <t>Föryngringsavverkning</t>
        </is>
      </c>
      <c r="D1890" s="1" t="n">
        <v>46076</v>
      </c>
      <c r="E1890" s="1" t="n">
        <v>46316</v>
      </c>
      <c r="F1890" t="inlineStr">
        <is>
          <t>KRONOBERGS LÄN</t>
        </is>
      </c>
      <c r="G1890" t="inlineStr">
        <is>
          <t>LESSEBO</t>
        </is>
      </c>
      <c r="I1890" t="n">
        <v>0.8</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9647-2022</t>
        </is>
      </c>
      <c r="B1891" t="inlineStr">
        <is>
          <t>avverkningsanmälan</t>
        </is>
      </c>
      <c r="C1891" t="inlineStr">
        <is>
          <t>Föryngringsavverkning</t>
        </is>
      </c>
      <c r="D1891" s="1" t="n">
        <v>44617</v>
      </c>
      <c r="E1891" s="1" t="n">
        <v>46316</v>
      </c>
      <c r="F1891" t="inlineStr">
        <is>
          <t>KRONOBERGS LÄN</t>
        </is>
      </c>
      <c r="G1891" t="inlineStr">
        <is>
          <t>TINGSRYD</t>
        </is>
      </c>
      <c r="I1891" t="n">
        <v>1.5</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50186-2023</t>
        </is>
      </c>
      <c r="B1892" t="inlineStr">
        <is>
          <t>avverkningsanmälan</t>
        </is>
      </c>
      <c r="C1892" t="inlineStr">
        <is>
          <t>Föryngringsavverkning</t>
        </is>
      </c>
      <c r="D1892" s="1" t="n">
        <v>45215</v>
      </c>
      <c r="E1892" s="1" t="n">
        <v>46316</v>
      </c>
      <c r="F1892" t="inlineStr">
        <is>
          <t>KRONOBERGS LÄN</t>
        </is>
      </c>
      <c r="G1892" t="inlineStr">
        <is>
          <t>LJUNGBY</t>
        </is>
      </c>
      <c r="I1892" t="n">
        <v>1</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39634-2025</t>
        </is>
      </c>
      <c r="B1893" t="inlineStr">
        <is>
          <t>avverkningsanmälan</t>
        </is>
      </c>
      <c r="C1893" t="inlineStr">
        <is>
          <t>Föryngringsavverkning</t>
        </is>
      </c>
      <c r="D1893" s="1" t="n">
        <v>45890</v>
      </c>
      <c r="E1893" s="1" t="n">
        <v>46316</v>
      </c>
      <c r="F1893" t="inlineStr">
        <is>
          <t>KRONOBERGS LÄN</t>
        </is>
      </c>
      <c r="G1893" t="inlineStr">
        <is>
          <t>ALVESTA</t>
        </is>
      </c>
      <c r="I1893" t="n">
        <v>0.6</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17729-2025</t>
        </is>
      </c>
      <c r="B1894" t="inlineStr">
        <is>
          <t>avverkningsanmälan</t>
        </is>
      </c>
      <c r="C1894" t="inlineStr">
        <is>
          <t>Föryngringsavverkning</t>
        </is>
      </c>
      <c r="D1894" s="1" t="n">
        <v>45758</v>
      </c>
      <c r="E1894" s="1" t="n">
        <v>46316</v>
      </c>
      <c r="F1894" t="inlineStr">
        <is>
          <t>KRONOBERGS LÄN</t>
        </is>
      </c>
      <c r="G1894" t="inlineStr">
        <is>
          <t>LESSEBO</t>
        </is>
      </c>
      <c r="H1894" t="inlineStr">
        <is>
          <t>Sveaskog</t>
        </is>
      </c>
      <c r="I1894" t="n">
        <v>1.7</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13039-2025</t>
        </is>
      </c>
      <c r="B1895" t="inlineStr">
        <is>
          <t>avverkningsanmälan</t>
        </is>
      </c>
      <c r="C1895" t="inlineStr">
        <is>
          <t>Föryngringsavverkning</t>
        </is>
      </c>
      <c r="D1895" s="1" t="n">
        <v>45734</v>
      </c>
      <c r="E1895" s="1" t="n">
        <v>46316</v>
      </c>
      <c r="F1895" t="inlineStr">
        <is>
          <t>KRONOBERGS LÄN</t>
        </is>
      </c>
      <c r="G1895" t="inlineStr">
        <is>
          <t>LJUNGBY</t>
        </is>
      </c>
      <c r="I1895" t="n">
        <v>1.3</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10314-2026</t>
        </is>
      </c>
      <c r="B1896" t="inlineStr">
        <is>
          <t>avverkningsanmälan</t>
        </is>
      </c>
      <c r="C1896" t="inlineStr">
        <is>
          <t>Föryngringsavverkning</t>
        </is>
      </c>
      <c r="D1896" s="1" t="n">
        <v>46076</v>
      </c>
      <c r="E1896" s="1" t="n">
        <v>46316</v>
      </c>
      <c r="F1896" t="inlineStr">
        <is>
          <t>KRONOBERGS LÄN</t>
        </is>
      </c>
      <c r="G1896" t="inlineStr">
        <is>
          <t>LJUNGBY</t>
        </is>
      </c>
      <c r="I1896" t="n">
        <v>0.7</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34818-2023</t>
        </is>
      </c>
      <c r="B1897" t="inlineStr">
        <is>
          <t>avverkningsanmälan</t>
        </is>
      </c>
      <c r="C1897" t="inlineStr">
        <is>
          <t>Föryngringsavverkning</t>
        </is>
      </c>
      <c r="D1897" s="1" t="n">
        <v>45141</v>
      </c>
      <c r="E1897" s="1" t="n">
        <v>46316</v>
      </c>
      <c r="F1897" t="inlineStr">
        <is>
          <t>KRONOBERGS LÄN</t>
        </is>
      </c>
      <c r="G1897" t="inlineStr">
        <is>
          <t>MARKARYD</t>
        </is>
      </c>
      <c r="I1897" t="n">
        <v>1</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40548-2025</t>
        </is>
      </c>
      <c r="B1898" t="inlineStr">
        <is>
          <t>avverkningsanmälan</t>
        </is>
      </c>
      <c r="C1898" t="inlineStr">
        <is>
          <t>Föryngringsavverkning</t>
        </is>
      </c>
      <c r="D1898" s="1" t="n">
        <v>45896</v>
      </c>
      <c r="E1898" s="1" t="n">
        <v>46316</v>
      </c>
      <c r="F1898" t="inlineStr">
        <is>
          <t>KRONOBERGS LÄN</t>
        </is>
      </c>
      <c r="G1898" t="inlineStr">
        <is>
          <t>VÄXJÖ</t>
        </is>
      </c>
      <c r="I1898" t="n">
        <v>4</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10573-2026</t>
        </is>
      </c>
      <c r="B1899" t="inlineStr">
        <is>
          <t>avverkningsanmälan</t>
        </is>
      </c>
      <c r="C1899" t="inlineStr">
        <is>
          <t>Föryngringsavverkning</t>
        </is>
      </c>
      <c r="D1899" s="1" t="n">
        <v>46077</v>
      </c>
      <c r="E1899" s="1" t="n">
        <v>46316</v>
      </c>
      <c r="F1899" t="inlineStr">
        <is>
          <t>KRONOBERGS LÄN</t>
        </is>
      </c>
      <c r="G1899" t="inlineStr">
        <is>
          <t>LJUNGBY</t>
        </is>
      </c>
      <c r="I1899" t="n">
        <v>1.2</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26344-2024</t>
        </is>
      </c>
      <c r="B1900" t="inlineStr">
        <is>
          <t>avverkningsanmälan</t>
        </is>
      </c>
      <c r="C1900" t="inlineStr">
        <is>
          <t>Föryngringsavverkning</t>
        </is>
      </c>
      <c r="D1900" s="1" t="n">
        <v>45469</v>
      </c>
      <c r="E1900" s="1" t="n">
        <v>46316</v>
      </c>
      <c r="F1900" t="inlineStr">
        <is>
          <t>KRONOBERGS LÄN</t>
        </is>
      </c>
      <c r="G1900" t="inlineStr">
        <is>
          <t>UPPVIDINGE</t>
        </is>
      </c>
      <c r="I1900" t="n">
        <v>2.1</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10286-2026</t>
        </is>
      </c>
      <c r="B1901" t="inlineStr">
        <is>
          <t>avverkningsanmälan</t>
        </is>
      </c>
      <c r="C1901" t="inlineStr">
        <is>
          <t>Föryngringsavverkning</t>
        </is>
      </c>
      <c r="D1901" s="1" t="n">
        <v>46076</v>
      </c>
      <c r="E1901" s="1" t="n">
        <v>46316</v>
      </c>
      <c r="F1901" t="inlineStr">
        <is>
          <t>KRONOBERGS LÄN</t>
        </is>
      </c>
      <c r="G1901" t="inlineStr">
        <is>
          <t>LESSEBO</t>
        </is>
      </c>
      <c r="I1901" t="n">
        <v>0.8</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44734-2024</t>
        </is>
      </c>
      <c r="B1902" t="inlineStr">
        <is>
          <t>avverkningsanmälan</t>
        </is>
      </c>
      <c r="C1902" t="inlineStr">
        <is>
          <t>Föryngringsavverkning</t>
        </is>
      </c>
      <c r="D1902" s="1" t="n">
        <v>45574</v>
      </c>
      <c r="E1902" s="1" t="n">
        <v>46316</v>
      </c>
      <c r="F1902" t="inlineStr">
        <is>
          <t>KRONOBERGS LÄN</t>
        </is>
      </c>
      <c r="G1902" t="inlineStr">
        <is>
          <t>TINGSRYD</t>
        </is>
      </c>
      <c r="I1902" t="n">
        <v>1.2</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10668-2026</t>
        </is>
      </c>
      <c r="B1903" t="inlineStr">
        <is>
          <t>avverkningsanmälan</t>
        </is>
      </c>
      <c r="C1903" t="inlineStr">
        <is>
          <t>Föryngringsavverkning</t>
        </is>
      </c>
      <c r="D1903" s="1" t="n">
        <v>46078</v>
      </c>
      <c r="E1903" s="1" t="n">
        <v>46316</v>
      </c>
      <c r="F1903" t="inlineStr">
        <is>
          <t>KRONOBERGS LÄN</t>
        </is>
      </c>
      <c r="G1903" t="inlineStr">
        <is>
          <t>TINGSRYD</t>
        </is>
      </c>
      <c r="I1903" t="n">
        <v>1.6</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10185-2026</t>
        </is>
      </c>
      <c r="B1904" t="inlineStr">
        <is>
          <t>avverkningsanmälan</t>
        </is>
      </c>
      <c r="C1904" t="inlineStr">
        <is>
          <t>Föryngringsavverkning</t>
        </is>
      </c>
      <c r="D1904" s="1" t="n">
        <v>46076</v>
      </c>
      <c r="E1904" s="1" t="n">
        <v>46316</v>
      </c>
      <c r="F1904" t="inlineStr">
        <is>
          <t>KRONOBERGS LÄN</t>
        </is>
      </c>
      <c r="G1904" t="inlineStr">
        <is>
          <t>LESSEBO</t>
        </is>
      </c>
      <c r="I1904" t="n">
        <v>3.9</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49298-2025</t>
        </is>
      </c>
      <c r="B1905" t="inlineStr">
        <is>
          <t>avverkningsanmälan</t>
        </is>
      </c>
      <c r="C1905" t="inlineStr">
        <is>
          <t>Föryngringsavverkning</t>
        </is>
      </c>
      <c r="D1905" s="1" t="n">
        <v>45938</v>
      </c>
      <c r="E1905" s="1" t="n">
        <v>46316</v>
      </c>
      <c r="F1905" t="inlineStr">
        <is>
          <t>KRONOBERGS LÄN</t>
        </is>
      </c>
      <c r="G1905" t="inlineStr">
        <is>
          <t>LESSEBO</t>
        </is>
      </c>
      <c r="I1905" t="n">
        <v>4.1</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49308-2025</t>
        </is>
      </c>
      <c r="B1906" t="inlineStr">
        <is>
          <t>avverkningsanmälan</t>
        </is>
      </c>
      <c r="C1906" t="inlineStr">
        <is>
          <t>Föryngringsavverkning</t>
        </is>
      </c>
      <c r="D1906" s="1" t="n">
        <v>45938</v>
      </c>
      <c r="E1906" s="1" t="n">
        <v>46316</v>
      </c>
      <c r="F1906" t="inlineStr">
        <is>
          <t>KRONOBERGS LÄN</t>
        </is>
      </c>
      <c r="G1906" t="inlineStr">
        <is>
          <t>TINGSRYD</t>
        </is>
      </c>
      <c r="I1906" t="n">
        <v>2.1</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10122-2026</t>
        </is>
      </c>
      <c r="B1907" t="inlineStr">
        <is>
          <t>avverkningsanmälan</t>
        </is>
      </c>
      <c r="C1907" t="inlineStr">
        <is>
          <t>Föryngringsavverkning</t>
        </is>
      </c>
      <c r="D1907" s="1" t="n">
        <v>46075</v>
      </c>
      <c r="E1907" s="1" t="n">
        <v>46316</v>
      </c>
      <c r="F1907" t="inlineStr">
        <is>
          <t>KRONOBERGS LÄN</t>
        </is>
      </c>
      <c r="G1907" t="inlineStr">
        <is>
          <t>VÄXJÖ</t>
        </is>
      </c>
      <c r="I1907" t="n">
        <v>2</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10282-2026</t>
        </is>
      </c>
      <c r="B1908" t="inlineStr">
        <is>
          <t>avverkningsanmälan</t>
        </is>
      </c>
      <c r="C1908" t="inlineStr">
        <is>
          <t>Föryngringsavverkning</t>
        </is>
      </c>
      <c r="D1908" s="1" t="n">
        <v>46076</v>
      </c>
      <c r="E1908" s="1" t="n">
        <v>46316</v>
      </c>
      <c r="F1908" t="inlineStr">
        <is>
          <t>KRONOBERGS LÄN</t>
        </is>
      </c>
      <c r="G1908" t="inlineStr">
        <is>
          <t>ÄLMHULT</t>
        </is>
      </c>
      <c r="I1908" t="n">
        <v>1.3</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28983-2023</t>
        </is>
      </c>
      <c r="B1909" t="inlineStr">
        <is>
          <t>avverkningsanmälan</t>
        </is>
      </c>
      <c r="C1909" t="inlineStr">
        <is>
          <t>Föryngringsavverkning</t>
        </is>
      </c>
      <c r="D1909" s="1" t="n">
        <v>45104</v>
      </c>
      <c r="E1909" s="1" t="n">
        <v>46316</v>
      </c>
      <c r="F1909" t="inlineStr">
        <is>
          <t>KRONOBERGS LÄN</t>
        </is>
      </c>
      <c r="G1909" t="inlineStr">
        <is>
          <t>VÄXJÖ</t>
        </is>
      </c>
      <c r="I1909" t="n">
        <v>2.9</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10932-2026</t>
        </is>
      </c>
      <c r="B1910" t="inlineStr">
        <is>
          <t>avverkningsanmälan</t>
        </is>
      </c>
      <c r="C1910" t="inlineStr">
        <is>
          <t>Föryngringsavverkning</t>
        </is>
      </c>
      <c r="D1910" s="1" t="n">
        <v>46079</v>
      </c>
      <c r="E1910" s="1" t="n">
        <v>46316</v>
      </c>
      <c r="F1910" t="inlineStr">
        <is>
          <t>KRONOBERGS LÄN</t>
        </is>
      </c>
      <c r="G1910" t="inlineStr">
        <is>
          <t>VÄXJÖ</t>
        </is>
      </c>
      <c r="I1910" t="n">
        <v>1.2</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21262-2024</t>
        </is>
      </c>
      <c r="B1911" t="inlineStr">
        <is>
          <t>avverkningsanmälan</t>
        </is>
      </c>
      <c r="C1911" t="inlineStr">
        <is>
          <t>Avverkning för att bevara och utveckla /försöksver</t>
        </is>
      </c>
      <c r="D1911" s="1" t="n">
        <v>45440</v>
      </c>
      <c r="E1911" s="1" t="n">
        <v>46316</v>
      </c>
      <c r="F1911" t="inlineStr">
        <is>
          <t>KRONOBERGS LÄN</t>
        </is>
      </c>
      <c r="G1911" t="inlineStr">
        <is>
          <t>UPPVIDINGE</t>
        </is>
      </c>
      <c r="I1911" t="n">
        <v>1.2</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20443-2025</t>
        </is>
      </c>
      <c r="B1912" t="inlineStr">
        <is>
          <t>avverkningsanmälan</t>
        </is>
      </c>
      <c r="C1912" t="inlineStr">
        <is>
          <t>Föryngringsavverkning</t>
        </is>
      </c>
      <c r="D1912" s="1" t="n">
        <v>45775</v>
      </c>
      <c r="E1912" s="1" t="n">
        <v>46316</v>
      </c>
      <c r="F1912" t="inlineStr">
        <is>
          <t>KRONOBERGS LÄN</t>
        </is>
      </c>
      <c r="G1912" t="inlineStr">
        <is>
          <t>LESSEBO</t>
        </is>
      </c>
      <c r="H1912" t="inlineStr">
        <is>
          <t>Sveaskog</t>
        </is>
      </c>
      <c r="I1912" t="n">
        <v>1.3</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6365-2024</t>
        </is>
      </c>
      <c r="B1913" t="inlineStr">
        <is>
          <t>avverkningsanmälan</t>
        </is>
      </c>
      <c r="C1913" t="inlineStr">
        <is>
          <t>Föryngringsavverkning</t>
        </is>
      </c>
      <c r="D1913" s="1" t="n">
        <v>45338</v>
      </c>
      <c r="E1913" s="1" t="n">
        <v>46316</v>
      </c>
      <c r="F1913" t="inlineStr">
        <is>
          <t>KRONOBERGS LÄN</t>
        </is>
      </c>
      <c r="G1913" t="inlineStr">
        <is>
          <t>ALVESTA</t>
        </is>
      </c>
      <c r="I1913" t="n">
        <v>0.3</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6368-2024</t>
        </is>
      </c>
      <c r="B1914" t="inlineStr">
        <is>
          <t>avverkningsanmälan</t>
        </is>
      </c>
      <c r="C1914" t="inlineStr">
        <is>
          <t>Föryngringsavverkning</t>
        </is>
      </c>
      <c r="D1914" s="1" t="n">
        <v>45338</v>
      </c>
      <c r="E1914" s="1" t="n">
        <v>46316</v>
      </c>
      <c r="F1914" t="inlineStr">
        <is>
          <t>KRONOBERGS LÄN</t>
        </is>
      </c>
      <c r="G1914" t="inlineStr">
        <is>
          <t>ALVESTA</t>
        </is>
      </c>
      <c r="I1914" t="n">
        <v>0.4</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41302-2023</t>
        </is>
      </c>
      <c r="B1915" t="inlineStr">
        <is>
          <t>avverkningsanmälan</t>
        </is>
      </c>
      <c r="C1915" t="inlineStr">
        <is>
          <t>Föryngringsavverkning</t>
        </is>
      </c>
      <c r="D1915" s="1" t="n">
        <v>45173</v>
      </c>
      <c r="E1915" s="1" t="n">
        <v>46316</v>
      </c>
      <c r="F1915" t="inlineStr">
        <is>
          <t>KRONOBERGS LÄN</t>
        </is>
      </c>
      <c r="G1915" t="inlineStr">
        <is>
          <t>TINGSRYD</t>
        </is>
      </c>
      <c r="I1915" t="n">
        <v>1.8</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63444-2023</t>
        </is>
      </c>
      <c r="B1916" t="inlineStr">
        <is>
          <t>avverkningsanmälan</t>
        </is>
      </c>
      <c r="C1916" t="inlineStr">
        <is>
          <t>Föryngringsavverkning</t>
        </is>
      </c>
      <c r="D1916" s="1" t="n">
        <v>45274</v>
      </c>
      <c r="E1916" s="1" t="n">
        <v>46316</v>
      </c>
      <c r="F1916" t="inlineStr">
        <is>
          <t>KRONOBERGS LÄN</t>
        </is>
      </c>
      <c r="G1916" t="inlineStr">
        <is>
          <t>TINGSRYD</t>
        </is>
      </c>
      <c r="I1916" t="n">
        <v>1.5</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10930-2026</t>
        </is>
      </c>
      <c r="B1917" t="inlineStr">
        <is>
          <t>avverkningsanmälan</t>
        </is>
      </c>
      <c r="C1917" t="inlineStr">
        <is>
          <t>Föryngringsavverkning</t>
        </is>
      </c>
      <c r="D1917" s="1" t="n">
        <v>46079</v>
      </c>
      <c r="E1917" s="1" t="n">
        <v>46316</v>
      </c>
      <c r="F1917" t="inlineStr">
        <is>
          <t>KRONOBERGS LÄN</t>
        </is>
      </c>
      <c r="G1917" t="inlineStr">
        <is>
          <t>VÄXJÖ</t>
        </is>
      </c>
      <c r="I1917" t="n">
        <v>2.3</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7342-2024</t>
        </is>
      </c>
      <c r="B1918" t="inlineStr">
        <is>
          <t>avverkningsanmälan</t>
        </is>
      </c>
      <c r="C1918" t="inlineStr">
        <is>
          <t>Föryngringsavverkning</t>
        </is>
      </c>
      <c r="D1918" s="1" t="n">
        <v>45345</v>
      </c>
      <c r="E1918" s="1" t="n">
        <v>46316</v>
      </c>
      <c r="F1918" t="inlineStr">
        <is>
          <t>KRONOBERGS LÄN</t>
        </is>
      </c>
      <c r="G1918" t="inlineStr">
        <is>
          <t>ALVESTA</t>
        </is>
      </c>
      <c r="I1918" t="n">
        <v>2</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55382-2024</t>
        </is>
      </c>
      <c r="B1919" t="inlineStr">
        <is>
          <t>avverkningsanmälan</t>
        </is>
      </c>
      <c r="C1919" t="inlineStr">
        <is>
          <t>Föryngringsavverkning</t>
        </is>
      </c>
      <c r="D1919" s="1" t="n">
        <v>45622</v>
      </c>
      <c r="E1919" s="1" t="n">
        <v>46316</v>
      </c>
      <c r="F1919" t="inlineStr">
        <is>
          <t>KRONOBERGS LÄN</t>
        </is>
      </c>
      <c r="G1919" t="inlineStr">
        <is>
          <t>UPPVIDINGE</t>
        </is>
      </c>
      <c r="I1919" t="n">
        <v>2.3</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11129-2026</t>
        </is>
      </c>
      <c r="B1920" t="inlineStr">
        <is>
          <t>avverkningsanmälan</t>
        </is>
      </c>
      <c r="C1920" t="inlineStr">
        <is>
          <t>Föryngringsavverkning</t>
        </is>
      </c>
      <c r="D1920" s="1" t="n">
        <v>46079</v>
      </c>
      <c r="E1920" s="1" t="n">
        <v>46316</v>
      </c>
      <c r="F1920" t="inlineStr">
        <is>
          <t>KRONOBERGS LÄN</t>
        </is>
      </c>
      <c r="G1920" t="inlineStr">
        <is>
          <t>ALVESTA</t>
        </is>
      </c>
      <c r="I1920" t="n">
        <v>1.1</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49339-2025</t>
        </is>
      </c>
      <c r="B1921" t="inlineStr">
        <is>
          <t>avverkningsanmälan</t>
        </is>
      </c>
      <c r="C1921" t="inlineStr">
        <is>
          <t>Föryngringsavverkning</t>
        </is>
      </c>
      <c r="D1921" s="1" t="n">
        <v>45938</v>
      </c>
      <c r="E1921" s="1" t="n">
        <v>46316</v>
      </c>
      <c r="F1921" t="inlineStr">
        <is>
          <t>KRONOBERGS LÄN</t>
        </is>
      </c>
      <c r="G1921" t="inlineStr">
        <is>
          <t>LJUNGBY</t>
        </is>
      </c>
      <c r="I1921" t="n">
        <v>3.4</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23909-2023</t>
        </is>
      </c>
      <c r="B1922" t="inlineStr">
        <is>
          <t>avverkningsanmälan</t>
        </is>
      </c>
      <c r="C1922" t="inlineStr">
        <is>
          <t>Föryngringsavverkning</t>
        </is>
      </c>
      <c r="D1922" s="1" t="n">
        <v>45078</v>
      </c>
      <c r="E1922" s="1" t="n">
        <v>46316</v>
      </c>
      <c r="F1922" t="inlineStr">
        <is>
          <t>KRONOBERGS LÄN</t>
        </is>
      </c>
      <c r="G1922" t="inlineStr">
        <is>
          <t>ALVESTA</t>
        </is>
      </c>
      <c r="I1922" t="n">
        <v>1.1</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49852-2025</t>
        </is>
      </c>
      <c r="B1923" t="inlineStr">
        <is>
          <t>avverkningsanmälan</t>
        </is>
      </c>
      <c r="C1923" t="inlineStr">
        <is>
          <t>Föryngringsavverkning</t>
        </is>
      </c>
      <c r="D1923" s="1" t="n">
        <v>45940</v>
      </c>
      <c r="E1923" s="1" t="n">
        <v>46316</v>
      </c>
      <c r="F1923" t="inlineStr">
        <is>
          <t>KRONOBERGS LÄN</t>
        </is>
      </c>
      <c r="G1923" t="inlineStr">
        <is>
          <t>UPPVIDINGE</t>
        </is>
      </c>
      <c r="I1923" t="n">
        <v>2.3</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30322-2025</t>
        </is>
      </c>
      <c r="B1924" t="inlineStr">
        <is>
          <t>avverkningsanmälan</t>
        </is>
      </c>
      <c r="C1924" t="inlineStr">
        <is>
          <t>Avverkning för annat ändamål</t>
        </is>
      </c>
      <c r="D1924" s="1" t="n">
        <v>45827</v>
      </c>
      <c r="E1924" s="1" t="n">
        <v>46316</v>
      </c>
      <c r="F1924" t="inlineStr">
        <is>
          <t>KRONOBERGS LÄN</t>
        </is>
      </c>
      <c r="G1924" t="inlineStr">
        <is>
          <t>ÄLMHULT</t>
        </is>
      </c>
      <c r="I1924" t="n">
        <v>0.8</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19501-2022</t>
        </is>
      </c>
      <c r="B1925" t="inlineStr">
        <is>
          <t>avverkningsanmälan</t>
        </is>
      </c>
      <c r="C1925" t="inlineStr">
        <is>
          <t>Föryngringsavverkning</t>
        </is>
      </c>
      <c r="D1925" s="1" t="n">
        <v>44693</v>
      </c>
      <c r="E1925" s="1" t="n">
        <v>46316</v>
      </c>
      <c r="F1925" t="inlineStr">
        <is>
          <t>KRONOBERGS LÄN</t>
        </is>
      </c>
      <c r="G1925" t="inlineStr">
        <is>
          <t>LESSEBO</t>
        </is>
      </c>
      <c r="I1925" t="n">
        <v>3.3</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49832-2025</t>
        </is>
      </c>
      <c r="B1926" t="inlineStr">
        <is>
          <t>avverkningsanmälan</t>
        </is>
      </c>
      <c r="C1926" t="inlineStr">
        <is>
          <t>Föryngringsavverkning</t>
        </is>
      </c>
      <c r="D1926" s="1" t="n">
        <v>45940</v>
      </c>
      <c r="E1926" s="1" t="n">
        <v>46316</v>
      </c>
      <c r="F1926" t="inlineStr">
        <is>
          <t>KRONOBERGS LÄN</t>
        </is>
      </c>
      <c r="G1926" t="inlineStr">
        <is>
          <t>LJUNGBY</t>
        </is>
      </c>
      <c r="I1926" t="n">
        <v>3.1</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14602-2025</t>
        </is>
      </c>
      <c r="B1927" t="inlineStr">
        <is>
          <t>avverkningsanmälan</t>
        </is>
      </c>
      <c r="C1927" t="inlineStr">
        <is>
          <t>Föryngringsavverkning</t>
        </is>
      </c>
      <c r="D1927" s="1" t="n">
        <v>45742</v>
      </c>
      <c r="E1927" s="1" t="n">
        <v>46316</v>
      </c>
      <c r="F1927" t="inlineStr">
        <is>
          <t>KRONOBERGS LÄN</t>
        </is>
      </c>
      <c r="G1927" t="inlineStr">
        <is>
          <t>LJUNGBY</t>
        </is>
      </c>
      <c r="I1927" t="n">
        <v>0</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13223-2025</t>
        </is>
      </c>
      <c r="B1928" t="inlineStr">
        <is>
          <t>avverkningsanmälan</t>
        </is>
      </c>
      <c r="C1928" t="inlineStr">
        <is>
          <t>Föryngringsavverkning</t>
        </is>
      </c>
      <c r="D1928" s="1" t="n">
        <v>45735</v>
      </c>
      <c r="E1928" s="1" t="n">
        <v>46316</v>
      </c>
      <c r="F1928" t="inlineStr">
        <is>
          <t>KRONOBERGS LÄN</t>
        </is>
      </c>
      <c r="G1928" t="inlineStr">
        <is>
          <t>LJUNGBY</t>
        </is>
      </c>
      <c r="I1928" t="n">
        <v>2.4</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11650-2026</t>
        </is>
      </c>
      <c r="B1929" t="inlineStr">
        <is>
          <t>avverkningsanmälan</t>
        </is>
      </c>
      <c r="C1929" t="inlineStr">
        <is>
          <t>Föryngringsavverkning</t>
        </is>
      </c>
      <c r="D1929" s="1" t="n">
        <v>46084</v>
      </c>
      <c r="E1929" s="1" t="n">
        <v>46316</v>
      </c>
      <c r="F1929" t="inlineStr">
        <is>
          <t>KRONOBERGS LÄN</t>
        </is>
      </c>
      <c r="G1929" t="inlineStr">
        <is>
          <t>VÄXJÖ</t>
        </is>
      </c>
      <c r="I1929" t="n">
        <v>0.7</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1470-2024</t>
        </is>
      </c>
      <c r="B1930" t="inlineStr">
        <is>
          <t>avverkningsanmälan</t>
        </is>
      </c>
      <c r="C1930" t="inlineStr">
        <is>
          <t>Föryngringsavverkning</t>
        </is>
      </c>
      <c r="D1930" s="1" t="n">
        <v>45304</v>
      </c>
      <c r="E1930" s="1" t="n">
        <v>46316</v>
      </c>
      <c r="F1930" t="inlineStr">
        <is>
          <t>KRONOBERGS LÄN</t>
        </is>
      </c>
      <c r="G1930" t="inlineStr">
        <is>
          <t>VÄXJÖ</t>
        </is>
      </c>
      <c r="I1930" t="n">
        <v>0.6</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1479-2024</t>
        </is>
      </c>
      <c r="B1931" t="inlineStr">
        <is>
          <t>avverkningsanmälan</t>
        </is>
      </c>
      <c r="C1931" t="inlineStr">
        <is>
          <t>Föryngringsavverkning</t>
        </is>
      </c>
      <c r="D1931" s="1" t="n">
        <v>45305</v>
      </c>
      <c r="E1931" s="1" t="n">
        <v>46316</v>
      </c>
      <c r="F1931" t="inlineStr">
        <is>
          <t>KRONOBERGS LÄN</t>
        </is>
      </c>
      <c r="G1931" t="inlineStr">
        <is>
          <t>LJUNGBY</t>
        </is>
      </c>
      <c r="I1931" t="n">
        <v>4.5</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44860-2023</t>
        </is>
      </c>
      <c r="B1932" t="inlineStr">
        <is>
          <t>avverkningsanmälan</t>
        </is>
      </c>
      <c r="C1932" t="inlineStr">
        <is>
          <t>Föryngringsavverkning</t>
        </is>
      </c>
      <c r="D1932" s="1" t="n">
        <v>45190</v>
      </c>
      <c r="E1932" s="1" t="n">
        <v>46316</v>
      </c>
      <c r="F1932" t="inlineStr">
        <is>
          <t>KRONOBERGS LÄN</t>
        </is>
      </c>
      <c r="G1932" t="inlineStr">
        <is>
          <t>VÄXJÖ</t>
        </is>
      </c>
      <c r="I1932" t="n">
        <v>0.8</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11601-2026</t>
        </is>
      </c>
      <c r="B1933" t="inlineStr">
        <is>
          <t>avverkningsanmälan</t>
        </is>
      </c>
      <c r="C1933" t="inlineStr">
        <is>
          <t>Föryngringsavverkning</t>
        </is>
      </c>
      <c r="D1933" s="1" t="n">
        <v>46084</v>
      </c>
      <c r="E1933" s="1" t="n">
        <v>46316</v>
      </c>
      <c r="F1933" t="inlineStr">
        <is>
          <t>KRONOBERGS LÄN</t>
        </is>
      </c>
      <c r="G1933" t="inlineStr">
        <is>
          <t>ALVESTA</t>
        </is>
      </c>
      <c r="I1933" t="n">
        <v>0.8</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49992-2025</t>
        </is>
      </c>
      <c r="B1934" t="inlineStr">
        <is>
          <t>avverkningsanmälan</t>
        </is>
      </c>
      <c r="C1934" t="inlineStr">
        <is>
          <t>Föryngringsavverkning</t>
        </is>
      </c>
      <c r="D1934" s="1" t="n">
        <v>45942</v>
      </c>
      <c r="E1934" s="1" t="n">
        <v>46316</v>
      </c>
      <c r="F1934" t="inlineStr">
        <is>
          <t>KRONOBERGS LÄN</t>
        </is>
      </c>
      <c r="G1934" t="inlineStr">
        <is>
          <t>MARKARYD</t>
        </is>
      </c>
      <c r="I1934" t="n">
        <v>2.6</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11360-2026</t>
        </is>
      </c>
      <c r="B1935" t="inlineStr">
        <is>
          <t>avverkningsanmälan</t>
        </is>
      </c>
      <c r="C1935" t="inlineStr">
        <is>
          <t>Föryngringsavverkning</t>
        </is>
      </c>
      <c r="D1935" s="1" t="n">
        <v>46083</v>
      </c>
      <c r="E1935" s="1" t="n">
        <v>46316</v>
      </c>
      <c r="F1935" t="inlineStr">
        <is>
          <t>KRONOBERGS LÄN</t>
        </is>
      </c>
      <c r="G1935" t="inlineStr">
        <is>
          <t>VÄXJÖ</t>
        </is>
      </c>
      <c r="I1935" t="n">
        <v>1.9</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11331-2026</t>
        </is>
      </c>
      <c r="B1936" t="inlineStr">
        <is>
          <t>avverkningsanmälan</t>
        </is>
      </c>
      <c r="C1936" t="inlineStr">
        <is>
          <t>Avverkning för annat ändamål</t>
        </is>
      </c>
      <c r="D1936" s="1" t="n">
        <v>46081</v>
      </c>
      <c r="E1936" s="1" t="n">
        <v>46316</v>
      </c>
      <c r="F1936" t="inlineStr">
        <is>
          <t>KRONOBERGS LÄN</t>
        </is>
      </c>
      <c r="G1936" t="inlineStr">
        <is>
          <t>ALVESTA</t>
        </is>
      </c>
      <c r="I1936" t="n">
        <v>1.3</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25261-2024</t>
        </is>
      </c>
      <c r="B1937" t="inlineStr">
        <is>
          <t>avverkningsanmälan</t>
        </is>
      </c>
      <c r="C1937" t="inlineStr">
        <is>
          <t>Avverkning för annat ändamål</t>
        </is>
      </c>
      <c r="D1937" s="1" t="n">
        <v>45462</v>
      </c>
      <c r="E1937" s="1" t="n">
        <v>46316</v>
      </c>
      <c r="F1937" t="inlineStr">
        <is>
          <t>KRONOBERGS LÄN</t>
        </is>
      </c>
      <c r="G1937" t="inlineStr">
        <is>
          <t>ALVESTA</t>
        </is>
      </c>
      <c r="I1937" t="n">
        <v>0.9</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62559-2022</t>
        </is>
      </c>
      <c r="B1938" t="inlineStr">
        <is>
          <t>avverkningsanmälan</t>
        </is>
      </c>
      <c r="C1938" t="inlineStr">
        <is>
          <t>Föryngringsavverkning</t>
        </is>
      </c>
      <c r="D1938" s="1" t="n">
        <v>44924</v>
      </c>
      <c r="E1938" s="1" t="n">
        <v>46316</v>
      </c>
      <c r="F1938" t="inlineStr">
        <is>
          <t>KRONOBERGS LÄN</t>
        </is>
      </c>
      <c r="G1938" t="inlineStr">
        <is>
          <t>UPPVIDINGE</t>
        </is>
      </c>
      <c r="I1938" t="n">
        <v>0.5</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29516-2022</t>
        </is>
      </c>
      <c r="B1939" t="inlineStr">
        <is>
          <t>avverkningsanmälan</t>
        </is>
      </c>
      <c r="C1939" t="inlineStr">
        <is>
          <t>Föryngringsavverkning</t>
        </is>
      </c>
      <c r="D1939" s="1" t="n">
        <v>44753</v>
      </c>
      <c r="E1939" s="1" t="n">
        <v>46316</v>
      </c>
      <c r="F1939" t="inlineStr">
        <is>
          <t>KRONOBERGS LÄN</t>
        </is>
      </c>
      <c r="G1939" t="inlineStr">
        <is>
          <t>TINGSRYD</t>
        </is>
      </c>
      <c r="I1939" t="n">
        <v>0.7</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14396-2024</t>
        </is>
      </c>
      <c r="B1940" t="inlineStr">
        <is>
          <t>avverkningsanmälan</t>
        </is>
      </c>
      <c r="C1940" t="inlineStr">
        <is>
          <t>Föryngringsavverkning</t>
        </is>
      </c>
      <c r="D1940" s="1" t="n">
        <v>45394</v>
      </c>
      <c r="E1940" s="1" t="n">
        <v>46316</v>
      </c>
      <c r="F1940" t="inlineStr">
        <is>
          <t>KRONOBERGS LÄN</t>
        </is>
      </c>
      <c r="G1940" t="inlineStr">
        <is>
          <t>TINGSRYD</t>
        </is>
      </c>
      <c r="I1940" t="n">
        <v>0.8</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11513-2026</t>
        </is>
      </c>
      <c r="B1941" t="inlineStr">
        <is>
          <t>avverkningsanmälan</t>
        </is>
      </c>
      <c r="C1941" t="inlineStr">
        <is>
          <t>Föryngringsavverkning</t>
        </is>
      </c>
      <c r="D1941" s="1" t="n">
        <v>46083</v>
      </c>
      <c r="E1941" s="1" t="n">
        <v>46316</v>
      </c>
      <c r="F1941" t="inlineStr">
        <is>
          <t>KRONOBERGS LÄN</t>
        </is>
      </c>
      <c r="G1941" t="inlineStr">
        <is>
          <t>TINGSRYD</t>
        </is>
      </c>
      <c r="I1941" t="n">
        <v>2.8</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41168-2023</t>
        </is>
      </c>
      <c r="B1942" t="inlineStr">
        <is>
          <t>avverkningsanmälan</t>
        </is>
      </c>
      <c r="C1942" t="inlineStr">
        <is>
          <t>Föryngringsavverkning</t>
        </is>
      </c>
      <c r="D1942" s="1" t="n">
        <v>45174</v>
      </c>
      <c r="E1942" s="1" t="n">
        <v>46316</v>
      </c>
      <c r="F1942" t="inlineStr">
        <is>
          <t>KRONOBERGS LÄN</t>
        </is>
      </c>
      <c r="G1942" t="inlineStr">
        <is>
          <t>UPPVIDINGE</t>
        </is>
      </c>
      <c r="I1942" t="n">
        <v>6.7</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11438-2026</t>
        </is>
      </c>
      <c r="B1943" t="inlineStr">
        <is>
          <t>avverkningsanmälan</t>
        </is>
      </c>
      <c r="C1943" t="inlineStr">
        <is>
          <t>Föryngringsavverkning</t>
        </is>
      </c>
      <c r="D1943" s="1" t="n">
        <v>46083</v>
      </c>
      <c r="E1943" s="1" t="n">
        <v>46316</v>
      </c>
      <c r="F1943" t="inlineStr">
        <is>
          <t>KRONOBERGS LÄN</t>
        </is>
      </c>
      <c r="G1943" t="inlineStr">
        <is>
          <t>VÄXJÖ</t>
        </is>
      </c>
      <c r="I1943" t="n">
        <v>0.8</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11448-2026</t>
        </is>
      </c>
      <c r="B1944" t="inlineStr">
        <is>
          <t>avverkningsanmälan</t>
        </is>
      </c>
      <c r="C1944" t="inlineStr">
        <is>
          <t>Föryngringsavverkning</t>
        </is>
      </c>
      <c r="D1944" s="1" t="n">
        <v>46083</v>
      </c>
      <c r="E1944" s="1" t="n">
        <v>46316</v>
      </c>
      <c r="F1944" t="inlineStr">
        <is>
          <t>KRONOBERGS LÄN</t>
        </is>
      </c>
      <c r="G1944" t="inlineStr">
        <is>
          <t>TINGSRYD</t>
        </is>
      </c>
      <c r="I1944" t="n">
        <v>5</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11451-2026</t>
        </is>
      </c>
      <c r="B1945" t="inlineStr">
        <is>
          <t>avverkningsanmälan</t>
        </is>
      </c>
      <c r="C1945" t="inlineStr">
        <is>
          <t>Avverkning för annat ändamål</t>
        </is>
      </c>
      <c r="D1945" s="1" t="n">
        <v>46083</v>
      </c>
      <c r="E1945" s="1" t="n">
        <v>46316</v>
      </c>
      <c r="F1945" t="inlineStr">
        <is>
          <t>KRONOBERGS LÄN</t>
        </is>
      </c>
      <c r="G1945" t="inlineStr">
        <is>
          <t>TINGSRYD</t>
        </is>
      </c>
      <c r="I1945" t="n">
        <v>1.6</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5135-2023</t>
        </is>
      </c>
      <c r="B1946" t="inlineStr">
        <is>
          <t>avverkningsanmälan</t>
        </is>
      </c>
      <c r="C1946" t="inlineStr">
        <is>
          <t>Föryngringsavverkning</t>
        </is>
      </c>
      <c r="D1946" s="1" t="n">
        <v>44958</v>
      </c>
      <c r="E1946" s="1" t="n">
        <v>46316</v>
      </c>
      <c r="F1946" t="inlineStr">
        <is>
          <t>KRONOBERGS LÄN</t>
        </is>
      </c>
      <c r="G1946" t="inlineStr">
        <is>
          <t>ÄLMHULT</t>
        </is>
      </c>
      <c r="I1946" t="n">
        <v>1.5</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64193-2023</t>
        </is>
      </c>
      <c r="B1947" t="inlineStr">
        <is>
          <t>avverkningsanmälan</t>
        </is>
      </c>
      <c r="C1947" t="inlineStr">
        <is>
          <t>Föryngringsavverkning</t>
        </is>
      </c>
      <c r="D1947" s="1" t="n">
        <v>45279</v>
      </c>
      <c r="E1947" s="1" t="n">
        <v>46316</v>
      </c>
      <c r="F1947" t="inlineStr">
        <is>
          <t>KRONOBERGS LÄN</t>
        </is>
      </c>
      <c r="G1947" t="inlineStr">
        <is>
          <t>VÄXJÖ</t>
        </is>
      </c>
      <c r="I1947" t="n">
        <v>1.1</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50344-2025</t>
        </is>
      </c>
      <c r="B1948" t="inlineStr">
        <is>
          <t>avverkningsanmälan</t>
        </is>
      </c>
      <c r="C1948" t="inlineStr">
        <is>
          <t>Föryngringsavverkning</t>
        </is>
      </c>
      <c r="D1948" s="1" t="n">
        <v>45944</v>
      </c>
      <c r="E1948" s="1" t="n">
        <v>46316</v>
      </c>
      <c r="F1948" t="inlineStr">
        <is>
          <t>KRONOBERGS LÄN</t>
        </is>
      </c>
      <c r="G1948" t="inlineStr">
        <is>
          <t>ÄLMHULT</t>
        </is>
      </c>
      <c r="I1948" t="n">
        <v>4.7</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16536-2023</t>
        </is>
      </c>
      <c r="B1949" t="inlineStr">
        <is>
          <t>avverkningsanmälan</t>
        </is>
      </c>
      <c r="C1949" t="inlineStr">
        <is>
          <t>Föryngringsavverkning</t>
        </is>
      </c>
      <c r="D1949" s="1" t="n">
        <v>45029</v>
      </c>
      <c r="E1949" s="1" t="n">
        <v>46316</v>
      </c>
      <c r="F1949" t="inlineStr">
        <is>
          <t>KRONOBERGS LÄN</t>
        </is>
      </c>
      <c r="G1949" t="inlineStr">
        <is>
          <t>TINGSRYD</t>
        </is>
      </c>
      <c r="I1949" t="n">
        <v>0.2</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7189-2025</t>
        </is>
      </c>
      <c r="B1950" t="inlineStr">
        <is>
          <t>avverkningsanmälan</t>
        </is>
      </c>
      <c r="C1950" t="inlineStr">
        <is>
          <t>Föryngringsavverkning</t>
        </is>
      </c>
      <c r="D1950" s="1" t="n">
        <v>45702</v>
      </c>
      <c r="E1950" s="1" t="n">
        <v>46316</v>
      </c>
      <c r="F1950" t="inlineStr">
        <is>
          <t>KRONOBERGS LÄN</t>
        </is>
      </c>
      <c r="G1950" t="inlineStr">
        <is>
          <t>TINGSRYD</t>
        </is>
      </c>
      <c r="I1950" t="n">
        <v>4.8</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16594-2025</t>
        </is>
      </c>
      <c r="B1951" t="inlineStr">
        <is>
          <t>avverkningsanmälan</t>
        </is>
      </c>
      <c r="C1951" t="inlineStr">
        <is>
          <t>Föryngringsavverkning</t>
        </is>
      </c>
      <c r="D1951" s="1" t="n">
        <v>45753</v>
      </c>
      <c r="E1951" s="1" t="n">
        <v>46316</v>
      </c>
      <c r="F1951" t="inlineStr">
        <is>
          <t>KRONOBERGS LÄN</t>
        </is>
      </c>
      <c r="G1951" t="inlineStr">
        <is>
          <t>VÄXJÖ</t>
        </is>
      </c>
      <c r="I1951" t="n">
        <v>0.2</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11422-2026</t>
        </is>
      </c>
      <c r="B1952" t="inlineStr">
        <is>
          <t>avverkningsanmälan</t>
        </is>
      </c>
      <c r="C1952" t="inlineStr">
        <is>
          <t>Avverkning för att bevara och utveckla /försöksver</t>
        </is>
      </c>
      <c r="D1952" s="1" t="n">
        <v>46083</v>
      </c>
      <c r="E1952" s="1" t="n">
        <v>46316</v>
      </c>
      <c r="F1952" t="inlineStr">
        <is>
          <t>KRONOBERGS LÄN</t>
        </is>
      </c>
      <c r="G1952" t="inlineStr">
        <is>
          <t>VÄXJÖ</t>
        </is>
      </c>
      <c r="I1952" t="n">
        <v>4.5</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11492-2026</t>
        </is>
      </c>
      <c r="B1953" t="inlineStr">
        <is>
          <t>avverkningsanmälan</t>
        </is>
      </c>
      <c r="C1953" t="inlineStr">
        <is>
          <t>Föryngringsavverkning</t>
        </is>
      </c>
      <c r="D1953" s="1" t="n">
        <v>46083</v>
      </c>
      <c r="E1953" s="1" t="n">
        <v>46316</v>
      </c>
      <c r="F1953" t="inlineStr">
        <is>
          <t>KRONOBERGS LÄN</t>
        </is>
      </c>
      <c r="G1953" t="inlineStr">
        <is>
          <t>VÄXJÖ</t>
        </is>
      </c>
      <c r="I1953" t="n">
        <v>0.7</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11600-2026</t>
        </is>
      </c>
      <c r="B1954" t="inlineStr">
        <is>
          <t>avverkningsanmälan</t>
        </is>
      </c>
      <c r="C1954" t="inlineStr">
        <is>
          <t>Föryngringsavverkning</t>
        </is>
      </c>
      <c r="D1954" s="1" t="n">
        <v>46084</v>
      </c>
      <c r="E1954" s="1" t="n">
        <v>46316</v>
      </c>
      <c r="F1954" t="inlineStr">
        <is>
          <t>KRONOBERGS LÄN</t>
        </is>
      </c>
      <c r="G1954" t="inlineStr">
        <is>
          <t>ALVESTA</t>
        </is>
      </c>
      <c r="I1954" t="n">
        <v>0.8</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58301-2024</t>
        </is>
      </c>
      <c r="B1955" t="inlineStr">
        <is>
          <t>avverkningsanmälan</t>
        </is>
      </c>
      <c r="C1955" t="inlineStr">
        <is>
          <t>Föryngringsavverkning</t>
        </is>
      </c>
      <c r="D1955" s="1" t="n">
        <v>45632</v>
      </c>
      <c r="E1955" s="1" t="n">
        <v>46316</v>
      </c>
      <c r="F1955" t="inlineStr">
        <is>
          <t>KRONOBERGS LÄN</t>
        </is>
      </c>
      <c r="G1955" t="inlineStr">
        <is>
          <t>ALVESTA</t>
        </is>
      </c>
      <c r="I1955" t="n">
        <v>0.6</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11445-2026</t>
        </is>
      </c>
      <c r="B1956" t="inlineStr">
        <is>
          <t>avverkningsanmälan</t>
        </is>
      </c>
      <c r="C1956" t="inlineStr">
        <is>
          <t>Föryngringsavverkning</t>
        </is>
      </c>
      <c r="D1956" s="1" t="n">
        <v>46083</v>
      </c>
      <c r="E1956" s="1" t="n">
        <v>46316</v>
      </c>
      <c r="F1956" t="inlineStr">
        <is>
          <t>KRONOBERGS LÄN</t>
        </is>
      </c>
      <c r="G1956" t="inlineStr">
        <is>
          <t>TINGSRYD</t>
        </is>
      </c>
      <c r="I1956" t="n">
        <v>1.8</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11456-2026</t>
        </is>
      </c>
      <c r="B1957" t="inlineStr">
        <is>
          <t>avverkningsanmälan</t>
        </is>
      </c>
      <c r="C1957" t="inlineStr">
        <is>
          <t>Föryngringsavverkning</t>
        </is>
      </c>
      <c r="D1957" s="1" t="n">
        <v>46083</v>
      </c>
      <c r="E1957" s="1" t="n">
        <v>46316</v>
      </c>
      <c r="F1957" t="inlineStr">
        <is>
          <t>KRONOBERGS LÄN</t>
        </is>
      </c>
      <c r="G1957" t="inlineStr">
        <is>
          <t>VÄXJÖ</t>
        </is>
      </c>
      <c r="I1957" t="n">
        <v>2.4</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50481-2025</t>
        </is>
      </c>
      <c r="B1958" t="inlineStr">
        <is>
          <t>avverkningsanmälan</t>
        </is>
      </c>
      <c r="C1958" t="inlineStr">
        <is>
          <t>Föryngringsavverkning</t>
        </is>
      </c>
      <c r="D1958" s="1" t="n">
        <v>45945</v>
      </c>
      <c r="E1958" s="1" t="n">
        <v>46316</v>
      </c>
      <c r="F1958" t="inlineStr">
        <is>
          <t>KRONOBERGS LÄN</t>
        </is>
      </c>
      <c r="G1958" t="inlineStr">
        <is>
          <t>ÄLMHULT</t>
        </is>
      </c>
      <c r="I1958" t="n">
        <v>3.3</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50581-2025</t>
        </is>
      </c>
      <c r="B1959" t="inlineStr">
        <is>
          <t>avverkningsanmälan</t>
        </is>
      </c>
      <c r="C1959" t="inlineStr">
        <is>
          <t>Föryngringsavverkning</t>
        </is>
      </c>
      <c r="D1959" s="1" t="n">
        <v>45945</v>
      </c>
      <c r="E1959" s="1" t="n">
        <v>46316</v>
      </c>
      <c r="F1959" t="inlineStr">
        <is>
          <t>KRONOBERGS LÄN</t>
        </is>
      </c>
      <c r="G1959" t="inlineStr">
        <is>
          <t>LJUNGBY</t>
        </is>
      </c>
      <c r="I1959" t="n">
        <v>2.7</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50592-2025</t>
        </is>
      </c>
      <c r="B1960" t="inlineStr">
        <is>
          <t>avverkningsanmälan</t>
        </is>
      </c>
      <c r="C1960" t="inlineStr">
        <is>
          <t>Föryngringsavverkning</t>
        </is>
      </c>
      <c r="D1960" s="1" t="n">
        <v>45945</v>
      </c>
      <c r="E1960" s="1" t="n">
        <v>46316</v>
      </c>
      <c r="F1960" t="inlineStr">
        <is>
          <t>KRONOBERGS LÄN</t>
        </is>
      </c>
      <c r="G1960" t="inlineStr">
        <is>
          <t>LJUNGBY</t>
        </is>
      </c>
      <c r="I1960" t="n">
        <v>0.8</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55926-2022</t>
        </is>
      </c>
      <c r="B1961" t="inlineStr">
        <is>
          <t>avverkningsanmälan</t>
        </is>
      </c>
      <c r="C1961" t="inlineStr">
        <is>
          <t>Föryngringsavverkning</t>
        </is>
      </c>
      <c r="D1961" s="1" t="n">
        <v>44886</v>
      </c>
      <c r="E1961" s="1" t="n">
        <v>46316</v>
      </c>
      <c r="F1961" t="inlineStr">
        <is>
          <t>KRONOBERGS LÄN</t>
        </is>
      </c>
      <c r="G1961" t="inlineStr">
        <is>
          <t>LJUNGBY</t>
        </is>
      </c>
      <c r="H1961" t="inlineStr">
        <is>
          <t>Kyrkan</t>
        </is>
      </c>
      <c r="I1961" t="n">
        <v>0.8</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50154-2022</t>
        </is>
      </c>
      <c r="B1962" t="inlineStr">
        <is>
          <t>avverkningsanmälan</t>
        </is>
      </c>
      <c r="C1962" t="inlineStr">
        <is>
          <t>Föryngringsavverkning</t>
        </is>
      </c>
      <c r="D1962" s="1" t="n">
        <v>44865</v>
      </c>
      <c r="E1962" s="1" t="n">
        <v>46316</v>
      </c>
      <c r="F1962" t="inlineStr">
        <is>
          <t>KRONOBERGS LÄN</t>
        </is>
      </c>
      <c r="G1962" t="inlineStr">
        <is>
          <t>LESSEBO</t>
        </is>
      </c>
      <c r="I1962" t="n">
        <v>3</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60157-2024</t>
        </is>
      </c>
      <c r="B1963" t="inlineStr">
        <is>
          <t>avverkningsanmälan</t>
        </is>
      </c>
      <c r="C1963" t="inlineStr">
        <is>
          <t>Föryngringsavverkning</t>
        </is>
      </c>
      <c r="D1963" s="1" t="n">
        <v>45642</v>
      </c>
      <c r="E1963" s="1" t="n">
        <v>46316</v>
      </c>
      <c r="F1963" t="inlineStr">
        <is>
          <t>KRONOBERGS LÄN</t>
        </is>
      </c>
      <c r="G1963" t="inlineStr">
        <is>
          <t>ALVESTA</t>
        </is>
      </c>
      <c r="I1963" t="n">
        <v>0.5</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4570-2024</t>
        </is>
      </c>
      <c r="B1964" t="inlineStr">
        <is>
          <t>avverkningsanmälan</t>
        </is>
      </c>
      <c r="C1964" t="inlineStr">
        <is>
          <t>Föryngringsavverkning</t>
        </is>
      </c>
      <c r="D1964" s="1" t="n">
        <v>45327</v>
      </c>
      <c r="E1964" s="1" t="n">
        <v>46316</v>
      </c>
      <c r="F1964" t="inlineStr">
        <is>
          <t>KRONOBERGS LÄN</t>
        </is>
      </c>
      <c r="G1964" t="inlineStr">
        <is>
          <t>TINGSRYD</t>
        </is>
      </c>
      <c r="H1964" t="inlineStr">
        <is>
          <t>Sveaskog</t>
        </is>
      </c>
      <c r="I1964" t="n">
        <v>0.8</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70676-2021</t>
        </is>
      </c>
      <c r="B1965" t="inlineStr">
        <is>
          <t>avverkningsanmälan</t>
        </is>
      </c>
      <c r="C1965" t="inlineStr">
        <is>
          <t>Föryngringsavverkning</t>
        </is>
      </c>
      <c r="D1965" s="1" t="n">
        <v>44537</v>
      </c>
      <c r="E1965" s="1" t="n">
        <v>46316</v>
      </c>
      <c r="F1965" t="inlineStr">
        <is>
          <t>KRONOBERGS LÄN</t>
        </is>
      </c>
      <c r="G1965" t="inlineStr">
        <is>
          <t>VÄXJÖ</t>
        </is>
      </c>
      <c r="I1965" t="n">
        <v>0.7</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2292-2025</t>
        </is>
      </c>
      <c r="B1966" t="inlineStr">
        <is>
          <t>avverkningsanmälan</t>
        </is>
      </c>
      <c r="C1966" t="inlineStr">
        <is>
          <t>Föryngringsavverkning</t>
        </is>
      </c>
      <c r="D1966" s="1" t="n">
        <v>45673</v>
      </c>
      <c r="E1966" s="1" t="n">
        <v>46316</v>
      </c>
      <c r="F1966" t="inlineStr">
        <is>
          <t>KRONOBERGS LÄN</t>
        </is>
      </c>
      <c r="G1966" t="inlineStr">
        <is>
          <t>ALVESTA</t>
        </is>
      </c>
      <c r="I1966" t="n">
        <v>2.1</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2302-2025</t>
        </is>
      </c>
      <c r="B1967" t="inlineStr">
        <is>
          <t>avverkningsanmälan</t>
        </is>
      </c>
      <c r="C1967" t="inlineStr">
        <is>
          <t>Föryngringsavverkning</t>
        </is>
      </c>
      <c r="D1967" s="1" t="n">
        <v>45673</v>
      </c>
      <c r="E1967" s="1" t="n">
        <v>46316</v>
      </c>
      <c r="F1967" t="inlineStr">
        <is>
          <t>KRONOBERGS LÄN</t>
        </is>
      </c>
      <c r="G1967" t="inlineStr">
        <is>
          <t>ALVESTA</t>
        </is>
      </c>
      <c r="I1967" t="n">
        <v>0.5</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12019-2026</t>
        </is>
      </c>
      <c r="B1968" t="inlineStr">
        <is>
          <t>avverkningsanmälan</t>
        </is>
      </c>
      <c r="C1968" t="inlineStr">
        <is>
          <t>Föryngringsavverkning</t>
        </is>
      </c>
      <c r="D1968" s="1" t="n">
        <v>46085</v>
      </c>
      <c r="E1968" s="1" t="n">
        <v>46316</v>
      </c>
      <c r="F1968" t="inlineStr">
        <is>
          <t>KRONOBERGS LÄN</t>
        </is>
      </c>
      <c r="G1968" t="inlineStr">
        <is>
          <t>MARKARYD</t>
        </is>
      </c>
      <c r="I1968" t="n">
        <v>0.6</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54757-2023</t>
        </is>
      </c>
      <c r="B1969" t="inlineStr">
        <is>
          <t>avverkningsanmälan</t>
        </is>
      </c>
      <c r="C1969" t="inlineStr">
        <is>
          <t>Föryngringsavverkning</t>
        </is>
      </c>
      <c r="D1969" s="1" t="n">
        <v>45236</v>
      </c>
      <c r="E1969" s="1" t="n">
        <v>46316</v>
      </c>
      <c r="F1969" t="inlineStr">
        <is>
          <t>KRONOBERGS LÄN</t>
        </is>
      </c>
      <c r="G1969" t="inlineStr">
        <is>
          <t>VÄXJÖ</t>
        </is>
      </c>
      <c r="I1969" t="n">
        <v>2.2</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54759-2023</t>
        </is>
      </c>
      <c r="B1970" t="inlineStr">
        <is>
          <t>avverkningsanmälan</t>
        </is>
      </c>
      <c r="C1970" t="inlineStr">
        <is>
          <t>Föryngringsavverkning</t>
        </is>
      </c>
      <c r="D1970" s="1" t="n">
        <v>45236</v>
      </c>
      <c r="E1970" s="1" t="n">
        <v>46316</v>
      </c>
      <c r="F1970" t="inlineStr">
        <is>
          <t>KRONOBERGS LÄN</t>
        </is>
      </c>
      <c r="G1970" t="inlineStr">
        <is>
          <t>VÄXJÖ</t>
        </is>
      </c>
      <c r="I1970" t="n">
        <v>5.5</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3271-2024</t>
        </is>
      </c>
      <c r="B1971" t="inlineStr">
        <is>
          <t>avverkningsanmälan</t>
        </is>
      </c>
      <c r="C1971" t="inlineStr">
        <is>
          <t>Föryngringsavverkning</t>
        </is>
      </c>
      <c r="D1971" s="1" t="n">
        <v>45317</v>
      </c>
      <c r="E1971" s="1" t="n">
        <v>46316</v>
      </c>
      <c r="F1971" t="inlineStr">
        <is>
          <t>KRONOBERGS LÄN</t>
        </is>
      </c>
      <c r="G1971" t="inlineStr">
        <is>
          <t>LJUNGBY</t>
        </is>
      </c>
      <c r="I1971" t="n">
        <v>1.5</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12133-2026</t>
        </is>
      </c>
      <c r="B1972" t="inlineStr">
        <is>
          <t>avverkningsanmälan</t>
        </is>
      </c>
      <c r="C1972" t="inlineStr">
        <is>
          <t>Föryngringsavverkning</t>
        </is>
      </c>
      <c r="D1972" s="1" t="n">
        <v>46086</v>
      </c>
      <c r="E1972" s="1" t="n">
        <v>46316</v>
      </c>
      <c r="F1972" t="inlineStr">
        <is>
          <t>KRONOBERGS LÄN</t>
        </is>
      </c>
      <c r="G1972" t="inlineStr">
        <is>
          <t>TINGSRYD</t>
        </is>
      </c>
      <c r="I1972" t="n">
        <v>4.2</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29980-2025</t>
        </is>
      </c>
      <c r="B1973" t="inlineStr">
        <is>
          <t>avverkningsanmälan</t>
        </is>
      </c>
      <c r="C1973" t="inlineStr">
        <is>
          <t>Föryngringsavverkning</t>
        </is>
      </c>
      <c r="D1973" s="1" t="n">
        <v>45826</v>
      </c>
      <c r="E1973" s="1" t="n">
        <v>46316</v>
      </c>
      <c r="F1973" t="inlineStr">
        <is>
          <t>KRONOBERGS LÄN</t>
        </is>
      </c>
      <c r="G1973" t="inlineStr">
        <is>
          <t>UPPVIDINGE</t>
        </is>
      </c>
      <c r="I1973" t="n">
        <v>4.1</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12075-2026</t>
        </is>
      </c>
      <c r="B1974" t="inlineStr">
        <is>
          <t>avverkningsanmälan</t>
        </is>
      </c>
      <c r="C1974" t="inlineStr">
        <is>
          <t>Föryngringsavverkning</t>
        </is>
      </c>
      <c r="D1974" s="1" t="n">
        <v>46086</v>
      </c>
      <c r="E1974" s="1" t="n">
        <v>46316</v>
      </c>
      <c r="F1974" t="inlineStr">
        <is>
          <t>KRONOBERGS LÄN</t>
        </is>
      </c>
      <c r="G1974" t="inlineStr">
        <is>
          <t>UPPVIDINGE</t>
        </is>
      </c>
      <c r="I1974" t="n">
        <v>7.9</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3365-2024</t>
        </is>
      </c>
      <c r="B1975" t="inlineStr">
        <is>
          <t>avverkningsanmälan</t>
        </is>
      </c>
      <c r="C1975" t="inlineStr">
        <is>
          <t>Föryngringsavverkning</t>
        </is>
      </c>
      <c r="D1975" s="1" t="n">
        <v>45317</v>
      </c>
      <c r="E1975" s="1" t="n">
        <v>46316</v>
      </c>
      <c r="F1975" t="inlineStr">
        <is>
          <t>KRONOBERGS LÄN</t>
        </is>
      </c>
      <c r="G1975" t="inlineStr">
        <is>
          <t>VÄXJÖ</t>
        </is>
      </c>
      <c r="I1975" t="n">
        <v>1.1</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12018-2026</t>
        </is>
      </c>
      <c r="B1976" t="inlineStr">
        <is>
          <t>avverkningsanmälan</t>
        </is>
      </c>
      <c r="C1976" t="inlineStr">
        <is>
          <t>Föryngringsavverkning</t>
        </is>
      </c>
      <c r="D1976" s="1" t="n">
        <v>46085</v>
      </c>
      <c r="E1976" s="1" t="n">
        <v>46316</v>
      </c>
      <c r="F1976" t="inlineStr">
        <is>
          <t>KRONOBERGS LÄN</t>
        </is>
      </c>
      <c r="G1976" t="inlineStr">
        <is>
          <t>MARKARYD</t>
        </is>
      </c>
      <c r="I1976" t="n">
        <v>0.2</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12020-2026</t>
        </is>
      </c>
      <c r="B1977" t="inlineStr">
        <is>
          <t>avverkningsanmälan</t>
        </is>
      </c>
      <c r="C1977" t="inlineStr">
        <is>
          <t>Föryngringsavverkning</t>
        </is>
      </c>
      <c r="D1977" s="1" t="n">
        <v>46085</v>
      </c>
      <c r="E1977" s="1" t="n">
        <v>46316</v>
      </c>
      <c r="F1977" t="inlineStr">
        <is>
          <t>KRONOBERGS LÄN</t>
        </is>
      </c>
      <c r="G1977" t="inlineStr">
        <is>
          <t>MARKARYD</t>
        </is>
      </c>
      <c r="I1977" t="n">
        <v>1.6</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12021-2026</t>
        </is>
      </c>
      <c r="B1978" t="inlineStr">
        <is>
          <t>avverkningsanmälan</t>
        </is>
      </c>
      <c r="C1978" t="inlineStr">
        <is>
          <t>Föryngringsavverkning</t>
        </is>
      </c>
      <c r="D1978" s="1" t="n">
        <v>46085</v>
      </c>
      <c r="E1978" s="1" t="n">
        <v>46316</v>
      </c>
      <c r="F1978" t="inlineStr">
        <is>
          <t>KRONOBERGS LÄN</t>
        </is>
      </c>
      <c r="G1978" t="inlineStr">
        <is>
          <t>MARKARYD</t>
        </is>
      </c>
      <c r="I1978" t="n">
        <v>1</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12022-2026</t>
        </is>
      </c>
      <c r="B1979" t="inlineStr">
        <is>
          <t>avverkningsanmälan</t>
        </is>
      </c>
      <c r="C1979" t="inlineStr">
        <is>
          <t>Föryngringsavverkning</t>
        </is>
      </c>
      <c r="D1979" s="1" t="n">
        <v>46085</v>
      </c>
      <c r="E1979" s="1" t="n">
        <v>46316</v>
      </c>
      <c r="F1979" t="inlineStr">
        <is>
          <t>KRONOBERGS LÄN</t>
        </is>
      </c>
      <c r="G1979" t="inlineStr">
        <is>
          <t>MARKARYD</t>
        </is>
      </c>
      <c r="I1979" t="n">
        <v>0.2</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11777-2026</t>
        </is>
      </c>
      <c r="B1980" t="inlineStr">
        <is>
          <t>avverkningsanmälan</t>
        </is>
      </c>
      <c r="C1980" t="inlineStr">
        <is>
          <t>Föryngringsavverkning</t>
        </is>
      </c>
      <c r="D1980" s="1" t="n">
        <v>46084</v>
      </c>
      <c r="E1980" s="1" t="n">
        <v>46316</v>
      </c>
      <c r="F1980" t="inlineStr">
        <is>
          <t>KRONOBERGS LÄN</t>
        </is>
      </c>
      <c r="G1980" t="inlineStr">
        <is>
          <t>LJUNGBY</t>
        </is>
      </c>
      <c r="I1980" t="n">
        <v>1</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12524-2026</t>
        </is>
      </c>
      <c r="B1981" t="inlineStr">
        <is>
          <t>avverkningsanmälan</t>
        </is>
      </c>
      <c r="C1981" t="inlineStr">
        <is>
          <t>Föryngringsavverkning</t>
        </is>
      </c>
      <c r="D1981" s="1" t="n">
        <v>46090</v>
      </c>
      <c r="E1981" s="1" t="n">
        <v>46316</v>
      </c>
      <c r="F1981" t="inlineStr">
        <is>
          <t>KRONOBERGS LÄN</t>
        </is>
      </c>
      <c r="G1981" t="inlineStr">
        <is>
          <t>MARKARYD</t>
        </is>
      </c>
      <c r="H1981" t="inlineStr">
        <is>
          <t>Sveaskog</t>
        </is>
      </c>
      <c r="I1981" t="n">
        <v>2</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3257-2023</t>
        </is>
      </c>
      <c r="B1982" t="inlineStr">
        <is>
          <t>avverkningsanmälan</t>
        </is>
      </c>
      <c r="C1982" t="inlineStr">
        <is>
          <t>Föryngringsavverkning</t>
        </is>
      </c>
      <c r="D1982" s="1" t="n">
        <v>44948</v>
      </c>
      <c r="E1982" s="1" t="n">
        <v>46316</v>
      </c>
      <c r="F1982" t="inlineStr">
        <is>
          <t>KRONOBERGS LÄN</t>
        </is>
      </c>
      <c r="G1982" t="inlineStr">
        <is>
          <t>ALVESTA</t>
        </is>
      </c>
      <c r="I1982" t="n">
        <v>1</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59366-2024</t>
        </is>
      </c>
      <c r="B1983" t="inlineStr">
        <is>
          <t>avverkningsanmälan</t>
        </is>
      </c>
      <c r="C1983" t="inlineStr">
        <is>
          <t>Avverkning för annat ändamål</t>
        </is>
      </c>
      <c r="D1983" s="1" t="n">
        <v>45638</v>
      </c>
      <c r="E1983" s="1" t="n">
        <v>46316</v>
      </c>
      <c r="F1983" t="inlineStr">
        <is>
          <t>KRONOBERGS LÄN</t>
        </is>
      </c>
      <c r="G1983" t="inlineStr">
        <is>
          <t>VÄXJÖ</t>
        </is>
      </c>
      <c r="I1983" t="n">
        <v>1.2</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20854-2025</t>
        </is>
      </c>
      <c r="B1984" t="inlineStr">
        <is>
          <t>avverkningsanmälan</t>
        </is>
      </c>
      <c r="C1984" t="inlineStr">
        <is>
          <t>Föryngringsavverkning</t>
        </is>
      </c>
      <c r="D1984" s="1" t="n">
        <v>45777</v>
      </c>
      <c r="E1984" s="1" t="n">
        <v>46316</v>
      </c>
      <c r="F1984" t="inlineStr">
        <is>
          <t>KRONOBERGS LÄN</t>
        </is>
      </c>
      <c r="G1984" t="inlineStr">
        <is>
          <t>LESSEBO</t>
        </is>
      </c>
      <c r="H1984" t="inlineStr">
        <is>
          <t>Sveaskog</t>
        </is>
      </c>
      <c r="I1984" t="n">
        <v>0.5</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23857-2025</t>
        </is>
      </c>
      <c r="B1985" t="inlineStr">
        <is>
          <t>avverkningsanmälan</t>
        </is>
      </c>
      <c r="C1985" t="inlineStr">
        <is>
          <t>Föryngringsavverkning</t>
        </is>
      </c>
      <c r="D1985" s="1" t="n">
        <v>45793</v>
      </c>
      <c r="E1985" s="1" t="n">
        <v>46316</v>
      </c>
      <c r="F1985" t="inlineStr">
        <is>
          <t>KRONOBERGS LÄN</t>
        </is>
      </c>
      <c r="G1985" t="inlineStr">
        <is>
          <t>LJUNGBY</t>
        </is>
      </c>
      <c r="I1985" t="n">
        <v>1.8</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14941-2023</t>
        </is>
      </c>
      <c r="B1986" t="inlineStr">
        <is>
          <t>avverkningsanmälan</t>
        </is>
      </c>
      <c r="C1986" t="inlineStr">
        <is>
          <t>Föryngringsavverkning</t>
        </is>
      </c>
      <c r="D1986" s="1" t="n">
        <v>45015</v>
      </c>
      <c r="E1986" s="1" t="n">
        <v>46316</v>
      </c>
      <c r="F1986" t="inlineStr">
        <is>
          <t>KRONOBERGS LÄN</t>
        </is>
      </c>
      <c r="G1986" t="inlineStr">
        <is>
          <t>ALVESTA</t>
        </is>
      </c>
      <c r="I1986" t="n">
        <v>0.6</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12310-2026</t>
        </is>
      </c>
      <c r="B1987" t="inlineStr">
        <is>
          <t>avverkningsanmälan</t>
        </is>
      </c>
      <c r="C1987" t="inlineStr">
        <is>
          <t>Föryngringsavverkning</t>
        </is>
      </c>
      <c r="D1987" s="1" t="n">
        <v>46087</v>
      </c>
      <c r="E1987" s="1" t="n">
        <v>46316</v>
      </c>
      <c r="F1987" t="inlineStr">
        <is>
          <t>KRONOBERGS LÄN</t>
        </is>
      </c>
      <c r="G1987" t="inlineStr">
        <is>
          <t>LJUNGBY</t>
        </is>
      </c>
      <c r="I1987" t="n">
        <v>0.4</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13227-2025</t>
        </is>
      </c>
      <c r="B1988" t="inlineStr">
        <is>
          <t>avverkningsanmälan</t>
        </is>
      </c>
      <c r="C1988" t="inlineStr">
        <is>
          <t>Föryngringsavverkning</t>
        </is>
      </c>
      <c r="D1988" s="1" t="n">
        <v>45735</v>
      </c>
      <c r="E1988" s="1" t="n">
        <v>46316</v>
      </c>
      <c r="F1988" t="inlineStr">
        <is>
          <t>KRONOBERGS LÄN</t>
        </is>
      </c>
      <c r="G1988" t="inlineStr">
        <is>
          <t>LJUNGBY</t>
        </is>
      </c>
      <c r="I1988" t="n">
        <v>2.1</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32487-2023</t>
        </is>
      </c>
      <c r="B1989" t="inlineStr">
        <is>
          <t>avverkningsanmälan</t>
        </is>
      </c>
      <c r="C1989" t="inlineStr">
        <is>
          <t>Föryngringsavverkning</t>
        </is>
      </c>
      <c r="D1989" s="1" t="n">
        <v>45121</v>
      </c>
      <c r="E1989" s="1" t="n">
        <v>46316</v>
      </c>
      <c r="F1989" t="inlineStr">
        <is>
          <t>KRONOBERGS LÄN</t>
        </is>
      </c>
      <c r="G1989" t="inlineStr">
        <is>
          <t>VÄXJÖ</t>
        </is>
      </c>
      <c r="I1989" t="n">
        <v>0.4</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32492-2023</t>
        </is>
      </c>
      <c r="B1990" t="inlineStr">
        <is>
          <t>avverkningsanmälan</t>
        </is>
      </c>
      <c r="C1990" t="inlineStr">
        <is>
          <t>Föryngringsavverkning</t>
        </is>
      </c>
      <c r="D1990" s="1" t="n">
        <v>45121</v>
      </c>
      <c r="E1990" s="1" t="n">
        <v>46316</v>
      </c>
      <c r="F1990" t="inlineStr">
        <is>
          <t>KRONOBERGS LÄN</t>
        </is>
      </c>
      <c r="G1990" t="inlineStr">
        <is>
          <t>VÄXJÖ</t>
        </is>
      </c>
      <c r="I1990" t="n">
        <v>1.4</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32496-2023</t>
        </is>
      </c>
      <c r="B1991" t="inlineStr">
        <is>
          <t>avverkningsanmälan</t>
        </is>
      </c>
      <c r="C1991" t="inlineStr">
        <is>
          <t>Föryngringsavverkning</t>
        </is>
      </c>
      <c r="D1991" s="1" t="n">
        <v>45121</v>
      </c>
      <c r="E1991" s="1" t="n">
        <v>46316</v>
      </c>
      <c r="F1991" t="inlineStr">
        <is>
          <t>KRONOBERGS LÄN</t>
        </is>
      </c>
      <c r="G1991" t="inlineStr">
        <is>
          <t>VÄXJÖ</t>
        </is>
      </c>
      <c r="I1991" t="n">
        <v>1.7</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49292-2022</t>
        </is>
      </c>
      <c r="B1992" t="inlineStr">
        <is>
          <t>avverkningsanmälan</t>
        </is>
      </c>
      <c r="C1992" t="inlineStr">
        <is>
          <t>Föryngringsavverkning</t>
        </is>
      </c>
      <c r="D1992" s="1" t="n">
        <v>44861</v>
      </c>
      <c r="E1992" s="1" t="n">
        <v>46316</v>
      </c>
      <c r="F1992" t="inlineStr">
        <is>
          <t>KRONOBERGS LÄN</t>
        </is>
      </c>
      <c r="G1992" t="inlineStr">
        <is>
          <t>ÄLMHULT</t>
        </is>
      </c>
      <c r="I1992" t="n">
        <v>2.8</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29915-2025</t>
        </is>
      </c>
      <c r="B1993" t="inlineStr">
        <is>
          <t>avverkningsanmälan</t>
        </is>
      </c>
      <c r="C1993" t="inlineStr">
        <is>
          <t>Föryngringsavverkning</t>
        </is>
      </c>
      <c r="D1993" s="1" t="n">
        <v>45826</v>
      </c>
      <c r="E1993" s="1" t="n">
        <v>46316</v>
      </c>
      <c r="F1993" t="inlineStr">
        <is>
          <t>KRONOBERGS LÄN</t>
        </is>
      </c>
      <c r="G1993" t="inlineStr">
        <is>
          <t>LJUNGBY</t>
        </is>
      </c>
      <c r="I1993" t="n">
        <v>2</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50862-2025</t>
        </is>
      </c>
      <c r="B1994" t="inlineStr">
        <is>
          <t>avverkningsanmälan</t>
        </is>
      </c>
      <c r="C1994" t="inlineStr">
        <is>
          <t>Föryngringsavverkning</t>
        </is>
      </c>
      <c r="D1994" s="1" t="n">
        <v>45946</v>
      </c>
      <c r="E1994" s="1" t="n">
        <v>46316</v>
      </c>
      <c r="F1994" t="inlineStr">
        <is>
          <t>KRONOBERGS LÄN</t>
        </is>
      </c>
      <c r="G1994" t="inlineStr">
        <is>
          <t>LJUNGBY</t>
        </is>
      </c>
      <c r="I1994" t="n">
        <v>0.2</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24981-2023</t>
        </is>
      </c>
      <c r="B1995" t="inlineStr">
        <is>
          <t>avverkningsanmälan</t>
        </is>
      </c>
      <c r="C1995" t="inlineStr">
        <is>
          <t>Föryngringsavverkning</t>
        </is>
      </c>
      <c r="D1995" s="1" t="n">
        <v>45085</v>
      </c>
      <c r="E1995" s="1" t="n">
        <v>46316</v>
      </c>
      <c r="F1995" t="inlineStr">
        <is>
          <t>KRONOBERGS LÄN</t>
        </is>
      </c>
      <c r="G1995" t="inlineStr">
        <is>
          <t>TINGSRYD</t>
        </is>
      </c>
      <c r="I1995" t="n">
        <v>0.9</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60118-2023</t>
        </is>
      </c>
      <c r="B1996" t="inlineStr">
        <is>
          <t>avverkningsanmälan</t>
        </is>
      </c>
      <c r="C1996" t="inlineStr">
        <is>
          <t>Föryngringsavverkning</t>
        </is>
      </c>
      <c r="D1996" s="1" t="n">
        <v>45258</v>
      </c>
      <c r="E1996" s="1" t="n">
        <v>46316</v>
      </c>
      <c r="F1996" t="inlineStr">
        <is>
          <t>KRONOBERGS LÄN</t>
        </is>
      </c>
      <c r="G1996" t="inlineStr">
        <is>
          <t>MARKARYD</t>
        </is>
      </c>
      <c r="I1996" t="n">
        <v>0.9</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12388-2026</t>
        </is>
      </c>
      <c r="B1997" t="inlineStr">
        <is>
          <t>avverkningsanmälan</t>
        </is>
      </c>
      <c r="C1997" t="inlineStr">
        <is>
          <t>Föryngringsavverkning</t>
        </is>
      </c>
      <c r="D1997" s="1" t="n">
        <v>46090</v>
      </c>
      <c r="E1997" s="1" t="n">
        <v>46316</v>
      </c>
      <c r="F1997" t="inlineStr">
        <is>
          <t>KRONOBERGS LÄN</t>
        </is>
      </c>
      <c r="G1997" t="inlineStr">
        <is>
          <t>TINGSRYD</t>
        </is>
      </c>
      <c r="I1997" t="n">
        <v>1.2</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3565-2023</t>
        </is>
      </c>
      <c r="B1998" t="inlineStr">
        <is>
          <t>avverkningsanmälan</t>
        </is>
      </c>
      <c r="C1998" t="inlineStr">
        <is>
          <t>Föryngringsavverkning</t>
        </is>
      </c>
      <c r="D1998" s="1" t="n">
        <v>44950</v>
      </c>
      <c r="E1998" s="1" t="n">
        <v>46316</v>
      </c>
      <c r="F1998" t="inlineStr">
        <is>
          <t>KRONOBERGS LÄN</t>
        </is>
      </c>
      <c r="G1998" t="inlineStr">
        <is>
          <t>VÄXJÖ</t>
        </is>
      </c>
      <c r="I1998" t="n">
        <v>1.1</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30230-2025</t>
        </is>
      </c>
      <c r="B1999" t="inlineStr">
        <is>
          <t>avverkningsanmälan</t>
        </is>
      </c>
      <c r="C1999" t="inlineStr">
        <is>
          <t>Föryngringsavverkning</t>
        </is>
      </c>
      <c r="D1999" s="1" t="n">
        <v>45827</v>
      </c>
      <c r="E1999" s="1" t="n">
        <v>46316</v>
      </c>
      <c r="F1999" t="inlineStr">
        <is>
          <t>KRONOBERGS LÄN</t>
        </is>
      </c>
      <c r="G1999" t="inlineStr">
        <is>
          <t>TINGSRYD</t>
        </is>
      </c>
      <c r="I1999" t="n">
        <v>1.1</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12253-2026</t>
        </is>
      </c>
      <c r="B2000" t="inlineStr">
        <is>
          <t>avverkningsanmälan</t>
        </is>
      </c>
      <c r="C2000" t="inlineStr">
        <is>
          <t>Föryngringsavverkning</t>
        </is>
      </c>
      <c r="D2000" s="1" t="n">
        <v>46087</v>
      </c>
      <c r="E2000" s="1" t="n">
        <v>46316</v>
      </c>
      <c r="F2000" t="inlineStr">
        <is>
          <t>KRONOBERGS LÄN</t>
        </is>
      </c>
      <c r="G2000" t="inlineStr">
        <is>
          <t>VÄXJÖ</t>
        </is>
      </c>
      <c r="I2000" t="n">
        <v>1.7</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5777-2024</t>
        </is>
      </c>
      <c r="B2001" t="inlineStr">
        <is>
          <t>avverkningsanmälan</t>
        </is>
      </c>
      <c r="C2001" t="inlineStr">
        <is>
          <t>Föryngringsavverkning</t>
        </is>
      </c>
      <c r="D2001" s="1" t="n">
        <v>45335</v>
      </c>
      <c r="E2001" s="1" t="n">
        <v>46316</v>
      </c>
      <c r="F2001" t="inlineStr">
        <is>
          <t>KRONOBERGS LÄN</t>
        </is>
      </c>
      <c r="G2001" t="inlineStr">
        <is>
          <t>ÄLMHULT</t>
        </is>
      </c>
      <c r="I2001" t="n">
        <v>8.300000000000001</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40210-2023</t>
        </is>
      </c>
      <c r="B2002" t="inlineStr">
        <is>
          <t>avverkningsanmälan</t>
        </is>
      </c>
      <c r="C2002" t="inlineStr">
        <is>
          <t>Föryngringsavverkning</t>
        </is>
      </c>
      <c r="D2002" s="1" t="n">
        <v>45169</v>
      </c>
      <c r="E2002" s="1" t="n">
        <v>46316</v>
      </c>
      <c r="F2002" t="inlineStr">
        <is>
          <t>KRONOBERGS LÄN</t>
        </is>
      </c>
      <c r="G2002" t="inlineStr">
        <is>
          <t>VÄXJÖ</t>
        </is>
      </c>
      <c r="I2002" t="n">
        <v>0.7</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12521-2026</t>
        </is>
      </c>
      <c r="B2003" t="inlineStr">
        <is>
          <t>avverkningsanmälan</t>
        </is>
      </c>
      <c r="C2003" t="inlineStr">
        <is>
          <t>Föryngringsavverkning</t>
        </is>
      </c>
      <c r="D2003" s="1" t="n">
        <v>46090</v>
      </c>
      <c r="E2003" s="1" t="n">
        <v>46316</v>
      </c>
      <c r="F2003" t="inlineStr">
        <is>
          <t>KRONOBERGS LÄN</t>
        </is>
      </c>
      <c r="G2003" t="inlineStr">
        <is>
          <t>MARKARYD</t>
        </is>
      </c>
      <c r="H2003" t="inlineStr">
        <is>
          <t>Sveaskog</t>
        </is>
      </c>
      <c r="I2003" t="n">
        <v>4.2</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12522-2026</t>
        </is>
      </c>
      <c r="B2004" t="inlineStr">
        <is>
          <t>avverkningsanmälan</t>
        </is>
      </c>
      <c r="C2004" t="inlineStr">
        <is>
          <t>Föryngringsavverkning</t>
        </is>
      </c>
      <c r="D2004" s="1" t="n">
        <v>46090</v>
      </c>
      <c r="E2004" s="1" t="n">
        <v>46316</v>
      </c>
      <c r="F2004" t="inlineStr">
        <is>
          <t>KRONOBERGS LÄN</t>
        </is>
      </c>
      <c r="G2004" t="inlineStr">
        <is>
          <t>MARKARYD</t>
        </is>
      </c>
      <c r="H2004" t="inlineStr">
        <is>
          <t>Sveaskog</t>
        </is>
      </c>
      <c r="I2004" t="n">
        <v>5.4</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12526-2026</t>
        </is>
      </c>
      <c r="B2005" t="inlineStr">
        <is>
          <t>avverkningsanmälan</t>
        </is>
      </c>
      <c r="C2005" t="inlineStr">
        <is>
          <t>Föryngringsavverkning</t>
        </is>
      </c>
      <c r="D2005" s="1" t="n">
        <v>46090</v>
      </c>
      <c r="E2005" s="1" t="n">
        <v>46316</v>
      </c>
      <c r="F2005" t="inlineStr">
        <is>
          <t>KRONOBERGS LÄN</t>
        </is>
      </c>
      <c r="G2005" t="inlineStr">
        <is>
          <t>MARKARYD</t>
        </is>
      </c>
      <c r="H2005" t="inlineStr">
        <is>
          <t>Sveaskog</t>
        </is>
      </c>
      <c r="I2005" t="n">
        <v>1.5</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14387-2024</t>
        </is>
      </c>
      <c r="B2006" t="inlineStr">
        <is>
          <t>avverkningsanmälan</t>
        </is>
      </c>
      <c r="C2006" t="inlineStr">
        <is>
          <t>Föryngringsavverkning</t>
        </is>
      </c>
      <c r="D2006" s="1" t="n">
        <v>45394</v>
      </c>
      <c r="E2006" s="1" t="n">
        <v>46316</v>
      </c>
      <c r="F2006" t="inlineStr">
        <is>
          <t>KRONOBERGS LÄN</t>
        </is>
      </c>
      <c r="G2006" t="inlineStr">
        <is>
          <t>TINGSRYD</t>
        </is>
      </c>
      <c r="I2006" t="n">
        <v>0.5</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12258-2026</t>
        </is>
      </c>
      <c r="B2007" t="inlineStr">
        <is>
          <t>avverkningsanmälan</t>
        </is>
      </c>
      <c r="C2007" t="inlineStr">
        <is>
          <t>Avverkning för annat ändamål</t>
        </is>
      </c>
      <c r="D2007" s="1" t="n">
        <v>46087</v>
      </c>
      <c r="E2007" s="1" t="n">
        <v>46316</v>
      </c>
      <c r="F2007" t="inlineStr">
        <is>
          <t>KRONOBERGS LÄN</t>
        </is>
      </c>
      <c r="G2007" t="inlineStr">
        <is>
          <t>ALVESTA</t>
        </is>
      </c>
      <c r="I2007" t="n">
        <v>1.5</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21201-2023</t>
        </is>
      </c>
      <c r="B2008" t="inlineStr">
        <is>
          <t>avverkningsanmälan</t>
        </is>
      </c>
      <c r="C2008" t="inlineStr">
        <is>
          <t>Föryngringsavverkning</t>
        </is>
      </c>
      <c r="D2008" s="1" t="n">
        <v>45062</v>
      </c>
      <c r="E2008" s="1" t="n">
        <v>46316</v>
      </c>
      <c r="F2008" t="inlineStr">
        <is>
          <t>KRONOBERGS LÄN</t>
        </is>
      </c>
      <c r="G2008" t="inlineStr">
        <is>
          <t>ÄLMHULT</t>
        </is>
      </c>
      <c r="I2008" t="n">
        <v>0.6</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12530-2026</t>
        </is>
      </c>
      <c r="B2009" t="inlineStr">
        <is>
          <t>avverkningsanmälan</t>
        </is>
      </c>
      <c r="C2009" t="inlineStr">
        <is>
          <t>Föryngringsavverkning</t>
        </is>
      </c>
      <c r="D2009" s="1" t="n">
        <v>46090</v>
      </c>
      <c r="E2009" s="1" t="n">
        <v>46316</v>
      </c>
      <c r="F2009" t="inlineStr">
        <is>
          <t>KRONOBERGS LÄN</t>
        </is>
      </c>
      <c r="G2009" t="inlineStr">
        <is>
          <t>MARKARYD</t>
        </is>
      </c>
      <c r="H2009" t="inlineStr">
        <is>
          <t>Sveaskog</t>
        </is>
      </c>
      <c r="I2009" t="n">
        <v>2.7</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12531-2026</t>
        </is>
      </c>
      <c r="B2010" t="inlineStr">
        <is>
          <t>avverkningsanmälan</t>
        </is>
      </c>
      <c r="C2010" t="inlineStr">
        <is>
          <t>Föryngringsavverkning</t>
        </is>
      </c>
      <c r="D2010" s="1" t="n">
        <v>46090</v>
      </c>
      <c r="E2010" s="1" t="n">
        <v>46316</v>
      </c>
      <c r="F2010" t="inlineStr">
        <is>
          <t>KRONOBERGS LÄN</t>
        </is>
      </c>
      <c r="G2010" t="inlineStr">
        <is>
          <t>MARKARYD</t>
        </is>
      </c>
      <c r="H2010" t="inlineStr">
        <is>
          <t>Sveaskog</t>
        </is>
      </c>
      <c r="I2010" t="n">
        <v>1.9</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51190-2025</t>
        </is>
      </c>
      <c r="B2011" t="inlineStr">
        <is>
          <t>avverkningsanmälan</t>
        </is>
      </c>
      <c r="C2011" t="inlineStr">
        <is>
          <t>Föryngringsavverkning</t>
        </is>
      </c>
      <c r="D2011" s="1" t="n">
        <v>45947</v>
      </c>
      <c r="E2011" s="1" t="n">
        <v>46316</v>
      </c>
      <c r="F2011" t="inlineStr">
        <is>
          <t>KRONOBERGS LÄN</t>
        </is>
      </c>
      <c r="G2011" t="inlineStr">
        <is>
          <t>ÄLMHULT</t>
        </is>
      </c>
      <c r="I2011" t="n">
        <v>1.8</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17212-2024</t>
        </is>
      </c>
      <c r="B2012" t="inlineStr">
        <is>
          <t>avverkningsanmälan</t>
        </is>
      </c>
      <c r="C2012" t="inlineStr">
        <is>
          <t>Föryngringsavverkning</t>
        </is>
      </c>
      <c r="D2012" s="1" t="n">
        <v>45414</v>
      </c>
      <c r="E2012" s="1" t="n">
        <v>46316</v>
      </c>
      <c r="F2012" t="inlineStr">
        <is>
          <t>KRONOBERGS LÄN</t>
        </is>
      </c>
      <c r="G2012" t="inlineStr">
        <is>
          <t>ÄLMHULT</t>
        </is>
      </c>
      <c r="I2012" t="n">
        <v>1.5</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17504-2023</t>
        </is>
      </c>
      <c r="B2013" t="inlineStr">
        <is>
          <t>avverkningsanmälan</t>
        </is>
      </c>
      <c r="C2013" t="inlineStr">
        <is>
          <t>Föryngringsavverkning</t>
        </is>
      </c>
      <c r="D2013" s="1" t="n">
        <v>45036</v>
      </c>
      <c r="E2013" s="1" t="n">
        <v>46316</v>
      </c>
      <c r="F2013" t="inlineStr">
        <is>
          <t>KRONOBERGS LÄN</t>
        </is>
      </c>
      <c r="G2013" t="inlineStr">
        <is>
          <t>VÄXJÖ</t>
        </is>
      </c>
      <c r="I2013" t="n">
        <v>2.9</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42671-2023</t>
        </is>
      </c>
      <c r="B2014" t="inlineStr">
        <is>
          <t>avverkningsanmälan</t>
        </is>
      </c>
      <c r="C2014" t="inlineStr">
        <is>
          <t>Föryngringsavverkning</t>
        </is>
      </c>
      <c r="D2014" s="1" t="n">
        <v>45181</v>
      </c>
      <c r="E2014" s="1" t="n">
        <v>46316</v>
      </c>
      <c r="F2014" t="inlineStr">
        <is>
          <t>KRONOBERGS LÄN</t>
        </is>
      </c>
      <c r="G2014" t="inlineStr">
        <is>
          <t>MARKARYD</t>
        </is>
      </c>
      <c r="H2014" t="inlineStr">
        <is>
          <t>Sveaskog</t>
        </is>
      </c>
      <c r="I2014" t="n">
        <v>0.6</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37701-2022</t>
        </is>
      </c>
      <c r="B2015" t="inlineStr">
        <is>
          <t>avverkningsanmälan</t>
        </is>
      </c>
      <c r="C2015" t="inlineStr">
        <is>
          <t>Föryngringsavverkning</t>
        </is>
      </c>
      <c r="D2015" s="1" t="n">
        <v>44810</v>
      </c>
      <c r="E2015" s="1" t="n">
        <v>46316</v>
      </c>
      <c r="F2015" t="inlineStr">
        <is>
          <t>KRONOBERGS LÄN</t>
        </is>
      </c>
      <c r="G2015" t="inlineStr">
        <is>
          <t>LJUNGBY</t>
        </is>
      </c>
      <c r="I2015" t="n">
        <v>4</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59692-2022</t>
        </is>
      </c>
      <c r="B2016" t="inlineStr">
        <is>
          <t>avverkningsanmälan</t>
        </is>
      </c>
      <c r="C2016" t="inlineStr">
        <is>
          <t>Föryngringsavverkning</t>
        </is>
      </c>
      <c r="D2016" s="1" t="n">
        <v>44908</v>
      </c>
      <c r="E2016" s="1" t="n">
        <v>46316</v>
      </c>
      <c r="F2016" t="inlineStr">
        <is>
          <t>KRONOBERGS LÄN</t>
        </is>
      </c>
      <c r="G2016" t="inlineStr">
        <is>
          <t>LJUNGBY</t>
        </is>
      </c>
      <c r="H2016" t="inlineStr">
        <is>
          <t>Sveaskog</t>
        </is>
      </c>
      <c r="I2016" t="n">
        <v>2.3</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35732-2024</t>
        </is>
      </c>
      <c r="B2017" t="inlineStr">
        <is>
          <t>avverkningsanmälan</t>
        </is>
      </c>
      <c r="C2017" t="inlineStr">
        <is>
          <t>Föryngringsavverkning</t>
        </is>
      </c>
      <c r="D2017" s="1" t="n">
        <v>45532</v>
      </c>
      <c r="E2017" s="1" t="n">
        <v>46316</v>
      </c>
      <c r="F2017" t="inlineStr">
        <is>
          <t>KRONOBERGS LÄN</t>
        </is>
      </c>
      <c r="G2017" t="inlineStr">
        <is>
          <t>ALVESTA</t>
        </is>
      </c>
      <c r="I2017" t="n">
        <v>0.5</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51481-2025</t>
        </is>
      </c>
      <c r="B2018" t="inlineStr">
        <is>
          <t>avverkningsanmälan</t>
        </is>
      </c>
      <c r="C2018" t="inlineStr">
        <is>
          <t>Föryngringsavverkning</t>
        </is>
      </c>
      <c r="D2018" s="1" t="n">
        <v>45950</v>
      </c>
      <c r="E2018" s="1" t="n">
        <v>46316</v>
      </c>
      <c r="F2018" t="inlineStr">
        <is>
          <t>KRONOBERGS LÄN</t>
        </is>
      </c>
      <c r="G2018" t="inlineStr">
        <is>
          <t>LJUNGBY</t>
        </is>
      </c>
      <c r="I2018" t="n">
        <v>1</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12608-2023</t>
        </is>
      </c>
      <c r="B2019" t="inlineStr">
        <is>
          <t>avverkningsanmälan</t>
        </is>
      </c>
      <c r="C2019" t="inlineStr">
        <is>
          <t>Föryngringsavverkning</t>
        </is>
      </c>
      <c r="D2019" s="1" t="n">
        <v>45000</v>
      </c>
      <c r="E2019" s="1" t="n">
        <v>46316</v>
      </c>
      <c r="F2019" t="inlineStr">
        <is>
          <t>KRONOBERGS LÄN</t>
        </is>
      </c>
      <c r="G2019" t="inlineStr">
        <is>
          <t>ALVESTA</t>
        </is>
      </c>
      <c r="I2019" t="n">
        <v>1.1</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41772-2023</t>
        </is>
      </c>
      <c r="B2020" t="inlineStr">
        <is>
          <t>avverkningsanmälan</t>
        </is>
      </c>
      <c r="C2020" t="inlineStr">
        <is>
          <t>Föryngringsavverkning</t>
        </is>
      </c>
      <c r="D2020" s="1" t="n">
        <v>45176</v>
      </c>
      <c r="E2020" s="1" t="n">
        <v>46316</v>
      </c>
      <c r="F2020" t="inlineStr">
        <is>
          <t>KRONOBERGS LÄN</t>
        </is>
      </c>
      <c r="G2020" t="inlineStr">
        <is>
          <t>TINGSRYD</t>
        </is>
      </c>
      <c r="I2020" t="n">
        <v>2.3</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45893-2025</t>
        </is>
      </c>
      <c r="B2021" t="inlineStr">
        <is>
          <t>avverkningsanmälan</t>
        </is>
      </c>
      <c r="C2021" t="inlineStr">
        <is>
          <t>Föryngringsavverkning</t>
        </is>
      </c>
      <c r="D2021" s="1" t="n">
        <v>45923</v>
      </c>
      <c r="E2021" s="1" t="n">
        <v>46316</v>
      </c>
      <c r="F2021" t="inlineStr">
        <is>
          <t>KRONOBERGS LÄN</t>
        </is>
      </c>
      <c r="G2021" t="inlineStr">
        <is>
          <t>VÄXJÖ</t>
        </is>
      </c>
      <c r="I2021" t="n">
        <v>3.6</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61422-2023</t>
        </is>
      </c>
      <c r="B2022" t="inlineStr">
        <is>
          <t>avverkningsanmälan</t>
        </is>
      </c>
      <c r="C2022" t="inlineStr">
        <is>
          <t>Föryngringsavverkning</t>
        </is>
      </c>
      <c r="D2022" s="1" t="n">
        <v>45264</v>
      </c>
      <c r="E2022" s="1" t="n">
        <v>46316</v>
      </c>
      <c r="F2022" t="inlineStr">
        <is>
          <t>KRONOBERGS LÄN</t>
        </is>
      </c>
      <c r="G2022" t="inlineStr">
        <is>
          <t>LJUNGBY</t>
        </is>
      </c>
      <c r="I2022" t="n">
        <v>0.5</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51459-2025</t>
        </is>
      </c>
      <c r="B2023" t="inlineStr">
        <is>
          <t>avverkningsanmälan</t>
        </is>
      </c>
      <c r="C2023" t="inlineStr">
        <is>
          <t>Föryngringsavverkning</t>
        </is>
      </c>
      <c r="D2023" s="1" t="n">
        <v>45950</v>
      </c>
      <c r="E2023" s="1" t="n">
        <v>46316</v>
      </c>
      <c r="F2023" t="inlineStr">
        <is>
          <t>KRONOBERGS LÄN</t>
        </is>
      </c>
      <c r="G2023" t="inlineStr">
        <is>
          <t>LJUNGBY</t>
        </is>
      </c>
      <c r="I2023" t="n">
        <v>1.5</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51463-2025</t>
        </is>
      </c>
      <c r="B2024" t="inlineStr">
        <is>
          <t>avverkningsanmälan</t>
        </is>
      </c>
      <c r="C2024" t="inlineStr">
        <is>
          <t>Föryngringsavverkning</t>
        </is>
      </c>
      <c r="D2024" s="1" t="n">
        <v>45950</v>
      </c>
      <c r="E2024" s="1" t="n">
        <v>46316</v>
      </c>
      <c r="F2024" t="inlineStr">
        <is>
          <t>KRONOBERGS LÄN</t>
        </is>
      </c>
      <c r="G2024" t="inlineStr">
        <is>
          <t>LJUNGBY</t>
        </is>
      </c>
      <c r="I2024" t="n">
        <v>1.2</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44480-2025</t>
        </is>
      </c>
      <c r="B2025" t="inlineStr">
        <is>
          <t>avverkningsanmälan</t>
        </is>
      </c>
      <c r="C2025" t="inlineStr">
        <is>
          <t>Föryngringsavverkning</t>
        </is>
      </c>
      <c r="D2025" s="1" t="n">
        <v>45916</v>
      </c>
      <c r="E2025" s="1" t="n">
        <v>46316</v>
      </c>
      <c r="F2025" t="inlineStr">
        <is>
          <t>KRONOBERGS LÄN</t>
        </is>
      </c>
      <c r="G2025" t="inlineStr">
        <is>
          <t>ÄLMHULT</t>
        </is>
      </c>
      <c r="H2025" t="inlineStr">
        <is>
          <t>Sveaskog</t>
        </is>
      </c>
      <c r="I2025" t="n">
        <v>3.3</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17037-2024</t>
        </is>
      </c>
      <c r="B2026" t="inlineStr">
        <is>
          <t>avverkningsanmälan</t>
        </is>
      </c>
      <c r="C2026" t="inlineStr">
        <is>
          <t>Avverkning för annat ändamål</t>
        </is>
      </c>
      <c r="D2026" s="1" t="n">
        <v>45412</v>
      </c>
      <c r="E2026" s="1" t="n">
        <v>46316</v>
      </c>
      <c r="F2026" t="inlineStr">
        <is>
          <t>KRONOBERGS LÄN</t>
        </is>
      </c>
      <c r="G2026" t="inlineStr">
        <is>
          <t>LJUNGBY</t>
        </is>
      </c>
      <c r="I2026" t="n">
        <v>2.6</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18680-2023</t>
        </is>
      </c>
      <c r="B2027" t="inlineStr">
        <is>
          <t>avverkningsanmälan</t>
        </is>
      </c>
      <c r="C2027" t="inlineStr">
        <is>
          <t>Föryngringsavverkning</t>
        </is>
      </c>
      <c r="D2027" s="1" t="n">
        <v>45043</v>
      </c>
      <c r="E2027" s="1" t="n">
        <v>46316</v>
      </c>
      <c r="F2027" t="inlineStr">
        <is>
          <t>KRONOBERGS LÄN</t>
        </is>
      </c>
      <c r="G2027" t="inlineStr">
        <is>
          <t>ALVESTA</t>
        </is>
      </c>
      <c r="I2027" t="n">
        <v>1.4</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13533-2026</t>
        </is>
      </c>
      <c r="B2028" t="inlineStr">
        <is>
          <t>avverkningsanmälan</t>
        </is>
      </c>
      <c r="C2028" t="inlineStr">
        <is>
          <t>Föryngringsavverkning</t>
        </is>
      </c>
      <c r="D2028" s="1" t="n">
        <v>46094</v>
      </c>
      <c r="E2028" s="1" t="n">
        <v>46316</v>
      </c>
      <c r="F2028" t="inlineStr">
        <is>
          <t>KRONOBERGS LÄN</t>
        </is>
      </c>
      <c r="G2028" t="inlineStr">
        <is>
          <t>LJUNGBY</t>
        </is>
      </c>
      <c r="I2028" t="n">
        <v>3.1</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29767-2023</t>
        </is>
      </c>
      <c r="B2029" t="inlineStr">
        <is>
          <t>avverkningsanmälan</t>
        </is>
      </c>
      <c r="C2029" t="inlineStr">
        <is>
          <t>Föryngringsavverkning</t>
        </is>
      </c>
      <c r="D2029" s="1" t="n">
        <v>45107</v>
      </c>
      <c r="E2029" s="1" t="n">
        <v>46316</v>
      </c>
      <c r="F2029" t="inlineStr">
        <is>
          <t>KRONOBERGS LÄN</t>
        </is>
      </c>
      <c r="G2029" t="inlineStr">
        <is>
          <t>LESSEBO</t>
        </is>
      </c>
      <c r="I2029" t="n">
        <v>3.6</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13347-2026</t>
        </is>
      </c>
      <c r="B2030" t="inlineStr">
        <is>
          <t>avverkningsanmälan</t>
        </is>
      </c>
      <c r="C2030" t="inlineStr">
        <is>
          <t>Föryngringsavverkning</t>
        </is>
      </c>
      <c r="D2030" s="1" t="n">
        <v>46094</v>
      </c>
      <c r="E2030" s="1" t="n">
        <v>46316</v>
      </c>
      <c r="F2030" t="inlineStr">
        <is>
          <t>KRONOBERGS LÄN</t>
        </is>
      </c>
      <c r="G2030" t="inlineStr">
        <is>
          <t>LESSEBO</t>
        </is>
      </c>
      <c r="H2030" t="inlineStr">
        <is>
          <t>Kommuner</t>
        </is>
      </c>
      <c r="I2030" t="n">
        <v>0.9</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13146-2026</t>
        </is>
      </c>
      <c r="B2031" t="inlineStr">
        <is>
          <t>avverkningsanmälan</t>
        </is>
      </c>
      <c r="C2031" t="inlineStr">
        <is>
          <t>Föryngringsavverkning</t>
        </is>
      </c>
      <c r="D2031" s="1" t="n">
        <v>46093</v>
      </c>
      <c r="E2031" s="1" t="n">
        <v>46316</v>
      </c>
      <c r="F2031" t="inlineStr">
        <is>
          <t>KRONOBERGS LÄN</t>
        </is>
      </c>
      <c r="G2031" t="inlineStr">
        <is>
          <t>ÄLMHULT</t>
        </is>
      </c>
      <c r="I2031" t="n">
        <v>0.7</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13176-2026</t>
        </is>
      </c>
      <c r="B2032" t="inlineStr">
        <is>
          <t>avverkningsanmälan</t>
        </is>
      </c>
      <c r="C2032" t="inlineStr">
        <is>
          <t>Föryngringsavverkning</t>
        </is>
      </c>
      <c r="D2032" s="1" t="n">
        <v>46093</v>
      </c>
      <c r="E2032" s="1" t="n">
        <v>46316</v>
      </c>
      <c r="F2032" t="inlineStr">
        <is>
          <t>KRONOBERGS LÄN</t>
        </is>
      </c>
      <c r="G2032" t="inlineStr">
        <is>
          <t>UPPVIDINGE</t>
        </is>
      </c>
      <c r="H2032" t="inlineStr">
        <is>
          <t>Sveaskog</t>
        </is>
      </c>
      <c r="I2032" t="n">
        <v>5.2</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13180-2026</t>
        </is>
      </c>
      <c r="B2033" t="inlineStr">
        <is>
          <t>avverkningsanmälan</t>
        </is>
      </c>
      <c r="C2033" t="inlineStr">
        <is>
          <t>Föryngringsavverkning</t>
        </is>
      </c>
      <c r="D2033" s="1" t="n">
        <v>46093</v>
      </c>
      <c r="E2033" s="1" t="n">
        <v>46316</v>
      </c>
      <c r="F2033" t="inlineStr">
        <is>
          <t>KRONOBERGS LÄN</t>
        </is>
      </c>
      <c r="G2033" t="inlineStr">
        <is>
          <t>UPPVIDINGE</t>
        </is>
      </c>
      <c r="H2033" t="inlineStr">
        <is>
          <t>Sveaskog</t>
        </is>
      </c>
      <c r="I2033" t="n">
        <v>0.5</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27545-2023</t>
        </is>
      </c>
      <c r="B2034" t="inlineStr">
        <is>
          <t>avverkningsanmälan</t>
        </is>
      </c>
      <c r="C2034" t="inlineStr">
        <is>
          <t>Föryngringsavverkning</t>
        </is>
      </c>
      <c r="D2034" s="1" t="n">
        <v>45097</v>
      </c>
      <c r="E2034" s="1" t="n">
        <v>46316</v>
      </c>
      <c r="F2034" t="inlineStr">
        <is>
          <t>KRONOBERGS LÄN</t>
        </is>
      </c>
      <c r="G2034" t="inlineStr">
        <is>
          <t>TINGSRYD</t>
        </is>
      </c>
      <c r="I2034" t="n">
        <v>1</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27628-2023</t>
        </is>
      </c>
      <c r="B2035" t="inlineStr">
        <is>
          <t>avverkningsanmälan</t>
        </is>
      </c>
      <c r="C2035" t="inlineStr">
        <is>
          <t>Föryngringsavverkning</t>
        </is>
      </c>
      <c r="D2035" s="1" t="n">
        <v>45097</v>
      </c>
      <c r="E2035" s="1" t="n">
        <v>46316</v>
      </c>
      <c r="F2035" t="inlineStr">
        <is>
          <t>KRONOBERGS LÄN</t>
        </is>
      </c>
      <c r="G2035" t="inlineStr">
        <is>
          <t>LJUNGBY</t>
        </is>
      </c>
      <c r="I2035" t="n">
        <v>0.5</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13224-2026</t>
        </is>
      </c>
      <c r="B2036" t="inlineStr">
        <is>
          <t>avverkningsanmälan</t>
        </is>
      </c>
      <c r="C2036" t="inlineStr">
        <is>
          <t>Föryngringsavverkning</t>
        </is>
      </c>
      <c r="D2036" s="1" t="n">
        <v>46093</v>
      </c>
      <c r="E2036" s="1" t="n">
        <v>46316</v>
      </c>
      <c r="F2036" t="inlineStr">
        <is>
          <t>KRONOBERGS LÄN</t>
        </is>
      </c>
      <c r="G2036" t="inlineStr">
        <is>
          <t>UPPVIDINGE</t>
        </is>
      </c>
      <c r="H2036" t="inlineStr">
        <is>
          <t>Sveaskog</t>
        </is>
      </c>
      <c r="I2036" t="n">
        <v>1.3</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43644-2025</t>
        </is>
      </c>
      <c r="B2037" t="inlineStr">
        <is>
          <t>avverkningsanmälan</t>
        </is>
      </c>
      <c r="C2037" t="inlineStr">
        <is>
          <t>Föryngringsavverkning</t>
        </is>
      </c>
      <c r="D2037" s="1" t="n">
        <v>45911</v>
      </c>
      <c r="E2037" s="1" t="n">
        <v>46316</v>
      </c>
      <c r="F2037" t="inlineStr">
        <is>
          <t>KRONOBERGS LÄN</t>
        </is>
      </c>
      <c r="G2037" t="inlineStr">
        <is>
          <t>LJUNGBY</t>
        </is>
      </c>
      <c r="I2037" t="n">
        <v>1.1</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51390-2025</t>
        </is>
      </c>
      <c r="B2038" t="inlineStr">
        <is>
          <t>avverkningsanmälan</t>
        </is>
      </c>
      <c r="C2038" t="inlineStr">
        <is>
          <t>Föryngringsavverkning</t>
        </is>
      </c>
      <c r="D2038" s="1" t="n">
        <v>45950</v>
      </c>
      <c r="E2038" s="1" t="n">
        <v>46316</v>
      </c>
      <c r="F2038" t="inlineStr">
        <is>
          <t>KRONOBERGS LÄN</t>
        </is>
      </c>
      <c r="G2038" t="inlineStr">
        <is>
          <t>LJUNGBY</t>
        </is>
      </c>
      <c r="I2038" t="n">
        <v>1.4</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13227-2026</t>
        </is>
      </c>
      <c r="B2039" t="inlineStr">
        <is>
          <t>avverkningsanmälan</t>
        </is>
      </c>
      <c r="C2039" t="inlineStr">
        <is>
          <t>Föryngringsavverkning</t>
        </is>
      </c>
      <c r="D2039" s="1" t="n">
        <v>46093</v>
      </c>
      <c r="E2039" s="1" t="n">
        <v>46316</v>
      </c>
      <c r="F2039" t="inlineStr">
        <is>
          <t>KRONOBERGS LÄN</t>
        </is>
      </c>
      <c r="G2039" t="inlineStr">
        <is>
          <t>UPPVIDINGE</t>
        </is>
      </c>
      <c r="H2039" t="inlineStr">
        <is>
          <t>Sveaskog</t>
        </is>
      </c>
      <c r="I2039" t="n">
        <v>3.4</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20853-2025</t>
        </is>
      </c>
      <c r="B2040" t="inlineStr">
        <is>
          <t>avverkningsanmälan</t>
        </is>
      </c>
      <c r="C2040" t="inlineStr">
        <is>
          <t>Föryngringsavverkning</t>
        </is>
      </c>
      <c r="D2040" s="1" t="n">
        <v>45777</v>
      </c>
      <c r="E2040" s="1" t="n">
        <v>46316</v>
      </c>
      <c r="F2040" t="inlineStr">
        <is>
          <t>KRONOBERGS LÄN</t>
        </is>
      </c>
      <c r="G2040" t="inlineStr">
        <is>
          <t>LESSEBO</t>
        </is>
      </c>
      <c r="H2040" t="inlineStr">
        <is>
          <t>Sveaskog</t>
        </is>
      </c>
      <c r="I2040" t="n">
        <v>2.4</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54728-2022</t>
        </is>
      </c>
      <c r="B2041" t="inlineStr">
        <is>
          <t>avverkningsanmälan</t>
        </is>
      </c>
      <c r="C2041" t="inlineStr">
        <is>
          <t>Föryngringsavverkning</t>
        </is>
      </c>
      <c r="D2041" s="1" t="n">
        <v>44883</v>
      </c>
      <c r="E2041" s="1" t="n">
        <v>46316</v>
      </c>
      <c r="F2041" t="inlineStr">
        <is>
          <t>KRONOBERGS LÄN</t>
        </is>
      </c>
      <c r="G2041" t="inlineStr">
        <is>
          <t>TINGSRYD</t>
        </is>
      </c>
      <c r="I2041" t="n">
        <v>2.7</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52031-2025</t>
        </is>
      </c>
      <c r="B2042" t="inlineStr">
        <is>
          <t>avverkningsanmälan</t>
        </is>
      </c>
      <c r="C2042" t="inlineStr">
        <is>
          <t>Föryngringsavverkning</t>
        </is>
      </c>
      <c r="D2042" s="1" t="n">
        <v>45952</v>
      </c>
      <c r="E2042" s="1" t="n">
        <v>46316</v>
      </c>
      <c r="F2042" t="inlineStr">
        <is>
          <t>KRONOBERGS LÄN</t>
        </is>
      </c>
      <c r="G2042" t="inlineStr">
        <is>
          <t>LESSEBO</t>
        </is>
      </c>
      <c r="I2042" t="n">
        <v>0.5</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13299-2026</t>
        </is>
      </c>
      <c r="B2043" t="inlineStr">
        <is>
          <t>avverkningsanmälan</t>
        </is>
      </c>
      <c r="C2043" t="inlineStr">
        <is>
          <t>Föryngringsavverkning</t>
        </is>
      </c>
      <c r="D2043" s="1" t="n">
        <v>46094</v>
      </c>
      <c r="E2043" s="1" t="n">
        <v>46316</v>
      </c>
      <c r="F2043" t="inlineStr">
        <is>
          <t>KRONOBERGS LÄN</t>
        </is>
      </c>
      <c r="G2043" t="inlineStr">
        <is>
          <t>ALVESTA</t>
        </is>
      </c>
      <c r="I2043" t="n">
        <v>2.3</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13534-2026</t>
        </is>
      </c>
      <c r="B2044" t="inlineStr">
        <is>
          <t>avverkningsanmälan</t>
        </is>
      </c>
      <c r="C2044" t="inlineStr">
        <is>
          <t>Föryngringsavverkning</t>
        </is>
      </c>
      <c r="D2044" s="1" t="n">
        <v>46094</v>
      </c>
      <c r="E2044" s="1" t="n">
        <v>46316</v>
      </c>
      <c r="F2044" t="inlineStr">
        <is>
          <t>KRONOBERGS LÄN</t>
        </is>
      </c>
      <c r="G2044" t="inlineStr">
        <is>
          <t>LJUNGBY</t>
        </is>
      </c>
      <c r="I2044" t="n">
        <v>1.6</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13174-2026</t>
        </is>
      </c>
      <c r="B2045" t="inlineStr">
        <is>
          <t>avverkningsanmälan</t>
        </is>
      </c>
      <c r="C2045" t="inlineStr">
        <is>
          <t>Föryngringsavverkning</t>
        </is>
      </c>
      <c r="D2045" s="1" t="n">
        <v>46093</v>
      </c>
      <c r="E2045" s="1" t="n">
        <v>46316</v>
      </c>
      <c r="F2045" t="inlineStr">
        <is>
          <t>KRONOBERGS LÄN</t>
        </is>
      </c>
      <c r="G2045" t="inlineStr">
        <is>
          <t>UPPVIDINGE</t>
        </is>
      </c>
      <c r="H2045" t="inlineStr">
        <is>
          <t>Sveaskog</t>
        </is>
      </c>
      <c r="I2045" t="n">
        <v>5</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36274-2023</t>
        </is>
      </c>
      <c r="B2046" t="inlineStr">
        <is>
          <t>avverkningsanmälan</t>
        </is>
      </c>
      <c r="C2046" t="inlineStr">
        <is>
          <t>Föryngringsavverkning</t>
        </is>
      </c>
      <c r="D2046" s="1" t="n">
        <v>45152</v>
      </c>
      <c r="E2046" s="1" t="n">
        <v>46316</v>
      </c>
      <c r="F2046" t="inlineStr">
        <is>
          <t>KRONOBERGS LÄN</t>
        </is>
      </c>
      <c r="G2046" t="inlineStr">
        <is>
          <t>TINGSRYD</t>
        </is>
      </c>
      <c r="I2046" t="n">
        <v>0.6</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51852-2025</t>
        </is>
      </c>
      <c r="B2047" t="inlineStr">
        <is>
          <t>avverkningsanmälan</t>
        </is>
      </c>
      <c r="C2047" t="inlineStr">
        <is>
          <t>Föryngringsavverkning</t>
        </is>
      </c>
      <c r="D2047" s="1" t="n">
        <v>45952</v>
      </c>
      <c r="E2047" s="1" t="n">
        <v>46316</v>
      </c>
      <c r="F2047" t="inlineStr">
        <is>
          <t>KRONOBERGS LÄN</t>
        </is>
      </c>
      <c r="G2047" t="inlineStr">
        <is>
          <t>ÄLMHULT</t>
        </is>
      </c>
      <c r="I2047" t="n">
        <v>0.6</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51921-2025</t>
        </is>
      </c>
      <c r="B2048" t="inlineStr">
        <is>
          <t>avverkningsanmälan</t>
        </is>
      </c>
      <c r="C2048" t="inlineStr">
        <is>
          <t>Föryngringsavverkning</t>
        </is>
      </c>
      <c r="D2048" s="1" t="n">
        <v>45952</v>
      </c>
      <c r="E2048" s="1" t="n">
        <v>46316</v>
      </c>
      <c r="F2048" t="inlineStr">
        <is>
          <t>KRONOBERGS LÄN</t>
        </is>
      </c>
      <c r="G2048" t="inlineStr">
        <is>
          <t>VÄXJÖ</t>
        </is>
      </c>
      <c r="I2048" t="n">
        <v>0.6</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13175-2026</t>
        </is>
      </c>
      <c r="B2049" t="inlineStr">
        <is>
          <t>avverkningsanmälan</t>
        </is>
      </c>
      <c r="C2049" t="inlineStr">
        <is>
          <t>Föryngringsavverkning</t>
        </is>
      </c>
      <c r="D2049" s="1" t="n">
        <v>46093</v>
      </c>
      <c r="E2049" s="1" t="n">
        <v>46316</v>
      </c>
      <c r="F2049" t="inlineStr">
        <is>
          <t>KRONOBERGS LÄN</t>
        </is>
      </c>
      <c r="G2049" t="inlineStr">
        <is>
          <t>UPPVIDINGE</t>
        </is>
      </c>
      <c r="H2049" t="inlineStr">
        <is>
          <t>Sveaskog</t>
        </is>
      </c>
      <c r="I2049" t="n">
        <v>1.2</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13225-2026</t>
        </is>
      </c>
      <c r="B2050" t="inlineStr">
        <is>
          <t>avverkningsanmälan</t>
        </is>
      </c>
      <c r="C2050" t="inlineStr">
        <is>
          <t>Föryngringsavverkning</t>
        </is>
      </c>
      <c r="D2050" s="1" t="n">
        <v>46093</v>
      </c>
      <c r="E2050" s="1" t="n">
        <v>46316</v>
      </c>
      <c r="F2050" t="inlineStr">
        <is>
          <t>KRONOBERGS LÄN</t>
        </is>
      </c>
      <c r="G2050" t="inlineStr">
        <is>
          <t>UPPVIDINGE</t>
        </is>
      </c>
      <c r="H2050" t="inlineStr">
        <is>
          <t>Sveaskog</t>
        </is>
      </c>
      <c r="I2050" t="n">
        <v>6</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17541-2025</t>
        </is>
      </c>
      <c r="B2051" t="inlineStr">
        <is>
          <t>avverkningsanmälan</t>
        </is>
      </c>
      <c r="C2051" t="inlineStr">
        <is>
          <t>Föryngringsavverkning</t>
        </is>
      </c>
      <c r="D2051" s="1" t="n">
        <v>45757</v>
      </c>
      <c r="E2051" s="1" t="n">
        <v>46316</v>
      </c>
      <c r="F2051" t="inlineStr">
        <is>
          <t>KRONOBERGS LÄN</t>
        </is>
      </c>
      <c r="G2051" t="inlineStr">
        <is>
          <t>UPPVIDINGE</t>
        </is>
      </c>
      <c r="H2051" t="inlineStr">
        <is>
          <t>Kyrkan</t>
        </is>
      </c>
      <c r="I2051" t="n">
        <v>2.2</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3690-2025</t>
        </is>
      </c>
      <c r="B2052" t="inlineStr">
        <is>
          <t>avverkningsanmälan</t>
        </is>
      </c>
      <c r="C2052" t="inlineStr">
        <is>
          <t>Föryngringsavverkning</t>
        </is>
      </c>
      <c r="D2052" s="1" t="n">
        <v>45681</v>
      </c>
      <c r="E2052" s="1" t="n">
        <v>46316</v>
      </c>
      <c r="F2052" t="inlineStr">
        <is>
          <t>KRONOBERGS LÄN</t>
        </is>
      </c>
      <c r="G2052" t="inlineStr">
        <is>
          <t>ÄLMHULT</t>
        </is>
      </c>
      <c r="I2052" t="n">
        <v>1.2</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13951-2023</t>
        </is>
      </c>
      <c r="B2053" t="inlineStr">
        <is>
          <t>avverkningsanmälan</t>
        </is>
      </c>
      <c r="C2053" t="inlineStr">
        <is>
          <t>Föryngringsavverkning</t>
        </is>
      </c>
      <c r="D2053" s="1" t="n">
        <v>45008</v>
      </c>
      <c r="E2053" s="1" t="n">
        <v>46316</v>
      </c>
      <c r="F2053" t="inlineStr">
        <is>
          <t>KRONOBERGS LÄN</t>
        </is>
      </c>
      <c r="G2053" t="inlineStr">
        <is>
          <t>MARKARYD</t>
        </is>
      </c>
      <c r="I2053" t="n">
        <v>1.1</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13734-2026</t>
        </is>
      </c>
      <c r="B2054" t="inlineStr">
        <is>
          <t>avverkningsanmälan</t>
        </is>
      </c>
      <c r="C2054" t="inlineStr">
        <is>
          <t>Föryngringsavverkning</t>
        </is>
      </c>
      <c r="D2054" s="1" t="n">
        <v>46097</v>
      </c>
      <c r="E2054" s="1" t="n">
        <v>46316</v>
      </c>
      <c r="F2054" t="inlineStr">
        <is>
          <t>KRONOBERGS LÄN</t>
        </is>
      </c>
      <c r="G2054" t="inlineStr">
        <is>
          <t>LJUNGBY</t>
        </is>
      </c>
      <c r="I2054" t="n">
        <v>1.5</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13738-2026</t>
        </is>
      </c>
      <c r="B2055" t="inlineStr">
        <is>
          <t>avverkningsanmälan</t>
        </is>
      </c>
      <c r="C2055" t="inlineStr">
        <is>
          <t>Föryngringsavverkning</t>
        </is>
      </c>
      <c r="D2055" s="1" t="n">
        <v>46097</v>
      </c>
      <c r="E2055" s="1" t="n">
        <v>46316</v>
      </c>
      <c r="F2055" t="inlineStr">
        <is>
          <t>KRONOBERGS LÄN</t>
        </is>
      </c>
      <c r="G2055" t="inlineStr">
        <is>
          <t>LJUNGBY</t>
        </is>
      </c>
      <c r="I2055" t="n">
        <v>0.7</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9715-2023</t>
        </is>
      </c>
      <c r="B2056" t="inlineStr">
        <is>
          <t>avverkningsanmälan</t>
        </is>
      </c>
      <c r="C2056" t="inlineStr">
        <is>
          <t>Föryngringsavverkning</t>
        </is>
      </c>
      <c r="D2056" s="1" t="n">
        <v>44984</v>
      </c>
      <c r="E2056" s="1" t="n">
        <v>46316</v>
      </c>
      <c r="F2056" t="inlineStr">
        <is>
          <t>KRONOBERGS LÄN</t>
        </is>
      </c>
      <c r="G2056" t="inlineStr">
        <is>
          <t>UPPVIDINGE</t>
        </is>
      </c>
      <c r="I2056" t="n">
        <v>0.6</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9815-2023</t>
        </is>
      </c>
      <c r="B2057" t="inlineStr">
        <is>
          <t>avverkningsanmälan</t>
        </is>
      </c>
      <c r="C2057" t="inlineStr">
        <is>
          <t>Föryngringsavverkning</t>
        </is>
      </c>
      <c r="D2057" s="1" t="n">
        <v>44984</v>
      </c>
      <c r="E2057" s="1" t="n">
        <v>46316</v>
      </c>
      <c r="F2057" t="inlineStr">
        <is>
          <t>KRONOBERGS LÄN</t>
        </is>
      </c>
      <c r="G2057" t="inlineStr">
        <is>
          <t>TINGSRYD</t>
        </is>
      </c>
      <c r="I2057" t="n">
        <v>1</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13781-2026</t>
        </is>
      </c>
      <c r="B2058" t="inlineStr">
        <is>
          <t>avverkningsanmälan</t>
        </is>
      </c>
      <c r="C2058" t="inlineStr">
        <is>
          <t>Föryngringsavverkning</t>
        </is>
      </c>
      <c r="D2058" s="1" t="n">
        <v>46097</v>
      </c>
      <c r="E2058" s="1" t="n">
        <v>46316</v>
      </c>
      <c r="F2058" t="inlineStr">
        <is>
          <t>KRONOBERGS LÄN</t>
        </is>
      </c>
      <c r="G2058" t="inlineStr">
        <is>
          <t>LJUNGBY</t>
        </is>
      </c>
      <c r="I2058" t="n">
        <v>1.4</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13757-2026</t>
        </is>
      </c>
      <c r="B2059" t="inlineStr">
        <is>
          <t>avverkningsanmälan</t>
        </is>
      </c>
      <c r="C2059" t="inlineStr">
        <is>
          <t>Föryngringsavverkning</t>
        </is>
      </c>
      <c r="D2059" s="1" t="n">
        <v>46097</v>
      </c>
      <c r="E2059" s="1" t="n">
        <v>46316</v>
      </c>
      <c r="F2059" t="inlineStr">
        <is>
          <t>KRONOBERGS LÄN</t>
        </is>
      </c>
      <c r="G2059" t="inlineStr">
        <is>
          <t>LJUNGBY</t>
        </is>
      </c>
      <c r="I2059" t="n">
        <v>1.5</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13772-2026</t>
        </is>
      </c>
      <c r="B2060" t="inlineStr">
        <is>
          <t>avverkningsanmälan</t>
        </is>
      </c>
      <c r="C2060" t="inlineStr">
        <is>
          <t>Föryngringsavverkning</t>
        </is>
      </c>
      <c r="D2060" s="1" t="n">
        <v>46097</v>
      </c>
      <c r="E2060" s="1" t="n">
        <v>46316</v>
      </c>
      <c r="F2060" t="inlineStr">
        <is>
          <t>KRONOBERGS LÄN</t>
        </is>
      </c>
      <c r="G2060" t="inlineStr">
        <is>
          <t>LJUNGBY</t>
        </is>
      </c>
      <c r="I2060" t="n">
        <v>3.5</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52217-2025</t>
        </is>
      </c>
      <c r="B2061" t="inlineStr">
        <is>
          <t>avverkningsanmälan</t>
        </is>
      </c>
      <c r="C2061" t="inlineStr">
        <is>
          <t>Föryngringsavverkning</t>
        </is>
      </c>
      <c r="D2061" s="1" t="n">
        <v>45953</v>
      </c>
      <c r="E2061" s="1" t="n">
        <v>46316</v>
      </c>
      <c r="F2061" t="inlineStr">
        <is>
          <t>KRONOBERGS LÄN</t>
        </is>
      </c>
      <c r="G2061" t="inlineStr">
        <is>
          <t>TINGSRYD</t>
        </is>
      </c>
      <c r="I2061" t="n">
        <v>0.9</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13811-2026</t>
        </is>
      </c>
      <c r="B2062" t="inlineStr">
        <is>
          <t>avverkningsanmälan</t>
        </is>
      </c>
      <c r="C2062" t="inlineStr">
        <is>
          <t>Föryngringsavverkning</t>
        </is>
      </c>
      <c r="D2062" s="1" t="n">
        <v>46098</v>
      </c>
      <c r="E2062" s="1" t="n">
        <v>46316</v>
      </c>
      <c r="F2062" t="inlineStr">
        <is>
          <t>KRONOBERGS LÄN</t>
        </is>
      </c>
      <c r="G2062" t="inlineStr">
        <is>
          <t>ALVESTA</t>
        </is>
      </c>
      <c r="I2062" t="n">
        <v>0.8</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13777-2026</t>
        </is>
      </c>
      <c r="B2063" t="inlineStr">
        <is>
          <t>avverkningsanmälan</t>
        </is>
      </c>
      <c r="C2063" t="inlineStr">
        <is>
          <t>Föryngringsavverkning</t>
        </is>
      </c>
      <c r="D2063" s="1" t="n">
        <v>46097</v>
      </c>
      <c r="E2063" s="1" t="n">
        <v>46316</v>
      </c>
      <c r="F2063" t="inlineStr">
        <is>
          <t>KRONOBERGS LÄN</t>
        </is>
      </c>
      <c r="G2063" t="inlineStr">
        <is>
          <t>LJUNGBY</t>
        </is>
      </c>
      <c r="I2063" t="n">
        <v>2.9</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52760-2025</t>
        </is>
      </c>
      <c r="B2064" t="inlineStr">
        <is>
          <t>avverkningsanmälan</t>
        </is>
      </c>
      <c r="C2064" t="inlineStr">
        <is>
          <t>Föryngringsavverkning</t>
        </is>
      </c>
      <c r="D2064" s="1" t="n">
        <v>45957</v>
      </c>
      <c r="E2064" s="1" t="n">
        <v>46316</v>
      </c>
      <c r="F2064" t="inlineStr">
        <is>
          <t>KRONOBERGS LÄN</t>
        </is>
      </c>
      <c r="G2064" t="inlineStr">
        <is>
          <t>LJUNGBY</t>
        </is>
      </c>
      <c r="I2064" t="n">
        <v>7.6</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52764-2025</t>
        </is>
      </c>
      <c r="B2065" t="inlineStr">
        <is>
          <t>avverkningsanmälan</t>
        </is>
      </c>
      <c r="C2065" t="inlineStr">
        <is>
          <t>Föryngringsavverkning</t>
        </is>
      </c>
      <c r="D2065" s="1" t="n">
        <v>45957</v>
      </c>
      <c r="E2065" s="1" t="n">
        <v>46316</v>
      </c>
      <c r="F2065" t="inlineStr">
        <is>
          <t>KRONOBERGS LÄN</t>
        </is>
      </c>
      <c r="G2065" t="inlineStr">
        <is>
          <t>LJUNGBY</t>
        </is>
      </c>
      <c r="I2065" t="n">
        <v>2.9</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24489-2024</t>
        </is>
      </c>
      <c r="B2066" t="inlineStr">
        <is>
          <t>avverkningsanmälan</t>
        </is>
      </c>
      <c r="C2066" t="inlineStr">
        <is>
          <t>Föryngringsavverkning</t>
        </is>
      </c>
      <c r="D2066" s="1" t="n">
        <v>45459</v>
      </c>
      <c r="E2066" s="1" t="n">
        <v>46316</v>
      </c>
      <c r="F2066" t="inlineStr">
        <is>
          <t>KRONOBERGS LÄN</t>
        </is>
      </c>
      <c r="G2066" t="inlineStr">
        <is>
          <t>UPPVIDINGE</t>
        </is>
      </c>
      <c r="I2066" t="n">
        <v>3.7</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24503-2024</t>
        </is>
      </c>
      <c r="B2067" t="inlineStr">
        <is>
          <t>avverkningsanmälan</t>
        </is>
      </c>
      <c r="C2067" t="inlineStr">
        <is>
          <t>Föryngringsavverkning</t>
        </is>
      </c>
      <c r="D2067" s="1" t="n">
        <v>45460</v>
      </c>
      <c r="E2067" s="1" t="n">
        <v>46316</v>
      </c>
      <c r="F2067" t="inlineStr">
        <is>
          <t>KRONOBERGS LÄN</t>
        </is>
      </c>
      <c r="G2067" t="inlineStr">
        <is>
          <t>ÄLMHULT</t>
        </is>
      </c>
      <c r="I2067" t="n">
        <v>0.5</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52768-2025</t>
        </is>
      </c>
      <c r="B2068" t="inlineStr">
        <is>
          <t>avverkningsanmälan</t>
        </is>
      </c>
      <c r="C2068" t="inlineStr">
        <is>
          <t>Föryngringsavverkning</t>
        </is>
      </c>
      <c r="D2068" s="1" t="n">
        <v>45957</v>
      </c>
      <c r="E2068" s="1" t="n">
        <v>46316</v>
      </c>
      <c r="F2068" t="inlineStr">
        <is>
          <t>KRONOBERGS LÄN</t>
        </is>
      </c>
      <c r="G2068" t="inlineStr">
        <is>
          <t>LJUNGBY</t>
        </is>
      </c>
      <c r="I2068" t="n">
        <v>0.6</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13748-2026</t>
        </is>
      </c>
      <c r="B2069" t="inlineStr">
        <is>
          <t>avverkningsanmälan</t>
        </is>
      </c>
      <c r="C2069" t="inlineStr">
        <is>
          <t>Föryngringsavverkning</t>
        </is>
      </c>
      <c r="D2069" s="1" t="n">
        <v>46097</v>
      </c>
      <c r="E2069" s="1" t="n">
        <v>46316</v>
      </c>
      <c r="F2069" t="inlineStr">
        <is>
          <t>KRONOBERGS LÄN</t>
        </is>
      </c>
      <c r="G2069" t="inlineStr">
        <is>
          <t>LJUNGBY</t>
        </is>
      </c>
      <c r="I2069" t="n">
        <v>0.5</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19216-2024</t>
        </is>
      </c>
      <c r="B2070" t="inlineStr">
        <is>
          <t>avverkningsanmälan</t>
        </is>
      </c>
      <c r="C2070" t="inlineStr">
        <is>
          <t>Föryngringsavverkning</t>
        </is>
      </c>
      <c r="D2070" s="1" t="n">
        <v>45428</v>
      </c>
      <c r="E2070" s="1" t="n">
        <v>46316</v>
      </c>
      <c r="F2070" t="inlineStr">
        <is>
          <t>KRONOBERGS LÄN</t>
        </is>
      </c>
      <c r="G2070" t="inlineStr">
        <is>
          <t>UPPVIDINGE</t>
        </is>
      </c>
      <c r="I2070" t="n">
        <v>0.8</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10700-2024</t>
        </is>
      </c>
      <c r="B2071" t="inlineStr">
        <is>
          <t>avverkningsanmälan</t>
        </is>
      </c>
      <c r="C2071" t="inlineStr">
        <is>
          <t>Föryngringsavverkning</t>
        </is>
      </c>
      <c r="D2071" s="1" t="n">
        <v>45369</v>
      </c>
      <c r="E2071" s="1" t="n">
        <v>46316</v>
      </c>
      <c r="F2071" t="inlineStr">
        <is>
          <t>KRONOBERGS LÄN</t>
        </is>
      </c>
      <c r="G2071" t="inlineStr">
        <is>
          <t>UPPVIDINGE</t>
        </is>
      </c>
      <c r="I2071" t="n">
        <v>0.6</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13810-2026</t>
        </is>
      </c>
      <c r="B2072" t="inlineStr">
        <is>
          <t>avverkningsanmälan</t>
        </is>
      </c>
      <c r="C2072" t="inlineStr">
        <is>
          <t>Föryngringsavverkning</t>
        </is>
      </c>
      <c r="D2072" s="1" t="n">
        <v>46098</v>
      </c>
      <c r="E2072" s="1" t="n">
        <v>46316</v>
      </c>
      <c r="F2072" t="inlineStr">
        <is>
          <t>KRONOBERGS LÄN</t>
        </is>
      </c>
      <c r="G2072" t="inlineStr">
        <is>
          <t>ALVESTA</t>
        </is>
      </c>
      <c r="I2072" t="n">
        <v>2</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52557-2025</t>
        </is>
      </c>
      <c r="B2073" t="inlineStr">
        <is>
          <t>avverkningsanmälan</t>
        </is>
      </c>
      <c r="C2073" t="inlineStr">
        <is>
          <t>Föryngringsavverkning</t>
        </is>
      </c>
      <c r="D2073" s="1" t="n">
        <v>45954</v>
      </c>
      <c r="E2073" s="1" t="n">
        <v>46316</v>
      </c>
      <c r="F2073" t="inlineStr">
        <is>
          <t>KRONOBERGS LÄN</t>
        </is>
      </c>
      <c r="G2073" t="inlineStr">
        <is>
          <t>ALVESTA</t>
        </is>
      </c>
      <c r="I2073" t="n">
        <v>0.7</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13928-2026</t>
        </is>
      </c>
      <c r="B2074" t="inlineStr">
        <is>
          <t>avverkningsanmälan</t>
        </is>
      </c>
      <c r="C2074" t="inlineStr">
        <is>
          <t>Föryngringsavverkning</t>
        </is>
      </c>
      <c r="D2074" s="1" t="n">
        <v>46098</v>
      </c>
      <c r="E2074" s="1" t="n">
        <v>46316</v>
      </c>
      <c r="F2074" t="inlineStr">
        <is>
          <t>KRONOBERGS LÄN</t>
        </is>
      </c>
      <c r="G2074" t="inlineStr">
        <is>
          <t>TINGSRYD</t>
        </is>
      </c>
      <c r="I2074" t="n">
        <v>2.9</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13741-2026</t>
        </is>
      </c>
      <c r="B2075" t="inlineStr">
        <is>
          <t>avverkningsanmälan</t>
        </is>
      </c>
      <c r="C2075" t="inlineStr">
        <is>
          <t>Föryngringsavverkning</t>
        </is>
      </c>
      <c r="D2075" s="1" t="n">
        <v>46097</v>
      </c>
      <c r="E2075" s="1" t="n">
        <v>46316</v>
      </c>
      <c r="F2075" t="inlineStr">
        <is>
          <t>KRONOBERGS LÄN</t>
        </is>
      </c>
      <c r="G2075" t="inlineStr">
        <is>
          <t>LJUNGBY</t>
        </is>
      </c>
      <c r="I2075" t="n">
        <v>0.4</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37335-2022</t>
        </is>
      </c>
      <c r="B2076" t="inlineStr">
        <is>
          <t>avverkningsanmälan</t>
        </is>
      </c>
      <c r="C2076" t="inlineStr">
        <is>
          <t>Avverkning för annat ändamål</t>
        </is>
      </c>
      <c r="D2076" s="1" t="n">
        <v>44809</v>
      </c>
      <c r="E2076" s="1" t="n">
        <v>46316</v>
      </c>
      <c r="F2076" t="inlineStr">
        <is>
          <t>KRONOBERGS LÄN</t>
        </is>
      </c>
      <c r="G2076" t="inlineStr">
        <is>
          <t>LJUNGBY</t>
        </is>
      </c>
      <c r="I2076" t="n">
        <v>2.3</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52758-2025</t>
        </is>
      </c>
      <c r="B2077" t="inlineStr">
        <is>
          <t>avverkningsanmälan</t>
        </is>
      </c>
      <c r="C2077" t="inlineStr">
        <is>
          <t>Föryngringsavverkning</t>
        </is>
      </c>
      <c r="D2077" s="1" t="n">
        <v>45957</v>
      </c>
      <c r="E2077" s="1" t="n">
        <v>46316</v>
      </c>
      <c r="F2077" t="inlineStr">
        <is>
          <t>KRONOBERGS LÄN</t>
        </is>
      </c>
      <c r="G2077" t="inlineStr">
        <is>
          <t>LJUNGBY</t>
        </is>
      </c>
      <c r="I2077" t="n">
        <v>5.2</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17063-2023</t>
        </is>
      </c>
      <c r="B2078" t="inlineStr">
        <is>
          <t>avverkningsanmälan</t>
        </is>
      </c>
      <c r="C2078" t="inlineStr">
        <is>
          <t>Föryngringsavverkning</t>
        </is>
      </c>
      <c r="D2078" s="1" t="n">
        <v>45034</v>
      </c>
      <c r="E2078" s="1" t="n">
        <v>46316</v>
      </c>
      <c r="F2078" t="inlineStr">
        <is>
          <t>KRONOBERGS LÄN</t>
        </is>
      </c>
      <c r="G2078" t="inlineStr">
        <is>
          <t>TINGSRYD</t>
        </is>
      </c>
      <c r="I2078" t="n">
        <v>6.6</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52727-2025</t>
        </is>
      </c>
      <c r="B2079" t="inlineStr">
        <is>
          <t>avverkningsanmälan</t>
        </is>
      </c>
      <c r="C2079" t="inlineStr">
        <is>
          <t>Föryngringsavverkning</t>
        </is>
      </c>
      <c r="D2079" s="1" t="n">
        <v>45957</v>
      </c>
      <c r="E2079" s="1" t="n">
        <v>46316</v>
      </c>
      <c r="F2079" t="inlineStr">
        <is>
          <t>KRONOBERGS LÄN</t>
        </is>
      </c>
      <c r="G2079" t="inlineStr">
        <is>
          <t>UPPVIDINGE</t>
        </is>
      </c>
      <c r="I2079" t="n">
        <v>1.2</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19111-2023</t>
        </is>
      </c>
      <c r="B2080" t="inlineStr">
        <is>
          <t>avverkningsanmälan</t>
        </is>
      </c>
      <c r="C2080" t="inlineStr">
        <is>
          <t>Föryngringsavverkning</t>
        </is>
      </c>
      <c r="D2080" s="1" t="n">
        <v>45048</v>
      </c>
      <c r="E2080" s="1" t="n">
        <v>46316</v>
      </c>
      <c r="F2080" t="inlineStr">
        <is>
          <t>KRONOBERGS LÄN</t>
        </is>
      </c>
      <c r="G2080" t="inlineStr">
        <is>
          <t>VÄXJÖ</t>
        </is>
      </c>
      <c r="I2080" t="n">
        <v>2.4</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39042-2025</t>
        </is>
      </c>
      <c r="B2081" t="inlineStr">
        <is>
          <t>avverkningsanmälan</t>
        </is>
      </c>
      <c r="C2081" t="inlineStr">
        <is>
          <t>Föryngringsavverkning</t>
        </is>
      </c>
      <c r="D2081" s="1" t="n">
        <v>45888</v>
      </c>
      <c r="E2081" s="1" t="n">
        <v>46316</v>
      </c>
      <c r="F2081" t="inlineStr">
        <is>
          <t>KRONOBERGS LÄN</t>
        </is>
      </c>
      <c r="G2081" t="inlineStr">
        <is>
          <t>LJUNGBY</t>
        </is>
      </c>
      <c r="I2081" t="n">
        <v>6.4</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14377-2026</t>
        </is>
      </c>
      <c r="B2082" t="inlineStr">
        <is>
          <t>avverkningsanmälan</t>
        </is>
      </c>
      <c r="C2082" t="inlineStr">
        <is>
          <t>Föryngringsavverkning</t>
        </is>
      </c>
      <c r="D2082" s="1" t="n">
        <v>46100</v>
      </c>
      <c r="E2082" s="1" t="n">
        <v>46316</v>
      </c>
      <c r="F2082" t="inlineStr">
        <is>
          <t>KRONOBERGS LÄN</t>
        </is>
      </c>
      <c r="G2082" t="inlineStr">
        <is>
          <t>VÄXJÖ</t>
        </is>
      </c>
      <c r="I2082" t="n">
        <v>1.3</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14382-2026</t>
        </is>
      </c>
      <c r="B2083" t="inlineStr">
        <is>
          <t>avverkningsanmälan</t>
        </is>
      </c>
      <c r="C2083" t="inlineStr">
        <is>
          <t>Föryngringsavverkning</t>
        </is>
      </c>
      <c r="D2083" s="1" t="n">
        <v>46100</v>
      </c>
      <c r="E2083" s="1" t="n">
        <v>46316</v>
      </c>
      <c r="F2083" t="inlineStr">
        <is>
          <t>KRONOBERGS LÄN</t>
        </is>
      </c>
      <c r="G2083" t="inlineStr">
        <is>
          <t>MARKARYD</t>
        </is>
      </c>
      <c r="I2083" t="n">
        <v>1</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52537-2025</t>
        </is>
      </c>
      <c r="B2084" t="inlineStr">
        <is>
          <t>avverkningsanmälan</t>
        </is>
      </c>
      <c r="C2084" t="inlineStr">
        <is>
          <t>Föryngringsavverkning</t>
        </is>
      </c>
      <c r="D2084" s="1" t="n">
        <v>45954</v>
      </c>
      <c r="E2084" s="1" t="n">
        <v>46316</v>
      </c>
      <c r="F2084" t="inlineStr">
        <is>
          <t>KRONOBERGS LÄN</t>
        </is>
      </c>
      <c r="G2084" t="inlineStr">
        <is>
          <t>LESSEBO</t>
        </is>
      </c>
      <c r="H2084" t="inlineStr">
        <is>
          <t>Sveaskog</t>
        </is>
      </c>
      <c r="I2084" t="n">
        <v>3</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24455-2023</t>
        </is>
      </c>
      <c r="B2085" t="inlineStr">
        <is>
          <t>avverkningsanmälan</t>
        </is>
      </c>
      <c r="C2085" t="inlineStr">
        <is>
          <t>Föryngringsavverkning</t>
        </is>
      </c>
      <c r="D2085" s="1" t="n">
        <v>45082</v>
      </c>
      <c r="E2085" s="1" t="n">
        <v>46316</v>
      </c>
      <c r="F2085" t="inlineStr">
        <is>
          <t>KRONOBERGS LÄN</t>
        </is>
      </c>
      <c r="G2085" t="inlineStr">
        <is>
          <t>UPPVIDINGE</t>
        </is>
      </c>
      <c r="I2085" t="n">
        <v>2.3</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52531-2025</t>
        </is>
      </c>
      <c r="B2086" t="inlineStr">
        <is>
          <t>avverkningsanmälan</t>
        </is>
      </c>
      <c r="C2086" t="inlineStr">
        <is>
          <t>Föryngringsavverkning</t>
        </is>
      </c>
      <c r="D2086" s="1" t="n">
        <v>45954</v>
      </c>
      <c r="E2086" s="1" t="n">
        <v>46316</v>
      </c>
      <c r="F2086" t="inlineStr">
        <is>
          <t>KRONOBERGS LÄN</t>
        </is>
      </c>
      <c r="G2086" t="inlineStr">
        <is>
          <t>LESSEBO</t>
        </is>
      </c>
      <c r="H2086" t="inlineStr">
        <is>
          <t>Sveaskog</t>
        </is>
      </c>
      <c r="I2086" t="n">
        <v>1.9</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52532-2025</t>
        </is>
      </c>
      <c r="B2087" t="inlineStr">
        <is>
          <t>avverkningsanmälan</t>
        </is>
      </c>
      <c r="C2087" t="inlineStr">
        <is>
          <t>Föryngringsavverkning</t>
        </is>
      </c>
      <c r="D2087" s="1" t="n">
        <v>45954</v>
      </c>
      <c r="E2087" s="1" t="n">
        <v>46316</v>
      </c>
      <c r="F2087" t="inlineStr">
        <is>
          <t>KRONOBERGS LÄN</t>
        </is>
      </c>
      <c r="G2087" t="inlineStr">
        <is>
          <t>LESSEBO</t>
        </is>
      </c>
      <c r="H2087" t="inlineStr">
        <is>
          <t>Sveaskog</t>
        </is>
      </c>
      <c r="I2087" t="n">
        <v>0.5</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14139-2026</t>
        </is>
      </c>
      <c r="B2088" t="inlineStr">
        <is>
          <t>avverkningsanmälan</t>
        </is>
      </c>
      <c r="C2088" t="inlineStr">
        <is>
          <t>Föryngringsavverkning</t>
        </is>
      </c>
      <c r="D2088" s="1" t="n">
        <v>46099</v>
      </c>
      <c r="E2088" s="1" t="n">
        <v>46316</v>
      </c>
      <c r="F2088" t="inlineStr">
        <is>
          <t>KRONOBERGS LÄN</t>
        </is>
      </c>
      <c r="G2088" t="inlineStr">
        <is>
          <t>VÄXJÖ</t>
        </is>
      </c>
      <c r="I2088" t="n">
        <v>1.3</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35900-2023</t>
        </is>
      </c>
      <c r="B2089" t="inlineStr">
        <is>
          <t>avverkningsanmälan</t>
        </is>
      </c>
      <c r="C2089" t="inlineStr">
        <is>
          <t>Föryngringsavverkning</t>
        </is>
      </c>
      <c r="D2089" s="1" t="n">
        <v>45148</v>
      </c>
      <c r="E2089" s="1" t="n">
        <v>46316</v>
      </c>
      <c r="F2089" t="inlineStr">
        <is>
          <t>KRONOBERGS LÄN</t>
        </is>
      </c>
      <c r="G2089" t="inlineStr">
        <is>
          <t>LJUNGBY</t>
        </is>
      </c>
      <c r="I2089" t="n">
        <v>0.5</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14510-2026</t>
        </is>
      </c>
      <c r="B2090" t="inlineStr">
        <is>
          <t>avverkningsanmälan</t>
        </is>
      </c>
      <c r="C2090" t="inlineStr">
        <is>
          <t>Föryngringsavverkning</t>
        </is>
      </c>
      <c r="D2090" s="1" t="n">
        <v>46100</v>
      </c>
      <c r="E2090" s="1" t="n">
        <v>46316</v>
      </c>
      <c r="F2090" t="inlineStr">
        <is>
          <t>KRONOBERGS LÄN</t>
        </is>
      </c>
      <c r="G2090" t="inlineStr">
        <is>
          <t>VÄXJÖ</t>
        </is>
      </c>
      <c r="I2090" t="n">
        <v>0.4</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13369-2023</t>
        </is>
      </c>
      <c r="B2091" t="inlineStr">
        <is>
          <t>avverkningsanmälan</t>
        </is>
      </c>
      <c r="C2091" t="inlineStr">
        <is>
          <t>Föryngringsavverkning</t>
        </is>
      </c>
      <c r="D2091" s="1" t="n">
        <v>45005</v>
      </c>
      <c r="E2091" s="1" t="n">
        <v>46316</v>
      </c>
      <c r="F2091" t="inlineStr">
        <is>
          <t>KRONOBERGS LÄN</t>
        </is>
      </c>
      <c r="G2091" t="inlineStr">
        <is>
          <t>ALVESTA</t>
        </is>
      </c>
      <c r="I2091" t="n">
        <v>0.8</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41905-2022</t>
        </is>
      </c>
      <c r="B2092" t="inlineStr">
        <is>
          <t>avverkningsanmälan</t>
        </is>
      </c>
      <c r="C2092" t="inlineStr">
        <is>
          <t>Föryngringsavverkning</t>
        </is>
      </c>
      <c r="D2092" s="1" t="n">
        <v>44830</v>
      </c>
      <c r="E2092" s="1" t="n">
        <v>46316</v>
      </c>
      <c r="F2092" t="inlineStr">
        <is>
          <t>KRONOBERGS LÄN</t>
        </is>
      </c>
      <c r="G2092" t="inlineStr">
        <is>
          <t>LESSEBO</t>
        </is>
      </c>
      <c r="H2092" t="inlineStr">
        <is>
          <t>Sveaskog</t>
        </is>
      </c>
      <c r="I2092" t="n">
        <v>0.7</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14349-2026</t>
        </is>
      </c>
      <c r="B2093" t="inlineStr">
        <is>
          <t>avverkningsanmälan</t>
        </is>
      </c>
      <c r="C2093" t="inlineStr">
        <is>
          <t>Föryngringsavverkning</t>
        </is>
      </c>
      <c r="D2093" s="1" t="n">
        <v>46100</v>
      </c>
      <c r="E2093" s="1" t="n">
        <v>46316</v>
      </c>
      <c r="F2093" t="inlineStr">
        <is>
          <t>KRONOBERGS LÄN</t>
        </is>
      </c>
      <c r="G2093" t="inlineStr">
        <is>
          <t>VÄXJÖ</t>
        </is>
      </c>
      <c r="I2093" t="n">
        <v>0.5</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14376-2026</t>
        </is>
      </c>
      <c r="B2094" t="inlineStr">
        <is>
          <t>avverkningsanmälan</t>
        </is>
      </c>
      <c r="C2094" t="inlineStr">
        <is>
          <t>Föryngringsavverkning</t>
        </is>
      </c>
      <c r="D2094" s="1" t="n">
        <v>46100</v>
      </c>
      <c r="E2094" s="1" t="n">
        <v>46316</v>
      </c>
      <c r="F2094" t="inlineStr">
        <is>
          <t>KRONOBERGS LÄN</t>
        </is>
      </c>
      <c r="G2094" t="inlineStr">
        <is>
          <t>MARKARYD</t>
        </is>
      </c>
      <c r="I2094" t="n">
        <v>4.3</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25711-2023</t>
        </is>
      </c>
      <c r="B2095" t="inlineStr">
        <is>
          <t>avverkningsanmälan</t>
        </is>
      </c>
      <c r="C2095" t="inlineStr">
        <is>
          <t>Föryngringsavverkning</t>
        </is>
      </c>
      <c r="D2095" s="1" t="n">
        <v>45090</v>
      </c>
      <c r="E2095" s="1" t="n">
        <v>46316</v>
      </c>
      <c r="F2095" t="inlineStr">
        <is>
          <t>KRONOBERGS LÄN</t>
        </is>
      </c>
      <c r="G2095" t="inlineStr">
        <is>
          <t>ÄLMHULT</t>
        </is>
      </c>
      <c r="I2095" t="n">
        <v>0.6</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52546-2025</t>
        </is>
      </c>
      <c r="B2096" t="inlineStr">
        <is>
          <t>avverkningsanmälan</t>
        </is>
      </c>
      <c r="C2096" t="inlineStr">
        <is>
          <t>Föryngringsavverkning</t>
        </is>
      </c>
      <c r="D2096" s="1" t="n">
        <v>45954</v>
      </c>
      <c r="E2096" s="1" t="n">
        <v>46316</v>
      </c>
      <c r="F2096" t="inlineStr">
        <is>
          <t>KRONOBERGS LÄN</t>
        </is>
      </c>
      <c r="G2096" t="inlineStr">
        <is>
          <t>LESSEBO</t>
        </is>
      </c>
      <c r="H2096" t="inlineStr">
        <is>
          <t>Sveaskog</t>
        </is>
      </c>
      <c r="I2096" t="n">
        <v>5.4</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11781-2023</t>
        </is>
      </c>
      <c r="B2097" t="inlineStr">
        <is>
          <t>avverkningsanmälan</t>
        </is>
      </c>
      <c r="C2097" t="inlineStr">
        <is>
          <t>Avverkning för annat ändamål</t>
        </is>
      </c>
      <c r="D2097" s="1" t="n">
        <v>44994</v>
      </c>
      <c r="E2097" s="1" t="n">
        <v>46316</v>
      </c>
      <c r="F2097" t="inlineStr">
        <is>
          <t>KRONOBERGS LÄN</t>
        </is>
      </c>
      <c r="G2097" t="inlineStr">
        <is>
          <t>MARKARYD</t>
        </is>
      </c>
      <c r="I2097" t="n">
        <v>4.7</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11787-2023</t>
        </is>
      </c>
      <c r="B2098" t="inlineStr">
        <is>
          <t>avverkningsanmälan</t>
        </is>
      </c>
      <c r="C2098" t="inlineStr">
        <is>
          <t>Föryngringsavverkning</t>
        </is>
      </c>
      <c r="D2098" s="1" t="n">
        <v>44994</v>
      </c>
      <c r="E2098" s="1" t="n">
        <v>46316</v>
      </c>
      <c r="F2098" t="inlineStr">
        <is>
          <t>KRONOBERGS LÄN</t>
        </is>
      </c>
      <c r="G2098" t="inlineStr">
        <is>
          <t>ÄLMHULT</t>
        </is>
      </c>
      <c r="I2098" t="n">
        <v>1.4</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14380-2026</t>
        </is>
      </c>
      <c r="B2099" t="inlineStr">
        <is>
          <t>avverkningsanmälan</t>
        </is>
      </c>
      <c r="C2099" t="inlineStr">
        <is>
          <t>Föryngringsavverkning</t>
        </is>
      </c>
      <c r="D2099" s="1" t="n">
        <v>46100</v>
      </c>
      <c r="E2099" s="1" t="n">
        <v>46316</v>
      </c>
      <c r="F2099" t="inlineStr">
        <is>
          <t>KRONOBERGS LÄN</t>
        </is>
      </c>
      <c r="G2099" t="inlineStr">
        <is>
          <t>MARKARYD</t>
        </is>
      </c>
      <c r="I2099" t="n">
        <v>1.6</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1994-2023</t>
        </is>
      </c>
      <c r="B2100" t="inlineStr">
        <is>
          <t>avverkningsanmälan</t>
        </is>
      </c>
      <c r="C2100" t="inlineStr">
        <is>
          <t>Föryngringsavverkning</t>
        </is>
      </c>
      <c r="D2100" s="1" t="n">
        <v>44938</v>
      </c>
      <c r="E2100" s="1" t="n">
        <v>46316</v>
      </c>
      <c r="F2100" t="inlineStr">
        <is>
          <t>KRONOBERGS LÄN</t>
        </is>
      </c>
      <c r="G2100" t="inlineStr">
        <is>
          <t>TINGSRYD</t>
        </is>
      </c>
      <c r="I2100" t="n">
        <v>2.1</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11798-2023</t>
        </is>
      </c>
      <c r="B2101" t="inlineStr">
        <is>
          <t>avverkningsanmälan</t>
        </is>
      </c>
      <c r="C2101" t="inlineStr">
        <is>
          <t>Föryngringsavverkning</t>
        </is>
      </c>
      <c r="D2101" s="1" t="n">
        <v>44994</v>
      </c>
      <c r="E2101" s="1" t="n">
        <v>46316</v>
      </c>
      <c r="F2101" t="inlineStr">
        <is>
          <t>KRONOBERGS LÄN</t>
        </is>
      </c>
      <c r="G2101" t="inlineStr">
        <is>
          <t>ÄLMHULT</t>
        </is>
      </c>
      <c r="I2101" t="n">
        <v>0.7</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52534-2025</t>
        </is>
      </c>
      <c r="B2102" t="inlineStr">
        <is>
          <t>avverkningsanmälan</t>
        </is>
      </c>
      <c r="C2102" t="inlineStr">
        <is>
          <t>Föryngringsavverkning</t>
        </is>
      </c>
      <c r="D2102" s="1" t="n">
        <v>45954</v>
      </c>
      <c r="E2102" s="1" t="n">
        <v>46316</v>
      </c>
      <c r="F2102" t="inlineStr">
        <is>
          <t>KRONOBERGS LÄN</t>
        </is>
      </c>
      <c r="G2102" t="inlineStr">
        <is>
          <t>LESSEBO</t>
        </is>
      </c>
      <c r="H2102" t="inlineStr">
        <is>
          <t>Sveaskog</t>
        </is>
      </c>
      <c r="I2102" t="n">
        <v>2.8</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18385-2023</t>
        </is>
      </c>
      <c r="B2103" t="inlineStr">
        <is>
          <t>avverkningsanmälan</t>
        </is>
      </c>
      <c r="C2103" t="inlineStr">
        <is>
          <t>Föryngringsavverkning</t>
        </is>
      </c>
      <c r="D2103" s="1" t="n">
        <v>45042</v>
      </c>
      <c r="E2103" s="1" t="n">
        <v>46316</v>
      </c>
      <c r="F2103" t="inlineStr">
        <is>
          <t>KRONOBERGS LÄN</t>
        </is>
      </c>
      <c r="G2103" t="inlineStr">
        <is>
          <t>ÄLMHULT</t>
        </is>
      </c>
      <c r="I2103" t="n">
        <v>0.6</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24935-2023</t>
        </is>
      </c>
      <c r="B2104" t="inlineStr">
        <is>
          <t>avverkningsanmälan</t>
        </is>
      </c>
      <c r="C2104" t="inlineStr">
        <is>
          <t>Föryngringsavverkning</t>
        </is>
      </c>
      <c r="D2104" s="1" t="n">
        <v>45085</v>
      </c>
      <c r="E2104" s="1" t="n">
        <v>46316</v>
      </c>
      <c r="F2104" t="inlineStr">
        <is>
          <t>KRONOBERGS LÄN</t>
        </is>
      </c>
      <c r="G2104" t="inlineStr">
        <is>
          <t>UPPVIDINGE</t>
        </is>
      </c>
      <c r="I2104" t="n">
        <v>0.5</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54136-2022</t>
        </is>
      </c>
      <c r="B2105" t="inlineStr">
        <is>
          <t>avverkningsanmälan</t>
        </is>
      </c>
      <c r="C2105" t="inlineStr">
        <is>
          <t>Föryngringsavverkning</t>
        </is>
      </c>
      <c r="D2105" s="1" t="n">
        <v>44881</v>
      </c>
      <c r="E2105" s="1" t="n">
        <v>46316</v>
      </c>
      <c r="F2105" t="inlineStr">
        <is>
          <t>KRONOBERGS LÄN</t>
        </is>
      </c>
      <c r="G2105" t="inlineStr">
        <is>
          <t>TINGSRYD</t>
        </is>
      </c>
      <c r="I2105" t="n">
        <v>1.1</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53122-2025</t>
        </is>
      </c>
      <c r="B2106" t="inlineStr">
        <is>
          <t>avverkningsanmälan</t>
        </is>
      </c>
      <c r="C2106" t="inlineStr">
        <is>
          <t>Föryngringsavverkning</t>
        </is>
      </c>
      <c r="D2106" s="1" t="n">
        <v>45958</v>
      </c>
      <c r="E2106" s="1" t="n">
        <v>46316</v>
      </c>
      <c r="F2106" t="inlineStr">
        <is>
          <t>KRONOBERGS LÄN</t>
        </is>
      </c>
      <c r="G2106" t="inlineStr">
        <is>
          <t>LESSEBO</t>
        </is>
      </c>
      <c r="I2106" t="n">
        <v>1.7</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14852-2026</t>
        </is>
      </c>
      <c r="B2107" t="inlineStr">
        <is>
          <t>avverkningsanmälan</t>
        </is>
      </c>
      <c r="C2107" t="inlineStr">
        <is>
          <t>Föryngringsavverkning</t>
        </is>
      </c>
      <c r="D2107" s="1" t="n">
        <v>46104</v>
      </c>
      <c r="E2107" s="1" t="n">
        <v>46316</v>
      </c>
      <c r="F2107" t="inlineStr">
        <is>
          <t>KRONOBERGS LÄN</t>
        </is>
      </c>
      <c r="G2107" t="inlineStr">
        <is>
          <t>TINGSRYD</t>
        </is>
      </c>
      <c r="I2107" t="n">
        <v>1.8</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25626-2024</t>
        </is>
      </c>
      <c r="B2108" t="inlineStr">
        <is>
          <t>avverkningsanmälan</t>
        </is>
      </c>
      <c r="C2108" t="inlineStr">
        <is>
          <t>Föryngringsavverkning</t>
        </is>
      </c>
      <c r="D2108" s="1" t="n">
        <v>45463</v>
      </c>
      <c r="E2108" s="1" t="n">
        <v>46316</v>
      </c>
      <c r="F2108" t="inlineStr">
        <is>
          <t>KRONOBERGS LÄN</t>
        </is>
      </c>
      <c r="G2108" t="inlineStr">
        <is>
          <t>VÄXJÖ</t>
        </is>
      </c>
      <c r="I2108" t="n">
        <v>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14743-2026</t>
        </is>
      </c>
      <c r="B2109" t="inlineStr">
        <is>
          <t>avverkningsanmälan</t>
        </is>
      </c>
      <c r="C2109" t="inlineStr">
        <is>
          <t>Föryngringsavverkning</t>
        </is>
      </c>
      <c r="D2109" s="1" t="n">
        <v>46101</v>
      </c>
      <c r="E2109" s="1" t="n">
        <v>46316</v>
      </c>
      <c r="F2109" t="inlineStr">
        <is>
          <t>KRONOBERGS LÄN</t>
        </is>
      </c>
      <c r="G2109" t="inlineStr">
        <is>
          <t>TINGSRYD</t>
        </is>
      </c>
      <c r="I2109" t="n">
        <v>1.8</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29989-2025</t>
        </is>
      </c>
      <c r="B2110" t="inlineStr">
        <is>
          <t>avverkningsanmälan</t>
        </is>
      </c>
      <c r="C2110" t="inlineStr">
        <is>
          <t>Föryngringsavverkning</t>
        </is>
      </c>
      <c r="D2110" s="1" t="n">
        <v>45826</v>
      </c>
      <c r="E2110" s="1" t="n">
        <v>46316</v>
      </c>
      <c r="F2110" t="inlineStr">
        <is>
          <t>KRONOBERGS LÄN</t>
        </is>
      </c>
      <c r="G2110" t="inlineStr">
        <is>
          <t>UPPVIDINGE</t>
        </is>
      </c>
      <c r="I2110" t="n">
        <v>0.5</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2845-2023</t>
        </is>
      </c>
      <c r="B2111" t="inlineStr">
        <is>
          <t>avverkningsanmälan</t>
        </is>
      </c>
      <c r="C2111" t="inlineStr">
        <is>
          <t>Föryngringsavverkning</t>
        </is>
      </c>
      <c r="D2111" s="1" t="n">
        <v>44945</v>
      </c>
      <c r="E2111" s="1" t="n">
        <v>46316</v>
      </c>
      <c r="F2111" t="inlineStr">
        <is>
          <t>KRONOBERGS LÄN</t>
        </is>
      </c>
      <c r="G2111" t="inlineStr">
        <is>
          <t>LJUNGBY</t>
        </is>
      </c>
      <c r="I2111" t="n">
        <v>0.3</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2853-2023</t>
        </is>
      </c>
      <c r="B2112" t="inlineStr">
        <is>
          <t>avverkningsanmälan</t>
        </is>
      </c>
      <c r="C2112" t="inlineStr">
        <is>
          <t>Föryngringsavverkning</t>
        </is>
      </c>
      <c r="D2112" s="1" t="n">
        <v>44945</v>
      </c>
      <c r="E2112" s="1" t="n">
        <v>46316</v>
      </c>
      <c r="F2112" t="inlineStr">
        <is>
          <t>KRONOBERGS LÄN</t>
        </is>
      </c>
      <c r="G2112" t="inlineStr">
        <is>
          <t>UPPVIDINGE</t>
        </is>
      </c>
      <c r="I2112" t="n">
        <v>0.4</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5710-2024</t>
        </is>
      </c>
      <c r="B2113" t="inlineStr">
        <is>
          <t>avverkningsanmälan</t>
        </is>
      </c>
      <c r="C2113" t="inlineStr">
        <is>
          <t>Föryngringsavverkning</t>
        </is>
      </c>
      <c r="D2113" s="1" t="n">
        <v>45334</v>
      </c>
      <c r="E2113" s="1" t="n">
        <v>46316</v>
      </c>
      <c r="F2113" t="inlineStr">
        <is>
          <t>KRONOBERGS LÄN</t>
        </is>
      </c>
      <c r="G2113" t="inlineStr">
        <is>
          <t>ÄLMHULT</t>
        </is>
      </c>
      <c r="I2113" t="n">
        <v>4.8</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30222-2025</t>
        </is>
      </c>
      <c r="B2114" t="inlineStr">
        <is>
          <t>avverkningsanmälan</t>
        </is>
      </c>
      <c r="C2114" t="inlineStr">
        <is>
          <t>Föryngringsavverkning</t>
        </is>
      </c>
      <c r="D2114" s="1" t="n">
        <v>45827</v>
      </c>
      <c r="E2114" s="1" t="n">
        <v>46316</v>
      </c>
      <c r="F2114" t="inlineStr">
        <is>
          <t>KRONOBERGS LÄN</t>
        </is>
      </c>
      <c r="G2114" t="inlineStr">
        <is>
          <t>ALVESTA</t>
        </is>
      </c>
      <c r="I2114" t="n">
        <v>0.5</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3573-2025</t>
        </is>
      </c>
      <c r="B2115" t="inlineStr">
        <is>
          <t>avverkningsanmälan</t>
        </is>
      </c>
      <c r="C2115" t="inlineStr">
        <is>
          <t>Föryngringsavverkning</t>
        </is>
      </c>
      <c r="D2115" s="1" t="n">
        <v>45680</v>
      </c>
      <c r="E2115" s="1" t="n">
        <v>46316</v>
      </c>
      <c r="F2115" t="inlineStr">
        <is>
          <t>KRONOBERGS LÄN</t>
        </is>
      </c>
      <c r="G2115" t="inlineStr">
        <is>
          <t>ÄLMHULT</t>
        </is>
      </c>
      <c r="I2115" t="n">
        <v>0.5</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29992-2025</t>
        </is>
      </c>
      <c r="B2116" t="inlineStr">
        <is>
          <t>avverkningsanmälan</t>
        </is>
      </c>
      <c r="C2116" t="inlineStr">
        <is>
          <t>Föryngringsavverkning</t>
        </is>
      </c>
      <c r="D2116" s="1" t="n">
        <v>45826</v>
      </c>
      <c r="E2116" s="1" t="n">
        <v>46316</v>
      </c>
      <c r="F2116" t="inlineStr">
        <is>
          <t>KRONOBERGS LÄN</t>
        </is>
      </c>
      <c r="G2116" t="inlineStr">
        <is>
          <t>UPPVIDINGE</t>
        </is>
      </c>
      <c r="I2116" t="n">
        <v>5.5</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30538-2025</t>
        </is>
      </c>
      <c r="B2117" t="inlineStr">
        <is>
          <t>avverkningsanmälan</t>
        </is>
      </c>
      <c r="C2117" t="inlineStr">
        <is>
          <t>Föryngringsavverkning</t>
        </is>
      </c>
      <c r="D2117" s="1" t="n">
        <v>45831</v>
      </c>
      <c r="E2117" s="1" t="n">
        <v>46316</v>
      </c>
      <c r="F2117" t="inlineStr">
        <is>
          <t>KRONOBERGS LÄN</t>
        </is>
      </c>
      <c r="G2117" t="inlineStr">
        <is>
          <t>LJUNGBY</t>
        </is>
      </c>
      <c r="I2117" t="n">
        <v>0.7</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14908-2026</t>
        </is>
      </c>
      <c r="B2118" t="inlineStr">
        <is>
          <t>avverkningsanmälan</t>
        </is>
      </c>
      <c r="C2118" t="inlineStr">
        <is>
          <t>Föryngringsavverkning</t>
        </is>
      </c>
      <c r="D2118" s="1" t="n">
        <v>46104</v>
      </c>
      <c r="E2118" s="1" t="n">
        <v>46316</v>
      </c>
      <c r="F2118" t="inlineStr">
        <is>
          <t>KRONOBERGS LÄN</t>
        </is>
      </c>
      <c r="G2118" t="inlineStr">
        <is>
          <t>LJUNGBY</t>
        </is>
      </c>
      <c r="I2118" t="n">
        <v>1.5</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17684-2024</t>
        </is>
      </c>
      <c r="B2119" t="inlineStr">
        <is>
          <t>avverkningsanmälan</t>
        </is>
      </c>
      <c r="C2119" t="inlineStr">
        <is>
          <t>Föryngringsavverkning</t>
        </is>
      </c>
      <c r="D2119" s="1" t="n">
        <v>45418</v>
      </c>
      <c r="E2119" s="1" t="n">
        <v>46316</v>
      </c>
      <c r="F2119" t="inlineStr">
        <is>
          <t>KRONOBERGS LÄN</t>
        </is>
      </c>
      <c r="G2119" t="inlineStr">
        <is>
          <t>MARKARYD</t>
        </is>
      </c>
      <c r="I2119" t="n">
        <v>1.3</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53446-2025</t>
        </is>
      </c>
      <c r="B2120" t="inlineStr">
        <is>
          <t>avverkningsanmälan</t>
        </is>
      </c>
      <c r="C2120" t="inlineStr">
        <is>
          <t>Föryngringsavverkning</t>
        </is>
      </c>
      <c r="D2120" s="1" t="n">
        <v>45959</v>
      </c>
      <c r="E2120" s="1" t="n">
        <v>46316</v>
      </c>
      <c r="F2120" t="inlineStr">
        <is>
          <t>KRONOBERGS LÄN</t>
        </is>
      </c>
      <c r="G2120" t="inlineStr">
        <is>
          <t>LJUNGBY</t>
        </is>
      </c>
      <c r="H2120" t="inlineStr">
        <is>
          <t>Övriga Aktiebolag</t>
        </is>
      </c>
      <c r="I2120" t="n">
        <v>4.7</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30683-2025</t>
        </is>
      </c>
      <c r="B2121" t="inlineStr">
        <is>
          <t>avverkningsanmälan</t>
        </is>
      </c>
      <c r="C2121" t="inlineStr">
        <is>
          <t>Föryngringsavverkning</t>
        </is>
      </c>
      <c r="D2121" s="1" t="n">
        <v>45831</v>
      </c>
      <c r="E2121" s="1" t="n">
        <v>46316</v>
      </c>
      <c r="F2121" t="inlineStr">
        <is>
          <t>KRONOBERGS LÄN</t>
        </is>
      </c>
      <c r="G2121" t="inlineStr">
        <is>
          <t>VÄXJÖ</t>
        </is>
      </c>
      <c r="I2121" t="n">
        <v>3.2</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53378-2025</t>
        </is>
      </c>
      <c r="B2122" t="inlineStr">
        <is>
          <t>avverkningsanmälan</t>
        </is>
      </c>
      <c r="C2122" t="inlineStr">
        <is>
          <t>Föryngringsavverkning</t>
        </is>
      </c>
      <c r="D2122" s="1" t="n">
        <v>45959</v>
      </c>
      <c r="E2122" s="1" t="n">
        <v>46316</v>
      </c>
      <c r="F2122" t="inlineStr">
        <is>
          <t>KRONOBERGS LÄN</t>
        </is>
      </c>
      <c r="G2122" t="inlineStr">
        <is>
          <t>ÄLMHULT</t>
        </is>
      </c>
      <c r="I2122" t="n">
        <v>0.7</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30529-2025</t>
        </is>
      </c>
      <c r="B2123" t="inlineStr">
        <is>
          <t>avverkningsanmälan</t>
        </is>
      </c>
      <c r="C2123" t="inlineStr">
        <is>
          <t>Föryngringsavverkning</t>
        </is>
      </c>
      <c r="D2123" s="1" t="n">
        <v>45831</v>
      </c>
      <c r="E2123" s="1" t="n">
        <v>46316</v>
      </c>
      <c r="F2123" t="inlineStr">
        <is>
          <t>KRONOBERGS LÄN</t>
        </is>
      </c>
      <c r="G2123" t="inlineStr">
        <is>
          <t>LJUNGBY</t>
        </is>
      </c>
      <c r="I2123" t="n">
        <v>0.6</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30549-2025</t>
        </is>
      </c>
      <c r="B2124" t="inlineStr">
        <is>
          <t>avverkningsanmälan</t>
        </is>
      </c>
      <c r="C2124" t="inlineStr">
        <is>
          <t>Föryngringsavverkning</t>
        </is>
      </c>
      <c r="D2124" s="1" t="n">
        <v>45831</v>
      </c>
      <c r="E2124" s="1" t="n">
        <v>46316</v>
      </c>
      <c r="F2124" t="inlineStr">
        <is>
          <t>KRONOBERGS LÄN</t>
        </is>
      </c>
      <c r="G2124" t="inlineStr">
        <is>
          <t>LJUNGBY</t>
        </is>
      </c>
      <c r="I2124" t="n">
        <v>2.9</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30521-2025</t>
        </is>
      </c>
      <c r="B2125" t="inlineStr">
        <is>
          <t>avverkningsanmälan</t>
        </is>
      </c>
      <c r="C2125" t="inlineStr">
        <is>
          <t>Föryngringsavverkning</t>
        </is>
      </c>
      <c r="D2125" s="1" t="n">
        <v>45831</v>
      </c>
      <c r="E2125" s="1" t="n">
        <v>46316</v>
      </c>
      <c r="F2125" t="inlineStr">
        <is>
          <t>KRONOBERGS LÄN</t>
        </is>
      </c>
      <c r="G2125" t="inlineStr">
        <is>
          <t>LJUNGBY</t>
        </is>
      </c>
      <c r="I2125" t="n">
        <v>1.5</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3876-2025</t>
        </is>
      </c>
      <c r="B2126" t="inlineStr">
        <is>
          <t>avverkningsanmälan</t>
        </is>
      </c>
      <c r="C2126" t="inlineStr">
        <is>
          <t>Föryngringsavverkning</t>
        </is>
      </c>
      <c r="D2126" s="1" t="n">
        <v>45684</v>
      </c>
      <c r="E2126" s="1" t="n">
        <v>46316</v>
      </c>
      <c r="F2126" t="inlineStr">
        <is>
          <t>KRONOBERGS LÄN</t>
        </is>
      </c>
      <c r="G2126" t="inlineStr">
        <is>
          <t>LJUNGBY</t>
        </is>
      </c>
      <c r="I2126" t="n">
        <v>0.2</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17627-2025</t>
        </is>
      </c>
      <c r="B2127" t="inlineStr">
        <is>
          <t>avverkningsanmälan</t>
        </is>
      </c>
      <c r="C2127" t="inlineStr">
        <is>
          <t>Föryngringsavverkning</t>
        </is>
      </c>
      <c r="D2127" s="1" t="n">
        <v>45757</v>
      </c>
      <c r="E2127" s="1" t="n">
        <v>46316</v>
      </c>
      <c r="F2127" t="inlineStr">
        <is>
          <t>KRONOBERGS LÄN</t>
        </is>
      </c>
      <c r="G2127" t="inlineStr">
        <is>
          <t>LJUNGBY</t>
        </is>
      </c>
      <c r="I2127" t="n">
        <v>0.4</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30857-2025</t>
        </is>
      </c>
      <c r="B2128" t="inlineStr">
        <is>
          <t>avverkningsanmälan</t>
        </is>
      </c>
      <c r="C2128" t="inlineStr">
        <is>
          <t>Föryngringsavverkning</t>
        </is>
      </c>
      <c r="D2128" s="1" t="n">
        <v>45831</v>
      </c>
      <c r="E2128" s="1" t="n">
        <v>46316</v>
      </c>
      <c r="F2128" t="inlineStr">
        <is>
          <t>KRONOBERGS LÄN</t>
        </is>
      </c>
      <c r="G2128" t="inlineStr">
        <is>
          <t>LJUNGBY</t>
        </is>
      </c>
      <c r="I2128" t="n">
        <v>2.3</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30523-2025</t>
        </is>
      </c>
      <c r="B2129" t="inlineStr">
        <is>
          <t>avverkningsanmälan</t>
        </is>
      </c>
      <c r="C2129" t="inlineStr">
        <is>
          <t>Föryngringsavverkning</t>
        </is>
      </c>
      <c r="D2129" s="1" t="n">
        <v>45831</v>
      </c>
      <c r="E2129" s="1" t="n">
        <v>46316</v>
      </c>
      <c r="F2129" t="inlineStr">
        <is>
          <t>KRONOBERGS LÄN</t>
        </is>
      </c>
      <c r="G2129" t="inlineStr">
        <is>
          <t>LJUNGBY</t>
        </is>
      </c>
      <c r="I2129" t="n">
        <v>0.5</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3818-2023</t>
        </is>
      </c>
      <c r="B2130" t="inlineStr">
        <is>
          <t>avverkningsanmälan</t>
        </is>
      </c>
      <c r="C2130" t="inlineStr">
        <is>
          <t>Föryngringsavverkning</t>
        </is>
      </c>
      <c r="D2130" s="1" t="n">
        <v>44951</v>
      </c>
      <c r="E2130" s="1" t="n">
        <v>46316</v>
      </c>
      <c r="F2130" t="inlineStr">
        <is>
          <t>KRONOBERGS LÄN</t>
        </is>
      </c>
      <c r="G2130" t="inlineStr">
        <is>
          <t>TINGSRYD</t>
        </is>
      </c>
      <c r="I2130" t="n">
        <v>1.4</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3955-2022</t>
        </is>
      </c>
      <c r="B2131" t="inlineStr">
        <is>
          <t>avverkningsanmälan</t>
        </is>
      </c>
      <c r="C2131" t="inlineStr">
        <is>
          <t>Föryngringsavverkning</t>
        </is>
      </c>
      <c r="D2131" s="1" t="n">
        <v>44587</v>
      </c>
      <c r="E2131" s="1" t="n">
        <v>46316</v>
      </c>
      <c r="F2131" t="inlineStr">
        <is>
          <t>KRONOBERGS LÄN</t>
        </is>
      </c>
      <c r="G2131" t="inlineStr">
        <is>
          <t>LESSEBO</t>
        </is>
      </c>
      <c r="I2131" t="n">
        <v>1.6</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48147-2023</t>
        </is>
      </c>
      <c r="B2132" t="inlineStr">
        <is>
          <t>avverkningsanmälan</t>
        </is>
      </c>
      <c r="C2132" t="inlineStr">
        <is>
          <t>Föryngringsavverkning</t>
        </is>
      </c>
      <c r="D2132" s="1" t="n">
        <v>45205</v>
      </c>
      <c r="E2132" s="1" t="n">
        <v>46316</v>
      </c>
      <c r="F2132" t="inlineStr">
        <is>
          <t>KRONOBERGS LÄN</t>
        </is>
      </c>
      <c r="G2132" t="inlineStr">
        <is>
          <t>LJUNGBY</t>
        </is>
      </c>
      <c r="I2132" t="n">
        <v>2</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31094-2025</t>
        </is>
      </c>
      <c r="B2133" t="inlineStr">
        <is>
          <t>avverkningsanmälan</t>
        </is>
      </c>
      <c r="C2133" t="inlineStr">
        <is>
          <t>Föryngringsavverkning</t>
        </is>
      </c>
      <c r="D2133" s="1" t="n">
        <v>45831</v>
      </c>
      <c r="E2133" s="1" t="n">
        <v>46316</v>
      </c>
      <c r="F2133" t="inlineStr">
        <is>
          <t>KRONOBERGS LÄN</t>
        </is>
      </c>
      <c r="G2133" t="inlineStr">
        <is>
          <t>ALVESTA</t>
        </is>
      </c>
      <c r="I2133" t="n">
        <v>1.4</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14651-2026</t>
        </is>
      </c>
      <c r="B2134" t="inlineStr">
        <is>
          <t>avverkningsanmälan</t>
        </is>
      </c>
      <c r="C2134" t="inlineStr">
        <is>
          <t>Föryngringsavverkning</t>
        </is>
      </c>
      <c r="D2134" s="1" t="n">
        <v>46101</v>
      </c>
      <c r="E2134" s="1" t="n">
        <v>46316</v>
      </c>
      <c r="F2134" t="inlineStr">
        <is>
          <t>KRONOBERGS LÄN</t>
        </is>
      </c>
      <c r="G2134" t="inlineStr">
        <is>
          <t>TINGSRYD</t>
        </is>
      </c>
      <c r="I2134" t="n">
        <v>0.7</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17518-2023</t>
        </is>
      </c>
      <c r="B2135" t="inlineStr">
        <is>
          <t>avverkningsanmälan</t>
        </is>
      </c>
      <c r="C2135" t="inlineStr">
        <is>
          <t>Föryngringsavverkning</t>
        </is>
      </c>
      <c r="D2135" s="1" t="n">
        <v>45036</v>
      </c>
      <c r="E2135" s="1" t="n">
        <v>46316</v>
      </c>
      <c r="F2135" t="inlineStr">
        <is>
          <t>KRONOBERGS LÄN</t>
        </is>
      </c>
      <c r="G2135" t="inlineStr">
        <is>
          <t>TINGSRYD</t>
        </is>
      </c>
      <c r="I2135" t="n">
        <v>1.1</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59099-2022</t>
        </is>
      </c>
      <c r="B2136" t="inlineStr">
        <is>
          <t>avverkningsanmälan</t>
        </is>
      </c>
      <c r="C2136" t="inlineStr">
        <is>
          <t>Föryngringsavverkning</t>
        </is>
      </c>
      <c r="D2136" s="1" t="n">
        <v>44897</v>
      </c>
      <c r="E2136" s="1" t="n">
        <v>46316</v>
      </c>
      <c r="F2136" t="inlineStr">
        <is>
          <t>KRONOBERGS LÄN</t>
        </is>
      </c>
      <c r="G2136" t="inlineStr">
        <is>
          <t>ÄLMHULT</t>
        </is>
      </c>
      <c r="I2136" t="n">
        <v>4.3</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72450-2021</t>
        </is>
      </c>
      <c r="B2137" t="inlineStr">
        <is>
          <t>avverkningsanmälan</t>
        </is>
      </c>
      <c r="C2137" t="inlineStr">
        <is>
          <t>Föryngringsavverkning</t>
        </is>
      </c>
      <c r="D2137" s="1" t="n">
        <v>44545</v>
      </c>
      <c r="E2137" s="1" t="n">
        <v>46316</v>
      </c>
      <c r="F2137" t="inlineStr">
        <is>
          <t>KRONOBERGS LÄN</t>
        </is>
      </c>
      <c r="G2137" t="inlineStr">
        <is>
          <t>TINGSRYD</t>
        </is>
      </c>
      <c r="I2137" t="n">
        <v>2.5</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53701-2023</t>
        </is>
      </c>
      <c r="B2138" t="inlineStr">
        <is>
          <t>avverkningsanmälan</t>
        </is>
      </c>
      <c r="C2138" t="inlineStr">
        <is>
          <t>Föryngringsavverkning</t>
        </is>
      </c>
      <c r="D2138" s="1" t="n">
        <v>45230</v>
      </c>
      <c r="E2138" s="1" t="n">
        <v>46316</v>
      </c>
      <c r="F2138" t="inlineStr">
        <is>
          <t>KRONOBERGS LÄN</t>
        </is>
      </c>
      <c r="G2138" t="inlineStr">
        <is>
          <t>UPPVIDINGE</t>
        </is>
      </c>
      <c r="H2138" t="inlineStr">
        <is>
          <t>Sveaskog</t>
        </is>
      </c>
      <c r="I2138" t="n">
        <v>0.6</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53713-2023</t>
        </is>
      </c>
      <c r="B2139" t="inlineStr">
        <is>
          <t>avverkningsanmälan</t>
        </is>
      </c>
      <c r="C2139" t="inlineStr">
        <is>
          <t>Föryngringsavverkning</t>
        </is>
      </c>
      <c r="D2139" s="1" t="n">
        <v>45230</v>
      </c>
      <c r="E2139" s="1" t="n">
        <v>46316</v>
      </c>
      <c r="F2139" t="inlineStr">
        <is>
          <t>KRONOBERGS LÄN</t>
        </is>
      </c>
      <c r="G2139" t="inlineStr">
        <is>
          <t>VÄXJÖ</t>
        </is>
      </c>
      <c r="I2139" t="n">
        <v>0.5</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11587-2024</t>
        </is>
      </c>
      <c r="B2140" t="inlineStr">
        <is>
          <t>avverkningsanmälan</t>
        </is>
      </c>
      <c r="C2140" t="inlineStr">
        <is>
          <t>Föryngringsavverkning</t>
        </is>
      </c>
      <c r="D2140" s="1" t="n">
        <v>45373</v>
      </c>
      <c r="E2140" s="1" t="n">
        <v>46316</v>
      </c>
      <c r="F2140" t="inlineStr">
        <is>
          <t>KRONOBERGS LÄN</t>
        </is>
      </c>
      <c r="G2140" t="inlineStr">
        <is>
          <t>ÄLMHULT</t>
        </is>
      </c>
      <c r="H2140" t="inlineStr">
        <is>
          <t>Sveaskog</t>
        </is>
      </c>
      <c r="I2140" t="n">
        <v>0.5</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53759-2025</t>
        </is>
      </c>
      <c r="B2141" t="inlineStr">
        <is>
          <t>avverkningsanmälan</t>
        </is>
      </c>
      <c r="C2141" t="inlineStr">
        <is>
          <t>Föryngringsavverkning</t>
        </is>
      </c>
      <c r="D2141" s="1" t="n">
        <v>45960</v>
      </c>
      <c r="E2141" s="1" t="n">
        <v>46316</v>
      </c>
      <c r="F2141" t="inlineStr">
        <is>
          <t>KRONOBERGS LÄN</t>
        </is>
      </c>
      <c r="G2141" t="inlineStr">
        <is>
          <t>UPPVIDINGE</t>
        </is>
      </c>
      <c r="H2141" t="inlineStr">
        <is>
          <t>Sveaskog</t>
        </is>
      </c>
      <c r="I2141" t="n">
        <v>2.6</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30840-2025</t>
        </is>
      </c>
      <c r="B2142" t="inlineStr">
        <is>
          <t>avverkningsanmälan</t>
        </is>
      </c>
      <c r="C2142" t="inlineStr">
        <is>
          <t>Föryngringsavverkning</t>
        </is>
      </c>
      <c r="D2142" s="1" t="n">
        <v>45831</v>
      </c>
      <c r="E2142" s="1" t="n">
        <v>46316</v>
      </c>
      <c r="F2142" t="inlineStr">
        <is>
          <t>KRONOBERGS LÄN</t>
        </is>
      </c>
      <c r="G2142" t="inlineStr">
        <is>
          <t>TINGSRYD</t>
        </is>
      </c>
      <c r="I2142" t="n">
        <v>0.5</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15660-2026</t>
        </is>
      </c>
      <c r="B2143" t="inlineStr">
        <is>
          <t>avverkningsanmälan</t>
        </is>
      </c>
      <c r="C2143" t="inlineStr">
        <is>
          <t>Föryngringsavverkning</t>
        </is>
      </c>
      <c r="D2143" s="1" t="n">
        <v>46106</v>
      </c>
      <c r="E2143" s="1" t="n">
        <v>46316</v>
      </c>
      <c r="F2143" t="inlineStr">
        <is>
          <t>KRONOBERGS LÄN</t>
        </is>
      </c>
      <c r="G2143" t="inlineStr">
        <is>
          <t>LJUNGBY</t>
        </is>
      </c>
      <c r="I2143" t="n">
        <v>4.6</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50916-2025</t>
        </is>
      </c>
      <c r="B2144" t="inlineStr">
        <is>
          <t>avverkningsanmälan</t>
        </is>
      </c>
      <c r="C2144" t="inlineStr">
        <is>
          <t>Föryngringsavverkning</t>
        </is>
      </c>
      <c r="D2144" s="1" t="n">
        <v>45946</v>
      </c>
      <c r="E2144" s="1" t="n">
        <v>46316</v>
      </c>
      <c r="F2144" t="inlineStr">
        <is>
          <t>KRONOBERGS LÄN</t>
        </is>
      </c>
      <c r="G2144" t="inlineStr">
        <is>
          <t>VÄXJÖ</t>
        </is>
      </c>
      <c r="I2144" t="n">
        <v>3.7</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19286-2025</t>
        </is>
      </c>
      <c r="B2145" t="inlineStr">
        <is>
          <t>avverkningsanmälan</t>
        </is>
      </c>
      <c r="C2145" t="inlineStr">
        <is>
          <t>Föryngringsavverkning</t>
        </is>
      </c>
      <c r="D2145" s="1" t="n">
        <v>45769</v>
      </c>
      <c r="E2145" s="1" t="n">
        <v>46316</v>
      </c>
      <c r="F2145" t="inlineStr">
        <is>
          <t>KRONOBERGS LÄN</t>
        </is>
      </c>
      <c r="G2145" t="inlineStr">
        <is>
          <t>ALVESTA</t>
        </is>
      </c>
      <c r="I2145" t="n">
        <v>3</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30527-2025</t>
        </is>
      </c>
      <c r="B2146" t="inlineStr">
        <is>
          <t>avverkningsanmälan</t>
        </is>
      </c>
      <c r="C2146" t="inlineStr">
        <is>
          <t>Föryngringsavverkning</t>
        </is>
      </c>
      <c r="D2146" s="1" t="n">
        <v>45831</v>
      </c>
      <c r="E2146" s="1" t="n">
        <v>46316</v>
      </c>
      <c r="F2146" t="inlineStr">
        <is>
          <t>KRONOBERGS LÄN</t>
        </is>
      </c>
      <c r="G2146" t="inlineStr">
        <is>
          <t>LESSEBO</t>
        </is>
      </c>
      <c r="I2146" t="n">
        <v>1.1</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15322-2026</t>
        </is>
      </c>
      <c r="B2147" t="inlineStr">
        <is>
          <t>avverkningsanmälan</t>
        </is>
      </c>
      <c r="C2147" t="inlineStr">
        <is>
          <t>Föryngringsavverkning</t>
        </is>
      </c>
      <c r="D2147" s="1" t="n">
        <v>46105</v>
      </c>
      <c r="E2147" s="1" t="n">
        <v>46316</v>
      </c>
      <c r="F2147" t="inlineStr">
        <is>
          <t>KRONOBERGS LÄN</t>
        </is>
      </c>
      <c r="G2147" t="inlineStr">
        <is>
          <t>ÄLMHULT</t>
        </is>
      </c>
      <c r="H2147" t="inlineStr">
        <is>
          <t>Sveaskog</t>
        </is>
      </c>
      <c r="I2147" t="n">
        <v>1.9</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47550-2023</t>
        </is>
      </c>
      <c r="B2148" t="inlineStr">
        <is>
          <t>avverkningsanmälan</t>
        </is>
      </c>
      <c r="C2148" t="inlineStr">
        <is>
          <t>Föryngringsavverkning</t>
        </is>
      </c>
      <c r="D2148" s="1" t="n">
        <v>45203</v>
      </c>
      <c r="E2148" s="1" t="n">
        <v>46316</v>
      </c>
      <c r="F2148" t="inlineStr">
        <is>
          <t>KRONOBERGS LÄN</t>
        </is>
      </c>
      <c r="G2148" t="inlineStr">
        <is>
          <t>TINGSRYD</t>
        </is>
      </c>
      <c r="I2148" t="n">
        <v>0.9</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30643-2025</t>
        </is>
      </c>
      <c r="B2149" t="inlineStr">
        <is>
          <t>avverkningsanmälan</t>
        </is>
      </c>
      <c r="C2149" t="inlineStr">
        <is>
          <t>Föryngringsavverkning</t>
        </is>
      </c>
      <c r="D2149" s="1" t="n">
        <v>45831</v>
      </c>
      <c r="E2149" s="1" t="n">
        <v>46316</v>
      </c>
      <c r="F2149" t="inlineStr">
        <is>
          <t>KRONOBERGS LÄN</t>
        </is>
      </c>
      <c r="G2149" t="inlineStr">
        <is>
          <t>VÄXJÖ</t>
        </is>
      </c>
      <c r="I2149" t="n">
        <v>0.6</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15493-2026</t>
        </is>
      </c>
      <c r="B2150" t="inlineStr">
        <is>
          <t>avverkningsanmälan</t>
        </is>
      </c>
      <c r="C2150" t="inlineStr">
        <is>
          <t>Föryngringsavverkning</t>
        </is>
      </c>
      <c r="D2150" s="1" t="n">
        <v>46106</v>
      </c>
      <c r="E2150" s="1" t="n">
        <v>46316</v>
      </c>
      <c r="F2150" t="inlineStr">
        <is>
          <t>KRONOBERGS LÄN</t>
        </is>
      </c>
      <c r="G2150" t="inlineStr">
        <is>
          <t>UPPVIDINGE</t>
        </is>
      </c>
      <c r="H2150" t="inlineStr">
        <is>
          <t>Sveaskog</t>
        </is>
      </c>
      <c r="I2150" t="n">
        <v>1.7</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31602-2025</t>
        </is>
      </c>
      <c r="B2151" t="inlineStr">
        <is>
          <t>avverkningsanmälan</t>
        </is>
      </c>
      <c r="C2151" t="inlineStr">
        <is>
          <t>Föryngringsavverkning</t>
        </is>
      </c>
      <c r="D2151" s="1" t="n">
        <v>45833</v>
      </c>
      <c r="E2151" s="1" t="n">
        <v>46316</v>
      </c>
      <c r="F2151" t="inlineStr">
        <is>
          <t>KRONOBERGS LÄN</t>
        </is>
      </c>
      <c r="G2151" t="inlineStr">
        <is>
          <t>LJUNGBY</t>
        </is>
      </c>
      <c r="I2151" t="n">
        <v>1.5</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56172-2023</t>
        </is>
      </c>
      <c r="B2152" t="inlineStr">
        <is>
          <t>avverkningsanmälan</t>
        </is>
      </c>
      <c r="C2152" t="inlineStr">
        <is>
          <t>Föryngringsavverkning</t>
        </is>
      </c>
      <c r="D2152" s="1" t="n">
        <v>45240</v>
      </c>
      <c r="E2152" s="1" t="n">
        <v>46316</v>
      </c>
      <c r="F2152" t="inlineStr">
        <is>
          <t>KRONOBERGS LÄN</t>
        </is>
      </c>
      <c r="G2152" t="inlineStr">
        <is>
          <t>VÄXJÖ</t>
        </is>
      </c>
      <c r="I2152" t="n">
        <v>1.2</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7107-2022</t>
        </is>
      </c>
      <c r="B2153" t="inlineStr">
        <is>
          <t>avverkningsanmälan</t>
        </is>
      </c>
      <c r="C2153" t="inlineStr">
        <is>
          <t>Föryngringsavverkning</t>
        </is>
      </c>
      <c r="D2153" s="1" t="n">
        <v>44603</v>
      </c>
      <c r="E2153" s="1" t="n">
        <v>46316</v>
      </c>
      <c r="F2153" t="inlineStr">
        <is>
          <t>KRONOBERGS LÄN</t>
        </is>
      </c>
      <c r="G2153" t="inlineStr">
        <is>
          <t>LJUNGBY</t>
        </is>
      </c>
      <c r="I2153" t="n">
        <v>2.6</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7113-2022</t>
        </is>
      </c>
      <c r="B2154" t="inlineStr">
        <is>
          <t>avverkningsanmälan</t>
        </is>
      </c>
      <c r="C2154" t="inlineStr">
        <is>
          <t>Föryngringsavverkning</t>
        </is>
      </c>
      <c r="D2154" s="1" t="n">
        <v>44603</v>
      </c>
      <c r="E2154" s="1" t="n">
        <v>46316</v>
      </c>
      <c r="F2154" t="inlineStr">
        <is>
          <t>KRONOBERGS LÄN</t>
        </is>
      </c>
      <c r="G2154" t="inlineStr">
        <is>
          <t>LJUNGBY</t>
        </is>
      </c>
      <c r="I2154" t="n">
        <v>2</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7114-2022</t>
        </is>
      </c>
      <c r="B2155" t="inlineStr">
        <is>
          <t>avverkningsanmälan</t>
        </is>
      </c>
      <c r="C2155" t="inlineStr">
        <is>
          <t>Föryngringsavverkning</t>
        </is>
      </c>
      <c r="D2155" s="1" t="n">
        <v>44603</v>
      </c>
      <c r="E2155" s="1" t="n">
        <v>46316</v>
      </c>
      <c r="F2155" t="inlineStr">
        <is>
          <t>KRONOBERGS LÄN</t>
        </is>
      </c>
      <c r="G2155" t="inlineStr">
        <is>
          <t>LJUNGBY</t>
        </is>
      </c>
      <c r="I2155" t="n">
        <v>1.4</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27710-2022</t>
        </is>
      </c>
      <c r="B2156" t="inlineStr">
        <is>
          <t>avverkningsanmälan</t>
        </is>
      </c>
      <c r="C2156" t="inlineStr">
        <is>
          <t>Föryngringsavverkning</t>
        </is>
      </c>
      <c r="D2156" s="1" t="n">
        <v>44743</v>
      </c>
      <c r="E2156" s="1" t="n">
        <v>46316</v>
      </c>
      <c r="F2156" t="inlineStr">
        <is>
          <t>KRONOBERGS LÄN</t>
        </is>
      </c>
      <c r="G2156" t="inlineStr">
        <is>
          <t>ALVESTA</t>
        </is>
      </c>
      <c r="I2156" t="n">
        <v>3.9</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27731-2022</t>
        </is>
      </c>
      <c r="B2157" t="inlineStr">
        <is>
          <t>avverkningsanmälan</t>
        </is>
      </c>
      <c r="C2157" t="inlineStr">
        <is>
          <t>Föryngringsavverkning</t>
        </is>
      </c>
      <c r="D2157" s="1" t="n">
        <v>44743</v>
      </c>
      <c r="E2157" s="1" t="n">
        <v>46316</v>
      </c>
      <c r="F2157" t="inlineStr">
        <is>
          <t>KRONOBERGS LÄN</t>
        </is>
      </c>
      <c r="G2157" t="inlineStr">
        <is>
          <t>ALVESTA</t>
        </is>
      </c>
      <c r="I2157" t="n">
        <v>2.2</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36939-2023</t>
        </is>
      </c>
      <c r="B2158" t="inlineStr">
        <is>
          <t>avverkningsanmälan</t>
        </is>
      </c>
      <c r="C2158" t="inlineStr">
        <is>
          <t>Föryngringsavverkning</t>
        </is>
      </c>
      <c r="D2158" s="1" t="n">
        <v>45154</v>
      </c>
      <c r="E2158" s="1" t="n">
        <v>46316</v>
      </c>
      <c r="F2158" t="inlineStr">
        <is>
          <t>KRONOBERGS LÄN</t>
        </is>
      </c>
      <c r="G2158" t="inlineStr">
        <is>
          <t>VÄXJÖ</t>
        </is>
      </c>
      <c r="I2158" t="n">
        <v>0.9</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30842-2025</t>
        </is>
      </c>
      <c r="B2159" t="inlineStr">
        <is>
          <t>avverkningsanmälan</t>
        </is>
      </c>
      <c r="C2159" t="inlineStr">
        <is>
          <t>Föryngringsavverkning</t>
        </is>
      </c>
      <c r="D2159" s="1" t="n">
        <v>45831</v>
      </c>
      <c r="E2159" s="1" t="n">
        <v>46316</v>
      </c>
      <c r="F2159" t="inlineStr">
        <is>
          <t>KRONOBERGS LÄN</t>
        </is>
      </c>
      <c r="G2159" t="inlineStr">
        <is>
          <t>TINGSRYD</t>
        </is>
      </c>
      <c r="I2159" t="n">
        <v>1.4</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54003-2025</t>
        </is>
      </c>
      <c r="B2160" t="inlineStr">
        <is>
          <t>avverkningsanmälan</t>
        </is>
      </c>
      <c r="C2160" t="inlineStr">
        <is>
          <t>Föryngringsavverkning</t>
        </is>
      </c>
      <c r="D2160" s="1" t="n">
        <v>45961</v>
      </c>
      <c r="E2160" s="1" t="n">
        <v>46316</v>
      </c>
      <c r="F2160" t="inlineStr">
        <is>
          <t>KRONOBERGS LÄN</t>
        </is>
      </c>
      <c r="G2160" t="inlineStr">
        <is>
          <t>LJUNGBY</t>
        </is>
      </c>
      <c r="I2160" t="n">
        <v>0.8</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15071-2026</t>
        </is>
      </c>
      <c r="B2161" t="inlineStr">
        <is>
          <t>avverkningsanmälan</t>
        </is>
      </c>
      <c r="C2161" t="inlineStr">
        <is>
          <t>Föryngringsavverkning</t>
        </is>
      </c>
      <c r="D2161" s="1" t="n">
        <v>46104</v>
      </c>
      <c r="E2161" s="1" t="n">
        <v>46316</v>
      </c>
      <c r="F2161" t="inlineStr">
        <is>
          <t>KRONOBERGS LÄN</t>
        </is>
      </c>
      <c r="G2161" t="inlineStr">
        <is>
          <t>LJUNGBY</t>
        </is>
      </c>
      <c r="I2161" t="n">
        <v>4.7</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52312-2025</t>
        </is>
      </c>
      <c r="B2162" t="inlineStr">
        <is>
          <t>avverkningsanmälan</t>
        </is>
      </c>
      <c r="C2162" t="inlineStr">
        <is>
          <t>Föryngringsavverkning</t>
        </is>
      </c>
      <c r="D2162" s="1" t="n">
        <v>45953</v>
      </c>
      <c r="E2162" s="1" t="n">
        <v>46316</v>
      </c>
      <c r="F2162" t="inlineStr">
        <is>
          <t>KRONOBERGS LÄN</t>
        </is>
      </c>
      <c r="G2162" t="inlineStr">
        <is>
          <t>VÄXJÖ</t>
        </is>
      </c>
      <c r="I2162" t="n">
        <v>2.2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28818-2022</t>
        </is>
      </c>
      <c r="B2163" t="inlineStr">
        <is>
          <t>avverkningsanmälan</t>
        </is>
      </c>
      <c r="C2163" t="inlineStr">
        <is>
          <t>Föryngringsavverkning</t>
        </is>
      </c>
      <c r="D2163" s="1" t="n">
        <v>44749</v>
      </c>
      <c r="E2163" s="1" t="n">
        <v>46316</v>
      </c>
      <c r="F2163" t="inlineStr">
        <is>
          <t>KRONOBERGS LÄN</t>
        </is>
      </c>
      <c r="G2163" t="inlineStr">
        <is>
          <t>ALVESTA</t>
        </is>
      </c>
      <c r="I2163" t="n">
        <v>6</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15527-2026</t>
        </is>
      </c>
      <c r="B2164" t="inlineStr">
        <is>
          <t>avverkningsanmälan</t>
        </is>
      </c>
      <c r="C2164" t="inlineStr">
        <is>
          <t>Föryngringsavverkning</t>
        </is>
      </c>
      <c r="D2164" s="1" t="n">
        <v>46106</v>
      </c>
      <c r="E2164" s="1" t="n">
        <v>46316</v>
      </c>
      <c r="F2164" t="inlineStr">
        <is>
          <t>KRONOBERGS LÄN</t>
        </is>
      </c>
      <c r="G2164" t="inlineStr">
        <is>
          <t>TINGSRYD</t>
        </is>
      </c>
      <c r="H2164" t="inlineStr">
        <is>
          <t>Övriga Aktiebolag</t>
        </is>
      </c>
      <c r="I2164" t="n">
        <v>1.8</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15492-2026</t>
        </is>
      </c>
      <c r="B2165" t="inlineStr">
        <is>
          <t>avverkningsanmälan</t>
        </is>
      </c>
      <c r="C2165" t="inlineStr">
        <is>
          <t>Föryngringsavverkning</t>
        </is>
      </c>
      <c r="D2165" s="1" t="n">
        <v>46106</v>
      </c>
      <c r="E2165" s="1" t="n">
        <v>46316</v>
      </c>
      <c r="F2165" t="inlineStr">
        <is>
          <t>KRONOBERGS LÄN</t>
        </is>
      </c>
      <c r="G2165" t="inlineStr">
        <is>
          <t>UPPVIDINGE</t>
        </is>
      </c>
      <c r="H2165" t="inlineStr">
        <is>
          <t>Sveaskog</t>
        </is>
      </c>
      <c r="I2165" t="n">
        <v>1.7</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15327-2026</t>
        </is>
      </c>
      <c r="B2166" t="inlineStr">
        <is>
          <t>avverkningsanmälan</t>
        </is>
      </c>
      <c r="C2166" t="inlineStr">
        <is>
          <t>Föryngringsavverkning</t>
        </is>
      </c>
      <c r="D2166" s="1" t="n">
        <v>46105</v>
      </c>
      <c r="E2166" s="1" t="n">
        <v>46316</v>
      </c>
      <c r="F2166" t="inlineStr">
        <is>
          <t>KRONOBERGS LÄN</t>
        </is>
      </c>
      <c r="G2166" t="inlineStr">
        <is>
          <t>ÄLMHULT</t>
        </is>
      </c>
      <c r="H2166" t="inlineStr">
        <is>
          <t>Sveaskog</t>
        </is>
      </c>
      <c r="I2166" t="n">
        <v>1.7</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40049-2022</t>
        </is>
      </c>
      <c r="B2167" t="inlineStr">
        <is>
          <t>avverkningsanmälan</t>
        </is>
      </c>
      <c r="C2167" t="inlineStr">
        <is>
          <t>Föryngringsavverkning</t>
        </is>
      </c>
      <c r="D2167" s="1" t="n">
        <v>44820</v>
      </c>
      <c r="E2167" s="1" t="n">
        <v>46316</v>
      </c>
      <c r="F2167" t="inlineStr">
        <is>
          <t>KRONOBERGS LÄN</t>
        </is>
      </c>
      <c r="G2167" t="inlineStr">
        <is>
          <t>ALVESTA</t>
        </is>
      </c>
      <c r="I2167" t="n">
        <v>1.5</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15337-2026</t>
        </is>
      </c>
      <c r="B2168" t="inlineStr">
        <is>
          <t>avverkningsanmälan</t>
        </is>
      </c>
      <c r="C2168" t="inlineStr">
        <is>
          <t>Föryngringsavverkning</t>
        </is>
      </c>
      <c r="D2168" s="1" t="n">
        <v>46105</v>
      </c>
      <c r="E2168" s="1" t="n">
        <v>46316</v>
      </c>
      <c r="F2168" t="inlineStr">
        <is>
          <t>KRONOBERGS LÄN</t>
        </is>
      </c>
      <c r="G2168" t="inlineStr">
        <is>
          <t>ÄLMHULT</t>
        </is>
      </c>
      <c r="H2168" t="inlineStr">
        <is>
          <t>Sveaskog</t>
        </is>
      </c>
      <c r="I2168" t="n">
        <v>10.2</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53883-2025</t>
        </is>
      </c>
      <c r="B2169" t="inlineStr">
        <is>
          <t>avverkningsanmälan</t>
        </is>
      </c>
      <c r="C2169" t="inlineStr">
        <is>
          <t>Föryngringsavverkning</t>
        </is>
      </c>
      <c r="D2169" s="1" t="n">
        <v>45961</v>
      </c>
      <c r="E2169" s="1" t="n">
        <v>46316</v>
      </c>
      <c r="F2169" t="inlineStr">
        <is>
          <t>KRONOBERGS LÄN</t>
        </is>
      </c>
      <c r="G2169" t="inlineStr">
        <is>
          <t>LJUNGBY</t>
        </is>
      </c>
      <c r="I2169" t="n">
        <v>0.4</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24028-2023</t>
        </is>
      </c>
      <c r="B2170" t="inlineStr">
        <is>
          <t>avverkningsanmälan</t>
        </is>
      </c>
      <c r="C2170" t="inlineStr">
        <is>
          <t>Föryngringsavverkning</t>
        </is>
      </c>
      <c r="D2170" s="1" t="n">
        <v>45078</v>
      </c>
      <c r="E2170" s="1" t="n">
        <v>46316</v>
      </c>
      <c r="F2170" t="inlineStr">
        <is>
          <t>KRONOBERGS LÄN</t>
        </is>
      </c>
      <c r="G2170" t="inlineStr">
        <is>
          <t>ÄLMHULT</t>
        </is>
      </c>
      <c r="I2170" t="n">
        <v>4.6</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15329-2026</t>
        </is>
      </c>
      <c r="B2171" t="inlineStr">
        <is>
          <t>avverkningsanmälan</t>
        </is>
      </c>
      <c r="C2171" t="inlineStr">
        <is>
          <t>Föryngringsavverkning</t>
        </is>
      </c>
      <c r="D2171" s="1" t="n">
        <v>46105</v>
      </c>
      <c r="E2171" s="1" t="n">
        <v>46316</v>
      </c>
      <c r="F2171" t="inlineStr">
        <is>
          <t>KRONOBERGS LÄN</t>
        </is>
      </c>
      <c r="G2171" t="inlineStr">
        <is>
          <t>ÄLMHULT</t>
        </is>
      </c>
      <c r="H2171" t="inlineStr">
        <is>
          <t>Sveaskog</t>
        </is>
      </c>
      <c r="I2171" t="n">
        <v>4.7</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53739-2025</t>
        </is>
      </c>
      <c r="B2172" t="inlineStr">
        <is>
          <t>avverkningsanmälan</t>
        </is>
      </c>
      <c r="C2172" t="inlineStr">
        <is>
          <t>Föryngringsavverkning</t>
        </is>
      </c>
      <c r="D2172" s="1" t="n">
        <v>45960</v>
      </c>
      <c r="E2172" s="1" t="n">
        <v>46316</v>
      </c>
      <c r="F2172" t="inlineStr">
        <is>
          <t>KRONOBERGS LÄN</t>
        </is>
      </c>
      <c r="G2172" t="inlineStr">
        <is>
          <t>UPPVIDINGE</t>
        </is>
      </c>
      <c r="H2172" t="inlineStr">
        <is>
          <t>Sveaskog</t>
        </is>
      </c>
      <c r="I2172" t="n">
        <v>0.7</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3686-2025</t>
        </is>
      </c>
      <c r="B2173" t="inlineStr">
        <is>
          <t>avverkningsanmälan</t>
        </is>
      </c>
      <c r="C2173" t="inlineStr">
        <is>
          <t>Föryngringsavverkning</t>
        </is>
      </c>
      <c r="D2173" s="1" t="n">
        <v>45681</v>
      </c>
      <c r="E2173" s="1" t="n">
        <v>46316</v>
      </c>
      <c r="F2173" t="inlineStr">
        <is>
          <t>KRONOBERGS LÄN</t>
        </is>
      </c>
      <c r="G2173" t="inlineStr">
        <is>
          <t>ÄLMHULT</t>
        </is>
      </c>
      <c r="I2173" t="n">
        <v>0.7</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15555-2026</t>
        </is>
      </c>
      <c r="B2174" t="inlineStr">
        <is>
          <t>avverkningsanmälan</t>
        </is>
      </c>
      <c r="C2174" t="inlineStr">
        <is>
          <t>Föryngringsavverkning</t>
        </is>
      </c>
      <c r="D2174" s="1" t="n">
        <v>46106</v>
      </c>
      <c r="E2174" s="1" t="n">
        <v>46316</v>
      </c>
      <c r="F2174" t="inlineStr">
        <is>
          <t>KRONOBERGS LÄN</t>
        </is>
      </c>
      <c r="G2174" t="inlineStr">
        <is>
          <t>ÄLMHULT</t>
        </is>
      </c>
      <c r="H2174" t="inlineStr">
        <is>
          <t>Sveaskog</t>
        </is>
      </c>
      <c r="I2174" t="n">
        <v>2.5</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54182-2025</t>
        </is>
      </c>
      <c r="B2175" t="inlineStr">
        <is>
          <t>avverkningsanmälan</t>
        </is>
      </c>
      <c r="C2175" t="inlineStr">
        <is>
          <t>Föryngringsavverkning</t>
        </is>
      </c>
      <c r="D2175" s="1" t="n">
        <v>45964</v>
      </c>
      <c r="E2175" s="1" t="n">
        <v>46316</v>
      </c>
      <c r="F2175" t="inlineStr">
        <is>
          <t>KRONOBERGS LÄN</t>
        </is>
      </c>
      <c r="G2175" t="inlineStr">
        <is>
          <t>VÄXJÖ</t>
        </is>
      </c>
      <c r="I2175" t="n">
        <v>1.1</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31243-2025</t>
        </is>
      </c>
      <c r="B2176" t="inlineStr">
        <is>
          <t>avverkningsanmälan</t>
        </is>
      </c>
      <c r="C2176" t="inlineStr">
        <is>
          <t>Föryngringsavverkning</t>
        </is>
      </c>
      <c r="D2176" s="1" t="n">
        <v>45832</v>
      </c>
      <c r="E2176" s="1" t="n">
        <v>46316</v>
      </c>
      <c r="F2176" t="inlineStr">
        <is>
          <t>KRONOBERGS LÄN</t>
        </is>
      </c>
      <c r="G2176" t="inlineStr">
        <is>
          <t>VÄXJÖ</t>
        </is>
      </c>
      <c r="I2176" t="n">
        <v>10.6</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31439-2025</t>
        </is>
      </c>
      <c r="B2177" t="inlineStr">
        <is>
          <t>avverkningsanmälan</t>
        </is>
      </c>
      <c r="C2177" t="inlineStr">
        <is>
          <t>Föryngringsavverkning</t>
        </is>
      </c>
      <c r="D2177" s="1" t="n">
        <v>45833</v>
      </c>
      <c r="E2177" s="1" t="n">
        <v>46316</v>
      </c>
      <c r="F2177" t="inlineStr">
        <is>
          <t>KRONOBERGS LÄN</t>
        </is>
      </c>
      <c r="G2177" t="inlineStr">
        <is>
          <t>ALVESTA</t>
        </is>
      </c>
      <c r="I2177" t="n">
        <v>1.2</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21990-2023</t>
        </is>
      </c>
      <c r="B2178" t="inlineStr">
        <is>
          <t>avverkningsanmälan</t>
        </is>
      </c>
      <c r="C2178" t="inlineStr">
        <is>
          <t>Föryngringsavverkning</t>
        </is>
      </c>
      <c r="D2178" s="1" t="n">
        <v>45068</v>
      </c>
      <c r="E2178" s="1" t="n">
        <v>46316</v>
      </c>
      <c r="F2178" t="inlineStr">
        <is>
          <t>KRONOBERGS LÄN</t>
        </is>
      </c>
      <c r="G2178" t="inlineStr">
        <is>
          <t>ÄLMHULT</t>
        </is>
      </c>
      <c r="I2178" t="n">
        <v>1.4</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54259-2025</t>
        </is>
      </c>
      <c r="B2179" t="inlineStr">
        <is>
          <t>avverkningsanmälan</t>
        </is>
      </c>
      <c r="C2179" t="inlineStr">
        <is>
          <t>Avverkning för annat ändamål</t>
        </is>
      </c>
      <c r="D2179" s="1" t="n">
        <v>45964</v>
      </c>
      <c r="E2179" s="1" t="n">
        <v>46316</v>
      </c>
      <c r="F2179" t="inlineStr">
        <is>
          <t>KRONOBERGS LÄN</t>
        </is>
      </c>
      <c r="G2179" t="inlineStr">
        <is>
          <t>LJUNGBY</t>
        </is>
      </c>
      <c r="H2179" t="inlineStr">
        <is>
          <t>Kommuner</t>
        </is>
      </c>
      <c r="I2179" t="n">
        <v>0.2</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54214-2025</t>
        </is>
      </c>
      <c r="B2180" t="inlineStr">
        <is>
          <t>avverkningsanmälan</t>
        </is>
      </c>
      <c r="C2180" t="inlineStr">
        <is>
          <t>Föryngringsavverkning</t>
        </is>
      </c>
      <c r="D2180" s="1" t="n">
        <v>45964</v>
      </c>
      <c r="E2180" s="1" t="n">
        <v>46316</v>
      </c>
      <c r="F2180" t="inlineStr">
        <is>
          <t>KRONOBERGS LÄN</t>
        </is>
      </c>
      <c r="G2180" t="inlineStr">
        <is>
          <t>LJUNGBY</t>
        </is>
      </c>
      <c r="I2180" t="n">
        <v>2.6</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45288-2023</t>
        </is>
      </c>
      <c r="B2181" t="inlineStr">
        <is>
          <t>avverkningsanmälan</t>
        </is>
      </c>
      <c r="C2181" t="inlineStr">
        <is>
          <t>Föryngringsavverkning</t>
        </is>
      </c>
      <c r="D2181" s="1" t="n">
        <v>45191</v>
      </c>
      <c r="E2181" s="1" t="n">
        <v>46316</v>
      </c>
      <c r="F2181" t="inlineStr">
        <is>
          <t>KRONOBERGS LÄN</t>
        </is>
      </c>
      <c r="G2181" t="inlineStr">
        <is>
          <t>MARKARYD</t>
        </is>
      </c>
      <c r="I2181" t="n">
        <v>0.8</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15334-2026</t>
        </is>
      </c>
      <c r="B2182" t="inlineStr">
        <is>
          <t>avverkningsanmälan</t>
        </is>
      </c>
      <c r="C2182" t="inlineStr">
        <is>
          <t>Föryngringsavverkning</t>
        </is>
      </c>
      <c r="D2182" s="1" t="n">
        <v>46105</v>
      </c>
      <c r="E2182" s="1" t="n">
        <v>46316</v>
      </c>
      <c r="F2182" t="inlineStr">
        <is>
          <t>KRONOBERGS LÄN</t>
        </is>
      </c>
      <c r="G2182" t="inlineStr">
        <is>
          <t>ÄLMHULT</t>
        </is>
      </c>
      <c r="H2182" t="inlineStr">
        <is>
          <t>Sveaskog</t>
        </is>
      </c>
      <c r="I2182" t="n">
        <v>15.3</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60358-2022</t>
        </is>
      </c>
      <c r="B2183" t="inlineStr">
        <is>
          <t>avverkningsanmälan</t>
        </is>
      </c>
      <c r="C2183" t="inlineStr">
        <is>
          <t>Föryngringsavverkning</t>
        </is>
      </c>
      <c r="D2183" s="1" t="n">
        <v>44910</v>
      </c>
      <c r="E2183" s="1" t="n">
        <v>46316</v>
      </c>
      <c r="F2183" t="inlineStr">
        <is>
          <t>KRONOBERGS LÄN</t>
        </is>
      </c>
      <c r="G2183" t="inlineStr">
        <is>
          <t>LESSEBO</t>
        </is>
      </c>
      <c r="I2183" t="n">
        <v>4.5</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15320-2026</t>
        </is>
      </c>
      <c r="B2184" t="inlineStr">
        <is>
          <t>avverkningsanmälan</t>
        </is>
      </c>
      <c r="C2184" t="inlineStr">
        <is>
          <t>Föryngringsavverkning</t>
        </is>
      </c>
      <c r="D2184" s="1" t="n">
        <v>46105</v>
      </c>
      <c r="E2184" s="1" t="n">
        <v>46316</v>
      </c>
      <c r="F2184" t="inlineStr">
        <is>
          <t>KRONOBERGS LÄN</t>
        </is>
      </c>
      <c r="G2184" t="inlineStr">
        <is>
          <t>ÄLMHULT</t>
        </is>
      </c>
      <c r="H2184" t="inlineStr">
        <is>
          <t>Sveaskog</t>
        </is>
      </c>
      <c r="I2184" t="n">
        <v>3.2</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15323-2026</t>
        </is>
      </c>
      <c r="B2185" t="inlineStr">
        <is>
          <t>avverkningsanmälan</t>
        </is>
      </c>
      <c r="C2185" t="inlineStr">
        <is>
          <t>Föryngringsavverkning</t>
        </is>
      </c>
      <c r="D2185" s="1" t="n">
        <v>46105</v>
      </c>
      <c r="E2185" s="1" t="n">
        <v>46316</v>
      </c>
      <c r="F2185" t="inlineStr">
        <is>
          <t>KRONOBERGS LÄN</t>
        </is>
      </c>
      <c r="G2185" t="inlineStr">
        <is>
          <t>ÄLMHULT</t>
        </is>
      </c>
      <c r="H2185" t="inlineStr">
        <is>
          <t>Sveaskog</t>
        </is>
      </c>
      <c r="I2185" t="n">
        <v>2.9</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19124-2022</t>
        </is>
      </c>
      <c r="B2186" t="inlineStr">
        <is>
          <t>avverkningsanmälan</t>
        </is>
      </c>
      <c r="C2186" t="inlineStr">
        <is>
          <t>Föryngringsavverkning</t>
        </is>
      </c>
      <c r="D2186" s="1" t="n">
        <v>44691</v>
      </c>
      <c r="E2186" s="1" t="n">
        <v>46316</v>
      </c>
      <c r="F2186" t="inlineStr">
        <is>
          <t>KRONOBERGS LÄN</t>
        </is>
      </c>
      <c r="G2186" t="inlineStr">
        <is>
          <t>TINGSRYD</t>
        </is>
      </c>
      <c r="I2186" t="n">
        <v>2.6</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15716-2026</t>
        </is>
      </c>
      <c r="B2187" t="inlineStr">
        <is>
          <t>avverkningsanmälan</t>
        </is>
      </c>
      <c r="C2187" t="inlineStr">
        <is>
          <t>Föryngringsavverkning</t>
        </is>
      </c>
      <c r="D2187" s="1" t="n">
        <v>46107</v>
      </c>
      <c r="E2187" s="1" t="n">
        <v>46316</v>
      </c>
      <c r="F2187" t="inlineStr">
        <is>
          <t>KRONOBERGS LÄN</t>
        </is>
      </c>
      <c r="G2187" t="inlineStr">
        <is>
          <t>LJUNGBY</t>
        </is>
      </c>
      <c r="I2187" t="n">
        <v>5.7</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15859-2026</t>
        </is>
      </c>
      <c r="B2188" t="inlineStr">
        <is>
          <t>avverkningsanmälan</t>
        </is>
      </c>
      <c r="C2188" t="inlineStr">
        <is>
          <t>Föryngringsavverkning</t>
        </is>
      </c>
      <c r="D2188" s="1" t="n">
        <v>46107</v>
      </c>
      <c r="E2188" s="1" t="n">
        <v>46316</v>
      </c>
      <c r="F2188" t="inlineStr">
        <is>
          <t>KRONOBERGS LÄN</t>
        </is>
      </c>
      <c r="G2188" t="inlineStr">
        <is>
          <t>ÄLMHULT</t>
        </is>
      </c>
      <c r="I2188" t="n">
        <v>0.9</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9372-2025</t>
        </is>
      </c>
      <c r="B2189" t="inlineStr">
        <is>
          <t>avverkningsanmälan</t>
        </is>
      </c>
      <c r="C2189" t="inlineStr">
        <is>
          <t>Föryngringsavverkning</t>
        </is>
      </c>
      <c r="D2189" s="1" t="n">
        <v>45715</v>
      </c>
      <c r="E2189" s="1" t="n">
        <v>46316</v>
      </c>
      <c r="F2189" t="inlineStr">
        <is>
          <t>KRONOBERGS LÄN</t>
        </is>
      </c>
      <c r="G2189" t="inlineStr">
        <is>
          <t>ÄLMHULT</t>
        </is>
      </c>
      <c r="I2189" t="n">
        <v>0.4</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9389-2025</t>
        </is>
      </c>
      <c r="B2190" t="inlineStr">
        <is>
          <t>avverkningsanmälan</t>
        </is>
      </c>
      <c r="C2190" t="inlineStr">
        <is>
          <t>Föryngringsavverkning</t>
        </is>
      </c>
      <c r="D2190" s="1" t="n">
        <v>45715</v>
      </c>
      <c r="E2190" s="1" t="n">
        <v>46316</v>
      </c>
      <c r="F2190" t="inlineStr">
        <is>
          <t>KRONOBERGS LÄN</t>
        </is>
      </c>
      <c r="G2190" t="inlineStr">
        <is>
          <t>VÄXJÖ</t>
        </is>
      </c>
      <c r="I2190" t="n">
        <v>1.8</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36890-2023</t>
        </is>
      </c>
      <c r="B2191" t="inlineStr">
        <is>
          <t>avverkningsanmälan</t>
        </is>
      </c>
      <c r="C2191" t="inlineStr">
        <is>
          <t>Föryngringsavverkning</t>
        </is>
      </c>
      <c r="D2191" s="1" t="n">
        <v>45154</v>
      </c>
      <c r="E2191" s="1" t="n">
        <v>46316</v>
      </c>
      <c r="F2191" t="inlineStr">
        <is>
          <t>KRONOBERGS LÄN</t>
        </is>
      </c>
      <c r="G2191" t="inlineStr">
        <is>
          <t>TINGSRYD</t>
        </is>
      </c>
      <c r="I2191" t="n">
        <v>1.5</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61634-2024</t>
        </is>
      </c>
      <c r="B2192" t="inlineStr">
        <is>
          <t>avverkningsanmälan</t>
        </is>
      </c>
      <c r="C2192" t="inlineStr">
        <is>
          <t>Föryngringsavverkning</t>
        </is>
      </c>
      <c r="D2192" s="1" t="n">
        <v>45646</v>
      </c>
      <c r="E2192" s="1" t="n">
        <v>46316</v>
      </c>
      <c r="F2192" t="inlineStr">
        <is>
          <t>KRONOBERGS LÄN</t>
        </is>
      </c>
      <c r="G2192" t="inlineStr">
        <is>
          <t>LJUNGBY</t>
        </is>
      </c>
      <c r="I2192" t="n">
        <v>3.1</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25929-2022</t>
        </is>
      </c>
      <c r="B2193" t="inlineStr">
        <is>
          <t>avverkningsanmälan</t>
        </is>
      </c>
      <c r="C2193" t="inlineStr">
        <is>
          <t>Föryngringsavverkning</t>
        </is>
      </c>
      <c r="D2193" s="1" t="n">
        <v>44734</v>
      </c>
      <c r="E2193" s="1" t="n">
        <v>46316</v>
      </c>
      <c r="F2193" t="inlineStr">
        <is>
          <t>KRONOBERGS LÄN</t>
        </is>
      </c>
      <c r="G2193" t="inlineStr">
        <is>
          <t>UPPVIDINGE</t>
        </is>
      </c>
      <c r="I2193" t="n">
        <v>1.5</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25931-2022</t>
        </is>
      </c>
      <c r="B2194" t="inlineStr">
        <is>
          <t>avverkningsanmälan</t>
        </is>
      </c>
      <c r="C2194" t="inlineStr">
        <is>
          <t>Föryngringsavverkning</t>
        </is>
      </c>
      <c r="D2194" s="1" t="n">
        <v>44734</v>
      </c>
      <c r="E2194" s="1" t="n">
        <v>46316</v>
      </c>
      <c r="F2194" t="inlineStr">
        <is>
          <t>KRONOBERGS LÄN</t>
        </is>
      </c>
      <c r="G2194" t="inlineStr">
        <is>
          <t>UPPVIDINGE</t>
        </is>
      </c>
      <c r="I2194" t="n">
        <v>0.8</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16141-2026</t>
        </is>
      </c>
      <c r="B2195" t="inlineStr">
        <is>
          <t>avverkningsanmälan</t>
        </is>
      </c>
      <c r="C2195" t="inlineStr">
        <is>
          <t>Föryngringsavverkning</t>
        </is>
      </c>
      <c r="D2195" s="1" t="n">
        <v>46108</v>
      </c>
      <c r="E2195" s="1" t="n">
        <v>46316</v>
      </c>
      <c r="F2195" t="inlineStr">
        <is>
          <t>KRONOBERGS LÄN</t>
        </is>
      </c>
      <c r="G2195" t="inlineStr">
        <is>
          <t>ÄLMHULT</t>
        </is>
      </c>
      <c r="I2195" t="n">
        <v>0.9</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16014-2026</t>
        </is>
      </c>
      <c r="B2196" t="inlineStr">
        <is>
          <t>avverkningsanmälan</t>
        </is>
      </c>
      <c r="C2196" t="inlineStr">
        <is>
          <t>Föryngringsavverkning</t>
        </is>
      </c>
      <c r="D2196" s="1" t="n">
        <v>46108</v>
      </c>
      <c r="E2196" s="1" t="n">
        <v>46316</v>
      </c>
      <c r="F2196" t="inlineStr">
        <is>
          <t>KRONOBERGS LÄN</t>
        </is>
      </c>
      <c r="G2196" t="inlineStr">
        <is>
          <t>TINGSRYD</t>
        </is>
      </c>
      <c r="I2196" t="n">
        <v>0.5</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70327-2021</t>
        </is>
      </c>
      <c r="B2197" t="inlineStr">
        <is>
          <t>avverkningsanmälan</t>
        </is>
      </c>
      <c r="C2197" t="inlineStr">
        <is>
          <t>Föryngringsavverkning</t>
        </is>
      </c>
      <c r="D2197" s="1" t="n">
        <v>44536</v>
      </c>
      <c r="E2197" s="1" t="n">
        <v>46316</v>
      </c>
      <c r="F2197" t="inlineStr">
        <is>
          <t>KRONOBERGS LÄN</t>
        </is>
      </c>
      <c r="G2197" t="inlineStr">
        <is>
          <t>MARKARYD</t>
        </is>
      </c>
      <c r="I2197" t="n">
        <v>2.2</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4646-2024</t>
        </is>
      </c>
      <c r="B2198" t="inlineStr">
        <is>
          <t>avverkningsanmälan</t>
        </is>
      </c>
      <c r="C2198" t="inlineStr">
        <is>
          <t>Föryngringsavverkning</t>
        </is>
      </c>
      <c r="D2198" s="1" t="n">
        <v>45328</v>
      </c>
      <c r="E2198" s="1" t="n">
        <v>46316</v>
      </c>
      <c r="F2198" t="inlineStr">
        <is>
          <t>KRONOBERGS LÄN</t>
        </is>
      </c>
      <c r="G2198" t="inlineStr">
        <is>
          <t>VÄXJÖ</t>
        </is>
      </c>
      <c r="I2198" t="n">
        <v>1.5</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4653-2024</t>
        </is>
      </c>
      <c r="B2199" t="inlineStr">
        <is>
          <t>avverkningsanmälan</t>
        </is>
      </c>
      <c r="C2199" t="inlineStr">
        <is>
          <t>Föryngringsavverkning</t>
        </is>
      </c>
      <c r="D2199" s="1" t="n">
        <v>45328</v>
      </c>
      <c r="E2199" s="1" t="n">
        <v>46316</v>
      </c>
      <c r="F2199" t="inlineStr">
        <is>
          <t>KRONOBERGS LÄN</t>
        </is>
      </c>
      <c r="G2199" t="inlineStr">
        <is>
          <t>VÄXJÖ</t>
        </is>
      </c>
      <c r="I2199" t="n">
        <v>2.5</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46693-2024</t>
        </is>
      </c>
      <c r="B2200" t="inlineStr">
        <is>
          <t>avverkningsanmälan</t>
        </is>
      </c>
      <c r="C2200" t="inlineStr">
        <is>
          <t>Föryngringsavverkning</t>
        </is>
      </c>
      <c r="D2200" s="1" t="n">
        <v>45583</v>
      </c>
      <c r="E2200" s="1" t="n">
        <v>46316</v>
      </c>
      <c r="F2200" t="inlineStr">
        <is>
          <t>KRONOBERGS LÄN</t>
        </is>
      </c>
      <c r="G2200" t="inlineStr">
        <is>
          <t>UPPVIDINGE</t>
        </is>
      </c>
      <c r="I2200" t="n">
        <v>6</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15766-2026</t>
        </is>
      </c>
      <c r="B2201" t="inlineStr">
        <is>
          <t>avverkningsanmälan</t>
        </is>
      </c>
      <c r="C2201" t="inlineStr">
        <is>
          <t>Föryngringsavverkning</t>
        </is>
      </c>
      <c r="D2201" s="1" t="n">
        <v>46107</v>
      </c>
      <c r="E2201" s="1" t="n">
        <v>46316</v>
      </c>
      <c r="F2201" t="inlineStr">
        <is>
          <t>KRONOBERGS LÄN</t>
        </is>
      </c>
      <c r="G2201" t="inlineStr">
        <is>
          <t>LJUNGBY</t>
        </is>
      </c>
      <c r="I2201" t="n">
        <v>0.6</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15773-2026</t>
        </is>
      </c>
      <c r="B2202" t="inlineStr">
        <is>
          <t>avverkningsanmälan</t>
        </is>
      </c>
      <c r="C2202" t="inlineStr">
        <is>
          <t>Föryngringsavverkning</t>
        </is>
      </c>
      <c r="D2202" s="1" t="n">
        <v>46107</v>
      </c>
      <c r="E2202" s="1" t="n">
        <v>46316</v>
      </c>
      <c r="F2202" t="inlineStr">
        <is>
          <t>KRONOBERGS LÄN</t>
        </is>
      </c>
      <c r="G2202" t="inlineStr">
        <is>
          <t>LJUNGBY</t>
        </is>
      </c>
      <c r="I2202" t="n">
        <v>0.8</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6070-2024</t>
        </is>
      </c>
      <c r="B2203" t="inlineStr">
        <is>
          <t>avverkningsanmälan</t>
        </is>
      </c>
      <c r="C2203" t="inlineStr">
        <is>
          <t>Föryngringsavverkning</t>
        </is>
      </c>
      <c r="D2203" s="1" t="n">
        <v>45336</v>
      </c>
      <c r="E2203" s="1" t="n">
        <v>46316</v>
      </c>
      <c r="F2203" t="inlineStr">
        <is>
          <t>KRONOBERGS LÄN</t>
        </is>
      </c>
      <c r="G2203" t="inlineStr">
        <is>
          <t>UPPVIDINGE</t>
        </is>
      </c>
      <c r="I2203" t="n">
        <v>1.4</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6094-2024</t>
        </is>
      </c>
      <c r="B2204" t="inlineStr">
        <is>
          <t>avverkningsanmälan</t>
        </is>
      </c>
      <c r="C2204" t="inlineStr">
        <is>
          <t>Föryngringsavverkning</t>
        </is>
      </c>
      <c r="D2204" s="1" t="n">
        <v>45337</v>
      </c>
      <c r="E2204" s="1" t="n">
        <v>46316</v>
      </c>
      <c r="F2204" t="inlineStr">
        <is>
          <t>KRONOBERGS LÄN</t>
        </is>
      </c>
      <c r="G2204" t="inlineStr">
        <is>
          <t>ALVESTA</t>
        </is>
      </c>
      <c r="I2204" t="n">
        <v>1.1</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15998-2026</t>
        </is>
      </c>
      <c r="B2205" t="inlineStr">
        <is>
          <t>avverkningsanmälan</t>
        </is>
      </c>
      <c r="C2205" t="inlineStr">
        <is>
          <t>Föryngringsavverkning</t>
        </is>
      </c>
      <c r="D2205" s="1" t="n">
        <v>46108</v>
      </c>
      <c r="E2205" s="1" t="n">
        <v>46316</v>
      </c>
      <c r="F2205" t="inlineStr">
        <is>
          <t>KRONOBERGS LÄN</t>
        </is>
      </c>
      <c r="G2205" t="inlineStr">
        <is>
          <t>TINGSRYD</t>
        </is>
      </c>
      <c r="I2205" t="n">
        <v>1.3</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2265-2023</t>
        </is>
      </c>
      <c r="B2206" t="inlineStr">
        <is>
          <t>avverkningsanmälan</t>
        </is>
      </c>
      <c r="C2206" t="inlineStr">
        <is>
          <t>Föryngringsavverkning</t>
        </is>
      </c>
      <c r="D2206" s="1" t="n">
        <v>44942</v>
      </c>
      <c r="E2206" s="1" t="n">
        <v>46316</v>
      </c>
      <c r="F2206" t="inlineStr">
        <is>
          <t>KRONOBERGS LÄN</t>
        </is>
      </c>
      <c r="G2206" t="inlineStr">
        <is>
          <t>UPPVIDINGE</t>
        </is>
      </c>
      <c r="I2206" t="n">
        <v>1.1</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2324-2023</t>
        </is>
      </c>
      <c r="B2207" t="inlineStr">
        <is>
          <t>avverkningsanmälan</t>
        </is>
      </c>
      <c r="C2207" t="inlineStr">
        <is>
          <t>Föryngringsavverkning</t>
        </is>
      </c>
      <c r="D2207" s="1" t="n">
        <v>44942</v>
      </c>
      <c r="E2207" s="1" t="n">
        <v>46316</v>
      </c>
      <c r="F2207" t="inlineStr">
        <is>
          <t>KRONOBERGS LÄN</t>
        </is>
      </c>
      <c r="G2207" t="inlineStr">
        <is>
          <t>LJUNGBY</t>
        </is>
      </c>
      <c r="I2207" t="n">
        <v>3.8</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2332-2023</t>
        </is>
      </c>
      <c r="B2208" t="inlineStr">
        <is>
          <t>avverkningsanmälan</t>
        </is>
      </c>
      <c r="C2208" t="inlineStr">
        <is>
          <t>Föryngringsavverkning</t>
        </is>
      </c>
      <c r="D2208" s="1" t="n">
        <v>44942</v>
      </c>
      <c r="E2208" s="1" t="n">
        <v>46316</v>
      </c>
      <c r="F2208" t="inlineStr">
        <is>
          <t>KRONOBERGS LÄN</t>
        </is>
      </c>
      <c r="G2208" t="inlineStr">
        <is>
          <t>UPPVIDINGE</t>
        </is>
      </c>
      <c r="I2208" t="n">
        <v>1.9</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22154-2023</t>
        </is>
      </c>
      <c r="B2209" t="inlineStr">
        <is>
          <t>avverkningsanmälan</t>
        </is>
      </c>
      <c r="C2209" t="inlineStr">
        <is>
          <t>Föryngringsavverkning</t>
        </is>
      </c>
      <c r="D2209" s="1" t="n">
        <v>45069</v>
      </c>
      <c r="E2209" s="1" t="n">
        <v>46316</v>
      </c>
      <c r="F2209" t="inlineStr">
        <is>
          <t>KRONOBERGS LÄN</t>
        </is>
      </c>
      <c r="G2209" t="inlineStr">
        <is>
          <t>MARKARYD</t>
        </is>
      </c>
      <c r="I2209" t="n">
        <v>2.3</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16010-2026</t>
        </is>
      </c>
      <c r="B2210" t="inlineStr">
        <is>
          <t>avverkningsanmälan</t>
        </is>
      </c>
      <c r="C2210" t="inlineStr">
        <is>
          <t>Föryngringsavverkning</t>
        </is>
      </c>
      <c r="D2210" s="1" t="n">
        <v>46108</v>
      </c>
      <c r="E2210" s="1" t="n">
        <v>46316</v>
      </c>
      <c r="F2210" t="inlineStr">
        <is>
          <t>KRONOBERGS LÄN</t>
        </is>
      </c>
      <c r="G2210" t="inlineStr">
        <is>
          <t>TINGSRYD</t>
        </is>
      </c>
      <c r="I2210" t="n">
        <v>0.8</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15764-2026</t>
        </is>
      </c>
      <c r="B2211" t="inlineStr">
        <is>
          <t>avverkningsanmälan</t>
        </is>
      </c>
      <c r="C2211" t="inlineStr">
        <is>
          <t>Föryngringsavverkning</t>
        </is>
      </c>
      <c r="D2211" s="1" t="n">
        <v>46107</v>
      </c>
      <c r="E2211" s="1" t="n">
        <v>46316</v>
      </c>
      <c r="F2211" t="inlineStr">
        <is>
          <t>KRONOBERGS LÄN</t>
        </is>
      </c>
      <c r="G2211" t="inlineStr">
        <is>
          <t>LJUNGBY</t>
        </is>
      </c>
      <c r="I2211" t="n">
        <v>0.5</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15062-2023</t>
        </is>
      </c>
      <c r="B2212" t="inlineStr">
        <is>
          <t>avverkningsanmälan</t>
        </is>
      </c>
      <c r="C2212" t="inlineStr">
        <is>
          <t>Föryngringsavverkning</t>
        </is>
      </c>
      <c r="D2212" s="1" t="n">
        <v>45015</v>
      </c>
      <c r="E2212" s="1" t="n">
        <v>46316</v>
      </c>
      <c r="F2212" t="inlineStr">
        <is>
          <t>KRONOBERGS LÄN</t>
        </is>
      </c>
      <c r="G2212" t="inlineStr">
        <is>
          <t>ALVESTA</t>
        </is>
      </c>
      <c r="I2212" t="n">
        <v>2</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15880-2026</t>
        </is>
      </c>
      <c r="B2213" t="inlineStr">
        <is>
          <t>avverkningsanmälan</t>
        </is>
      </c>
      <c r="C2213" t="inlineStr">
        <is>
          <t>Föryngringsavverkning</t>
        </is>
      </c>
      <c r="D2213" s="1" t="n">
        <v>46107</v>
      </c>
      <c r="E2213" s="1" t="n">
        <v>46316</v>
      </c>
      <c r="F2213" t="inlineStr">
        <is>
          <t>KRONOBERGS LÄN</t>
        </is>
      </c>
      <c r="G2213" t="inlineStr">
        <is>
          <t>VÄXJÖ</t>
        </is>
      </c>
      <c r="I2213" t="n">
        <v>7.8</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16137-2026</t>
        </is>
      </c>
      <c r="B2214" t="inlineStr">
        <is>
          <t>avverkningsanmälan</t>
        </is>
      </c>
      <c r="C2214" t="inlineStr">
        <is>
          <t>Föryngringsavverkning</t>
        </is>
      </c>
      <c r="D2214" s="1" t="n">
        <v>46108</v>
      </c>
      <c r="E2214" s="1" t="n">
        <v>46316</v>
      </c>
      <c r="F2214" t="inlineStr">
        <is>
          <t>KRONOBERGS LÄN</t>
        </is>
      </c>
      <c r="G2214" t="inlineStr">
        <is>
          <t>ÄLMHULT</t>
        </is>
      </c>
      <c r="I2214" t="n">
        <v>1.3</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54383-2025</t>
        </is>
      </c>
      <c r="B2215" t="inlineStr">
        <is>
          <t>avverkningsanmälan</t>
        </is>
      </c>
      <c r="C2215" t="inlineStr">
        <is>
          <t>Föryngringsavverkning</t>
        </is>
      </c>
      <c r="D2215" s="1" t="n">
        <v>45965</v>
      </c>
      <c r="E2215" s="1" t="n">
        <v>46316</v>
      </c>
      <c r="F2215" t="inlineStr">
        <is>
          <t>KRONOBERGS LÄN</t>
        </is>
      </c>
      <c r="G2215" t="inlineStr">
        <is>
          <t>ALVESTA</t>
        </is>
      </c>
      <c r="I2215" t="n">
        <v>0.3</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54390-2025</t>
        </is>
      </c>
      <c r="B2216" t="inlineStr">
        <is>
          <t>avverkningsanmälan</t>
        </is>
      </c>
      <c r="C2216" t="inlineStr">
        <is>
          <t>Föryngringsavverkning</t>
        </is>
      </c>
      <c r="D2216" s="1" t="n">
        <v>45965</v>
      </c>
      <c r="E2216" s="1" t="n">
        <v>46316</v>
      </c>
      <c r="F2216" t="inlineStr">
        <is>
          <t>KRONOBERGS LÄN</t>
        </is>
      </c>
      <c r="G2216" t="inlineStr">
        <is>
          <t>ALVESTA</t>
        </is>
      </c>
      <c r="I2216" t="n">
        <v>1.2</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54404-2025</t>
        </is>
      </c>
      <c r="B2217" t="inlineStr">
        <is>
          <t>avverkningsanmälan</t>
        </is>
      </c>
      <c r="C2217" t="inlineStr">
        <is>
          <t>Föryngringsavverkning</t>
        </is>
      </c>
      <c r="D2217" s="1" t="n">
        <v>45965</v>
      </c>
      <c r="E2217" s="1" t="n">
        <v>46316</v>
      </c>
      <c r="F2217" t="inlineStr">
        <is>
          <t>KRONOBERGS LÄN</t>
        </is>
      </c>
      <c r="G2217" t="inlineStr">
        <is>
          <t>ALVESTA</t>
        </is>
      </c>
      <c r="I2217" t="n">
        <v>2.2</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31002-2025</t>
        </is>
      </c>
      <c r="B2218" t="inlineStr">
        <is>
          <t>avverkningsanmälan</t>
        </is>
      </c>
      <c r="C2218" t="inlineStr">
        <is>
          <t>Föryngringsavverkning</t>
        </is>
      </c>
      <c r="D2218" s="1" t="n">
        <v>45832</v>
      </c>
      <c r="E2218" s="1" t="n">
        <v>46316</v>
      </c>
      <c r="F2218" t="inlineStr">
        <is>
          <t>KRONOBERGS LÄN</t>
        </is>
      </c>
      <c r="G2218" t="inlineStr">
        <is>
          <t>TINGSRYD</t>
        </is>
      </c>
      <c r="I2218" t="n">
        <v>5.8</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16055-2026</t>
        </is>
      </c>
      <c r="B2219" t="inlineStr">
        <is>
          <t>avverkningsanmälan</t>
        </is>
      </c>
      <c r="C2219" t="inlineStr">
        <is>
          <t>Föryngringsavverkning</t>
        </is>
      </c>
      <c r="D2219" s="1" t="n">
        <v>46108</v>
      </c>
      <c r="E2219" s="1" t="n">
        <v>46316</v>
      </c>
      <c r="F2219" t="inlineStr">
        <is>
          <t>KRONOBERGS LÄN</t>
        </is>
      </c>
      <c r="G2219" t="inlineStr">
        <is>
          <t>VÄXJÖ</t>
        </is>
      </c>
      <c r="I2219" t="n">
        <v>0.5</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62120-2022</t>
        </is>
      </c>
      <c r="B2220" t="inlineStr">
        <is>
          <t>avverkningsanmälan</t>
        </is>
      </c>
      <c r="C2220" t="inlineStr">
        <is>
          <t>Föryngringsavverkning</t>
        </is>
      </c>
      <c r="D2220" s="1" t="n">
        <v>44921</v>
      </c>
      <c r="E2220" s="1" t="n">
        <v>46316</v>
      </c>
      <c r="F2220" t="inlineStr">
        <is>
          <t>KRONOBERGS LÄN</t>
        </is>
      </c>
      <c r="G2220" t="inlineStr">
        <is>
          <t>ÄLMHULT</t>
        </is>
      </c>
      <c r="I2220" t="n">
        <v>2.2</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16275-2026</t>
        </is>
      </c>
      <c r="B2221" t="inlineStr">
        <is>
          <t>avverkningsanmälan</t>
        </is>
      </c>
      <c r="C2221" t="inlineStr">
        <is>
          <t>Föryngringsavverkning</t>
        </is>
      </c>
      <c r="D2221" s="1" t="n">
        <v>46111</v>
      </c>
      <c r="E2221" s="1" t="n">
        <v>46316</v>
      </c>
      <c r="F2221" t="inlineStr">
        <is>
          <t>KRONOBERGS LÄN</t>
        </is>
      </c>
      <c r="G2221" t="inlineStr">
        <is>
          <t>LJUNGBY</t>
        </is>
      </c>
      <c r="I2221" t="n">
        <v>2.2</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19152-2025</t>
        </is>
      </c>
      <c r="B2222" t="inlineStr">
        <is>
          <t>avverkningsanmälan</t>
        </is>
      </c>
      <c r="C2222" t="inlineStr">
        <is>
          <t>Föryngringsavverkning</t>
        </is>
      </c>
      <c r="D2222" s="1" t="n">
        <v>45769</v>
      </c>
      <c r="E2222" s="1" t="n">
        <v>46316</v>
      </c>
      <c r="F2222" t="inlineStr">
        <is>
          <t>KRONOBERGS LÄN</t>
        </is>
      </c>
      <c r="G2222" t="inlineStr">
        <is>
          <t>VÄXJÖ</t>
        </is>
      </c>
      <c r="I2222" t="n">
        <v>2.9</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46178-2025</t>
        </is>
      </c>
      <c r="B2223" t="inlineStr">
        <is>
          <t>avverkningsanmälan</t>
        </is>
      </c>
      <c r="C2223" t="inlineStr">
        <is>
          <t>Föryngringsavverkning</t>
        </is>
      </c>
      <c r="D2223" s="1" t="n">
        <v>45924</v>
      </c>
      <c r="E2223" s="1" t="n">
        <v>46316</v>
      </c>
      <c r="F2223" t="inlineStr">
        <is>
          <t>KRONOBERGS LÄN</t>
        </is>
      </c>
      <c r="G2223" t="inlineStr">
        <is>
          <t>VÄXJÖ</t>
        </is>
      </c>
      <c r="I2223" t="n">
        <v>0.3</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16591-2026</t>
        </is>
      </c>
      <c r="B2224" t="inlineStr">
        <is>
          <t>avverkningsanmälan</t>
        </is>
      </c>
      <c r="C2224" t="inlineStr">
        <is>
          <t>Föryngringsavverkning</t>
        </is>
      </c>
      <c r="D2224" s="1" t="n">
        <v>46112</v>
      </c>
      <c r="E2224" s="1" t="n">
        <v>46316</v>
      </c>
      <c r="F2224" t="inlineStr">
        <is>
          <t>KRONOBERGS LÄN</t>
        </is>
      </c>
      <c r="G2224" t="inlineStr">
        <is>
          <t>VÄXJÖ</t>
        </is>
      </c>
      <c r="I2224" t="n">
        <v>1.5</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35248-2023</t>
        </is>
      </c>
      <c r="B2225" t="inlineStr">
        <is>
          <t>avverkningsanmälan</t>
        </is>
      </c>
      <c r="C2225" t="inlineStr">
        <is>
          <t>Föryngringsavverkning</t>
        </is>
      </c>
      <c r="D2225" s="1" t="n">
        <v>45145</v>
      </c>
      <c r="E2225" s="1" t="n">
        <v>46316</v>
      </c>
      <c r="F2225" t="inlineStr">
        <is>
          <t>KRONOBERGS LÄN</t>
        </is>
      </c>
      <c r="G2225" t="inlineStr">
        <is>
          <t>ÄLMHULT</t>
        </is>
      </c>
      <c r="I2225" t="n">
        <v>0.7</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16219-2026</t>
        </is>
      </c>
      <c r="B2226" t="inlineStr">
        <is>
          <t>avverkningsanmälan</t>
        </is>
      </c>
      <c r="C2226" t="inlineStr">
        <is>
          <t>Föryngringsavverkning</t>
        </is>
      </c>
      <c r="D2226" s="1" t="n">
        <v>46111</v>
      </c>
      <c r="E2226" s="1" t="n">
        <v>46316</v>
      </c>
      <c r="F2226" t="inlineStr">
        <is>
          <t>KRONOBERGS LÄN</t>
        </is>
      </c>
      <c r="G2226" t="inlineStr">
        <is>
          <t>MARKARYD</t>
        </is>
      </c>
      <c r="I2226" t="n">
        <v>4.2</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8255-2024</t>
        </is>
      </c>
      <c r="B2227" t="inlineStr">
        <is>
          <t>avverkningsanmälan</t>
        </is>
      </c>
      <c r="C2227" t="inlineStr">
        <is>
          <t>Föryngringsavverkning</t>
        </is>
      </c>
      <c r="D2227" s="1" t="n">
        <v>45352</v>
      </c>
      <c r="E2227" s="1" t="n">
        <v>46316</v>
      </c>
      <c r="F2227" t="inlineStr">
        <is>
          <t>KRONOBERGS LÄN</t>
        </is>
      </c>
      <c r="G2227" t="inlineStr">
        <is>
          <t>ÄLMHULT</t>
        </is>
      </c>
      <c r="H2227" t="inlineStr">
        <is>
          <t>Sveaskog</t>
        </is>
      </c>
      <c r="I2227" t="n">
        <v>0.6</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8277-2024</t>
        </is>
      </c>
      <c r="B2228" t="inlineStr">
        <is>
          <t>avverkningsanmälan</t>
        </is>
      </c>
      <c r="C2228" t="inlineStr">
        <is>
          <t>Föryngringsavverkning</t>
        </is>
      </c>
      <c r="D2228" s="1" t="n">
        <v>45352</v>
      </c>
      <c r="E2228" s="1" t="n">
        <v>46316</v>
      </c>
      <c r="F2228" t="inlineStr">
        <is>
          <t>KRONOBERGS LÄN</t>
        </is>
      </c>
      <c r="G2228" t="inlineStr">
        <is>
          <t>MARKARYD</t>
        </is>
      </c>
      <c r="I2228" t="n">
        <v>2.1</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31091-2022</t>
        </is>
      </c>
      <c r="B2229" t="inlineStr">
        <is>
          <t>avverkningsanmälan</t>
        </is>
      </c>
      <c r="C2229" t="inlineStr">
        <is>
          <t>Föryngringsavverkning</t>
        </is>
      </c>
      <c r="D2229" s="1" t="n">
        <v>44769</v>
      </c>
      <c r="E2229" s="1" t="n">
        <v>46316</v>
      </c>
      <c r="F2229" t="inlineStr">
        <is>
          <t>KRONOBERGS LÄN</t>
        </is>
      </c>
      <c r="G2229" t="inlineStr">
        <is>
          <t>VÄXJÖ</t>
        </is>
      </c>
      <c r="H2229" t="inlineStr">
        <is>
          <t>Sveaskog</t>
        </is>
      </c>
      <c r="I2229" t="n">
        <v>3.1</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16351-2026</t>
        </is>
      </c>
      <c r="B2230" t="inlineStr">
        <is>
          <t>avverkningsanmälan</t>
        </is>
      </c>
      <c r="C2230" t="inlineStr">
        <is>
          <t>Föryngringsavverkning</t>
        </is>
      </c>
      <c r="D2230" s="1" t="n">
        <v>46111</v>
      </c>
      <c r="E2230" s="1" t="n">
        <v>46316</v>
      </c>
      <c r="F2230" t="inlineStr">
        <is>
          <t>KRONOBERGS LÄN</t>
        </is>
      </c>
      <c r="G2230" t="inlineStr">
        <is>
          <t>LJUNGBY</t>
        </is>
      </c>
      <c r="I2230" t="n">
        <v>5</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11496-2023</t>
        </is>
      </c>
      <c r="B2231" t="inlineStr">
        <is>
          <t>avverkningsanmälan</t>
        </is>
      </c>
      <c r="C2231" t="inlineStr">
        <is>
          <t>Föryngringsavverkning</t>
        </is>
      </c>
      <c r="D2231" s="1" t="n">
        <v>44993</v>
      </c>
      <c r="E2231" s="1" t="n">
        <v>46316</v>
      </c>
      <c r="F2231" t="inlineStr">
        <is>
          <t>KRONOBERGS LÄN</t>
        </is>
      </c>
      <c r="G2231" t="inlineStr">
        <is>
          <t>TINGSRYD</t>
        </is>
      </c>
      <c r="I2231" t="n">
        <v>2.2</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11524-2023</t>
        </is>
      </c>
      <c r="B2232" t="inlineStr">
        <is>
          <t>avverkningsanmälan</t>
        </is>
      </c>
      <c r="C2232" t="inlineStr">
        <is>
          <t>Föryngringsavverkning</t>
        </is>
      </c>
      <c r="D2232" s="1" t="n">
        <v>44993</v>
      </c>
      <c r="E2232" s="1" t="n">
        <v>46316</v>
      </c>
      <c r="F2232" t="inlineStr">
        <is>
          <t>KRONOBERGS LÄN</t>
        </is>
      </c>
      <c r="G2232" t="inlineStr">
        <is>
          <t>LJUNGBY</t>
        </is>
      </c>
      <c r="I2232" t="n">
        <v>1.7</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29706-2023</t>
        </is>
      </c>
      <c r="B2233" t="inlineStr">
        <is>
          <t>avverkningsanmälan</t>
        </is>
      </c>
      <c r="C2233" t="inlineStr">
        <is>
          <t>Föryngringsavverkning</t>
        </is>
      </c>
      <c r="D2233" s="1" t="n">
        <v>45107</v>
      </c>
      <c r="E2233" s="1" t="n">
        <v>46316</v>
      </c>
      <c r="F2233" t="inlineStr">
        <is>
          <t>KRONOBERGS LÄN</t>
        </is>
      </c>
      <c r="G2233" t="inlineStr">
        <is>
          <t>TINGSRYD</t>
        </is>
      </c>
      <c r="I2233" t="n">
        <v>1.8</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54694-2025</t>
        </is>
      </c>
      <c r="B2234" t="inlineStr">
        <is>
          <t>avverkningsanmälan</t>
        </is>
      </c>
      <c r="C2234" t="inlineStr">
        <is>
          <t>Föryngringsavverkning</t>
        </is>
      </c>
      <c r="D2234" s="1" t="n">
        <v>45966</v>
      </c>
      <c r="E2234" s="1" t="n">
        <v>46316</v>
      </c>
      <c r="F2234" t="inlineStr">
        <is>
          <t>KRONOBERGS LÄN</t>
        </is>
      </c>
      <c r="G2234" t="inlineStr">
        <is>
          <t>ÄLMHULT</t>
        </is>
      </c>
      <c r="I2234" t="n">
        <v>6.1</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17517-2023</t>
        </is>
      </c>
      <c r="B2235" t="inlineStr">
        <is>
          <t>avverkningsanmälan</t>
        </is>
      </c>
      <c r="C2235" t="inlineStr">
        <is>
          <t>Föryngringsavverkning</t>
        </is>
      </c>
      <c r="D2235" s="1" t="n">
        <v>45036</v>
      </c>
      <c r="E2235" s="1" t="n">
        <v>46316</v>
      </c>
      <c r="F2235" t="inlineStr">
        <is>
          <t>KRONOBERGS LÄN</t>
        </is>
      </c>
      <c r="G2235" t="inlineStr">
        <is>
          <t>LESSEBO</t>
        </is>
      </c>
      <c r="I2235" t="n">
        <v>2</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31181-2025</t>
        </is>
      </c>
      <c r="B2236" t="inlineStr">
        <is>
          <t>avverkningsanmälan</t>
        </is>
      </c>
      <c r="C2236" t="inlineStr">
        <is>
          <t>Föryngringsavverkning</t>
        </is>
      </c>
      <c r="D2236" s="1" t="n">
        <v>45831</v>
      </c>
      <c r="E2236" s="1" t="n">
        <v>46316</v>
      </c>
      <c r="F2236" t="inlineStr">
        <is>
          <t>KRONOBERGS LÄN</t>
        </is>
      </c>
      <c r="G2236" t="inlineStr">
        <is>
          <t>ALVESTA</t>
        </is>
      </c>
      <c r="I2236" t="n">
        <v>1</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31090-2022</t>
        </is>
      </c>
      <c r="B2237" t="inlineStr">
        <is>
          <t>avverkningsanmälan</t>
        </is>
      </c>
      <c r="C2237" t="inlineStr">
        <is>
          <t>Föryngringsavverkning</t>
        </is>
      </c>
      <c r="D2237" s="1" t="n">
        <v>44769</v>
      </c>
      <c r="E2237" s="1" t="n">
        <v>46316</v>
      </c>
      <c r="F2237" t="inlineStr">
        <is>
          <t>KRONOBERGS LÄN</t>
        </is>
      </c>
      <c r="G2237" t="inlineStr">
        <is>
          <t>VÄXJÖ</t>
        </is>
      </c>
      <c r="H2237" t="inlineStr">
        <is>
          <t>Sveaskog</t>
        </is>
      </c>
      <c r="I2237" t="n">
        <v>4.5</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16580-2026</t>
        </is>
      </c>
      <c r="B2238" t="inlineStr">
        <is>
          <t>avverkningsanmälan</t>
        </is>
      </c>
      <c r="C2238" t="inlineStr">
        <is>
          <t>Föryngringsavverkning</t>
        </is>
      </c>
      <c r="D2238" s="1" t="n">
        <v>46112</v>
      </c>
      <c r="E2238" s="1" t="n">
        <v>46316</v>
      </c>
      <c r="F2238" t="inlineStr">
        <is>
          <t>KRONOBERGS LÄN</t>
        </is>
      </c>
      <c r="G2238" t="inlineStr">
        <is>
          <t>LJUNGBY</t>
        </is>
      </c>
      <c r="I2238" t="n">
        <v>2.1</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54824-2025</t>
        </is>
      </c>
      <c r="B2239" t="inlineStr">
        <is>
          <t>avverkningsanmälan</t>
        </is>
      </c>
      <c r="C2239" t="inlineStr">
        <is>
          <t>Föryngringsavverkning</t>
        </is>
      </c>
      <c r="D2239" s="1" t="n">
        <v>45966</v>
      </c>
      <c r="E2239" s="1" t="n">
        <v>46316</v>
      </c>
      <c r="F2239" t="inlineStr">
        <is>
          <t>KRONOBERGS LÄN</t>
        </is>
      </c>
      <c r="G2239" t="inlineStr">
        <is>
          <t>ÄLMHULT</t>
        </is>
      </c>
      <c r="I2239" t="n">
        <v>1</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54917-2025</t>
        </is>
      </c>
      <c r="B2240" t="inlineStr">
        <is>
          <t>avverkningsanmälan</t>
        </is>
      </c>
      <c r="C2240" t="inlineStr">
        <is>
          <t>Föryngringsavverkning</t>
        </is>
      </c>
      <c r="D2240" s="1" t="n">
        <v>45967</v>
      </c>
      <c r="E2240" s="1" t="n">
        <v>46316</v>
      </c>
      <c r="F2240" t="inlineStr">
        <is>
          <t>KRONOBERGS LÄN</t>
        </is>
      </c>
      <c r="G2240" t="inlineStr">
        <is>
          <t>ÄLMHULT</t>
        </is>
      </c>
      <c r="I2240" t="n">
        <v>2.7</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7989-2022</t>
        </is>
      </c>
      <c r="B2241" t="inlineStr">
        <is>
          <t>avverkningsanmälan</t>
        </is>
      </c>
      <c r="C2241" t="inlineStr">
        <is>
          <t>Avverkning för annat ändamål</t>
        </is>
      </c>
      <c r="D2241" s="1" t="n">
        <v>44609</v>
      </c>
      <c r="E2241" s="1" t="n">
        <v>46316</v>
      </c>
      <c r="F2241" t="inlineStr">
        <is>
          <t>KRONOBERGS LÄN</t>
        </is>
      </c>
      <c r="G2241" t="inlineStr">
        <is>
          <t>TINGSRYD</t>
        </is>
      </c>
      <c r="H2241" t="inlineStr">
        <is>
          <t>Kommuner</t>
        </is>
      </c>
      <c r="I2241" t="n">
        <v>2.5</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16491-2026</t>
        </is>
      </c>
      <c r="B2242" t="inlineStr">
        <is>
          <t>avverkningsanmälan</t>
        </is>
      </c>
      <c r="C2242" t="inlineStr">
        <is>
          <t>Föryngringsavverkning</t>
        </is>
      </c>
      <c r="D2242" s="1" t="n">
        <v>46112</v>
      </c>
      <c r="E2242" s="1" t="n">
        <v>46316</v>
      </c>
      <c r="F2242" t="inlineStr">
        <is>
          <t>KRONOBERGS LÄN</t>
        </is>
      </c>
      <c r="G2242" t="inlineStr">
        <is>
          <t>VÄXJÖ</t>
        </is>
      </c>
      <c r="I2242" t="n">
        <v>1.2</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32046-2024</t>
        </is>
      </c>
      <c r="B2243" t="inlineStr">
        <is>
          <t>avverkningsanmälan</t>
        </is>
      </c>
      <c r="C2243" t="inlineStr">
        <is>
          <t>Avverkning för annat ändamål</t>
        </is>
      </c>
      <c r="D2243" s="1" t="n">
        <v>45510</v>
      </c>
      <c r="E2243" s="1" t="n">
        <v>46316</v>
      </c>
      <c r="F2243" t="inlineStr">
        <is>
          <t>KRONOBERGS LÄN</t>
        </is>
      </c>
      <c r="G2243" t="inlineStr">
        <is>
          <t>LJUNGBY</t>
        </is>
      </c>
      <c r="I2243" t="n">
        <v>0.9</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26068-2025</t>
        </is>
      </c>
      <c r="B2244" t="inlineStr">
        <is>
          <t>avverkningsanmälan</t>
        </is>
      </c>
      <c r="C2244" t="inlineStr">
        <is>
          <t>Avverkning för annat ändamål</t>
        </is>
      </c>
      <c r="D2244" s="1" t="n">
        <v>45805</v>
      </c>
      <c r="E2244" s="1" t="n">
        <v>46316</v>
      </c>
      <c r="F2244" t="inlineStr">
        <is>
          <t>KRONOBERGS LÄN</t>
        </is>
      </c>
      <c r="G2244" t="inlineStr">
        <is>
          <t>VÄXJÖ</t>
        </is>
      </c>
      <c r="I2244" t="n">
        <v>0.7</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32078-2025</t>
        </is>
      </c>
      <c r="B2245" t="inlineStr">
        <is>
          <t>avverkningsanmälan</t>
        </is>
      </c>
      <c r="C2245" t="inlineStr">
        <is>
          <t>Föryngringsavverkning</t>
        </is>
      </c>
      <c r="D2245" s="1" t="n">
        <v>45835</v>
      </c>
      <c r="E2245" s="1" t="n">
        <v>46316</v>
      </c>
      <c r="F2245" t="inlineStr">
        <is>
          <t>KRONOBERGS LÄN</t>
        </is>
      </c>
      <c r="G2245" t="inlineStr">
        <is>
          <t>VÄXJÖ</t>
        </is>
      </c>
      <c r="I2245" t="n">
        <v>1.8</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17120-2026</t>
        </is>
      </c>
      <c r="B2246" t="inlineStr">
        <is>
          <t>avverkningsanmälan</t>
        </is>
      </c>
      <c r="C2246" t="inlineStr">
        <is>
          <t>Föryngringsavverkning</t>
        </is>
      </c>
      <c r="D2246" s="1" t="n">
        <v>46114</v>
      </c>
      <c r="E2246" s="1" t="n">
        <v>46316</v>
      </c>
      <c r="F2246" t="inlineStr">
        <is>
          <t>KRONOBERGS LÄN</t>
        </is>
      </c>
      <c r="G2246" t="inlineStr">
        <is>
          <t>UPPVIDINGE</t>
        </is>
      </c>
      <c r="H2246" t="inlineStr">
        <is>
          <t>Sveaskog</t>
        </is>
      </c>
      <c r="I2246" t="n">
        <v>0.8</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17126-2026</t>
        </is>
      </c>
      <c r="B2247" t="inlineStr">
        <is>
          <t>avverkningsanmälan</t>
        </is>
      </c>
      <c r="C2247" t="inlineStr">
        <is>
          <t>Föryngringsavverkning</t>
        </is>
      </c>
      <c r="D2247" s="1" t="n">
        <v>46114</v>
      </c>
      <c r="E2247" s="1" t="n">
        <v>46316</v>
      </c>
      <c r="F2247" t="inlineStr">
        <is>
          <t>KRONOBERGS LÄN</t>
        </is>
      </c>
      <c r="G2247" t="inlineStr">
        <is>
          <t>UPPVIDINGE</t>
        </is>
      </c>
      <c r="H2247" t="inlineStr">
        <is>
          <t>Sveaskog</t>
        </is>
      </c>
      <c r="I2247" t="n">
        <v>2.2</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16785-2026</t>
        </is>
      </c>
      <c r="B2248" t="inlineStr">
        <is>
          <t>avverkningsanmälan</t>
        </is>
      </c>
      <c r="C2248" t="inlineStr">
        <is>
          <t>Föryngringsavverkning</t>
        </is>
      </c>
      <c r="D2248" s="1" t="n">
        <v>46113</v>
      </c>
      <c r="E2248" s="1" t="n">
        <v>46316</v>
      </c>
      <c r="F2248" t="inlineStr">
        <is>
          <t>KRONOBERGS LÄN</t>
        </is>
      </c>
      <c r="G2248" t="inlineStr">
        <is>
          <t>LJUNGBY</t>
        </is>
      </c>
      <c r="I2248" t="n">
        <v>0.8</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53113-2023</t>
        </is>
      </c>
      <c r="B2249" t="inlineStr">
        <is>
          <t>avverkningsanmälan</t>
        </is>
      </c>
      <c r="C2249" t="inlineStr">
        <is>
          <t>Föryngringsavverkning</t>
        </is>
      </c>
      <c r="D2249" s="1" t="n">
        <v>45228</v>
      </c>
      <c r="E2249" s="1" t="n">
        <v>46316</v>
      </c>
      <c r="F2249" t="inlineStr">
        <is>
          <t>KRONOBERGS LÄN</t>
        </is>
      </c>
      <c r="G2249" t="inlineStr">
        <is>
          <t>ÄLMHULT</t>
        </is>
      </c>
      <c r="I2249" t="n">
        <v>0.4</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31754-2025</t>
        </is>
      </c>
      <c r="B2250" t="inlineStr">
        <is>
          <t>avverkningsanmälan</t>
        </is>
      </c>
      <c r="C2250" t="inlineStr">
        <is>
          <t>Föryngringsavverkning</t>
        </is>
      </c>
      <c r="D2250" s="1" t="n">
        <v>45834</v>
      </c>
      <c r="E2250" s="1" t="n">
        <v>46316</v>
      </c>
      <c r="F2250" t="inlineStr">
        <is>
          <t>KRONOBERGS LÄN</t>
        </is>
      </c>
      <c r="G2250" t="inlineStr">
        <is>
          <t>ALVESTA</t>
        </is>
      </c>
      <c r="I2250" t="n">
        <v>3.2</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54801-2025</t>
        </is>
      </c>
      <c r="B2251" t="inlineStr">
        <is>
          <t>avverkningsanmälan</t>
        </is>
      </c>
      <c r="C2251" t="inlineStr">
        <is>
          <t>Föryngringsavverkning</t>
        </is>
      </c>
      <c r="D2251" s="1" t="n">
        <v>45966</v>
      </c>
      <c r="E2251" s="1" t="n">
        <v>46316</v>
      </c>
      <c r="F2251" t="inlineStr">
        <is>
          <t>KRONOBERGS LÄN</t>
        </is>
      </c>
      <c r="G2251" t="inlineStr">
        <is>
          <t>ÄLMHULT</t>
        </is>
      </c>
      <c r="I2251" t="n">
        <v>2.2</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16779-2026</t>
        </is>
      </c>
      <c r="B2252" t="inlineStr">
        <is>
          <t>avverkningsanmälan</t>
        </is>
      </c>
      <c r="C2252" t="inlineStr">
        <is>
          <t>Föryngringsavverkning</t>
        </is>
      </c>
      <c r="D2252" s="1" t="n">
        <v>46113</v>
      </c>
      <c r="E2252" s="1" t="n">
        <v>46316</v>
      </c>
      <c r="F2252" t="inlineStr">
        <is>
          <t>KRONOBERGS LÄN</t>
        </is>
      </c>
      <c r="G2252" t="inlineStr">
        <is>
          <t>LJUNGBY</t>
        </is>
      </c>
      <c r="I2252" t="n">
        <v>0.6</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52175-2024</t>
        </is>
      </c>
      <c r="B2253" t="inlineStr">
        <is>
          <t>avverkningsanmälan</t>
        </is>
      </c>
      <c r="C2253" t="inlineStr">
        <is>
          <t>Föryngringsavverkning</t>
        </is>
      </c>
      <c r="D2253" s="1" t="n">
        <v>45608</v>
      </c>
      <c r="E2253" s="1" t="n">
        <v>46316</v>
      </c>
      <c r="F2253" t="inlineStr">
        <is>
          <t>KRONOBERGS LÄN</t>
        </is>
      </c>
      <c r="G2253" t="inlineStr">
        <is>
          <t>ÄLMHULT</t>
        </is>
      </c>
      <c r="I2253" t="n">
        <v>1.8</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55083-2025</t>
        </is>
      </c>
      <c r="B2254" t="inlineStr">
        <is>
          <t>avverkningsanmälan</t>
        </is>
      </c>
      <c r="C2254" t="inlineStr">
        <is>
          <t>Föryngringsavverkning</t>
        </is>
      </c>
      <c r="D2254" s="1" t="n">
        <v>45968</v>
      </c>
      <c r="E2254" s="1" t="n">
        <v>46316</v>
      </c>
      <c r="F2254" t="inlineStr">
        <is>
          <t>KRONOBERGS LÄN</t>
        </is>
      </c>
      <c r="G2254" t="inlineStr">
        <is>
          <t>UPPVIDINGE</t>
        </is>
      </c>
      <c r="I2254" t="n">
        <v>3.9</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16780-2026</t>
        </is>
      </c>
      <c r="B2255" t="inlineStr">
        <is>
          <t>avverkningsanmälan</t>
        </is>
      </c>
      <c r="C2255" t="inlineStr">
        <is>
          <t>Föryngringsavverkning</t>
        </is>
      </c>
      <c r="D2255" s="1" t="n">
        <v>46113</v>
      </c>
      <c r="E2255" s="1" t="n">
        <v>46316</v>
      </c>
      <c r="F2255" t="inlineStr">
        <is>
          <t>KRONOBERGS LÄN</t>
        </is>
      </c>
      <c r="G2255" t="inlineStr">
        <is>
          <t>LJUNGBY</t>
        </is>
      </c>
      <c r="I2255" t="n">
        <v>0.8</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38544-2023</t>
        </is>
      </c>
      <c r="B2256" t="inlineStr">
        <is>
          <t>avverkningsanmälan</t>
        </is>
      </c>
      <c r="C2256" t="inlineStr">
        <is>
          <t>Föryngringsavverkning</t>
        </is>
      </c>
      <c r="D2256" s="1" t="n">
        <v>45162</v>
      </c>
      <c r="E2256" s="1" t="n">
        <v>46316</v>
      </c>
      <c r="F2256" t="inlineStr">
        <is>
          <t>KRONOBERGS LÄN</t>
        </is>
      </c>
      <c r="G2256" t="inlineStr">
        <is>
          <t>LJUNGBY</t>
        </is>
      </c>
      <c r="I2256" t="n">
        <v>1.1</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53497-2023</t>
        </is>
      </c>
      <c r="B2257" t="inlineStr">
        <is>
          <t>avverkningsanmälan</t>
        </is>
      </c>
      <c r="C2257" t="inlineStr">
        <is>
          <t>Föryngringsavverkning</t>
        </is>
      </c>
      <c r="D2257" s="1" t="n">
        <v>45230</v>
      </c>
      <c r="E2257" s="1" t="n">
        <v>46316</v>
      </c>
      <c r="F2257" t="inlineStr">
        <is>
          <t>KRONOBERGS LÄN</t>
        </is>
      </c>
      <c r="G2257" t="inlineStr">
        <is>
          <t>UPPVIDINGE</t>
        </is>
      </c>
      <c r="H2257" t="inlineStr">
        <is>
          <t>Sveaskog</t>
        </is>
      </c>
      <c r="I2257" t="n">
        <v>1.6</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9404-2024</t>
        </is>
      </c>
      <c r="B2258" t="inlineStr">
        <is>
          <t>avverkningsanmälan</t>
        </is>
      </c>
      <c r="C2258" t="inlineStr">
        <is>
          <t>Föryngringsavverkning</t>
        </is>
      </c>
      <c r="D2258" s="1" t="n">
        <v>45359</v>
      </c>
      <c r="E2258" s="1" t="n">
        <v>46316</v>
      </c>
      <c r="F2258" t="inlineStr">
        <is>
          <t>KRONOBERGS LÄN</t>
        </is>
      </c>
      <c r="G2258" t="inlineStr">
        <is>
          <t>ALVESTA</t>
        </is>
      </c>
      <c r="I2258" t="n">
        <v>2</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20541-2024</t>
        </is>
      </c>
      <c r="B2259" t="inlineStr">
        <is>
          <t>avverkningsanmälan</t>
        </is>
      </c>
      <c r="C2259" t="inlineStr">
        <is>
          <t>Föryngringsavverkning</t>
        </is>
      </c>
      <c r="D2259" s="1" t="n">
        <v>45436</v>
      </c>
      <c r="E2259" s="1" t="n">
        <v>46316</v>
      </c>
      <c r="F2259" t="inlineStr">
        <is>
          <t>KRONOBERGS LÄN</t>
        </is>
      </c>
      <c r="G2259" t="inlineStr">
        <is>
          <t>LESSEBO</t>
        </is>
      </c>
      <c r="I2259" t="n">
        <v>0.5</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17130-2026</t>
        </is>
      </c>
      <c r="B2260" t="inlineStr">
        <is>
          <t>avverkningsanmälan</t>
        </is>
      </c>
      <c r="C2260" t="inlineStr">
        <is>
          <t>Föryngringsavverkning</t>
        </is>
      </c>
      <c r="D2260" s="1" t="n">
        <v>46114</v>
      </c>
      <c r="E2260" s="1" t="n">
        <v>46316</v>
      </c>
      <c r="F2260" t="inlineStr">
        <is>
          <t>KRONOBERGS LÄN</t>
        </is>
      </c>
      <c r="G2260" t="inlineStr">
        <is>
          <t>UPPVIDINGE</t>
        </is>
      </c>
      <c r="H2260" t="inlineStr">
        <is>
          <t>Sveaskog</t>
        </is>
      </c>
      <c r="I2260" t="n">
        <v>3.8</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40998-2023</t>
        </is>
      </c>
      <c r="B2261" t="inlineStr">
        <is>
          <t>avverkningsanmälan</t>
        </is>
      </c>
      <c r="C2261" t="inlineStr">
        <is>
          <t>Föryngringsavverkning</t>
        </is>
      </c>
      <c r="D2261" s="1" t="n">
        <v>45173</v>
      </c>
      <c r="E2261" s="1" t="n">
        <v>46316</v>
      </c>
      <c r="F2261" t="inlineStr">
        <is>
          <t>KRONOBERGS LÄN</t>
        </is>
      </c>
      <c r="G2261" t="inlineStr">
        <is>
          <t>ALVESTA</t>
        </is>
      </c>
      <c r="I2261" t="n">
        <v>1.7</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17129-2026</t>
        </is>
      </c>
      <c r="B2262" t="inlineStr">
        <is>
          <t>avverkningsanmälan</t>
        </is>
      </c>
      <c r="C2262" t="inlineStr">
        <is>
          <t>Föryngringsavverkning</t>
        </is>
      </c>
      <c r="D2262" s="1" t="n">
        <v>46114</v>
      </c>
      <c r="E2262" s="1" t="n">
        <v>46316</v>
      </c>
      <c r="F2262" t="inlineStr">
        <is>
          <t>KRONOBERGS LÄN</t>
        </is>
      </c>
      <c r="G2262" t="inlineStr">
        <is>
          <t>UPPVIDINGE</t>
        </is>
      </c>
      <c r="H2262" t="inlineStr">
        <is>
          <t>Sveaskog</t>
        </is>
      </c>
      <c r="I2262" t="n">
        <v>0.4</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16765-2026</t>
        </is>
      </c>
      <c r="B2263" t="inlineStr">
        <is>
          <t>avverkningsanmälan</t>
        </is>
      </c>
      <c r="C2263" t="inlineStr">
        <is>
          <t>Avverkning för annat ändamål</t>
        </is>
      </c>
      <c r="D2263" s="1" t="n">
        <v>46113</v>
      </c>
      <c r="E2263" s="1" t="n">
        <v>46316</v>
      </c>
      <c r="F2263" t="inlineStr">
        <is>
          <t>KRONOBERGS LÄN</t>
        </is>
      </c>
      <c r="G2263" t="inlineStr">
        <is>
          <t>VÄXJÖ</t>
        </is>
      </c>
      <c r="I2263" t="n">
        <v>0.8</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16775-2026</t>
        </is>
      </c>
      <c r="B2264" t="inlineStr">
        <is>
          <t>avverkningsanmälan</t>
        </is>
      </c>
      <c r="C2264" t="inlineStr">
        <is>
          <t>Föryngringsavverkning</t>
        </is>
      </c>
      <c r="D2264" s="1" t="n">
        <v>46113</v>
      </c>
      <c r="E2264" s="1" t="n">
        <v>46316</v>
      </c>
      <c r="F2264" t="inlineStr">
        <is>
          <t>KRONOBERGS LÄN</t>
        </is>
      </c>
      <c r="G2264" t="inlineStr">
        <is>
          <t>LJUNGBY</t>
        </is>
      </c>
      <c r="I2264" t="n">
        <v>0.3</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55459-2025</t>
        </is>
      </c>
      <c r="B2265" t="inlineStr">
        <is>
          <t>avverkningsanmälan</t>
        </is>
      </c>
      <c r="C2265" t="inlineStr">
        <is>
          <t>Föryngringsavverkning</t>
        </is>
      </c>
      <c r="D2265" s="1" t="n">
        <v>45971</v>
      </c>
      <c r="E2265" s="1" t="n">
        <v>46316</v>
      </c>
      <c r="F2265" t="inlineStr">
        <is>
          <t>KRONOBERGS LÄN</t>
        </is>
      </c>
      <c r="G2265" t="inlineStr">
        <is>
          <t>VÄXJÖ</t>
        </is>
      </c>
      <c r="I2265" t="n">
        <v>2.1</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57962-2023</t>
        </is>
      </c>
      <c r="B2266" t="inlineStr">
        <is>
          <t>avverkningsanmälan</t>
        </is>
      </c>
      <c r="C2266" t="inlineStr">
        <is>
          <t>Föryngringsavverkning</t>
        </is>
      </c>
      <c r="D2266" s="1" t="n">
        <v>45247</v>
      </c>
      <c r="E2266" s="1" t="n">
        <v>46316</v>
      </c>
      <c r="F2266" t="inlineStr">
        <is>
          <t>KRONOBERGS LÄN</t>
        </is>
      </c>
      <c r="G2266" t="inlineStr">
        <is>
          <t>TINGSRYD</t>
        </is>
      </c>
      <c r="I2266" t="n">
        <v>1.2</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17123-2026</t>
        </is>
      </c>
      <c r="B2267" t="inlineStr">
        <is>
          <t>avverkningsanmälan</t>
        </is>
      </c>
      <c r="C2267" t="inlineStr">
        <is>
          <t>Föryngringsavverkning</t>
        </is>
      </c>
      <c r="D2267" s="1" t="n">
        <v>46114</v>
      </c>
      <c r="E2267" s="1" t="n">
        <v>46316</v>
      </c>
      <c r="F2267" t="inlineStr">
        <is>
          <t>KRONOBERGS LÄN</t>
        </is>
      </c>
      <c r="G2267" t="inlineStr">
        <is>
          <t>UPPVIDINGE</t>
        </is>
      </c>
      <c r="H2267" t="inlineStr">
        <is>
          <t>Sveaskog</t>
        </is>
      </c>
      <c r="I2267" t="n">
        <v>1</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16772-2026</t>
        </is>
      </c>
      <c r="B2268" t="inlineStr">
        <is>
          <t>avverkningsanmälan</t>
        </is>
      </c>
      <c r="C2268" t="inlineStr">
        <is>
          <t>Föryngringsavverkning</t>
        </is>
      </c>
      <c r="D2268" s="1" t="n">
        <v>46113</v>
      </c>
      <c r="E2268" s="1" t="n">
        <v>46316</v>
      </c>
      <c r="F2268" t="inlineStr">
        <is>
          <t>KRONOBERGS LÄN</t>
        </is>
      </c>
      <c r="G2268" t="inlineStr">
        <is>
          <t>LJUNGBY</t>
        </is>
      </c>
      <c r="I2268" t="n">
        <v>1.4</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55290-2025</t>
        </is>
      </c>
      <c r="B2269" t="inlineStr">
        <is>
          <t>avverkningsanmälan</t>
        </is>
      </c>
      <c r="C2269" t="inlineStr">
        <is>
          <t>Föryngringsavverkning</t>
        </is>
      </c>
      <c r="D2269" s="1" t="n">
        <v>45969</v>
      </c>
      <c r="E2269" s="1" t="n">
        <v>46316</v>
      </c>
      <c r="F2269" t="inlineStr">
        <is>
          <t>KRONOBERGS LÄN</t>
        </is>
      </c>
      <c r="G2269" t="inlineStr">
        <is>
          <t>ÄLMHULT</t>
        </is>
      </c>
      <c r="I2269" t="n">
        <v>1</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55291-2025</t>
        </is>
      </c>
      <c r="B2270" t="inlineStr">
        <is>
          <t>avverkningsanmälan</t>
        </is>
      </c>
      <c r="C2270" t="inlineStr">
        <is>
          <t>Föryngringsavverkning</t>
        </is>
      </c>
      <c r="D2270" s="1" t="n">
        <v>45969</v>
      </c>
      <c r="E2270" s="1" t="n">
        <v>46316</v>
      </c>
      <c r="F2270" t="inlineStr">
        <is>
          <t>KRONOBERGS LÄN</t>
        </is>
      </c>
      <c r="G2270" t="inlineStr">
        <is>
          <t>ÄLMHULT</t>
        </is>
      </c>
      <c r="I2270" t="n">
        <v>0.4</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32233-2025</t>
        </is>
      </c>
      <c r="B2271" t="inlineStr">
        <is>
          <t>avverkningsanmälan</t>
        </is>
      </c>
      <c r="C2271" t="inlineStr">
        <is>
          <t>Föryngringsavverkning</t>
        </is>
      </c>
      <c r="D2271" s="1" t="n">
        <v>45835</v>
      </c>
      <c r="E2271" s="1" t="n">
        <v>46316</v>
      </c>
      <c r="F2271" t="inlineStr">
        <is>
          <t>KRONOBERGS LÄN</t>
        </is>
      </c>
      <c r="G2271" t="inlineStr">
        <is>
          <t>ÄLMHULT</t>
        </is>
      </c>
      <c r="I2271" t="n">
        <v>0.6</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60559-2022</t>
        </is>
      </c>
      <c r="B2272" t="inlineStr">
        <is>
          <t>avverkningsanmälan</t>
        </is>
      </c>
      <c r="C2272" t="inlineStr">
        <is>
          <t>Föryngringsavverkning</t>
        </is>
      </c>
      <c r="D2272" s="1" t="n">
        <v>44911</v>
      </c>
      <c r="E2272" s="1" t="n">
        <v>46316</v>
      </c>
      <c r="F2272" t="inlineStr">
        <is>
          <t>KRONOBERGS LÄN</t>
        </is>
      </c>
      <c r="G2272" t="inlineStr">
        <is>
          <t>ALVESTA</t>
        </is>
      </c>
      <c r="I2272" t="n">
        <v>5.2</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60266-2023</t>
        </is>
      </c>
      <c r="B2273" t="inlineStr">
        <is>
          <t>avverkningsanmälan</t>
        </is>
      </c>
      <c r="C2273" t="inlineStr">
        <is>
          <t>Föryngringsavverkning</t>
        </is>
      </c>
      <c r="D2273" s="1" t="n">
        <v>45258</v>
      </c>
      <c r="E2273" s="1" t="n">
        <v>46316</v>
      </c>
      <c r="F2273" t="inlineStr">
        <is>
          <t>KRONOBERGS LÄN</t>
        </is>
      </c>
      <c r="G2273" t="inlineStr">
        <is>
          <t>ÄLMHULT</t>
        </is>
      </c>
      <c r="I2273" t="n">
        <v>1.1</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64635-2023</t>
        </is>
      </c>
      <c r="B2274" t="inlineStr">
        <is>
          <t>avverkningsanmälan</t>
        </is>
      </c>
      <c r="C2274" t="inlineStr">
        <is>
          <t>Föryngringsavverkning</t>
        </is>
      </c>
      <c r="D2274" s="1" t="n">
        <v>45281</v>
      </c>
      <c r="E2274" s="1" t="n">
        <v>46316</v>
      </c>
      <c r="F2274" t="inlineStr">
        <is>
          <t>KRONOBERGS LÄN</t>
        </is>
      </c>
      <c r="G2274" t="inlineStr">
        <is>
          <t>LESSEBO</t>
        </is>
      </c>
      <c r="I2274" t="n">
        <v>1.6</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32080-2025</t>
        </is>
      </c>
      <c r="B2275" t="inlineStr">
        <is>
          <t>avverkningsanmälan</t>
        </is>
      </c>
      <c r="C2275" t="inlineStr">
        <is>
          <t>Föryngringsavverkning</t>
        </is>
      </c>
      <c r="D2275" s="1" t="n">
        <v>45835</v>
      </c>
      <c r="E2275" s="1" t="n">
        <v>46316</v>
      </c>
      <c r="F2275" t="inlineStr">
        <is>
          <t>KRONOBERGS LÄN</t>
        </is>
      </c>
      <c r="G2275" t="inlineStr">
        <is>
          <t>VÄXJÖ</t>
        </is>
      </c>
      <c r="I2275" t="n">
        <v>2.1</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14584-2023</t>
        </is>
      </c>
      <c r="B2276" t="inlineStr">
        <is>
          <t>avverkningsanmälan</t>
        </is>
      </c>
      <c r="C2276" t="inlineStr">
        <is>
          <t>Föryngringsavverkning</t>
        </is>
      </c>
      <c r="D2276" s="1" t="n">
        <v>45013</v>
      </c>
      <c r="E2276" s="1" t="n">
        <v>46316</v>
      </c>
      <c r="F2276" t="inlineStr">
        <is>
          <t>KRONOBERGS LÄN</t>
        </is>
      </c>
      <c r="G2276" t="inlineStr">
        <is>
          <t>LESSEBO</t>
        </is>
      </c>
      <c r="I2276" t="n">
        <v>0.6</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17488-2026</t>
        </is>
      </c>
      <c r="B2277" t="inlineStr">
        <is>
          <t>avverkningsanmälan</t>
        </is>
      </c>
      <c r="C2277" t="inlineStr">
        <is>
          <t>Föryngringsavverkning</t>
        </is>
      </c>
      <c r="D2277" s="1" t="n">
        <v>46120</v>
      </c>
      <c r="E2277" s="1" t="n">
        <v>46316</v>
      </c>
      <c r="F2277" t="inlineStr">
        <is>
          <t>KRONOBERGS LÄN</t>
        </is>
      </c>
      <c r="G2277" t="inlineStr">
        <is>
          <t>LJUNGBY</t>
        </is>
      </c>
      <c r="I2277" t="n">
        <v>0.5</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19310-2023</t>
        </is>
      </c>
      <c r="B2278" t="inlineStr">
        <is>
          <t>avverkningsanmälan</t>
        </is>
      </c>
      <c r="C2278" t="inlineStr">
        <is>
          <t>Föryngringsavverkning</t>
        </is>
      </c>
      <c r="D2278" s="1" t="n">
        <v>45049</v>
      </c>
      <c r="E2278" s="1" t="n">
        <v>46316</v>
      </c>
      <c r="F2278" t="inlineStr">
        <is>
          <t>KRONOBERGS LÄN</t>
        </is>
      </c>
      <c r="G2278" t="inlineStr">
        <is>
          <t>TINGSRYD</t>
        </is>
      </c>
      <c r="I2278" t="n">
        <v>0.8</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49087-2024</t>
        </is>
      </c>
      <c r="B2279" t="inlineStr">
        <is>
          <t>avverkningsanmälan</t>
        </is>
      </c>
      <c r="C2279" t="inlineStr">
        <is>
          <t>Föryngringsavverkning</t>
        </is>
      </c>
      <c r="D2279" s="1" t="n">
        <v>45594</v>
      </c>
      <c r="E2279" s="1" t="n">
        <v>46316</v>
      </c>
      <c r="F2279" t="inlineStr">
        <is>
          <t>KRONOBERGS LÄN</t>
        </is>
      </c>
      <c r="G2279" t="inlineStr">
        <is>
          <t>VÄXJÖ</t>
        </is>
      </c>
      <c r="H2279" t="inlineStr">
        <is>
          <t>Sveaskog</t>
        </is>
      </c>
      <c r="I2279" t="n">
        <v>2</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49809-2024</t>
        </is>
      </c>
      <c r="B2280" t="inlineStr">
        <is>
          <t>avverkningsanmälan</t>
        </is>
      </c>
      <c r="C2280" t="inlineStr">
        <is>
          <t>Föryngringsavverkning</t>
        </is>
      </c>
      <c r="D2280" s="1" t="n">
        <v>45597</v>
      </c>
      <c r="E2280" s="1" t="n">
        <v>46316</v>
      </c>
      <c r="F2280" t="inlineStr">
        <is>
          <t>KRONOBERGS LÄN</t>
        </is>
      </c>
      <c r="G2280" t="inlineStr">
        <is>
          <t>UPPVIDINGE</t>
        </is>
      </c>
      <c r="H2280" t="inlineStr">
        <is>
          <t>Sveaskog</t>
        </is>
      </c>
      <c r="I2280" t="n">
        <v>4.7</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25621-2023</t>
        </is>
      </c>
      <c r="B2281" t="inlineStr">
        <is>
          <t>avverkningsanmälan</t>
        </is>
      </c>
      <c r="C2281" t="inlineStr">
        <is>
          <t>Avverkning för annat ändamål</t>
        </is>
      </c>
      <c r="D2281" s="1" t="n">
        <v>45089</v>
      </c>
      <c r="E2281" s="1" t="n">
        <v>46316</v>
      </c>
      <c r="F2281" t="inlineStr">
        <is>
          <t>KRONOBERGS LÄN</t>
        </is>
      </c>
      <c r="G2281" t="inlineStr">
        <is>
          <t>MARKARYD</t>
        </is>
      </c>
      <c r="I2281" t="n">
        <v>1.2</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31790-2025</t>
        </is>
      </c>
      <c r="B2282" t="inlineStr">
        <is>
          <t>avverkningsanmälan</t>
        </is>
      </c>
      <c r="C2282" t="inlineStr">
        <is>
          <t>Föryngringsavverkning</t>
        </is>
      </c>
      <c r="D2282" s="1" t="n">
        <v>45834</v>
      </c>
      <c r="E2282" s="1" t="n">
        <v>46316</v>
      </c>
      <c r="F2282" t="inlineStr">
        <is>
          <t>KRONOBERGS LÄN</t>
        </is>
      </c>
      <c r="G2282" t="inlineStr">
        <is>
          <t>ALVESTA</t>
        </is>
      </c>
      <c r="I2282" t="n">
        <v>4.1</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49295-2025</t>
        </is>
      </c>
      <c r="B2283" t="inlineStr">
        <is>
          <t>avverkningsanmälan</t>
        </is>
      </c>
      <c r="C2283" t="inlineStr">
        <is>
          <t>Föryngringsavverkning</t>
        </is>
      </c>
      <c r="D2283" s="1" t="n">
        <v>45938</v>
      </c>
      <c r="E2283" s="1" t="n">
        <v>46316</v>
      </c>
      <c r="F2283" t="inlineStr">
        <is>
          <t>KRONOBERGS LÄN</t>
        </is>
      </c>
      <c r="G2283" t="inlineStr">
        <is>
          <t>LESSEBO</t>
        </is>
      </c>
      <c r="I2283" t="n">
        <v>7.4</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17501-2026</t>
        </is>
      </c>
      <c r="B2284" t="inlineStr">
        <is>
          <t>avverkningsanmälan</t>
        </is>
      </c>
      <c r="C2284" t="inlineStr">
        <is>
          <t>Föryngringsavverkning</t>
        </is>
      </c>
      <c r="D2284" s="1" t="n">
        <v>46120</v>
      </c>
      <c r="E2284" s="1" t="n">
        <v>46316</v>
      </c>
      <c r="F2284" t="inlineStr">
        <is>
          <t>KRONOBERGS LÄN</t>
        </is>
      </c>
      <c r="G2284" t="inlineStr">
        <is>
          <t>ALVESTA</t>
        </is>
      </c>
      <c r="I2284" t="n">
        <v>0.9</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49018-2024</t>
        </is>
      </c>
      <c r="B2285" t="inlineStr">
        <is>
          <t>avverkningsanmälan</t>
        </is>
      </c>
      <c r="C2285" t="inlineStr">
        <is>
          <t>Föryngringsavverkning</t>
        </is>
      </c>
      <c r="D2285" s="1" t="n">
        <v>45594</v>
      </c>
      <c r="E2285" s="1" t="n">
        <v>46316</v>
      </c>
      <c r="F2285" t="inlineStr">
        <is>
          <t>KRONOBERGS LÄN</t>
        </is>
      </c>
      <c r="G2285" t="inlineStr">
        <is>
          <t>VÄXJÖ</t>
        </is>
      </c>
      <c r="H2285" t="inlineStr">
        <is>
          <t>Sveaskog</t>
        </is>
      </c>
      <c r="I2285" t="n">
        <v>0.9</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49744-2023</t>
        </is>
      </c>
      <c r="B2286" t="inlineStr">
        <is>
          <t>avverkningsanmälan</t>
        </is>
      </c>
      <c r="C2286" t="inlineStr">
        <is>
          <t>Avverkning för annat ändamål</t>
        </is>
      </c>
      <c r="D2286" s="1" t="n">
        <v>45212</v>
      </c>
      <c r="E2286" s="1" t="n">
        <v>46316</v>
      </c>
      <c r="F2286" t="inlineStr">
        <is>
          <t>KRONOBERGS LÄN</t>
        </is>
      </c>
      <c r="G2286" t="inlineStr">
        <is>
          <t>LJUNGBY</t>
        </is>
      </c>
      <c r="I2286" t="n">
        <v>0.5</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50297-2023</t>
        </is>
      </c>
      <c r="B2287" t="inlineStr">
        <is>
          <t>avverkningsanmälan</t>
        </is>
      </c>
      <c r="C2287" t="inlineStr">
        <is>
          <t>Föryngringsavverkning</t>
        </is>
      </c>
      <c r="D2287" s="1" t="n">
        <v>45216</v>
      </c>
      <c r="E2287" s="1" t="n">
        <v>46316</v>
      </c>
      <c r="F2287" t="inlineStr">
        <is>
          <t>KRONOBERGS LÄN</t>
        </is>
      </c>
      <c r="G2287" t="inlineStr">
        <is>
          <t>MARKARYD</t>
        </is>
      </c>
      <c r="I2287" t="n">
        <v>0.5</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58155-2024</t>
        </is>
      </c>
      <c r="B2288" t="inlineStr">
        <is>
          <t>avverkningsanmälan</t>
        </is>
      </c>
      <c r="C2288" t="inlineStr">
        <is>
          <t>Föryngringsavverkning</t>
        </is>
      </c>
      <c r="D2288" s="1" t="n">
        <v>45632</v>
      </c>
      <c r="E2288" s="1" t="n">
        <v>46316</v>
      </c>
      <c r="F2288" t="inlineStr">
        <is>
          <t>KRONOBERGS LÄN</t>
        </is>
      </c>
      <c r="G2288" t="inlineStr">
        <is>
          <t>VÄXJÖ</t>
        </is>
      </c>
      <c r="I2288" t="n">
        <v>4.9</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17246-2026</t>
        </is>
      </c>
      <c r="B2289" t="inlineStr">
        <is>
          <t>avverkningsanmälan</t>
        </is>
      </c>
      <c r="C2289" t="inlineStr">
        <is>
          <t>Föryngringsavverkning</t>
        </is>
      </c>
      <c r="D2289" s="1" t="n">
        <v>46119</v>
      </c>
      <c r="E2289" s="1" t="n">
        <v>46316</v>
      </c>
      <c r="F2289" t="inlineStr">
        <is>
          <t>KRONOBERGS LÄN</t>
        </is>
      </c>
      <c r="G2289" t="inlineStr">
        <is>
          <t>LJUNGBY</t>
        </is>
      </c>
      <c r="I2289" t="n">
        <v>0.7</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20180-2023</t>
        </is>
      </c>
      <c r="B2290" t="inlineStr">
        <is>
          <t>avverkningsanmälan</t>
        </is>
      </c>
      <c r="C2290" t="inlineStr">
        <is>
          <t>Föryngringsavverkning</t>
        </is>
      </c>
      <c r="D2290" s="1" t="n">
        <v>45055</v>
      </c>
      <c r="E2290" s="1" t="n">
        <v>46316</v>
      </c>
      <c r="F2290" t="inlineStr">
        <is>
          <t>KRONOBERGS LÄN</t>
        </is>
      </c>
      <c r="G2290" t="inlineStr">
        <is>
          <t>ALVESTA</t>
        </is>
      </c>
      <c r="I2290" t="n">
        <v>0.6</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8520-2025</t>
        </is>
      </c>
      <c r="B2291" t="inlineStr">
        <is>
          <t>avverkningsanmälan</t>
        </is>
      </c>
      <c r="C2291" t="inlineStr">
        <is>
          <t>Föryngringsavverkning</t>
        </is>
      </c>
      <c r="D2291" s="1" t="n">
        <v>45709</v>
      </c>
      <c r="E2291" s="1" t="n">
        <v>46316</v>
      </c>
      <c r="F2291" t="inlineStr">
        <is>
          <t>KRONOBERGS LÄN</t>
        </is>
      </c>
      <c r="G2291" t="inlineStr">
        <is>
          <t>TINGSRYD</t>
        </is>
      </c>
      <c r="H2291" t="inlineStr">
        <is>
          <t>Övriga Aktiebolag</t>
        </is>
      </c>
      <c r="I2291" t="n">
        <v>0.4</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59867-2022</t>
        </is>
      </c>
      <c r="B2292" t="inlineStr">
        <is>
          <t>avverkningsanmälan</t>
        </is>
      </c>
      <c r="C2292" t="inlineStr">
        <is>
          <t>Föryngringsavverkning</t>
        </is>
      </c>
      <c r="D2292" s="1" t="n">
        <v>44908</v>
      </c>
      <c r="E2292" s="1" t="n">
        <v>46316</v>
      </c>
      <c r="F2292" t="inlineStr">
        <is>
          <t>KRONOBERGS LÄN</t>
        </is>
      </c>
      <c r="G2292" t="inlineStr">
        <is>
          <t>VÄXJÖ</t>
        </is>
      </c>
      <c r="I2292" t="n">
        <v>0.8</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60531-2022</t>
        </is>
      </c>
      <c r="B2293" t="inlineStr">
        <is>
          <t>avverkningsanmälan</t>
        </is>
      </c>
      <c r="C2293" t="inlineStr">
        <is>
          <t>Föryngringsavverkning</t>
        </is>
      </c>
      <c r="D2293" s="1" t="n">
        <v>44911</v>
      </c>
      <c r="E2293" s="1" t="n">
        <v>46316</v>
      </c>
      <c r="F2293" t="inlineStr">
        <is>
          <t>KRONOBERGS LÄN</t>
        </is>
      </c>
      <c r="G2293" t="inlineStr">
        <is>
          <t>MARKARYD</t>
        </is>
      </c>
      <c r="I2293" t="n">
        <v>0.8</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55759-2025</t>
        </is>
      </c>
      <c r="B2294" t="inlineStr">
        <is>
          <t>avverkningsanmälan</t>
        </is>
      </c>
      <c r="C2294" t="inlineStr">
        <is>
          <t>Föryngringsavverkning</t>
        </is>
      </c>
      <c r="D2294" s="1" t="n">
        <v>45972</v>
      </c>
      <c r="E2294" s="1" t="n">
        <v>46316</v>
      </c>
      <c r="F2294" t="inlineStr">
        <is>
          <t>KRONOBERGS LÄN</t>
        </is>
      </c>
      <c r="G2294" t="inlineStr">
        <is>
          <t>TINGSRYD</t>
        </is>
      </c>
      <c r="I2294" t="n">
        <v>0.8</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17397-2026</t>
        </is>
      </c>
      <c r="B2295" t="inlineStr">
        <is>
          <t>avverkningsanmälan</t>
        </is>
      </c>
      <c r="C2295" t="inlineStr">
        <is>
          <t>Föryngringsavverkning</t>
        </is>
      </c>
      <c r="D2295" s="1" t="n">
        <v>46119</v>
      </c>
      <c r="E2295" s="1" t="n">
        <v>46316</v>
      </c>
      <c r="F2295" t="inlineStr">
        <is>
          <t>KRONOBERGS LÄN</t>
        </is>
      </c>
      <c r="G2295" t="inlineStr">
        <is>
          <t>VÄXJÖ</t>
        </is>
      </c>
      <c r="I2295" t="n">
        <v>1.7</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17544-2026</t>
        </is>
      </c>
      <c r="B2296" t="inlineStr">
        <is>
          <t>avverkningsanmälan</t>
        </is>
      </c>
      <c r="C2296" t="inlineStr">
        <is>
          <t>Föryngringsavverkning</t>
        </is>
      </c>
      <c r="D2296" s="1" t="n">
        <v>46120</v>
      </c>
      <c r="E2296" s="1" t="n">
        <v>46316</v>
      </c>
      <c r="F2296" t="inlineStr">
        <is>
          <t>KRONOBERGS LÄN</t>
        </is>
      </c>
      <c r="G2296" t="inlineStr">
        <is>
          <t>TINGSRYD</t>
        </is>
      </c>
      <c r="I2296" t="n">
        <v>3.2</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7797-2024</t>
        </is>
      </c>
      <c r="B2297" t="inlineStr">
        <is>
          <t>avverkningsanmälan</t>
        </is>
      </c>
      <c r="C2297" t="inlineStr">
        <is>
          <t>Föryngringsavverkning</t>
        </is>
      </c>
      <c r="D2297" s="1" t="n">
        <v>45349</v>
      </c>
      <c r="E2297" s="1" t="n">
        <v>46316</v>
      </c>
      <c r="F2297" t="inlineStr">
        <is>
          <t>KRONOBERGS LÄN</t>
        </is>
      </c>
      <c r="G2297" t="inlineStr">
        <is>
          <t>TINGSRYD</t>
        </is>
      </c>
      <c r="I2297" t="n">
        <v>3.1</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17238-2026</t>
        </is>
      </c>
      <c r="B2298" t="inlineStr">
        <is>
          <t>avverkningsanmälan</t>
        </is>
      </c>
      <c r="C2298" t="inlineStr">
        <is>
          <t>Föryngringsavverkning</t>
        </is>
      </c>
      <c r="D2298" s="1" t="n">
        <v>46119</v>
      </c>
      <c r="E2298" s="1" t="n">
        <v>46316</v>
      </c>
      <c r="F2298" t="inlineStr">
        <is>
          <t>KRONOBERGS LÄN</t>
        </is>
      </c>
      <c r="G2298" t="inlineStr">
        <is>
          <t>LJUNGBY</t>
        </is>
      </c>
      <c r="H2298" t="inlineStr">
        <is>
          <t>Sveaskog</t>
        </is>
      </c>
      <c r="I2298" t="n">
        <v>14</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73140-2021</t>
        </is>
      </c>
      <c r="B2299" t="inlineStr">
        <is>
          <t>avverkningsanmälan</t>
        </is>
      </c>
      <c r="C2299" t="inlineStr">
        <is>
          <t>Föryngringsavverkning</t>
        </is>
      </c>
      <c r="D2299" s="1" t="n">
        <v>44550</v>
      </c>
      <c r="E2299" s="1" t="n">
        <v>46316</v>
      </c>
      <c r="F2299" t="inlineStr">
        <is>
          <t>KRONOBERGS LÄN</t>
        </is>
      </c>
      <c r="G2299" t="inlineStr">
        <is>
          <t>LESSEBO</t>
        </is>
      </c>
      <c r="I2299" t="n">
        <v>1.1</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17240-2026</t>
        </is>
      </c>
      <c r="B2300" t="inlineStr">
        <is>
          <t>avverkningsanmälan</t>
        </is>
      </c>
      <c r="C2300" t="inlineStr">
        <is>
          <t>Föryngringsavverkning</t>
        </is>
      </c>
      <c r="D2300" s="1" t="n">
        <v>46119</v>
      </c>
      <c r="E2300" s="1" t="n">
        <v>46316</v>
      </c>
      <c r="F2300" t="inlineStr">
        <is>
          <t>KRONOBERGS LÄN</t>
        </is>
      </c>
      <c r="G2300" t="inlineStr">
        <is>
          <t>TINGSRYD</t>
        </is>
      </c>
      <c r="I2300" t="n">
        <v>0.7</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31761-2025</t>
        </is>
      </c>
      <c r="B2301" t="inlineStr">
        <is>
          <t>avverkningsanmälan</t>
        </is>
      </c>
      <c r="C2301" t="inlineStr">
        <is>
          <t>Föryngringsavverkning</t>
        </is>
      </c>
      <c r="D2301" s="1" t="n">
        <v>45834</v>
      </c>
      <c r="E2301" s="1" t="n">
        <v>46316</v>
      </c>
      <c r="F2301" t="inlineStr">
        <is>
          <t>KRONOBERGS LÄN</t>
        </is>
      </c>
      <c r="G2301" t="inlineStr">
        <is>
          <t>ÄLMHULT</t>
        </is>
      </c>
      <c r="I2301" t="n">
        <v>5.5</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40487-2023</t>
        </is>
      </c>
      <c r="B2302" t="inlineStr">
        <is>
          <t>avverkningsanmälan</t>
        </is>
      </c>
      <c r="C2302" t="inlineStr">
        <is>
          <t>Föryngringsavverkning</t>
        </is>
      </c>
      <c r="D2302" s="1" t="n">
        <v>45170</v>
      </c>
      <c r="E2302" s="1" t="n">
        <v>46316</v>
      </c>
      <c r="F2302" t="inlineStr">
        <is>
          <t>KRONOBERGS LÄN</t>
        </is>
      </c>
      <c r="G2302" t="inlineStr">
        <is>
          <t>TINGSRYD</t>
        </is>
      </c>
      <c r="I2302" t="n">
        <v>0.5</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60876-2022</t>
        </is>
      </c>
      <c r="B2303" t="inlineStr">
        <is>
          <t>avverkningsanmälan</t>
        </is>
      </c>
      <c r="C2303" t="inlineStr">
        <is>
          <t>Föryngringsavverkning</t>
        </is>
      </c>
      <c r="D2303" s="1" t="n">
        <v>44914</v>
      </c>
      <c r="E2303" s="1" t="n">
        <v>46316</v>
      </c>
      <c r="F2303" t="inlineStr">
        <is>
          <t>KRONOBERGS LÄN</t>
        </is>
      </c>
      <c r="G2303" t="inlineStr">
        <is>
          <t>ÄLMHULT</t>
        </is>
      </c>
      <c r="I2303" t="n">
        <v>0.5</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17946-2026</t>
        </is>
      </c>
      <c r="B2304" t="inlineStr">
        <is>
          <t>avverkningsanmälan</t>
        </is>
      </c>
      <c r="C2304" t="inlineStr">
        <is>
          <t>Föryngringsavverkning</t>
        </is>
      </c>
      <c r="D2304" s="1" t="n">
        <v>46122</v>
      </c>
      <c r="E2304" s="1" t="n">
        <v>46316</v>
      </c>
      <c r="F2304" t="inlineStr">
        <is>
          <t>KRONOBERGS LÄN</t>
        </is>
      </c>
      <c r="G2304" t="inlineStr">
        <is>
          <t>ALVESTA</t>
        </is>
      </c>
      <c r="I2304" t="n">
        <v>0.5</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32000-2025</t>
        </is>
      </c>
      <c r="B2305" t="inlineStr">
        <is>
          <t>avverkningsanmälan</t>
        </is>
      </c>
      <c r="C2305" t="inlineStr">
        <is>
          <t>Föryngringsavverkning</t>
        </is>
      </c>
      <c r="D2305" s="1" t="n">
        <v>45835</v>
      </c>
      <c r="E2305" s="1" t="n">
        <v>46316</v>
      </c>
      <c r="F2305" t="inlineStr">
        <is>
          <t>KRONOBERGS LÄN</t>
        </is>
      </c>
      <c r="G2305" t="inlineStr">
        <is>
          <t>VÄXJÖ</t>
        </is>
      </c>
      <c r="I2305" t="n">
        <v>0.9</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57390-2024</t>
        </is>
      </c>
      <c r="B2306" t="inlineStr">
        <is>
          <t>avverkningsanmälan</t>
        </is>
      </c>
      <c r="C2306" t="inlineStr">
        <is>
          <t>Föryngringsavverkning</t>
        </is>
      </c>
      <c r="D2306" s="1" t="n">
        <v>45629</v>
      </c>
      <c r="E2306" s="1" t="n">
        <v>46316</v>
      </c>
      <c r="F2306" t="inlineStr">
        <is>
          <t>KRONOBERGS LÄN</t>
        </is>
      </c>
      <c r="G2306" t="inlineStr">
        <is>
          <t>LJUNGBY</t>
        </is>
      </c>
      <c r="I2306" t="n">
        <v>0.5</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34261-2023</t>
        </is>
      </c>
      <c r="B2307" t="inlineStr">
        <is>
          <t>avverkningsanmälan</t>
        </is>
      </c>
      <c r="C2307" t="inlineStr">
        <is>
          <t>Föryngringsavverkning</t>
        </is>
      </c>
      <c r="D2307" s="1" t="n">
        <v>45128</v>
      </c>
      <c r="E2307" s="1" t="n">
        <v>46316</v>
      </c>
      <c r="F2307" t="inlineStr">
        <is>
          <t>KRONOBERGS LÄN</t>
        </is>
      </c>
      <c r="G2307" t="inlineStr">
        <is>
          <t>ALVESTA</t>
        </is>
      </c>
      <c r="I2307" t="n">
        <v>3.3</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45445-2023</t>
        </is>
      </c>
      <c r="B2308" t="inlineStr">
        <is>
          <t>avverkningsanmälan</t>
        </is>
      </c>
      <c r="C2308" t="inlineStr">
        <is>
          <t>Föryngringsavverkning</t>
        </is>
      </c>
      <c r="D2308" s="1" t="n">
        <v>45194</v>
      </c>
      <c r="E2308" s="1" t="n">
        <v>46316</v>
      </c>
      <c r="F2308" t="inlineStr">
        <is>
          <t>KRONOBERGS LÄN</t>
        </is>
      </c>
      <c r="G2308" t="inlineStr">
        <is>
          <t>VÄXJÖ</t>
        </is>
      </c>
      <c r="I2308" t="n">
        <v>1.5</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17823-2026</t>
        </is>
      </c>
      <c r="B2309" t="inlineStr">
        <is>
          <t>avverkningsanmälan</t>
        </is>
      </c>
      <c r="C2309" t="inlineStr">
        <is>
          <t>Avverkning för att bevara och utveckla /försöksver</t>
        </is>
      </c>
      <c r="D2309" s="1" t="n">
        <v>46122</v>
      </c>
      <c r="E2309" s="1" t="n">
        <v>46316</v>
      </c>
      <c r="F2309" t="inlineStr">
        <is>
          <t>KRONOBERGS LÄN</t>
        </is>
      </c>
      <c r="G2309" t="inlineStr">
        <is>
          <t>ALVESTA</t>
        </is>
      </c>
      <c r="I2309" t="n">
        <v>0.6</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17866-2026</t>
        </is>
      </c>
      <c r="B2310" t="inlineStr">
        <is>
          <t>avverkningsanmälan</t>
        </is>
      </c>
      <c r="C2310" t="inlineStr">
        <is>
          <t>Föryngringsavverkning</t>
        </is>
      </c>
      <c r="D2310" s="1" t="n">
        <v>46122</v>
      </c>
      <c r="E2310" s="1" t="n">
        <v>46316</v>
      </c>
      <c r="F2310" t="inlineStr">
        <is>
          <t>KRONOBERGS LÄN</t>
        </is>
      </c>
      <c r="G2310" t="inlineStr">
        <is>
          <t>UPPVIDINGE</t>
        </is>
      </c>
      <c r="I2310" t="n">
        <v>12.1</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17781-2026</t>
        </is>
      </c>
      <c r="B2311" t="inlineStr">
        <is>
          <t>avverkningsanmälan</t>
        </is>
      </c>
      <c r="C2311" t="inlineStr">
        <is>
          <t>Föryngringsavverkning</t>
        </is>
      </c>
      <c r="D2311" s="1" t="n">
        <v>46122</v>
      </c>
      <c r="E2311" s="1" t="n">
        <v>46316</v>
      </c>
      <c r="F2311" t="inlineStr">
        <is>
          <t>KRONOBERGS LÄN</t>
        </is>
      </c>
      <c r="G2311" t="inlineStr">
        <is>
          <t>ALVESTA</t>
        </is>
      </c>
      <c r="I2311" t="n">
        <v>0.5</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17801-2026</t>
        </is>
      </c>
      <c r="B2312" t="inlineStr">
        <is>
          <t>avverkningsanmälan</t>
        </is>
      </c>
      <c r="C2312" t="inlineStr">
        <is>
          <t>Avverkning för att bevara och utveckla /försöksver</t>
        </is>
      </c>
      <c r="D2312" s="1" t="n">
        <v>46122</v>
      </c>
      <c r="E2312" s="1" t="n">
        <v>46316</v>
      </c>
      <c r="F2312" t="inlineStr">
        <is>
          <t>KRONOBERGS LÄN</t>
        </is>
      </c>
      <c r="G2312" t="inlineStr">
        <is>
          <t>ALVESTA</t>
        </is>
      </c>
      <c r="I2312" t="n">
        <v>1.5</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56109-2025</t>
        </is>
      </c>
      <c r="B2313" t="inlineStr">
        <is>
          <t>avverkningsanmälan</t>
        </is>
      </c>
      <c r="C2313" t="inlineStr">
        <is>
          <t>Föryngringsavverkning</t>
        </is>
      </c>
      <c r="D2313" s="1" t="n">
        <v>45973</v>
      </c>
      <c r="E2313" s="1" t="n">
        <v>46316</v>
      </c>
      <c r="F2313" t="inlineStr">
        <is>
          <t>KRONOBERGS LÄN</t>
        </is>
      </c>
      <c r="G2313" t="inlineStr">
        <is>
          <t>LJUNGBY</t>
        </is>
      </c>
      <c r="I2313" t="n">
        <v>1.2</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62191-2022</t>
        </is>
      </c>
      <c r="B2314" t="inlineStr">
        <is>
          <t>avverkningsanmälan</t>
        </is>
      </c>
      <c r="C2314" t="inlineStr">
        <is>
          <t>Föryngringsavverkning</t>
        </is>
      </c>
      <c r="D2314" s="1" t="n">
        <v>44922</v>
      </c>
      <c r="E2314" s="1" t="n">
        <v>46316</v>
      </c>
      <c r="F2314" t="inlineStr">
        <is>
          <t>KRONOBERGS LÄN</t>
        </is>
      </c>
      <c r="G2314" t="inlineStr">
        <is>
          <t>VÄXJÖ</t>
        </is>
      </c>
      <c r="I2314" t="n">
        <v>1</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56068-2025</t>
        </is>
      </c>
      <c r="B2315" t="inlineStr">
        <is>
          <t>avverkningsanmälan</t>
        </is>
      </c>
      <c r="C2315" t="inlineStr">
        <is>
          <t>Föryngringsavverkning</t>
        </is>
      </c>
      <c r="D2315" s="1" t="n">
        <v>45973</v>
      </c>
      <c r="E2315" s="1" t="n">
        <v>46316</v>
      </c>
      <c r="F2315" t="inlineStr">
        <is>
          <t>KRONOBERGS LÄN</t>
        </is>
      </c>
      <c r="G2315" t="inlineStr">
        <is>
          <t>VÄXJÖ</t>
        </is>
      </c>
      <c r="I2315" t="n">
        <v>2.6</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32014-2025</t>
        </is>
      </c>
      <c r="B2316" t="inlineStr">
        <is>
          <t>avverkningsanmälan</t>
        </is>
      </c>
      <c r="C2316" t="inlineStr">
        <is>
          <t>Föryngringsavverkning</t>
        </is>
      </c>
      <c r="D2316" s="1" t="n">
        <v>45835</v>
      </c>
      <c r="E2316" s="1" t="n">
        <v>46316</v>
      </c>
      <c r="F2316" t="inlineStr">
        <is>
          <t>KRONOBERGS LÄN</t>
        </is>
      </c>
      <c r="G2316" t="inlineStr">
        <is>
          <t>LJUNGBY</t>
        </is>
      </c>
      <c r="I2316" t="n">
        <v>2.8</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32011-2025</t>
        </is>
      </c>
      <c r="B2317" t="inlineStr">
        <is>
          <t>avverkningsanmälan</t>
        </is>
      </c>
      <c r="C2317" t="inlineStr">
        <is>
          <t>Föryngringsavverkning</t>
        </is>
      </c>
      <c r="D2317" s="1" t="n">
        <v>45835</v>
      </c>
      <c r="E2317" s="1" t="n">
        <v>46316</v>
      </c>
      <c r="F2317" t="inlineStr">
        <is>
          <t>KRONOBERGS LÄN</t>
        </is>
      </c>
      <c r="G2317" t="inlineStr">
        <is>
          <t>LJUNGBY</t>
        </is>
      </c>
      <c r="I2317" t="n">
        <v>1.9</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34405-2024</t>
        </is>
      </c>
      <c r="B2318" t="inlineStr">
        <is>
          <t>avverkningsanmälan</t>
        </is>
      </c>
      <c r="C2318" t="inlineStr">
        <is>
          <t>Föryngringsavverkning</t>
        </is>
      </c>
      <c r="D2318" s="1" t="n">
        <v>45525</v>
      </c>
      <c r="E2318" s="1" t="n">
        <v>46316</v>
      </c>
      <c r="F2318" t="inlineStr">
        <is>
          <t>KRONOBERGS LÄN</t>
        </is>
      </c>
      <c r="G2318" t="inlineStr">
        <is>
          <t>LJUNGBY</t>
        </is>
      </c>
      <c r="I2318" t="n">
        <v>0.4</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36968-2024</t>
        </is>
      </c>
      <c r="B2319" t="inlineStr">
        <is>
          <t>avverkningsanmälan</t>
        </is>
      </c>
      <c r="C2319" t="inlineStr">
        <is>
          <t>Föryngringsavverkning</t>
        </is>
      </c>
      <c r="D2319" s="1" t="n">
        <v>45538</v>
      </c>
      <c r="E2319" s="1" t="n">
        <v>46316</v>
      </c>
      <c r="F2319" t="inlineStr">
        <is>
          <t>KRONOBERGS LÄN</t>
        </is>
      </c>
      <c r="G2319" t="inlineStr">
        <is>
          <t>ÄLMHULT</t>
        </is>
      </c>
      <c r="I2319" t="n">
        <v>0.5</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55848-2025</t>
        </is>
      </c>
      <c r="B2320" t="inlineStr">
        <is>
          <t>avverkningsanmälan</t>
        </is>
      </c>
      <c r="C2320" t="inlineStr">
        <is>
          <t>Föryngringsavverkning</t>
        </is>
      </c>
      <c r="D2320" s="1" t="n">
        <v>45973</v>
      </c>
      <c r="E2320" s="1" t="n">
        <v>46316</v>
      </c>
      <c r="F2320" t="inlineStr">
        <is>
          <t>KRONOBERGS LÄN</t>
        </is>
      </c>
      <c r="G2320" t="inlineStr">
        <is>
          <t>UPPVIDINGE</t>
        </is>
      </c>
      <c r="I2320" t="n">
        <v>2.5</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3268-2023</t>
        </is>
      </c>
      <c r="B2321" t="inlineStr">
        <is>
          <t>avverkningsanmälan</t>
        </is>
      </c>
      <c r="C2321" t="inlineStr">
        <is>
          <t>Föryngringsavverkning</t>
        </is>
      </c>
      <c r="D2321" s="1" t="n">
        <v>44945</v>
      </c>
      <c r="E2321" s="1" t="n">
        <v>46316</v>
      </c>
      <c r="F2321" t="inlineStr">
        <is>
          <t>KRONOBERGS LÄN</t>
        </is>
      </c>
      <c r="G2321" t="inlineStr">
        <is>
          <t>TINGSRYD</t>
        </is>
      </c>
      <c r="I2321" t="n">
        <v>2.2</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3311-2023</t>
        </is>
      </c>
      <c r="B2322" t="inlineStr">
        <is>
          <t>avverkningsanmälan</t>
        </is>
      </c>
      <c r="C2322" t="inlineStr">
        <is>
          <t>Föryngringsavverkning</t>
        </is>
      </c>
      <c r="D2322" s="1" t="n">
        <v>44949</v>
      </c>
      <c r="E2322" s="1" t="n">
        <v>46316</v>
      </c>
      <c r="F2322" t="inlineStr">
        <is>
          <t>KRONOBERGS LÄN</t>
        </is>
      </c>
      <c r="G2322" t="inlineStr">
        <is>
          <t>TINGSRYD</t>
        </is>
      </c>
      <c r="I2322" t="n">
        <v>1.3</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22534-2024</t>
        </is>
      </c>
      <c r="B2323" t="inlineStr">
        <is>
          <t>avverkningsanmälan</t>
        </is>
      </c>
      <c r="C2323" t="inlineStr">
        <is>
          <t>Föryngringsavverkning</t>
        </is>
      </c>
      <c r="D2323" s="1" t="n">
        <v>45447</v>
      </c>
      <c r="E2323" s="1" t="n">
        <v>46316</v>
      </c>
      <c r="F2323" t="inlineStr">
        <is>
          <t>KRONOBERGS LÄN</t>
        </is>
      </c>
      <c r="G2323" t="inlineStr">
        <is>
          <t>ALVESTA</t>
        </is>
      </c>
      <c r="I2323" t="n">
        <v>0.6</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29870-2023</t>
        </is>
      </c>
      <c r="B2324" t="inlineStr">
        <is>
          <t>avverkningsanmälan</t>
        </is>
      </c>
      <c r="C2324" t="inlineStr">
        <is>
          <t>Föryngringsavverkning</t>
        </is>
      </c>
      <c r="D2324" s="1" t="n">
        <v>45107</v>
      </c>
      <c r="E2324" s="1" t="n">
        <v>46316</v>
      </c>
      <c r="F2324" t="inlineStr">
        <is>
          <t>KRONOBERGS LÄN</t>
        </is>
      </c>
      <c r="G2324" t="inlineStr">
        <is>
          <t>UPPVIDINGE</t>
        </is>
      </c>
      <c r="I2324" t="n">
        <v>1.6</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18018-2026</t>
        </is>
      </c>
      <c r="B2325" t="inlineStr">
        <is>
          <t>avverkningsanmälan</t>
        </is>
      </c>
      <c r="C2325" t="inlineStr">
        <is>
          <t>Föryngringsavverkning</t>
        </is>
      </c>
      <c r="D2325" s="1" t="n">
        <v>46125</v>
      </c>
      <c r="E2325" s="1" t="n">
        <v>46316</v>
      </c>
      <c r="F2325" t="inlineStr">
        <is>
          <t>KRONOBERGS LÄN</t>
        </is>
      </c>
      <c r="G2325" t="inlineStr">
        <is>
          <t>ÄLMHULT</t>
        </is>
      </c>
      <c r="I2325" t="n">
        <v>11.5</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32825-2025</t>
        </is>
      </c>
      <c r="B2326" t="inlineStr">
        <is>
          <t>avverkningsanmälan</t>
        </is>
      </c>
      <c r="C2326" t="inlineStr">
        <is>
          <t>Föryngringsavverkning</t>
        </is>
      </c>
      <c r="D2326" s="1" t="n">
        <v>45839</v>
      </c>
      <c r="E2326" s="1" t="n">
        <v>46316</v>
      </c>
      <c r="F2326" t="inlineStr">
        <is>
          <t>KRONOBERGS LÄN</t>
        </is>
      </c>
      <c r="G2326" t="inlineStr">
        <is>
          <t>ÄLMHULT</t>
        </is>
      </c>
      <c r="I2326" t="n">
        <v>3.9</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52618-2023</t>
        </is>
      </c>
      <c r="B2327" t="inlineStr">
        <is>
          <t>avverkningsanmälan</t>
        </is>
      </c>
      <c r="C2327" t="inlineStr">
        <is>
          <t>Föryngringsavverkning</t>
        </is>
      </c>
      <c r="D2327" s="1" t="n">
        <v>45225</v>
      </c>
      <c r="E2327" s="1" t="n">
        <v>46316</v>
      </c>
      <c r="F2327" t="inlineStr">
        <is>
          <t>KRONOBERGS LÄN</t>
        </is>
      </c>
      <c r="G2327" t="inlineStr">
        <is>
          <t>LJUNGBY</t>
        </is>
      </c>
      <c r="I2327" t="n">
        <v>2.7</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52627-2023</t>
        </is>
      </c>
      <c r="B2328" t="inlineStr">
        <is>
          <t>avverkningsanmälan</t>
        </is>
      </c>
      <c r="C2328" t="inlineStr">
        <is>
          <t>Föryngringsavverkning</t>
        </is>
      </c>
      <c r="D2328" s="1" t="n">
        <v>45225</v>
      </c>
      <c r="E2328" s="1" t="n">
        <v>46316</v>
      </c>
      <c r="F2328" t="inlineStr">
        <is>
          <t>KRONOBERGS LÄN</t>
        </is>
      </c>
      <c r="G2328" t="inlineStr">
        <is>
          <t>LJUNGBY</t>
        </is>
      </c>
      <c r="I2328" t="n">
        <v>1.9</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32712-2025</t>
        </is>
      </c>
      <c r="B2329" t="inlineStr">
        <is>
          <t>avverkningsanmälan</t>
        </is>
      </c>
      <c r="C2329" t="inlineStr">
        <is>
          <t>Föryngringsavverkning</t>
        </is>
      </c>
      <c r="D2329" s="1" t="n">
        <v>45839</v>
      </c>
      <c r="E2329" s="1" t="n">
        <v>46316</v>
      </c>
      <c r="F2329" t="inlineStr">
        <is>
          <t>KRONOBERGS LÄN</t>
        </is>
      </c>
      <c r="G2329" t="inlineStr">
        <is>
          <t>LESSEBO</t>
        </is>
      </c>
      <c r="H2329" t="inlineStr">
        <is>
          <t>Sveaskog</t>
        </is>
      </c>
      <c r="I2329" t="n">
        <v>2</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64511-2023</t>
        </is>
      </c>
      <c r="B2330" t="inlineStr">
        <is>
          <t>avverkningsanmälan</t>
        </is>
      </c>
      <c r="C2330" t="inlineStr">
        <is>
          <t>Föryngringsavverkning</t>
        </is>
      </c>
      <c r="D2330" s="1" t="n">
        <v>45281</v>
      </c>
      <c r="E2330" s="1" t="n">
        <v>46316</v>
      </c>
      <c r="F2330" t="inlineStr">
        <is>
          <t>KRONOBERGS LÄN</t>
        </is>
      </c>
      <c r="G2330" t="inlineStr">
        <is>
          <t>MARKARYD</t>
        </is>
      </c>
      <c r="I2330" t="n">
        <v>1</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22201-2024</t>
        </is>
      </c>
      <c r="B2331" t="inlineStr">
        <is>
          <t>avverkningsanmälan</t>
        </is>
      </c>
      <c r="C2331" t="inlineStr">
        <is>
          <t>Föryngringsavverkning</t>
        </is>
      </c>
      <c r="D2331" s="1" t="n">
        <v>45446</v>
      </c>
      <c r="E2331" s="1" t="n">
        <v>46316</v>
      </c>
      <c r="F2331" t="inlineStr">
        <is>
          <t>KRONOBERGS LÄN</t>
        </is>
      </c>
      <c r="G2331" t="inlineStr">
        <is>
          <t>VÄXJÖ</t>
        </is>
      </c>
      <c r="I2331" t="n">
        <v>3.5</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6475-2022</t>
        </is>
      </c>
      <c r="B2332" t="inlineStr">
        <is>
          <t>avverkningsanmälan</t>
        </is>
      </c>
      <c r="C2332" t="inlineStr">
        <is>
          <t>Föryngringsavverkning</t>
        </is>
      </c>
      <c r="D2332" s="1" t="n">
        <v>44601</v>
      </c>
      <c r="E2332" s="1" t="n">
        <v>46316</v>
      </c>
      <c r="F2332" t="inlineStr">
        <is>
          <t>KRONOBERGS LÄN</t>
        </is>
      </c>
      <c r="G2332" t="inlineStr">
        <is>
          <t>ALVESTA</t>
        </is>
      </c>
      <c r="I2332" t="n">
        <v>1.3</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28124-2023</t>
        </is>
      </c>
      <c r="B2333" t="inlineStr">
        <is>
          <t>avverkningsanmälan</t>
        </is>
      </c>
      <c r="C2333" t="inlineStr">
        <is>
          <t>Föryngringsavverkning</t>
        </is>
      </c>
      <c r="D2333" s="1" t="n">
        <v>45099</v>
      </c>
      <c r="E2333" s="1" t="n">
        <v>46316</v>
      </c>
      <c r="F2333" t="inlineStr">
        <is>
          <t>KRONOBERGS LÄN</t>
        </is>
      </c>
      <c r="G2333" t="inlineStr">
        <is>
          <t>LJUNGBY</t>
        </is>
      </c>
      <c r="I2333" t="n">
        <v>0.6</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30405-2023</t>
        </is>
      </c>
      <c r="B2334" t="inlineStr">
        <is>
          <t>avverkningsanmälan</t>
        </is>
      </c>
      <c r="C2334" t="inlineStr">
        <is>
          <t>Föryngringsavverkning</t>
        </is>
      </c>
      <c r="D2334" s="1" t="n">
        <v>45111</v>
      </c>
      <c r="E2334" s="1" t="n">
        <v>46316</v>
      </c>
      <c r="F2334" t="inlineStr">
        <is>
          <t>KRONOBERGS LÄN</t>
        </is>
      </c>
      <c r="G2334" t="inlineStr">
        <is>
          <t>LESSEBO</t>
        </is>
      </c>
      <c r="I2334" t="n">
        <v>4.3</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29097-2023</t>
        </is>
      </c>
      <c r="B2335" t="inlineStr">
        <is>
          <t>avverkningsanmälan</t>
        </is>
      </c>
      <c r="C2335" t="inlineStr">
        <is>
          <t>Föryngringsavverkning</t>
        </is>
      </c>
      <c r="D2335" s="1" t="n">
        <v>45105</v>
      </c>
      <c r="E2335" s="1" t="n">
        <v>46316</v>
      </c>
      <c r="F2335" t="inlineStr">
        <is>
          <t>KRONOBERGS LÄN</t>
        </is>
      </c>
      <c r="G2335" t="inlineStr">
        <is>
          <t>ALVESTA</t>
        </is>
      </c>
      <c r="I2335" t="n">
        <v>1.5</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24169-2023</t>
        </is>
      </c>
      <c r="B2336" t="inlineStr">
        <is>
          <t>avverkningsanmälan</t>
        </is>
      </c>
      <c r="C2336" t="inlineStr">
        <is>
          <t>Föryngringsavverkning</t>
        </is>
      </c>
      <c r="D2336" s="1" t="n">
        <v>45079</v>
      </c>
      <c r="E2336" s="1" t="n">
        <v>46316</v>
      </c>
      <c r="F2336" t="inlineStr">
        <is>
          <t>KRONOBERGS LÄN</t>
        </is>
      </c>
      <c r="G2336" t="inlineStr">
        <is>
          <t>ALVESTA</t>
        </is>
      </c>
      <c r="I2336" t="n">
        <v>2.3</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67331-2021</t>
        </is>
      </c>
      <c r="B2337" t="inlineStr">
        <is>
          <t>avverkningsanmälan</t>
        </is>
      </c>
      <c r="C2337" t="inlineStr">
        <is>
          <t>Föryngringsavverkning</t>
        </is>
      </c>
      <c r="D2337" s="1" t="n">
        <v>44523</v>
      </c>
      <c r="E2337" s="1" t="n">
        <v>46316</v>
      </c>
      <c r="F2337" t="inlineStr">
        <is>
          <t>KRONOBERGS LÄN</t>
        </is>
      </c>
      <c r="G2337" t="inlineStr">
        <is>
          <t>ALVESTA</t>
        </is>
      </c>
      <c r="I2337" t="n">
        <v>6.4</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9417-2024</t>
        </is>
      </c>
      <c r="B2338" t="inlineStr">
        <is>
          <t>avverkningsanmälan</t>
        </is>
      </c>
      <c r="C2338" t="inlineStr">
        <is>
          <t>Föryngringsavverkning</t>
        </is>
      </c>
      <c r="D2338" s="1" t="n">
        <v>45359</v>
      </c>
      <c r="E2338" s="1" t="n">
        <v>46316</v>
      </c>
      <c r="F2338" t="inlineStr">
        <is>
          <t>KRONOBERGS LÄN</t>
        </is>
      </c>
      <c r="G2338" t="inlineStr">
        <is>
          <t>ALVESTA</t>
        </is>
      </c>
      <c r="I2338" t="n">
        <v>1.3</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886-2024</t>
        </is>
      </c>
      <c r="B2339" t="inlineStr">
        <is>
          <t>avverkningsanmälan</t>
        </is>
      </c>
      <c r="C2339" t="inlineStr">
        <is>
          <t>Föryngringsavverkning</t>
        </is>
      </c>
      <c r="D2339" s="1" t="n">
        <v>45301</v>
      </c>
      <c r="E2339" s="1" t="n">
        <v>46316</v>
      </c>
      <c r="F2339" t="inlineStr">
        <is>
          <t>KRONOBERGS LÄN</t>
        </is>
      </c>
      <c r="G2339" t="inlineStr">
        <is>
          <t>LJUNGBY</t>
        </is>
      </c>
      <c r="I2339" t="n">
        <v>2.2</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34926-2024</t>
        </is>
      </c>
      <c r="B2340" t="inlineStr">
        <is>
          <t>avverkningsanmälan</t>
        </is>
      </c>
      <c r="C2340" t="inlineStr">
        <is>
          <t>Föryngringsavverkning</t>
        </is>
      </c>
      <c r="D2340" s="1" t="n">
        <v>45527</v>
      </c>
      <c r="E2340" s="1" t="n">
        <v>46316</v>
      </c>
      <c r="F2340" t="inlineStr">
        <is>
          <t>KRONOBERGS LÄN</t>
        </is>
      </c>
      <c r="G2340" t="inlineStr">
        <is>
          <t>LJUNGBY</t>
        </is>
      </c>
      <c r="I2340" t="n">
        <v>1.5</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21231-2023</t>
        </is>
      </c>
      <c r="B2341" t="inlineStr">
        <is>
          <t>avverkningsanmälan</t>
        </is>
      </c>
      <c r="C2341" t="inlineStr">
        <is>
          <t>Föryngringsavverkning</t>
        </is>
      </c>
      <c r="D2341" s="1" t="n">
        <v>45058</v>
      </c>
      <c r="E2341" s="1" t="n">
        <v>46316</v>
      </c>
      <c r="F2341" t="inlineStr">
        <is>
          <t>KRONOBERGS LÄN</t>
        </is>
      </c>
      <c r="G2341" t="inlineStr">
        <is>
          <t>VÄXJÖ</t>
        </is>
      </c>
      <c r="I2341" t="n">
        <v>0.7</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32529-2025</t>
        </is>
      </c>
      <c r="B2342" t="inlineStr">
        <is>
          <t>avverkningsanmälan</t>
        </is>
      </c>
      <c r="C2342" t="inlineStr">
        <is>
          <t>Föryngringsavverkning</t>
        </is>
      </c>
      <c r="D2342" s="1" t="n">
        <v>45838</v>
      </c>
      <c r="E2342" s="1" t="n">
        <v>46316</v>
      </c>
      <c r="F2342" t="inlineStr">
        <is>
          <t>KRONOBERGS LÄN</t>
        </is>
      </c>
      <c r="G2342" t="inlineStr">
        <is>
          <t>ALVESTA</t>
        </is>
      </c>
      <c r="I2342" t="n">
        <v>1.9</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32539-2025</t>
        </is>
      </c>
      <c r="B2343" t="inlineStr">
        <is>
          <t>avverkningsanmälan</t>
        </is>
      </c>
      <c r="C2343" t="inlineStr">
        <is>
          <t>Föryngringsavverkning</t>
        </is>
      </c>
      <c r="D2343" s="1" t="n">
        <v>45838</v>
      </c>
      <c r="E2343" s="1" t="n">
        <v>46316</v>
      </c>
      <c r="F2343" t="inlineStr">
        <is>
          <t>KRONOBERGS LÄN</t>
        </is>
      </c>
      <c r="G2343" t="inlineStr">
        <is>
          <t>ALVESTA</t>
        </is>
      </c>
      <c r="I2343" t="n">
        <v>5.7</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56779-2025</t>
        </is>
      </c>
      <c r="B2344" t="inlineStr">
        <is>
          <t>avverkningsanmälan</t>
        </is>
      </c>
      <c r="C2344" t="inlineStr">
        <is>
          <t>Föryngringsavverkning</t>
        </is>
      </c>
      <c r="D2344" s="1" t="n">
        <v>45978</v>
      </c>
      <c r="E2344" s="1" t="n">
        <v>46316</v>
      </c>
      <c r="F2344" t="inlineStr">
        <is>
          <t>KRONOBERGS LÄN</t>
        </is>
      </c>
      <c r="G2344" t="inlineStr">
        <is>
          <t>ALVESTA</t>
        </is>
      </c>
      <c r="I2344" t="n">
        <v>1.3</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18863-2026</t>
        </is>
      </c>
      <c r="B2345" t="inlineStr">
        <is>
          <t>avverkningsanmälan</t>
        </is>
      </c>
      <c r="C2345" t="inlineStr">
        <is>
          <t>Föryngringsavverkning</t>
        </is>
      </c>
      <c r="D2345" s="1" t="n">
        <v>46129</v>
      </c>
      <c r="E2345" s="1" t="n">
        <v>46316</v>
      </c>
      <c r="F2345" t="inlineStr">
        <is>
          <t>KRONOBERGS LÄN</t>
        </is>
      </c>
      <c r="G2345" t="inlineStr">
        <is>
          <t>ALVESTA</t>
        </is>
      </c>
      <c r="I2345" t="n">
        <v>1.8</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32390-2025</t>
        </is>
      </c>
      <c r="B2346" t="inlineStr">
        <is>
          <t>avverkningsanmälan</t>
        </is>
      </c>
      <c r="C2346" t="inlineStr">
        <is>
          <t>Föryngringsavverkning</t>
        </is>
      </c>
      <c r="D2346" s="1" t="n">
        <v>45837</v>
      </c>
      <c r="E2346" s="1" t="n">
        <v>46316</v>
      </c>
      <c r="F2346" t="inlineStr">
        <is>
          <t>KRONOBERGS LÄN</t>
        </is>
      </c>
      <c r="G2346" t="inlineStr">
        <is>
          <t>LJUNGBY</t>
        </is>
      </c>
      <c r="I2346" t="n">
        <v>0.6</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56708-2025</t>
        </is>
      </c>
      <c r="B2347" t="inlineStr">
        <is>
          <t>avverkningsanmälan</t>
        </is>
      </c>
      <c r="C2347" t="inlineStr">
        <is>
          <t>Föryngringsavverkning</t>
        </is>
      </c>
      <c r="D2347" s="1" t="n">
        <v>45977</v>
      </c>
      <c r="E2347" s="1" t="n">
        <v>46316</v>
      </c>
      <c r="F2347" t="inlineStr">
        <is>
          <t>KRONOBERGS LÄN</t>
        </is>
      </c>
      <c r="G2347" t="inlineStr">
        <is>
          <t>LJUNGBY</t>
        </is>
      </c>
      <c r="I2347" t="n">
        <v>5.2</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17479-2026</t>
        </is>
      </c>
      <c r="B2348" t="inlineStr">
        <is>
          <t>avverkningsanmälan</t>
        </is>
      </c>
      <c r="C2348" t="inlineStr">
        <is>
          <t>Avverkning för annat ändamål</t>
        </is>
      </c>
      <c r="D2348" s="1" t="n">
        <v>46120</v>
      </c>
      <c r="E2348" s="1" t="n">
        <v>46316</v>
      </c>
      <c r="F2348" t="inlineStr">
        <is>
          <t>KRONOBERGS LÄN</t>
        </is>
      </c>
      <c r="G2348" t="inlineStr">
        <is>
          <t>TINGSRYD</t>
        </is>
      </c>
      <c r="I2348" t="n">
        <v>0.3</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12718-2022</t>
        </is>
      </c>
      <c r="B2349" t="inlineStr">
        <is>
          <t>avverkningsanmälan</t>
        </is>
      </c>
      <c r="C2349" t="inlineStr">
        <is>
          <t>Föryngringsavverkning</t>
        </is>
      </c>
      <c r="D2349" s="1" t="n">
        <v>44641</v>
      </c>
      <c r="E2349" s="1" t="n">
        <v>46316</v>
      </c>
      <c r="F2349" t="inlineStr">
        <is>
          <t>KRONOBERGS LÄN</t>
        </is>
      </c>
      <c r="G2349" t="inlineStr">
        <is>
          <t>ÄLMHULT</t>
        </is>
      </c>
      <c r="I2349" t="n">
        <v>2.9</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56758-2025</t>
        </is>
      </c>
      <c r="B2350" t="inlineStr">
        <is>
          <t>avverkningsanmälan</t>
        </is>
      </c>
      <c r="C2350" t="inlineStr">
        <is>
          <t>Föryngringsavverkning</t>
        </is>
      </c>
      <c r="D2350" s="1" t="n">
        <v>45978</v>
      </c>
      <c r="E2350" s="1" t="n">
        <v>46316</v>
      </c>
      <c r="F2350" t="inlineStr">
        <is>
          <t>KRONOBERGS LÄN</t>
        </is>
      </c>
      <c r="G2350" t="inlineStr">
        <is>
          <t>LJUNGBY</t>
        </is>
      </c>
      <c r="I2350" t="n">
        <v>0.6</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18625-2026</t>
        </is>
      </c>
      <c r="B2351" t="inlineStr">
        <is>
          <t>avverkningsanmälan</t>
        </is>
      </c>
      <c r="C2351" t="inlineStr">
        <is>
          <t>Föryngringsavverkning</t>
        </is>
      </c>
      <c r="D2351" s="1" t="n">
        <v>46127</v>
      </c>
      <c r="E2351" s="1" t="n">
        <v>46316</v>
      </c>
      <c r="F2351" t="inlineStr">
        <is>
          <t>KRONOBERGS LÄN</t>
        </is>
      </c>
      <c r="G2351" t="inlineStr">
        <is>
          <t>LESSEBO</t>
        </is>
      </c>
      <c r="I2351" t="n">
        <v>0.6</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32493-2025</t>
        </is>
      </c>
      <c r="B2352" t="inlineStr">
        <is>
          <t>avverkningsanmälan</t>
        </is>
      </c>
      <c r="C2352" t="inlineStr">
        <is>
          <t>Föryngringsavverkning</t>
        </is>
      </c>
      <c r="D2352" s="1" t="n">
        <v>45838</v>
      </c>
      <c r="E2352" s="1" t="n">
        <v>46316</v>
      </c>
      <c r="F2352" t="inlineStr">
        <is>
          <t>KRONOBERGS LÄN</t>
        </is>
      </c>
      <c r="G2352" t="inlineStr">
        <is>
          <t>TINGSRYD</t>
        </is>
      </c>
      <c r="I2352" t="n">
        <v>1.5</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32884-2025</t>
        </is>
      </c>
      <c r="B2353" t="inlineStr">
        <is>
          <t>avverkningsanmälan</t>
        </is>
      </c>
      <c r="C2353" t="inlineStr">
        <is>
          <t>Föryngringsavverkning</t>
        </is>
      </c>
      <c r="D2353" s="1" t="n">
        <v>45839</v>
      </c>
      <c r="E2353" s="1" t="n">
        <v>46316</v>
      </c>
      <c r="F2353" t="inlineStr">
        <is>
          <t>KRONOBERGS LÄN</t>
        </is>
      </c>
      <c r="G2353" t="inlineStr">
        <is>
          <t>TINGSRYD</t>
        </is>
      </c>
      <c r="I2353" t="n">
        <v>2.5</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18856-2026</t>
        </is>
      </c>
      <c r="B2354" t="inlineStr">
        <is>
          <t>avverkningsanmälan</t>
        </is>
      </c>
      <c r="C2354" t="inlineStr">
        <is>
          <t>Föryngringsavverkning</t>
        </is>
      </c>
      <c r="D2354" s="1" t="n">
        <v>46129</v>
      </c>
      <c r="E2354" s="1" t="n">
        <v>46316</v>
      </c>
      <c r="F2354" t="inlineStr">
        <is>
          <t>KRONOBERGS LÄN</t>
        </is>
      </c>
      <c r="G2354" t="inlineStr">
        <is>
          <t>ALVESTA</t>
        </is>
      </c>
      <c r="I2354" t="n">
        <v>1.2</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20221-2024</t>
        </is>
      </c>
      <c r="B2355" t="inlineStr">
        <is>
          <t>avverkningsanmälan</t>
        </is>
      </c>
      <c r="C2355" t="inlineStr">
        <is>
          <t>Föryngringsavverkning</t>
        </is>
      </c>
      <c r="D2355" s="1" t="n">
        <v>45434</v>
      </c>
      <c r="E2355" s="1" t="n">
        <v>46316</v>
      </c>
      <c r="F2355" t="inlineStr">
        <is>
          <t>KRONOBERGS LÄN</t>
        </is>
      </c>
      <c r="G2355" t="inlineStr">
        <is>
          <t>TINGSRYD</t>
        </is>
      </c>
      <c r="I2355" t="n">
        <v>4.3</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18858-2026</t>
        </is>
      </c>
      <c r="B2356" t="inlineStr">
        <is>
          <t>avverkningsanmälan</t>
        </is>
      </c>
      <c r="C2356" t="inlineStr">
        <is>
          <t>Föryngringsavverkning</t>
        </is>
      </c>
      <c r="D2356" s="1" t="n">
        <v>46129</v>
      </c>
      <c r="E2356" s="1" t="n">
        <v>46316</v>
      </c>
      <c r="F2356" t="inlineStr">
        <is>
          <t>KRONOBERGS LÄN</t>
        </is>
      </c>
      <c r="G2356" t="inlineStr">
        <is>
          <t>ALVESTA</t>
        </is>
      </c>
      <c r="I2356" t="n">
        <v>1.6</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27863-2022</t>
        </is>
      </c>
      <c r="B2357" t="inlineStr">
        <is>
          <t>avverkningsanmälan</t>
        </is>
      </c>
      <c r="C2357" t="inlineStr">
        <is>
          <t>Föryngringsavverkning</t>
        </is>
      </c>
      <c r="D2357" s="1" t="n">
        <v>44743</v>
      </c>
      <c r="E2357" s="1" t="n">
        <v>46316</v>
      </c>
      <c r="F2357" t="inlineStr">
        <is>
          <t>KRONOBERGS LÄN</t>
        </is>
      </c>
      <c r="G2357" t="inlineStr">
        <is>
          <t>ÄLMHULT</t>
        </is>
      </c>
      <c r="I2357" t="n">
        <v>3.3</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37689-2022</t>
        </is>
      </c>
      <c r="B2358" t="inlineStr">
        <is>
          <t>avverkningsanmälan</t>
        </is>
      </c>
      <c r="C2358" t="inlineStr">
        <is>
          <t>Föryngringsavverkning</t>
        </is>
      </c>
      <c r="D2358" s="1" t="n">
        <v>44810</v>
      </c>
      <c r="E2358" s="1" t="n">
        <v>46316</v>
      </c>
      <c r="F2358" t="inlineStr">
        <is>
          <t>KRONOBERGS LÄN</t>
        </is>
      </c>
      <c r="G2358" t="inlineStr">
        <is>
          <t>LJUNGBY</t>
        </is>
      </c>
      <c r="I2358" t="n">
        <v>1.5</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56780-2025</t>
        </is>
      </c>
      <c r="B2359" t="inlineStr">
        <is>
          <t>avverkningsanmälan</t>
        </is>
      </c>
      <c r="C2359" t="inlineStr">
        <is>
          <t>Föryngringsavverkning</t>
        </is>
      </c>
      <c r="D2359" s="1" t="n">
        <v>45978</v>
      </c>
      <c r="E2359" s="1" t="n">
        <v>46316</v>
      </c>
      <c r="F2359" t="inlineStr">
        <is>
          <t>KRONOBERGS LÄN</t>
        </is>
      </c>
      <c r="G2359" t="inlineStr">
        <is>
          <t>ALVESTA</t>
        </is>
      </c>
      <c r="I2359" t="n">
        <v>0.8</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3118-2025</t>
        </is>
      </c>
      <c r="B2360" t="inlineStr">
        <is>
          <t>avverkningsanmälan</t>
        </is>
      </c>
      <c r="C2360" t="inlineStr">
        <is>
          <t>Avverkning för annat ändamål</t>
        </is>
      </c>
      <c r="D2360" s="1" t="n">
        <v>45678</v>
      </c>
      <c r="E2360" s="1" t="n">
        <v>46316</v>
      </c>
      <c r="F2360" t="inlineStr">
        <is>
          <t>KRONOBERGS LÄN</t>
        </is>
      </c>
      <c r="G2360" t="inlineStr">
        <is>
          <t>ALVESTA</t>
        </is>
      </c>
      <c r="I2360" t="n">
        <v>0.5</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62241-2021</t>
        </is>
      </c>
      <c r="B2361" t="inlineStr">
        <is>
          <t>avverkningsanmälan</t>
        </is>
      </c>
      <c r="C2361" t="inlineStr">
        <is>
          <t>Föryngringsavverkning</t>
        </is>
      </c>
      <c r="D2361" s="1" t="n">
        <v>44503</v>
      </c>
      <c r="E2361" s="1" t="n">
        <v>46316</v>
      </c>
      <c r="F2361" t="inlineStr">
        <is>
          <t>KRONOBERGS LÄN</t>
        </is>
      </c>
      <c r="G2361" t="inlineStr">
        <is>
          <t>ÄLMHULT</t>
        </is>
      </c>
      <c r="I2361" t="n">
        <v>0.4</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64354-2023</t>
        </is>
      </c>
      <c r="B2362" t="inlineStr">
        <is>
          <t>avverkningsanmälan</t>
        </is>
      </c>
      <c r="C2362" t="inlineStr">
        <is>
          <t>Föryngringsavverkning</t>
        </is>
      </c>
      <c r="D2362" s="1" t="n">
        <v>45280</v>
      </c>
      <c r="E2362" s="1" t="n">
        <v>46316</v>
      </c>
      <c r="F2362" t="inlineStr">
        <is>
          <t>KRONOBERGS LÄN</t>
        </is>
      </c>
      <c r="G2362" t="inlineStr">
        <is>
          <t>LJUNGBY</t>
        </is>
      </c>
      <c r="I2362" t="n">
        <v>1.7</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9673-2024</t>
        </is>
      </c>
      <c r="B2363" t="inlineStr">
        <is>
          <t>avverkningsanmälan</t>
        </is>
      </c>
      <c r="C2363" t="inlineStr">
        <is>
          <t>Föryngringsavverkning</t>
        </is>
      </c>
      <c r="D2363" s="1" t="n">
        <v>45362</v>
      </c>
      <c r="E2363" s="1" t="n">
        <v>46316</v>
      </c>
      <c r="F2363" t="inlineStr">
        <is>
          <t>KRONOBERGS LÄN</t>
        </is>
      </c>
      <c r="G2363" t="inlineStr">
        <is>
          <t>ALVESTA</t>
        </is>
      </c>
      <c r="I2363" t="n">
        <v>0.6</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59857-2023</t>
        </is>
      </c>
      <c r="B2364" t="inlineStr">
        <is>
          <t>avverkningsanmälan</t>
        </is>
      </c>
      <c r="C2364" t="inlineStr">
        <is>
          <t>Föryngringsavverkning</t>
        </is>
      </c>
      <c r="D2364" s="1" t="n">
        <v>45257</v>
      </c>
      <c r="E2364" s="1" t="n">
        <v>46316</v>
      </c>
      <c r="F2364" t="inlineStr">
        <is>
          <t>KRONOBERGS LÄN</t>
        </is>
      </c>
      <c r="G2364" t="inlineStr">
        <is>
          <t>LJUNGBY</t>
        </is>
      </c>
      <c r="I2364" t="n">
        <v>1.1</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56918-2025</t>
        </is>
      </c>
      <c r="B2365" t="inlineStr">
        <is>
          <t>avverkningsanmälan</t>
        </is>
      </c>
      <c r="C2365" t="inlineStr">
        <is>
          <t>Föryngringsavverkning</t>
        </is>
      </c>
      <c r="D2365" s="1" t="n">
        <v>45978</v>
      </c>
      <c r="E2365" s="1" t="n">
        <v>46316</v>
      </c>
      <c r="F2365" t="inlineStr">
        <is>
          <t>KRONOBERGS LÄN</t>
        </is>
      </c>
      <c r="G2365" t="inlineStr">
        <is>
          <t>LJUNGBY</t>
        </is>
      </c>
      <c r="I2365" t="n">
        <v>2</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18777-2026</t>
        </is>
      </c>
      <c r="B2366" t="inlineStr">
        <is>
          <t>avverkningsanmälan</t>
        </is>
      </c>
      <c r="C2366" t="inlineStr">
        <is>
          <t>Föryngringsavverkning</t>
        </is>
      </c>
      <c r="D2366" s="1" t="n">
        <v>46128</v>
      </c>
      <c r="E2366" s="1" t="n">
        <v>46316</v>
      </c>
      <c r="F2366" t="inlineStr">
        <is>
          <t>KRONOBERGS LÄN</t>
        </is>
      </c>
      <c r="G2366" t="inlineStr">
        <is>
          <t>LJUNGBY</t>
        </is>
      </c>
      <c r="I2366" t="n">
        <v>1.1</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6020-2024</t>
        </is>
      </c>
      <c r="B2367" t="inlineStr">
        <is>
          <t>avverkningsanmälan</t>
        </is>
      </c>
      <c r="C2367" t="inlineStr">
        <is>
          <t>Föryngringsavverkning</t>
        </is>
      </c>
      <c r="D2367" s="1" t="n">
        <v>45336</v>
      </c>
      <c r="E2367" s="1" t="n">
        <v>46316</v>
      </c>
      <c r="F2367" t="inlineStr">
        <is>
          <t>KRONOBERGS LÄN</t>
        </is>
      </c>
      <c r="G2367" t="inlineStr">
        <is>
          <t>ALVESTA</t>
        </is>
      </c>
      <c r="I2367" t="n">
        <v>0.3</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56775-2025</t>
        </is>
      </c>
      <c r="B2368" t="inlineStr">
        <is>
          <t>avverkningsanmälan</t>
        </is>
      </c>
      <c r="C2368" t="inlineStr">
        <is>
          <t>Föryngringsavverkning</t>
        </is>
      </c>
      <c r="D2368" s="1" t="n">
        <v>45978</v>
      </c>
      <c r="E2368" s="1" t="n">
        <v>46316</v>
      </c>
      <c r="F2368" t="inlineStr">
        <is>
          <t>KRONOBERGS LÄN</t>
        </is>
      </c>
      <c r="G2368" t="inlineStr">
        <is>
          <t>ALVESTA</t>
        </is>
      </c>
      <c r="I2368" t="n">
        <v>3.2</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56793-2025</t>
        </is>
      </c>
      <c r="B2369" t="inlineStr">
        <is>
          <t>avverkningsanmälan</t>
        </is>
      </c>
      <c r="C2369" t="inlineStr">
        <is>
          <t>Föryngringsavverkning</t>
        </is>
      </c>
      <c r="D2369" s="1" t="n">
        <v>45978</v>
      </c>
      <c r="E2369" s="1" t="n">
        <v>46316</v>
      </c>
      <c r="F2369" t="inlineStr">
        <is>
          <t>KRONOBERGS LÄN</t>
        </is>
      </c>
      <c r="G2369" t="inlineStr">
        <is>
          <t>ALVESTA</t>
        </is>
      </c>
      <c r="I2369" t="n">
        <v>0.6</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57258-2025</t>
        </is>
      </c>
      <c r="B2370" t="inlineStr">
        <is>
          <t>avverkningsanmälan</t>
        </is>
      </c>
      <c r="C2370" t="inlineStr">
        <is>
          <t>Föryngringsavverkning</t>
        </is>
      </c>
      <c r="D2370" s="1" t="n">
        <v>45979</v>
      </c>
      <c r="E2370" s="1" t="n">
        <v>46316</v>
      </c>
      <c r="F2370" t="inlineStr">
        <is>
          <t>KRONOBERGS LÄN</t>
        </is>
      </c>
      <c r="G2370" t="inlineStr">
        <is>
          <t>TINGSRYD</t>
        </is>
      </c>
      <c r="I2370" t="n">
        <v>7.3</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32079-2023</t>
        </is>
      </c>
      <c r="B2371" t="inlineStr">
        <is>
          <t>avverkningsanmälan</t>
        </is>
      </c>
      <c r="C2371" t="inlineStr">
        <is>
          <t>Föryngringsavverkning</t>
        </is>
      </c>
      <c r="D2371" s="1" t="n">
        <v>45119</v>
      </c>
      <c r="E2371" s="1" t="n">
        <v>46316</v>
      </c>
      <c r="F2371" t="inlineStr">
        <is>
          <t>KRONOBERGS LÄN</t>
        </is>
      </c>
      <c r="G2371" t="inlineStr">
        <is>
          <t>LJUNGBY</t>
        </is>
      </c>
      <c r="I2371" t="n">
        <v>0.6</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64715-2023</t>
        </is>
      </c>
      <c r="B2372" t="inlineStr">
        <is>
          <t>avverkningsanmälan</t>
        </is>
      </c>
      <c r="C2372" t="inlineStr">
        <is>
          <t>Föryngringsavverkning</t>
        </is>
      </c>
      <c r="D2372" s="1" t="n">
        <v>45281</v>
      </c>
      <c r="E2372" s="1" t="n">
        <v>46316</v>
      </c>
      <c r="F2372" t="inlineStr">
        <is>
          <t>KRONOBERGS LÄN</t>
        </is>
      </c>
      <c r="G2372" t="inlineStr">
        <is>
          <t>VÄXJÖ</t>
        </is>
      </c>
      <c r="I2372" t="n">
        <v>1.4</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15252-2026</t>
        </is>
      </c>
      <c r="B2373" t="inlineStr">
        <is>
          <t>avverkningsanmälan</t>
        </is>
      </c>
      <c r="C2373" t="inlineStr">
        <is>
          <t>Avverkning för annat ändamål</t>
        </is>
      </c>
      <c r="D2373" s="1" t="n">
        <v>46105</v>
      </c>
      <c r="E2373" s="1" t="n">
        <v>46316</v>
      </c>
      <c r="F2373" t="inlineStr">
        <is>
          <t>KRONOBERGS LÄN</t>
        </is>
      </c>
      <c r="G2373" t="inlineStr">
        <is>
          <t>TINGSRYD</t>
        </is>
      </c>
      <c r="I2373" t="n">
        <v>2.8</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33617-2025</t>
        </is>
      </c>
      <c r="B2374" t="inlineStr">
        <is>
          <t>avverkningsanmälan</t>
        </is>
      </c>
      <c r="C2374" t="inlineStr">
        <is>
          <t>Föryngringsavverkning</t>
        </is>
      </c>
      <c r="D2374" s="1" t="n">
        <v>45841</v>
      </c>
      <c r="E2374" s="1" t="n">
        <v>46316</v>
      </c>
      <c r="F2374" t="inlineStr">
        <is>
          <t>KRONOBERGS LÄN</t>
        </is>
      </c>
      <c r="G2374" t="inlineStr">
        <is>
          <t>ALVESTA</t>
        </is>
      </c>
      <c r="I2374" t="n">
        <v>0.5</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53698-2023</t>
        </is>
      </c>
      <c r="B2375" t="inlineStr">
        <is>
          <t>avverkningsanmälan</t>
        </is>
      </c>
      <c r="C2375" t="inlineStr">
        <is>
          <t>Föryngringsavverkning</t>
        </is>
      </c>
      <c r="D2375" s="1" t="n">
        <v>45230</v>
      </c>
      <c r="E2375" s="1" t="n">
        <v>46316</v>
      </c>
      <c r="F2375" t="inlineStr">
        <is>
          <t>KRONOBERGS LÄN</t>
        </is>
      </c>
      <c r="G2375" t="inlineStr">
        <is>
          <t>UPPVIDINGE</t>
        </is>
      </c>
      <c r="H2375" t="inlineStr">
        <is>
          <t>Sveaskog</t>
        </is>
      </c>
      <c r="I2375" t="n">
        <v>0.4</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18702-2026</t>
        </is>
      </c>
      <c r="B2376" t="inlineStr">
        <is>
          <t>avverkningsanmälan</t>
        </is>
      </c>
      <c r="C2376" t="inlineStr">
        <is>
          <t>Föryngringsavverkning</t>
        </is>
      </c>
      <c r="D2376" s="1" t="n">
        <v>46128</v>
      </c>
      <c r="E2376" s="1" t="n">
        <v>46316</v>
      </c>
      <c r="F2376" t="inlineStr">
        <is>
          <t>KRONOBERGS LÄN</t>
        </is>
      </c>
      <c r="G2376" t="inlineStr">
        <is>
          <t>ÄLMHULT</t>
        </is>
      </c>
      <c r="I2376" t="n">
        <v>5.7</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63485-2023</t>
        </is>
      </c>
      <c r="B2377" t="inlineStr">
        <is>
          <t>avverkningsanmälan</t>
        </is>
      </c>
      <c r="C2377" t="inlineStr">
        <is>
          <t>Föryngringsavverkning</t>
        </is>
      </c>
      <c r="D2377" s="1" t="n">
        <v>45274</v>
      </c>
      <c r="E2377" s="1" t="n">
        <v>46316</v>
      </c>
      <c r="F2377" t="inlineStr">
        <is>
          <t>KRONOBERGS LÄN</t>
        </is>
      </c>
      <c r="G2377" t="inlineStr">
        <is>
          <t>VÄXJÖ</t>
        </is>
      </c>
      <c r="I2377" t="n">
        <v>2.8</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18939-2026</t>
        </is>
      </c>
      <c r="B2378" t="inlineStr">
        <is>
          <t>avverkningsanmälan</t>
        </is>
      </c>
      <c r="C2378" t="inlineStr">
        <is>
          <t>Avverkning för att bevara och utveckla /försöksver</t>
        </is>
      </c>
      <c r="D2378" s="1" t="n">
        <v>46129</v>
      </c>
      <c r="E2378" s="1" t="n">
        <v>46316</v>
      </c>
      <c r="F2378" t="inlineStr">
        <is>
          <t>KRONOBERGS LÄN</t>
        </is>
      </c>
      <c r="G2378" t="inlineStr">
        <is>
          <t>VÄXJÖ</t>
        </is>
      </c>
      <c r="I2378" t="n">
        <v>0.7</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57239-2025</t>
        </is>
      </c>
      <c r="B2379" t="inlineStr">
        <is>
          <t>avverkningsanmälan</t>
        </is>
      </c>
      <c r="C2379" t="inlineStr">
        <is>
          <t>Föryngringsavverkning</t>
        </is>
      </c>
      <c r="D2379" s="1" t="n">
        <v>45979</v>
      </c>
      <c r="E2379" s="1" t="n">
        <v>46316</v>
      </c>
      <c r="F2379" t="inlineStr">
        <is>
          <t>KRONOBERGS LÄN</t>
        </is>
      </c>
      <c r="G2379" t="inlineStr">
        <is>
          <t>VÄXJÖ</t>
        </is>
      </c>
      <c r="I2379" t="n">
        <v>2.8</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18464-2026</t>
        </is>
      </c>
      <c r="B2380" t="inlineStr">
        <is>
          <t>avverkningsanmälan</t>
        </is>
      </c>
      <c r="C2380" t="inlineStr">
        <is>
          <t>Föryngringsavverkning</t>
        </is>
      </c>
      <c r="D2380" s="1" t="n">
        <v>46127</v>
      </c>
      <c r="E2380" s="1" t="n">
        <v>46316</v>
      </c>
      <c r="F2380" t="inlineStr">
        <is>
          <t>KRONOBERGS LÄN</t>
        </is>
      </c>
      <c r="G2380" t="inlineStr">
        <is>
          <t>LESSEBO</t>
        </is>
      </c>
      <c r="H2380" t="inlineStr">
        <is>
          <t>Sveaskog</t>
        </is>
      </c>
      <c r="I2380" t="n">
        <v>14.2</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57281-2025</t>
        </is>
      </c>
      <c r="B2381" t="inlineStr">
        <is>
          <t>avverkningsanmälan</t>
        </is>
      </c>
      <c r="C2381" t="inlineStr">
        <is>
          <t>Föryngringsavverkning</t>
        </is>
      </c>
      <c r="D2381" s="1" t="n">
        <v>45979</v>
      </c>
      <c r="E2381" s="1" t="n">
        <v>46316</v>
      </c>
      <c r="F2381" t="inlineStr">
        <is>
          <t>KRONOBERGS LÄN</t>
        </is>
      </c>
      <c r="G2381" t="inlineStr">
        <is>
          <t>VÄXJÖ</t>
        </is>
      </c>
      <c r="I2381" t="n">
        <v>0.2</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57307-2025</t>
        </is>
      </c>
      <c r="B2382" t="inlineStr">
        <is>
          <t>avverkningsanmälan</t>
        </is>
      </c>
      <c r="C2382" t="inlineStr">
        <is>
          <t>Föryngringsavverkning</t>
        </is>
      </c>
      <c r="D2382" s="1" t="n">
        <v>45979</v>
      </c>
      <c r="E2382" s="1" t="n">
        <v>46316</v>
      </c>
      <c r="F2382" t="inlineStr">
        <is>
          <t>KRONOBERGS LÄN</t>
        </is>
      </c>
      <c r="G2382" t="inlineStr">
        <is>
          <t>ALVESTA</t>
        </is>
      </c>
      <c r="I2382" t="n">
        <v>2.5</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13148-2022</t>
        </is>
      </c>
      <c r="B2383" t="inlineStr">
        <is>
          <t>avverkningsanmälan</t>
        </is>
      </c>
      <c r="C2383" t="inlineStr">
        <is>
          <t>Föryngringsavverkning</t>
        </is>
      </c>
      <c r="D2383" s="1" t="n">
        <v>44644</v>
      </c>
      <c r="E2383" s="1" t="n">
        <v>46316</v>
      </c>
      <c r="F2383" t="inlineStr">
        <is>
          <t>KRONOBERGS LÄN</t>
        </is>
      </c>
      <c r="G2383" t="inlineStr">
        <is>
          <t>MARKARYD</t>
        </is>
      </c>
      <c r="I2383" t="n">
        <v>0.8</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33565-2025</t>
        </is>
      </c>
      <c r="B2384" t="inlineStr">
        <is>
          <t>avverkningsanmälan</t>
        </is>
      </c>
      <c r="C2384" t="inlineStr">
        <is>
          <t>Föryngringsavverkning</t>
        </is>
      </c>
      <c r="D2384" s="1" t="n">
        <v>45841</v>
      </c>
      <c r="E2384" s="1" t="n">
        <v>46316</v>
      </c>
      <c r="F2384" t="inlineStr">
        <is>
          <t>KRONOBERGS LÄN</t>
        </is>
      </c>
      <c r="G2384" t="inlineStr">
        <is>
          <t>TINGSRYD</t>
        </is>
      </c>
      <c r="I2384" t="n">
        <v>8.4</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18466-2026</t>
        </is>
      </c>
      <c r="B2385" t="inlineStr">
        <is>
          <t>avverkningsanmälan</t>
        </is>
      </c>
      <c r="C2385" t="inlineStr">
        <is>
          <t>Föryngringsavverkning</t>
        </is>
      </c>
      <c r="D2385" s="1" t="n">
        <v>46127</v>
      </c>
      <c r="E2385" s="1" t="n">
        <v>46316</v>
      </c>
      <c r="F2385" t="inlineStr">
        <is>
          <t>KRONOBERGS LÄN</t>
        </is>
      </c>
      <c r="G2385" t="inlineStr">
        <is>
          <t>LESSEBO</t>
        </is>
      </c>
      <c r="H2385" t="inlineStr">
        <is>
          <t>Sveaskog</t>
        </is>
      </c>
      <c r="I2385" t="n">
        <v>7.9</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61138-2024</t>
        </is>
      </c>
      <c r="B2386" t="inlineStr">
        <is>
          <t>avverkningsanmälan</t>
        </is>
      </c>
      <c r="C2386" t="inlineStr">
        <is>
          <t>Föryngringsavverkning</t>
        </is>
      </c>
      <c r="D2386" s="1" t="n">
        <v>45645</v>
      </c>
      <c r="E2386" s="1" t="n">
        <v>46316</v>
      </c>
      <c r="F2386" t="inlineStr">
        <is>
          <t>KRONOBERGS LÄN</t>
        </is>
      </c>
      <c r="G2386" t="inlineStr">
        <is>
          <t>LJUNGBY</t>
        </is>
      </c>
      <c r="I2386" t="n">
        <v>1.2</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3239-2025</t>
        </is>
      </c>
      <c r="B2387" t="inlineStr">
        <is>
          <t>avverkningsanmälan</t>
        </is>
      </c>
      <c r="C2387" t="inlineStr">
        <is>
          <t>Föryngringsavverkning</t>
        </is>
      </c>
      <c r="D2387" s="1" t="n">
        <v>45679</v>
      </c>
      <c r="E2387" s="1" t="n">
        <v>46316</v>
      </c>
      <c r="F2387" t="inlineStr">
        <is>
          <t>KRONOBERGS LÄN</t>
        </is>
      </c>
      <c r="G2387" t="inlineStr">
        <is>
          <t>LESSEBO</t>
        </is>
      </c>
      <c r="H2387" t="inlineStr">
        <is>
          <t>Kommuner</t>
        </is>
      </c>
      <c r="I2387" t="n">
        <v>2.5</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57805-2025</t>
        </is>
      </c>
      <c r="B2388" t="inlineStr">
        <is>
          <t>avverkningsanmälan</t>
        </is>
      </c>
      <c r="C2388" t="inlineStr">
        <is>
          <t>Föryngringsavverkning</t>
        </is>
      </c>
      <c r="D2388" s="1" t="n">
        <v>45981</v>
      </c>
      <c r="E2388" s="1" t="n">
        <v>46316</v>
      </c>
      <c r="F2388" t="inlineStr">
        <is>
          <t>KRONOBERGS LÄN</t>
        </is>
      </c>
      <c r="G2388" t="inlineStr">
        <is>
          <t>UPPVIDINGE</t>
        </is>
      </c>
      <c r="H2388" t="inlineStr">
        <is>
          <t>Sveaskog</t>
        </is>
      </c>
      <c r="I2388" t="n">
        <v>1.7</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53196-2024</t>
        </is>
      </c>
      <c r="B2389" t="inlineStr">
        <is>
          <t>avverkningsanmälan</t>
        </is>
      </c>
      <c r="C2389" t="inlineStr">
        <is>
          <t>Föryngringsavverkning</t>
        </is>
      </c>
      <c r="D2389" s="1" t="n">
        <v>45611</v>
      </c>
      <c r="E2389" s="1" t="n">
        <v>46316</v>
      </c>
      <c r="F2389" t="inlineStr">
        <is>
          <t>KRONOBERGS LÄN</t>
        </is>
      </c>
      <c r="G2389" t="inlineStr">
        <is>
          <t>VÄXJÖ</t>
        </is>
      </c>
      <c r="I2389" t="n">
        <v>0.6</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57633-2025</t>
        </is>
      </c>
      <c r="B2390" t="inlineStr">
        <is>
          <t>avverkningsanmälan</t>
        </is>
      </c>
      <c r="C2390" t="inlineStr">
        <is>
          <t>Föryngringsavverkning</t>
        </is>
      </c>
      <c r="D2390" s="1" t="n">
        <v>45981</v>
      </c>
      <c r="E2390" s="1" t="n">
        <v>46316</v>
      </c>
      <c r="F2390" t="inlineStr">
        <is>
          <t>KRONOBERGS LÄN</t>
        </is>
      </c>
      <c r="G2390" t="inlineStr">
        <is>
          <t>LJUNGBY</t>
        </is>
      </c>
      <c r="I2390" t="n">
        <v>1.2</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57632-2025</t>
        </is>
      </c>
      <c r="B2391" t="inlineStr">
        <is>
          <t>avverkningsanmälan</t>
        </is>
      </c>
      <c r="C2391" t="inlineStr">
        <is>
          <t>Föryngringsavverkning</t>
        </is>
      </c>
      <c r="D2391" s="1" t="n">
        <v>45981</v>
      </c>
      <c r="E2391" s="1" t="n">
        <v>46316</v>
      </c>
      <c r="F2391" t="inlineStr">
        <is>
          <t>KRONOBERGS LÄN</t>
        </is>
      </c>
      <c r="G2391" t="inlineStr">
        <is>
          <t>LJUNGBY</t>
        </is>
      </c>
      <c r="I2391" t="n">
        <v>1.3</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57514-2025</t>
        </is>
      </c>
      <c r="B2392" t="inlineStr">
        <is>
          <t>avverkningsanmälan</t>
        </is>
      </c>
      <c r="C2392" t="inlineStr">
        <is>
          <t>Föryngringsavverkning</t>
        </is>
      </c>
      <c r="D2392" s="1" t="n">
        <v>45980</v>
      </c>
      <c r="E2392" s="1" t="n">
        <v>46316</v>
      </c>
      <c r="F2392" t="inlineStr">
        <is>
          <t>KRONOBERGS LÄN</t>
        </is>
      </c>
      <c r="G2392" t="inlineStr">
        <is>
          <t>VÄXJÖ</t>
        </is>
      </c>
      <c r="I2392" t="n">
        <v>1.9</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19035-2026</t>
        </is>
      </c>
      <c r="B2393" t="inlineStr">
        <is>
          <t>avverkningsanmälan</t>
        </is>
      </c>
      <c r="C2393" t="inlineStr">
        <is>
          <t>Föryngringsavverkning</t>
        </is>
      </c>
      <c r="D2393" s="1" t="n">
        <v>46132</v>
      </c>
      <c r="E2393" s="1" t="n">
        <v>46316</v>
      </c>
      <c r="F2393" t="inlineStr">
        <is>
          <t>KRONOBERGS LÄN</t>
        </is>
      </c>
      <c r="G2393" t="inlineStr">
        <is>
          <t>ALVESTA</t>
        </is>
      </c>
      <c r="I2393" t="n">
        <v>1.6</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19199-2026</t>
        </is>
      </c>
      <c r="B2394" t="inlineStr">
        <is>
          <t>avverkningsanmälan</t>
        </is>
      </c>
      <c r="C2394" t="inlineStr">
        <is>
          <t>Föryngringsavverkning</t>
        </is>
      </c>
      <c r="D2394" s="1" t="n">
        <v>46132</v>
      </c>
      <c r="E2394" s="1" t="n">
        <v>46316</v>
      </c>
      <c r="F2394" t="inlineStr">
        <is>
          <t>KRONOBERGS LÄN</t>
        </is>
      </c>
      <c r="G2394" t="inlineStr">
        <is>
          <t>ALVESTA</t>
        </is>
      </c>
      <c r="I2394" t="n">
        <v>3.1</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56936-2022</t>
        </is>
      </c>
      <c r="B2395" t="inlineStr">
        <is>
          <t>avverkningsanmälan</t>
        </is>
      </c>
      <c r="C2395" t="inlineStr">
        <is>
          <t>Föryngringsavverkning</t>
        </is>
      </c>
      <c r="D2395" s="1" t="n">
        <v>44894</v>
      </c>
      <c r="E2395" s="1" t="n">
        <v>46316</v>
      </c>
      <c r="F2395" t="inlineStr">
        <is>
          <t>KRONOBERGS LÄN</t>
        </is>
      </c>
      <c r="G2395" t="inlineStr">
        <is>
          <t>LJUNGBY</t>
        </is>
      </c>
      <c r="I2395" t="n">
        <v>0.9</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33151-2025</t>
        </is>
      </c>
      <c r="B2396" t="inlineStr">
        <is>
          <t>avverkningsanmälan</t>
        </is>
      </c>
      <c r="C2396" t="inlineStr">
        <is>
          <t>Föryngringsavverkning</t>
        </is>
      </c>
      <c r="D2396" s="1" t="n">
        <v>45840</v>
      </c>
      <c r="E2396" s="1" t="n">
        <v>46316</v>
      </c>
      <c r="F2396" t="inlineStr">
        <is>
          <t>KRONOBERGS LÄN</t>
        </is>
      </c>
      <c r="G2396" t="inlineStr">
        <is>
          <t>LJUNGBY</t>
        </is>
      </c>
      <c r="I2396" t="n">
        <v>2</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683-2025</t>
        </is>
      </c>
      <c r="B2397" t="inlineStr">
        <is>
          <t>avverkningsanmälan</t>
        </is>
      </c>
      <c r="C2397" t="inlineStr">
        <is>
          <t>Föryngringsavverkning</t>
        </is>
      </c>
      <c r="D2397" s="1" t="n">
        <v>45664</v>
      </c>
      <c r="E2397" s="1" t="n">
        <v>46316</v>
      </c>
      <c r="F2397" t="inlineStr">
        <is>
          <t>KRONOBERGS LÄN</t>
        </is>
      </c>
      <c r="G2397" t="inlineStr">
        <is>
          <t>ALVESTA</t>
        </is>
      </c>
      <c r="I2397" t="n">
        <v>0.8</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4169-2023</t>
        </is>
      </c>
      <c r="B2398" t="inlineStr">
        <is>
          <t>avverkningsanmälan</t>
        </is>
      </c>
      <c r="C2398" t="inlineStr">
        <is>
          <t>Föryngringsavverkning</t>
        </is>
      </c>
      <c r="D2398" s="1" t="n">
        <v>44951</v>
      </c>
      <c r="E2398" s="1" t="n">
        <v>46316</v>
      </c>
      <c r="F2398" t="inlineStr">
        <is>
          <t>KRONOBERGS LÄN</t>
        </is>
      </c>
      <c r="G2398" t="inlineStr">
        <is>
          <t>UPPVIDINGE</t>
        </is>
      </c>
      <c r="I2398" t="n">
        <v>1</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52525-2023</t>
        </is>
      </c>
      <c r="B2399" t="inlineStr">
        <is>
          <t>avverkningsanmälan</t>
        </is>
      </c>
      <c r="C2399" t="inlineStr">
        <is>
          <t>Föryngringsavverkning</t>
        </is>
      </c>
      <c r="D2399" s="1" t="n">
        <v>45225</v>
      </c>
      <c r="E2399" s="1" t="n">
        <v>46316</v>
      </c>
      <c r="F2399" t="inlineStr">
        <is>
          <t>KRONOBERGS LÄN</t>
        </is>
      </c>
      <c r="G2399" t="inlineStr">
        <is>
          <t>LESSEBO</t>
        </is>
      </c>
      <c r="I2399" t="n">
        <v>2.8</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26858-2023</t>
        </is>
      </c>
      <c r="B2400" t="inlineStr">
        <is>
          <t>avverkningsanmälan</t>
        </is>
      </c>
      <c r="C2400" t="inlineStr">
        <is>
          <t>Föryngringsavverkning</t>
        </is>
      </c>
      <c r="D2400" s="1" t="n">
        <v>45093</v>
      </c>
      <c r="E2400" s="1" t="n">
        <v>46316</v>
      </c>
      <c r="F2400" t="inlineStr">
        <is>
          <t>KRONOBERGS LÄN</t>
        </is>
      </c>
      <c r="G2400" t="inlineStr">
        <is>
          <t>LJUNGBY</t>
        </is>
      </c>
      <c r="I2400" t="n">
        <v>0.5</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55454-2023</t>
        </is>
      </c>
      <c r="B2401" t="inlineStr">
        <is>
          <t>avverkningsanmälan</t>
        </is>
      </c>
      <c r="C2401" t="inlineStr">
        <is>
          <t>Föryngringsavverkning</t>
        </is>
      </c>
      <c r="D2401" s="1" t="n">
        <v>45238</v>
      </c>
      <c r="E2401" s="1" t="n">
        <v>46316</v>
      </c>
      <c r="F2401" t="inlineStr">
        <is>
          <t>KRONOBERGS LÄN</t>
        </is>
      </c>
      <c r="G2401" t="inlineStr">
        <is>
          <t>TINGSRYD</t>
        </is>
      </c>
      <c r="I2401" t="n">
        <v>0.7</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17527-2023</t>
        </is>
      </c>
      <c r="B2402" t="inlineStr">
        <is>
          <t>avverkningsanmälan</t>
        </is>
      </c>
      <c r="C2402" t="inlineStr">
        <is>
          <t>Föryngringsavverkning</t>
        </is>
      </c>
      <c r="D2402" s="1" t="n">
        <v>45036</v>
      </c>
      <c r="E2402" s="1" t="n">
        <v>46316</v>
      </c>
      <c r="F2402" t="inlineStr">
        <is>
          <t>KRONOBERGS LÄN</t>
        </is>
      </c>
      <c r="G2402" t="inlineStr">
        <is>
          <t>TINGSRYD</t>
        </is>
      </c>
      <c r="I2402" t="n">
        <v>2</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33059-2024</t>
        </is>
      </c>
      <c r="B2403" t="inlineStr">
        <is>
          <t>avverkningsanmälan</t>
        </is>
      </c>
      <c r="C2403" t="inlineStr">
        <is>
          <t>Föryngringsavverkning</t>
        </is>
      </c>
      <c r="D2403" s="1" t="n">
        <v>45517</v>
      </c>
      <c r="E2403" s="1" t="n">
        <v>46316</v>
      </c>
      <c r="F2403" t="inlineStr">
        <is>
          <t>KRONOBERGS LÄN</t>
        </is>
      </c>
      <c r="G2403" t="inlineStr">
        <is>
          <t>ALVESTA</t>
        </is>
      </c>
      <c r="H2403" t="inlineStr">
        <is>
          <t>Kyrkan</t>
        </is>
      </c>
      <c r="I2403" t="n">
        <v>0.9</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19070-2026</t>
        </is>
      </c>
      <c r="B2404" t="inlineStr">
        <is>
          <t>avverkningsanmälan</t>
        </is>
      </c>
      <c r="C2404" t="inlineStr">
        <is>
          <t>Föryngringsavverkning</t>
        </is>
      </c>
      <c r="D2404" s="1" t="n">
        <v>46132</v>
      </c>
      <c r="E2404" s="1" t="n">
        <v>46316</v>
      </c>
      <c r="F2404" t="inlineStr">
        <is>
          <t>KRONOBERGS LÄN</t>
        </is>
      </c>
      <c r="G2404" t="inlineStr">
        <is>
          <t>UPPVIDINGE</t>
        </is>
      </c>
      <c r="I2404" t="n">
        <v>2.3</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57800-2025</t>
        </is>
      </c>
      <c r="B2405" t="inlineStr">
        <is>
          <t>avverkningsanmälan</t>
        </is>
      </c>
      <c r="C2405" t="inlineStr">
        <is>
          <t>Föryngringsavverkning</t>
        </is>
      </c>
      <c r="D2405" s="1" t="n">
        <v>45981</v>
      </c>
      <c r="E2405" s="1" t="n">
        <v>46316</v>
      </c>
      <c r="F2405" t="inlineStr">
        <is>
          <t>KRONOBERGS LÄN</t>
        </is>
      </c>
      <c r="G2405" t="inlineStr">
        <is>
          <t>UPPVIDINGE</t>
        </is>
      </c>
      <c r="H2405" t="inlineStr">
        <is>
          <t>Sveaskog</t>
        </is>
      </c>
      <c r="I2405" t="n">
        <v>1</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57807-2025</t>
        </is>
      </c>
      <c r="B2406" t="inlineStr">
        <is>
          <t>avverkningsanmälan</t>
        </is>
      </c>
      <c r="C2406" t="inlineStr">
        <is>
          <t>Föryngringsavverkning</t>
        </is>
      </c>
      <c r="D2406" s="1" t="n">
        <v>45981</v>
      </c>
      <c r="E2406" s="1" t="n">
        <v>46316</v>
      </c>
      <c r="F2406" t="inlineStr">
        <is>
          <t>KRONOBERGS LÄN</t>
        </is>
      </c>
      <c r="G2406" t="inlineStr">
        <is>
          <t>UPPVIDINGE</t>
        </is>
      </c>
      <c r="H2406" t="inlineStr">
        <is>
          <t>Sveaskog</t>
        </is>
      </c>
      <c r="I2406" t="n">
        <v>0.8</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19052-2026</t>
        </is>
      </c>
      <c r="B2407" t="inlineStr">
        <is>
          <t>avverkningsanmälan</t>
        </is>
      </c>
      <c r="C2407" t="inlineStr">
        <is>
          <t>Avverkning för att bevara och utveckla /försöksver</t>
        </is>
      </c>
      <c r="D2407" s="1" t="n">
        <v>46132</v>
      </c>
      <c r="E2407" s="1" t="n">
        <v>46316</v>
      </c>
      <c r="F2407" t="inlineStr">
        <is>
          <t>KRONOBERGS LÄN</t>
        </is>
      </c>
      <c r="G2407" t="inlineStr">
        <is>
          <t>TINGSRYD</t>
        </is>
      </c>
      <c r="I2407" t="n">
        <v>2.7</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19601-2025</t>
        </is>
      </c>
      <c r="B2408" t="inlineStr">
        <is>
          <t>avverkningsanmälan</t>
        </is>
      </c>
      <c r="C2408" t="inlineStr">
        <is>
          <t>Föryngringsavverkning</t>
        </is>
      </c>
      <c r="D2408" s="1" t="n">
        <v>45770</v>
      </c>
      <c r="E2408" s="1" t="n">
        <v>46316</v>
      </c>
      <c r="F2408" t="inlineStr">
        <is>
          <t>KRONOBERGS LÄN</t>
        </is>
      </c>
      <c r="G2408" t="inlineStr">
        <is>
          <t>UPPVIDINGE</t>
        </is>
      </c>
      <c r="I2408" t="n">
        <v>10.7</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31272-2023</t>
        </is>
      </c>
      <c r="B2409" t="inlineStr">
        <is>
          <t>avverkningsanmälan</t>
        </is>
      </c>
      <c r="C2409" t="inlineStr">
        <is>
          <t>Föryngringsavverkning</t>
        </is>
      </c>
      <c r="D2409" s="1" t="n">
        <v>45114</v>
      </c>
      <c r="E2409" s="1" t="n">
        <v>46316</v>
      </c>
      <c r="F2409" t="inlineStr">
        <is>
          <t>KRONOBERGS LÄN</t>
        </is>
      </c>
      <c r="G2409" t="inlineStr">
        <is>
          <t>ALVESTA</t>
        </is>
      </c>
      <c r="I2409" t="n">
        <v>1.2</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19160-2026</t>
        </is>
      </c>
      <c r="B2410" t="inlineStr">
        <is>
          <t>avverkningsanmälan</t>
        </is>
      </c>
      <c r="C2410" t="inlineStr">
        <is>
          <t>Föryngringsavverkning</t>
        </is>
      </c>
      <c r="D2410" s="1" t="n">
        <v>46132</v>
      </c>
      <c r="E2410" s="1" t="n">
        <v>46316</v>
      </c>
      <c r="F2410" t="inlineStr">
        <is>
          <t>KRONOBERGS LÄN</t>
        </is>
      </c>
      <c r="G2410" t="inlineStr">
        <is>
          <t>UPPVIDINGE</t>
        </is>
      </c>
      <c r="I2410" t="n">
        <v>0.4</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57431-2025</t>
        </is>
      </c>
      <c r="B2411" t="inlineStr">
        <is>
          <t>avverkningsanmälan</t>
        </is>
      </c>
      <c r="C2411" t="inlineStr">
        <is>
          <t>Föryngringsavverkning</t>
        </is>
      </c>
      <c r="D2411" s="1" t="n">
        <v>45980</v>
      </c>
      <c r="E2411" s="1" t="n">
        <v>46316</v>
      </c>
      <c r="F2411" t="inlineStr">
        <is>
          <t>KRONOBERGS LÄN</t>
        </is>
      </c>
      <c r="G2411" t="inlineStr">
        <is>
          <t>LJUNGBY</t>
        </is>
      </c>
      <c r="I2411" t="n">
        <v>0.5</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60478-2023</t>
        </is>
      </c>
      <c r="B2412" t="inlineStr">
        <is>
          <t>avverkningsanmälan</t>
        </is>
      </c>
      <c r="C2412" t="inlineStr">
        <is>
          <t>Avverkning för annat ändamål</t>
        </is>
      </c>
      <c r="D2412" s="1" t="n">
        <v>45259</v>
      </c>
      <c r="E2412" s="1" t="n">
        <v>46316</v>
      </c>
      <c r="F2412" t="inlineStr">
        <is>
          <t>KRONOBERGS LÄN</t>
        </is>
      </c>
      <c r="G2412" t="inlineStr">
        <is>
          <t>ALVESTA</t>
        </is>
      </c>
      <c r="I2412" t="n">
        <v>0.5</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43959-2022</t>
        </is>
      </c>
      <c r="B2413" t="inlineStr">
        <is>
          <t>avverkningsanmälan</t>
        </is>
      </c>
      <c r="C2413" t="inlineStr">
        <is>
          <t>Föryngringsavverkning</t>
        </is>
      </c>
      <c r="D2413" s="1" t="n">
        <v>44838</v>
      </c>
      <c r="E2413" s="1" t="n">
        <v>46316</v>
      </c>
      <c r="F2413" t="inlineStr">
        <is>
          <t>KRONOBERGS LÄN</t>
        </is>
      </c>
      <c r="G2413" t="inlineStr">
        <is>
          <t>ALVESTA</t>
        </is>
      </c>
      <c r="I2413" t="n">
        <v>1.3</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49000-2024</t>
        </is>
      </c>
      <c r="B2414" t="inlineStr">
        <is>
          <t>avverkningsanmälan</t>
        </is>
      </c>
      <c r="C2414" t="inlineStr">
        <is>
          <t>Föryngringsavverkning</t>
        </is>
      </c>
      <c r="D2414" s="1" t="n">
        <v>45594</v>
      </c>
      <c r="E2414" s="1" t="n">
        <v>46316</v>
      </c>
      <c r="F2414" t="inlineStr">
        <is>
          <t>KRONOBERGS LÄN</t>
        </is>
      </c>
      <c r="G2414" t="inlineStr">
        <is>
          <t>VÄXJÖ</t>
        </is>
      </c>
      <c r="H2414" t="inlineStr">
        <is>
          <t>Sveaskog</t>
        </is>
      </c>
      <c r="I2414" t="n">
        <v>2.8</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19443-2026</t>
        </is>
      </c>
      <c r="B2415" t="inlineStr">
        <is>
          <t>avverkningsanmälan</t>
        </is>
      </c>
      <c r="C2415" t="inlineStr">
        <is>
          <t>Föryngringsavverkning</t>
        </is>
      </c>
      <c r="D2415" s="1" t="n">
        <v>46133</v>
      </c>
      <c r="E2415" s="1" t="n">
        <v>46316</v>
      </c>
      <c r="F2415" t="inlineStr">
        <is>
          <t>KRONOBERGS LÄN</t>
        </is>
      </c>
      <c r="G2415" t="inlineStr">
        <is>
          <t>MARKARYD</t>
        </is>
      </c>
      <c r="I2415" t="n">
        <v>3.3</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57450-2025</t>
        </is>
      </c>
      <c r="B2416" t="inlineStr">
        <is>
          <t>avverkningsanmälan</t>
        </is>
      </c>
      <c r="C2416" t="inlineStr">
        <is>
          <t>Föryngringsavverkning</t>
        </is>
      </c>
      <c r="D2416" s="1" t="n">
        <v>45980</v>
      </c>
      <c r="E2416" s="1" t="n">
        <v>46316</v>
      </c>
      <c r="F2416" t="inlineStr">
        <is>
          <t>KRONOBERGS LÄN</t>
        </is>
      </c>
      <c r="G2416" t="inlineStr">
        <is>
          <t>LJUNGBY</t>
        </is>
      </c>
      <c r="I2416" t="n">
        <v>0.6</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57440-2025</t>
        </is>
      </c>
      <c r="B2417" t="inlineStr">
        <is>
          <t>avverkningsanmälan</t>
        </is>
      </c>
      <c r="C2417" t="inlineStr">
        <is>
          <t>Föryngringsavverkning</t>
        </is>
      </c>
      <c r="D2417" s="1" t="n">
        <v>45980</v>
      </c>
      <c r="E2417" s="1" t="n">
        <v>46316</v>
      </c>
      <c r="F2417" t="inlineStr">
        <is>
          <t>KRONOBERGS LÄN</t>
        </is>
      </c>
      <c r="G2417" t="inlineStr">
        <is>
          <t>TINGSRYD</t>
        </is>
      </c>
      <c r="I2417" t="n">
        <v>1.1</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41055-2024</t>
        </is>
      </c>
      <c r="B2418" t="inlineStr">
        <is>
          <t>avverkningsanmälan</t>
        </is>
      </c>
      <c r="C2418" t="inlineStr">
        <is>
          <t>Föryngringsavverkning</t>
        </is>
      </c>
      <c r="D2418" s="1" t="n">
        <v>45559</v>
      </c>
      <c r="E2418" s="1" t="n">
        <v>46316</v>
      </c>
      <c r="F2418" t="inlineStr">
        <is>
          <t>KRONOBERGS LÄN</t>
        </is>
      </c>
      <c r="G2418" t="inlineStr">
        <is>
          <t>ÄLMHULT</t>
        </is>
      </c>
      <c r="I2418" t="n">
        <v>0.6</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61637-2024</t>
        </is>
      </c>
      <c r="B2419" t="inlineStr">
        <is>
          <t>avverkningsanmälan</t>
        </is>
      </c>
      <c r="C2419" t="inlineStr">
        <is>
          <t>Föryngringsavverkning</t>
        </is>
      </c>
      <c r="D2419" s="1" t="n">
        <v>45646</v>
      </c>
      <c r="E2419" s="1" t="n">
        <v>46316</v>
      </c>
      <c r="F2419" t="inlineStr">
        <is>
          <t>KRONOBERGS LÄN</t>
        </is>
      </c>
      <c r="G2419" t="inlineStr">
        <is>
          <t>LJUNGBY</t>
        </is>
      </c>
      <c r="I2419" t="n">
        <v>0.6</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58227-2024</t>
        </is>
      </c>
      <c r="B2420" t="inlineStr">
        <is>
          <t>avverkningsanmälan</t>
        </is>
      </c>
      <c r="C2420" t="inlineStr">
        <is>
          <t>Föryngringsavverkning</t>
        </is>
      </c>
      <c r="D2420" s="1" t="n">
        <v>45632</v>
      </c>
      <c r="E2420" s="1" t="n">
        <v>46316</v>
      </c>
      <c r="F2420" t="inlineStr">
        <is>
          <t>KRONOBERGS LÄN</t>
        </is>
      </c>
      <c r="G2420" t="inlineStr">
        <is>
          <t>LJUNGBY</t>
        </is>
      </c>
      <c r="I2420" t="n">
        <v>2.2</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33066-2025</t>
        </is>
      </c>
      <c r="B2421" t="inlineStr">
        <is>
          <t>avverkningsanmälan</t>
        </is>
      </c>
      <c r="C2421" t="inlineStr">
        <is>
          <t>Föryngringsavverkning</t>
        </is>
      </c>
      <c r="D2421" s="1" t="n">
        <v>45840</v>
      </c>
      <c r="E2421" s="1" t="n">
        <v>46316</v>
      </c>
      <c r="F2421" t="inlineStr">
        <is>
          <t>KRONOBERGS LÄN</t>
        </is>
      </c>
      <c r="G2421" t="inlineStr">
        <is>
          <t>VÄXJÖ</t>
        </is>
      </c>
      <c r="I2421" t="n">
        <v>3.2</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19036-2026</t>
        </is>
      </c>
      <c r="B2422" t="inlineStr">
        <is>
          <t>avverkningsanmälan</t>
        </is>
      </c>
      <c r="C2422" t="inlineStr">
        <is>
          <t>Föryngringsavverkning</t>
        </is>
      </c>
      <c r="D2422" s="1" t="n">
        <v>46132</v>
      </c>
      <c r="E2422" s="1" t="n">
        <v>46316</v>
      </c>
      <c r="F2422" t="inlineStr">
        <is>
          <t>KRONOBERGS LÄN</t>
        </is>
      </c>
      <c r="G2422" t="inlineStr">
        <is>
          <t>TINGSRYD</t>
        </is>
      </c>
      <c r="I2422" t="n">
        <v>1.2</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330-2024</t>
        </is>
      </c>
      <c r="B2423" t="inlineStr">
        <is>
          <t>avverkningsanmälan</t>
        </is>
      </c>
      <c r="C2423" t="inlineStr">
        <is>
          <t>Föryngringsavverkning</t>
        </is>
      </c>
      <c r="D2423" s="1" t="n">
        <v>45295</v>
      </c>
      <c r="E2423" s="1" t="n">
        <v>46316</v>
      </c>
      <c r="F2423" t="inlineStr">
        <is>
          <t>KRONOBERGS LÄN</t>
        </is>
      </c>
      <c r="G2423" t="inlineStr">
        <is>
          <t>UPPVIDINGE</t>
        </is>
      </c>
      <c r="H2423" t="inlineStr">
        <is>
          <t>Sveaskog</t>
        </is>
      </c>
      <c r="I2423" t="n">
        <v>3.2</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38812-2024</t>
        </is>
      </c>
      <c r="B2424" t="inlineStr">
        <is>
          <t>avverkningsanmälan</t>
        </is>
      </c>
      <c r="C2424" t="inlineStr">
        <is>
          <t>Föryngringsavverkning</t>
        </is>
      </c>
      <c r="D2424" s="1" t="n">
        <v>45547</v>
      </c>
      <c r="E2424" s="1" t="n">
        <v>46316</v>
      </c>
      <c r="F2424" t="inlineStr">
        <is>
          <t>KRONOBERGS LÄN</t>
        </is>
      </c>
      <c r="G2424" t="inlineStr">
        <is>
          <t>ÄLMHULT</t>
        </is>
      </c>
      <c r="I2424" t="n">
        <v>1.3</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38854-2024</t>
        </is>
      </c>
      <c r="B2425" t="inlineStr">
        <is>
          <t>avverkningsanmälan</t>
        </is>
      </c>
      <c r="C2425" t="inlineStr">
        <is>
          <t>Avverkning för annat ändamål</t>
        </is>
      </c>
      <c r="D2425" s="1" t="n">
        <v>45547</v>
      </c>
      <c r="E2425" s="1" t="n">
        <v>46316</v>
      </c>
      <c r="F2425" t="inlineStr">
        <is>
          <t>KRONOBERGS LÄN</t>
        </is>
      </c>
      <c r="G2425" t="inlineStr">
        <is>
          <t>UPPVIDINGE</t>
        </is>
      </c>
      <c r="I2425" t="n">
        <v>0.2</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38855-2024</t>
        </is>
      </c>
      <c r="B2426" t="inlineStr">
        <is>
          <t>avverkningsanmälan</t>
        </is>
      </c>
      <c r="C2426" t="inlineStr">
        <is>
          <t>Avverkning för annat ändamål</t>
        </is>
      </c>
      <c r="D2426" s="1" t="n">
        <v>45547</v>
      </c>
      <c r="E2426" s="1" t="n">
        <v>46316</v>
      </c>
      <c r="F2426" t="inlineStr">
        <is>
          <t>KRONOBERGS LÄN</t>
        </is>
      </c>
      <c r="G2426" t="inlineStr">
        <is>
          <t>UPPVIDINGE</t>
        </is>
      </c>
      <c r="I2426" t="n">
        <v>0.4</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57959-2025</t>
        </is>
      </c>
      <c r="B2427" t="inlineStr">
        <is>
          <t>avverkningsanmälan</t>
        </is>
      </c>
      <c r="C2427" t="inlineStr">
        <is>
          <t>Avverkning för annat ändamål</t>
        </is>
      </c>
      <c r="D2427" s="1" t="n">
        <v>45982</v>
      </c>
      <c r="E2427" s="1" t="n">
        <v>46316</v>
      </c>
      <c r="F2427" t="inlineStr">
        <is>
          <t>KRONOBERGS LÄN</t>
        </is>
      </c>
      <c r="G2427" t="inlineStr">
        <is>
          <t>TINGSRYD</t>
        </is>
      </c>
      <c r="I2427" t="n">
        <v>3</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33311-2025</t>
        </is>
      </c>
      <c r="B2428" t="inlineStr">
        <is>
          <t>avverkningsanmälan</t>
        </is>
      </c>
      <c r="C2428" t="inlineStr">
        <is>
          <t>Föryngringsavverkning</t>
        </is>
      </c>
      <c r="D2428" s="1" t="n">
        <v>45841</v>
      </c>
      <c r="E2428" s="1" t="n">
        <v>46316</v>
      </c>
      <c r="F2428" t="inlineStr">
        <is>
          <t>KRONOBERGS LÄN</t>
        </is>
      </c>
      <c r="G2428" t="inlineStr">
        <is>
          <t>ÄLMHULT</t>
        </is>
      </c>
      <c r="I2428" t="n">
        <v>0.6</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33152-2025</t>
        </is>
      </c>
      <c r="B2429" t="inlineStr">
        <is>
          <t>avverkningsanmälan</t>
        </is>
      </c>
      <c r="C2429" t="inlineStr">
        <is>
          <t>Föryngringsavverkning</t>
        </is>
      </c>
      <c r="D2429" s="1" t="n">
        <v>45840</v>
      </c>
      <c r="E2429" s="1" t="n">
        <v>46316</v>
      </c>
      <c r="F2429" t="inlineStr">
        <is>
          <t>KRONOBERGS LÄN</t>
        </is>
      </c>
      <c r="G2429" t="inlineStr">
        <is>
          <t>LJUNGBY</t>
        </is>
      </c>
      <c r="I2429" t="n">
        <v>0.8</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37902-2025</t>
        </is>
      </c>
      <c r="B2430" t="inlineStr">
        <is>
          <t>avverkningsanmälan</t>
        </is>
      </c>
      <c r="C2430" t="inlineStr">
        <is>
          <t>Föryngringsavverkning</t>
        </is>
      </c>
      <c r="D2430" s="1" t="n">
        <v>45881</v>
      </c>
      <c r="E2430" s="1" t="n">
        <v>46316</v>
      </c>
      <c r="F2430" t="inlineStr">
        <is>
          <t>KRONOBERGS LÄN</t>
        </is>
      </c>
      <c r="G2430" t="inlineStr">
        <is>
          <t>VÄXJÖ</t>
        </is>
      </c>
      <c r="I2430" t="n">
        <v>1.4</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58319-2025</t>
        </is>
      </c>
      <c r="B2431" t="inlineStr">
        <is>
          <t>avverkningsanmälan</t>
        </is>
      </c>
      <c r="C2431" t="inlineStr">
        <is>
          <t>Föryngringsavverkning</t>
        </is>
      </c>
      <c r="D2431" s="1" t="n">
        <v>45985</v>
      </c>
      <c r="E2431" s="1" t="n">
        <v>46316</v>
      </c>
      <c r="F2431" t="inlineStr">
        <is>
          <t>KRONOBERGS LÄN</t>
        </is>
      </c>
      <c r="G2431" t="inlineStr">
        <is>
          <t>LJUNGBY</t>
        </is>
      </c>
      <c r="I2431" t="n">
        <v>7.9</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32427-2024</t>
        </is>
      </c>
      <c r="B2432" t="inlineStr">
        <is>
          <t>avverkningsanmälan</t>
        </is>
      </c>
      <c r="C2432" t="inlineStr">
        <is>
          <t>Föryngringsavverkning</t>
        </is>
      </c>
      <c r="D2432" s="1" t="n">
        <v>45512</v>
      </c>
      <c r="E2432" s="1" t="n">
        <v>46316</v>
      </c>
      <c r="F2432" t="inlineStr">
        <is>
          <t>KRONOBERGS LÄN</t>
        </is>
      </c>
      <c r="G2432" t="inlineStr">
        <is>
          <t>MARKARYD</t>
        </is>
      </c>
      <c r="I2432" t="n">
        <v>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6495-2024</t>
        </is>
      </c>
      <c r="B2433" t="inlineStr">
        <is>
          <t>avverkningsanmälan</t>
        </is>
      </c>
      <c r="C2433" t="inlineStr">
        <is>
          <t>Föryngringsavverkning</t>
        </is>
      </c>
      <c r="D2433" s="1" t="n">
        <v>45339</v>
      </c>
      <c r="E2433" s="1" t="n">
        <v>46316</v>
      </c>
      <c r="F2433" t="inlineStr">
        <is>
          <t>KRONOBERGS LÄN</t>
        </is>
      </c>
      <c r="G2433" t="inlineStr">
        <is>
          <t>LJUNGBY</t>
        </is>
      </c>
      <c r="I2433" t="n">
        <v>0.4</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19581-2026</t>
        </is>
      </c>
      <c r="B2434" t="inlineStr">
        <is>
          <t>avverkningsanmälan</t>
        </is>
      </c>
      <c r="C2434" t="inlineStr">
        <is>
          <t>Föryngringsavverkning</t>
        </is>
      </c>
      <c r="D2434" s="1" t="n">
        <v>46134</v>
      </c>
      <c r="E2434" s="1" t="n">
        <v>46316</v>
      </c>
      <c r="F2434" t="inlineStr">
        <is>
          <t>KRONOBERGS LÄN</t>
        </is>
      </c>
      <c r="G2434" t="inlineStr">
        <is>
          <t>LJUNGBY</t>
        </is>
      </c>
      <c r="I2434" t="n">
        <v>0.5</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19585-2026</t>
        </is>
      </c>
      <c r="B2435" t="inlineStr">
        <is>
          <t>avverkningsanmälan</t>
        </is>
      </c>
      <c r="C2435" t="inlineStr">
        <is>
          <t>Föryngringsavverkning</t>
        </is>
      </c>
      <c r="D2435" s="1" t="n">
        <v>46134</v>
      </c>
      <c r="E2435" s="1" t="n">
        <v>46316</v>
      </c>
      <c r="F2435" t="inlineStr">
        <is>
          <t>KRONOBERGS LÄN</t>
        </is>
      </c>
      <c r="G2435" t="inlineStr">
        <is>
          <t>LJUNGBY</t>
        </is>
      </c>
      <c r="I2435" t="n">
        <v>0.6</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833-2024</t>
        </is>
      </c>
      <c r="B2436" t="inlineStr">
        <is>
          <t>avverkningsanmälan</t>
        </is>
      </c>
      <c r="C2436" t="inlineStr">
        <is>
          <t>Föryngringsavverkning</t>
        </is>
      </c>
      <c r="D2436" s="1" t="n">
        <v>45300</v>
      </c>
      <c r="E2436" s="1" t="n">
        <v>46316</v>
      </c>
      <c r="F2436" t="inlineStr">
        <is>
          <t>KRONOBERGS LÄN</t>
        </is>
      </c>
      <c r="G2436" t="inlineStr">
        <is>
          <t>ALVESTA</t>
        </is>
      </c>
      <c r="I2436" t="n">
        <v>2.7</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3307-2024</t>
        </is>
      </c>
      <c r="B2437" t="inlineStr">
        <is>
          <t>avverkningsanmälan</t>
        </is>
      </c>
      <c r="C2437" t="inlineStr">
        <is>
          <t>Föryngringsavverkning</t>
        </is>
      </c>
      <c r="D2437" s="1" t="n">
        <v>45317</v>
      </c>
      <c r="E2437" s="1" t="n">
        <v>46316</v>
      </c>
      <c r="F2437" t="inlineStr">
        <is>
          <t>KRONOBERGS LÄN</t>
        </is>
      </c>
      <c r="G2437" t="inlineStr">
        <is>
          <t>ÄLMHULT</t>
        </is>
      </c>
      <c r="I2437" t="n">
        <v>9.1</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25052-2024</t>
        </is>
      </c>
      <c r="B2438" t="inlineStr">
        <is>
          <t>avverkningsanmälan</t>
        </is>
      </c>
      <c r="C2438" t="inlineStr">
        <is>
          <t>Föryngringsavverkning</t>
        </is>
      </c>
      <c r="D2438" s="1" t="n">
        <v>45462</v>
      </c>
      <c r="E2438" s="1" t="n">
        <v>46316</v>
      </c>
      <c r="F2438" t="inlineStr">
        <is>
          <t>KRONOBERGS LÄN</t>
        </is>
      </c>
      <c r="G2438" t="inlineStr">
        <is>
          <t>TINGSRYD</t>
        </is>
      </c>
      <c r="I2438" t="n">
        <v>0.1</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20056-2025</t>
        </is>
      </c>
      <c r="B2439" t="inlineStr">
        <is>
          <t>avverkningsanmälan</t>
        </is>
      </c>
      <c r="C2439" t="inlineStr">
        <is>
          <t>Föryngringsavverkning</t>
        </is>
      </c>
      <c r="D2439" s="1" t="n">
        <v>45772</v>
      </c>
      <c r="E2439" s="1" t="n">
        <v>46316</v>
      </c>
      <c r="F2439" t="inlineStr">
        <is>
          <t>KRONOBERGS LÄN</t>
        </is>
      </c>
      <c r="G2439" t="inlineStr">
        <is>
          <t>LESSEBO</t>
        </is>
      </c>
      <c r="I2439" t="n">
        <v>0.7</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64685-2023</t>
        </is>
      </c>
      <c r="B2440" t="inlineStr">
        <is>
          <t>avverkningsanmälan</t>
        </is>
      </c>
      <c r="C2440" t="inlineStr">
        <is>
          <t>Föryngringsavverkning</t>
        </is>
      </c>
      <c r="D2440" s="1" t="n">
        <v>45281</v>
      </c>
      <c r="E2440" s="1" t="n">
        <v>46316</v>
      </c>
      <c r="F2440" t="inlineStr">
        <is>
          <t>KRONOBERGS LÄN</t>
        </is>
      </c>
      <c r="G2440" t="inlineStr">
        <is>
          <t>VÄXJÖ</t>
        </is>
      </c>
      <c r="I2440" t="n">
        <v>2.4</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4799-2025</t>
        </is>
      </c>
      <c r="B2441" t="inlineStr">
        <is>
          <t>avverkningsanmälan</t>
        </is>
      </c>
      <c r="C2441" t="inlineStr">
        <is>
          <t>Föryngringsavverkning</t>
        </is>
      </c>
      <c r="D2441" s="1" t="n">
        <v>45688</v>
      </c>
      <c r="E2441" s="1" t="n">
        <v>46316</v>
      </c>
      <c r="F2441" t="inlineStr">
        <is>
          <t>KRONOBERGS LÄN</t>
        </is>
      </c>
      <c r="G2441" t="inlineStr">
        <is>
          <t>UPPVIDINGE</t>
        </is>
      </c>
      <c r="H2441" t="inlineStr">
        <is>
          <t>Sveaskog</t>
        </is>
      </c>
      <c r="I2441" t="n">
        <v>6.8</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58247-2025</t>
        </is>
      </c>
      <c r="B2442" t="inlineStr">
        <is>
          <t>avverkningsanmälan</t>
        </is>
      </c>
      <c r="C2442" t="inlineStr">
        <is>
          <t>Föryngringsavverkning</t>
        </is>
      </c>
      <c r="D2442" s="1" t="n">
        <v>45985</v>
      </c>
      <c r="E2442" s="1" t="n">
        <v>46316</v>
      </c>
      <c r="F2442" t="inlineStr">
        <is>
          <t>KRONOBERGS LÄN</t>
        </is>
      </c>
      <c r="G2442" t="inlineStr">
        <is>
          <t>UPPVIDINGE</t>
        </is>
      </c>
      <c r="I2442" t="n">
        <v>1.4</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58472-2025</t>
        </is>
      </c>
      <c r="B2443" t="inlineStr">
        <is>
          <t>avverkningsanmälan</t>
        </is>
      </c>
      <c r="C2443" t="inlineStr">
        <is>
          <t>Föryngringsavverkning</t>
        </is>
      </c>
      <c r="D2443" s="1" t="n">
        <v>45985</v>
      </c>
      <c r="E2443" s="1" t="n">
        <v>46316</v>
      </c>
      <c r="F2443" t="inlineStr">
        <is>
          <t>KRONOBERGS LÄN</t>
        </is>
      </c>
      <c r="G2443" t="inlineStr">
        <is>
          <t>UPPVIDINGE</t>
        </is>
      </c>
      <c r="I2443" t="n">
        <v>2.7</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51191-2023</t>
        </is>
      </c>
      <c r="B2444" t="inlineStr">
        <is>
          <t>avverkningsanmälan</t>
        </is>
      </c>
      <c r="C2444" t="inlineStr">
        <is>
          <t>Föryngringsavverkning</t>
        </is>
      </c>
      <c r="D2444" s="1" t="n">
        <v>45219</v>
      </c>
      <c r="E2444" s="1" t="n">
        <v>46316</v>
      </c>
      <c r="F2444" t="inlineStr">
        <is>
          <t>KRONOBERGS LÄN</t>
        </is>
      </c>
      <c r="G2444" t="inlineStr">
        <is>
          <t>LESSEBO</t>
        </is>
      </c>
      <c r="I2444" t="n">
        <v>0.7</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51240-2023</t>
        </is>
      </c>
      <c r="B2445" t="inlineStr">
        <is>
          <t>avverkningsanmälan</t>
        </is>
      </c>
      <c r="C2445" t="inlineStr">
        <is>
          <t>Föryngringsavverkning</t>
        </is>
      </c>
      <c r="D2445" s="1" t="n">
        <v>45219</v>
      </c>
      <c r="E2445" s="1" t="n">
        <v>46316</v>
      </c>
      <c r="F2445" t="inlineStr">
        <is>
          <t>KRONOBERGS LÄN</t>
        </is>
      </c>
      <c r="G2445" t="inlineStr">
        <is>
          <t>MARKARYD</t>
        </is>
      </c>
      <c r="I2445" t="n">
        <v>1.8</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4761-2024</t>
        </is>
      </c>
      <c r="B2446" t="inlineStr">
        <is>
          <t>avverkningsanmälan</t>
        </is>
      </c>
      <c r="C2446" t="inlineStr">
        <is>
          <t>Avverkning för annat ändamål</t>
        </is>
      </c>
      <c r="D2446" s="1" t="n">
        <v>45328</v>
      </c>
      <c r="E2446" s="1" t="n">
        <v>46316</v>
      </c>
      <c r="F2446" t="inlineStr">
        <is>
          <t>KRONOBERGS LÄN</t>
        </is>
      </c>
      <c r="G2446" t="inlineStr">
        <is>
          <t>LJUNGBY</t>
        </is>
      </c>
      <c r="I2446" t="n">
        <v>51</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58245-2025</t>
        </is>
      </c>
      <c r="B2447" t="inlineStr">
        <is>
          <t>avverkningsanmälan</t>
        </is>
      </c>
      <c r="C2447" t="inlineStr">
        <is>
          <t>Föryngringsavverkning</t>
        </is>
      </c>
      <c r="D2447" s="1" t="n">
        <v>45985</v>
      </c>
      <c r="E2447" s="1" t="n">
        <v>46316</v>
      </c>
      <c r="F2447" t="inlineStr">
        <is>
          <t>KRONOBERGS LÄN</t>
        </is>
      </c>
      <c r="G2447" t="inlineStr">
        <is>
          <t>UPPVIDINGE</t>
        </is>
      </c>
      <c r="I2447" t="n">
        <v>1.6</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2310-2025</t>
        </is>
      </c>
      <c r="B2448" t="inlineStr">
        <is>
          <t>avverkningsanmälan</t>
        </is>
      </c>
      <c r="C2448" t="inlineStr">
        <is>
          <t>Föryngringsavverkning</t>
        </is>
      </c>
      <c r="D2448" s="1" t="n">
        <v>45673</v>
      </c>
      <c r="E2448" s="1" t="n">
        <v>46316</v>
      </c>
      <c r="F2448" t="inlineStr">
        <is>
          <t>KRONOBERGS LÄN</t>
        </is>
      </c>
      <c r="G2448" t="inlineStr">
        <is>
          <t>ALVESTA</t>
        </is>
      </c>
      <c r="I2448" t="n">
        <v>1.3</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33819-2025</t>
        </is>
      </c>
      <c r="B2449" t="inlineStr">
        <is>
          <t>avverkningsanmälan</t>
        </is>
      </c>
      <c r="C2449" t="inlineStr">
        <is>
          <t>Föryngringsavverkning</t>
        </is>
      </c>
      <c r="D2449" s="1" t="n">
        <v>45842</v>
      </c>
      <c r="E2449" s="1" t="n">
        <v>46316</v>
      </c>
      <c r="F2449" t="inlineStr">
        <is>
          <t>KRONOBERGS LÄN</t>
        </is>
      </c>
      <c r="G2449" t="inlineStr">
        <is>
          <t>MARKARYD</t>
        </is>
      </c>
      <c r="I2449" t="n">
        <v>1.5</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33858-2025</t>
        </is>
      </c>
      <c r="B2450" t="inlineStr">
        <is>
          <t>avverkningsanmälan</t>
        </is>
      </c>
      <c r="C2450" t="inlineStr">
        <is>
          <t>Föryngringsavverkning</t>
        </is>
      </c>
      <c r="D2450" s="1" t="n">
        <v>45842</v>
      </c>
      <c r="E2450" s="1" t="n">
        <v>46316</v>
      </c>
      <c r="F2450" t="inlineStr">
        <is>
          <t>KRONOBERGS LÄN</t>
        </is>
      </c>
      <c r="G2450" t="inlineStr">
        <is>
          <t>ÄLMHULT</t>
        </is>
      </c>
      <c r="I2450" t="n">
        <v>14.1</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23832-2023</t>
        </is>
      </c>
      <c r="B2451" t="inlineStr">
        <is>
          <t>avverkningsanmälan</t>
        </is>
      </c>
      <c r="C2451" t="inlineStr">
        <is>
          <t>Föryngringsavverkning</t>
        </is>
      </c>
      <c r="D2451" s="1" t="n">
        <v>45078</v>
      </c>
      <c r="E2451" s="1" t="n">
        <v>46316</v>
      </c>
      <c r="F2451" t="inlineStr">
        <is>
          <t>KRONOBERGS LÄN</t>
        </is>
      </c>
      <c r="G2451" t="inlineStr">
        <is>
          <t>ÄLMHULT</t>
        </is>
      </c>
      <c r="I2451" t="n">
        <v>0.4</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23833-2023</t>
        </is>
      </c>
      <c r="B2452" t="inlineStr">
        <is>
          <t>avverkningsanmälan</t>
        </is>
      </c>
      <c r="C2452" t="inlineStr">
        <is>
          <t>Föryngringsavverkning</t>
        </is>
      </c>
      <c r="D2452" s="1" t="n">
        <v>45078</v>
      </c>
      <c r="E2452" s="1" t="n">
        <v>46316</v>
      </c>
      <c r="F2452" t="inlineStr">
        <is>
          <t>KRONOBERGS LÄN</t>
        </is>
      </c>
      <c r="G2452" t="inlineStr">
        <is>
          <t>ÄLMHULT</t>
        </is>
      </c>
      <c r="I2452" t="n">
        <v>0.9</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26825-2023</t>
        </is>
      </c>
      <c r="B2453" t="inlineStr">
        <is>
          <t>avverkningsanmälan</t>
        </is>
      </c>
      <c r="C2453" t="inlineStr">
        <is>
          <t>Föryngringsavverkning</t>
        </is>
      </c>
      <c r="D2453" s="1" t="n">
        <v>45093</v>
      </c>
      <c r="E2453" s="1" t="n">
        <v>46316</v>
      </c>
      <c r="F2453" t="inlineStr">
        <is>
          <t>KRONOBERGS LÄN</t>
        </is>
      </c>
      <c r="G2453" t="inlineStr">
        <is>
          <t>UPPVIDINGE</t>
        </is>
      </c>
      <c r="I2453" t="n">
        <v>2.9</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47427-2023</t>
        </is>
      </c>
      <c r="B2454" t="inlineStr">
        <is>
          <t>avverkningsanmälan</t>
        </is>
      </c>
      <c r="C2454" t="inlineStr">
        <is>
          <t>Föryngringsavverkning</t>
        </is>
      </c>
      <c r="D2454" s="1" t="n">
        <v>45197</v>
      </c>
      <c r="E2454" s="1" t="n">
        <v>46316</v>
      </c>
      <c r="F2454" t="inlineStr">
        <is>
          <t>KRONOBERGS LÄN</t>
        </is>
      </c>
      <c r="G2454" t="inlineStr">
        <is>
          <t>LJUNGBY</t>
        </is>
      </c>
      <c r="I2454" t="n">
        <v>2</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28640-2023</t>
        </is>
      </c>
      <c r="B2455" t="inlineStr">
        <is>
          <t>avverkningsanmälan</t>
        </is>
      </c>
      <c r="C2455" t="inlineStr">
        <is>
          <t>Föryngringsavverkning</t>
        </is>
      </c>
      <c r="D2455" s="1" t="n">
        <v>45103</v>
      </c>
      <c r="E2455" s="1" t="n">
        <v>46316</v>
      </c>
      <c r="F2455" t="inlineStr">
        <is>
          <t>KRONOBERGS LÄN</t>
        </is>
      </c>
      <c r="G2455" t="inlineStr">
        <is>
          <t>TINGSRYD</t>
        </is>
      </c>
      <c r="I2455" t="n">
        <v>1</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21508-2025</t>
        </is>
      </c>
      <c r="B2456" t="inlineStr">
        <is>
          <t>avverkningsanmälan</t>
        </is>
      </c>
      <c r="C2456" t="inlineStr">
        <is>
          <t>Föryngringsavverkning</t>
        </is>
      </c>
      <c r="D2456" s="1" t="n">
        <v>45782</v>
      </c>
      <c r="E2456" s="1" t="n">
        <v>46316</v>
      </c>
      <c r="F2456" t="inlineStr">
        <is>
          <t>KRONOBERGS LÄN</t>
        </is>
      </c>
      <c r="G2456" t="inlineStr">
        <is>
          <t>TINGSRYD</t>
        </is>
      </c>
      <c r="I2456" t="n">
        <v>1.1</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19575-2026</t>
        </is>
      </c>
      <c r="B2457" t="inlineStr">
        <is>
          <t>avverkningsanmälan</t>
        </is>
      </c>
      <c r="C2457" t="inlineStr">
        <is>
          <t>Föryngringsavverkning</t>
        </is>
      </c>
      <c r="D2457" s="1" t="n">
        <v>46134</v>
      </c>
      <c r="E2457" s="1" t="n">
        <v>46316</v>
      </c>
      <c r="F2457" t="inlineStr">
        <is>
          <t>KRONOBERGS LÄN</t>
        </is>
      </c>
      <c r="G2457" t="inlineStr">
        <is>
          <t>LJUNGBY</t>
        </is>
      </c>
      <c r="I2457" t="n">
        <v>1.1</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19612-2026</t>
        </is>
      </c>
      <c r="B2458" t="inlineStr">
        <is>
          <t>avverkningsanmälan</t>
        </is>
      </c>
      <c r="C2458" t="inlineStr">
        <is>
          <t>Föryngringsavverkning</t>
        </is>
      </c>
      <c r="D2458" s="1" t="n">
        <v>46134</v>
      </c>
      <c r="E2458" s="1" t="n">
        <v>46316</v>
      </c>
      <c r="F2458" t="inlineStr">
        <is>
          <t>KRONOBERGS LÄN</t>
        </is>
      </c>
      <c r="G2458" t="inlineStr">
        <is>
          <t>TINGSRYD</t>
        </is>
      </c>
      <c r="I2458" t="n">
        <v>3</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59513-2023</t>
        </is>
      </c>
      <c r="B2459" t="inlineStr">
        <is>
          <t>avverkningsanmälan</t>
        </is>
      </c>
      <c r="C2459" t="inlineStr">
        <is>
          <t>Föryngringsavverkning</t>
        </is>
      </c>
      <c r="D2459" s="1" t="n">
        <v>45254</v>
      </c>
      <c r="E2459" s="1" t="n">
        <v>46316</v>
      </c>
      <c r="F2459" t="inlineStr">
        <is>
          <t>KRONOBERGS LÄN</t>
        </is>
      </c>
      <c r="G2459" t="inlineStr">
        <is>
          <t>ÄLMHULT</t>
        </is>
      </c>
      <c r="I2459" t="n">
        <v>0.7</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58606-2025</t>
        </is>
      </c>
      <c r="B2460" t="inlineStr">
        <is>
          <t>avverkningsanmälan</t>
        </is>
      </c>
      <c r="C2460" t="inlineStr">
        <is>
          <t>Föryngringsavverkning</t>
        </is>
      </c>
      <c r="D2460" s="1" t="n">
        <v>45986</v>
      </c>
      <c r="E2460" s="1" t="n">
        <v>46316</v>
      </c>
      <c r="F2460" t="inlineStr">
        <is>
          <t>KRONOBERGS LÄN</t>
        </is>
      </c>
      <c r="G2460" t="inlineStr">
        <is>
          <t>ALVESTA</t>
        </is>
      </c>
      <c r="I2460" t="n">
        <v>1.3</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32626-2025</t>
        </is>
      </c>
      <c r="B2461" t="inlineStr">
        <is>
          <t>avverkningsanmälan</t>
        </is>
      </c>
      <c r="C2461" t="inlineStr">
        <is>
          <t>Föryngringsavverkning</t>
        </is>
      </c>
      <c r="D2461" s="1" t="n">
        <v>45838</v>
      </c>
      <c r="E2461" s="1" t="n">
        <v>46316</v>
      </c>
      <c r="F2461" t="inlineStr">
        <is>
          <t>KRONOBERGS LÄN</t>
        </is>
      </c>
      <c r="G2461" t="inlineStr">
        <is>
          <t>ALVESTA</t>
        </is>
      </c>
      <c r="I2461" t="n">
        <v>2.6</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62361-2022</t>
        </is>
      </c>
      <c r="B2462" t="inlineStr">
        <is>
          <t>avverkningsanmälan</t>
        </is>
      </c>
      <c r="C2462" t="inlineStr">
        <is>
          <t>Föryngringsavverkning</t>
        </is>
      </c>
      <c r="D2462" s="1" t="n">
        <v>44923</v>
      </c>
      <c r="E2462" s="1" t="n">
        <v>46316</v>
      </c>
      <c r="F2462" t="inlineStr">
        <is>
          <t>KRONOBERGS LÄN</t>
        </is>
      </c>
      <c r="G2462" t="inlineStr">
        <is>
          <t>LJUNGBY</t>
        </is>
      </c>
      <c r="I2462" t="n">
        <v>0.9</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49965-2025</t>
        </is>
      </c>
      <c r="B2463" t="inlineStr">
        <is>
          <t>avverkningsanmälan</t>
        </is>
      </c>
      <c r="C2463" t="inlineStr">
        <is>
          <t>Föryngringsavverkning</t>
        </is>
      </c>
      <c r="D2463" s="1" t="n">
        <v>45941</v>
      </c>
      <c r="E2463" s="1" t="n">
        <v>46316</v>
      </c>
      <c r="F2463" t="inlineStr">
        <is>
          <t>KRONOBERGS LÄN</t>
        </is>
      </c>
      <c r="G2463" t="inlineStr">
        <is>
          <t>UPPVIDINGE</t>
        </is>
      </c>
      <c r="H2463" t="inlineStr">
        <is>
          <t>Sveaskog</t>
        </is>
      </c>
      <c r="I2463" t="n">
        <v>5.9</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56467-2024</t>
        </is>
      </c>
      <c r="B2464" t="inlineStr">
        <is>
          <t>avverkningsanmälan</t>
        </is>
      </c>
      <c r="C2464" t="inlineStr">
        <is>
          <t>Föryngringsavverkning</t>
        </is>
      </c>
      <c r="D2464" s="1" t="n">
        <v>45625</v>
      </c>
      <c r="E2464" s="1" t="n">
        <v>46316</v>
      </c>
      <c r="F2464" t="inlineStr">
        <is>
          <t>KRONOBERGS LÄN</t>
        </is>
      </c>
      <c r="G2464" t="inlineStr">
        <is>
          <t>LESSEBO</t>
        </is>
      </c>
      <c r="I2464" t="n">
        <v>1.4</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2890-2025</t>
        </is>
      </c>
      <c r="B2465" t="inlineStr">
        <is>
          <t>avverkningsanmälan</t>
        </is>
      </c>
      <c r="C2465" t="inlineStr">
        <is>
          <t>Föryngringsavverkning</t>
        </is>
      </c>
      <c r="D2465" s="1" t="n">
        <v>45677</v>
      </c>
      <c r="E2465" s="1" t="n">
        <v>46316</v>
      </c>
      <c r="F2465" t="inlineStr">
        <is>
          <t>KRONOBERGS LÄN</t>
        </is>
      </c>
      <c r="G2465" t="inlineStr">
        <is>
          <t>VÄXJÖ</t>
        </is>
      </c>
      <c r="I2465" t="n">
        <v>2.3</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33771-2025</t>
        </is>
      </c>
      <c r="B2466" t="inlineStr">
        <is>
          <t>avverkningsanmälan</t>
        </is>
      </c>
      <c r="C2466" t="inlineStr">
        <is>
          <t>Föryngringsavverkning</t>
        </is>
      </c>
      <c r="D2466" s="1" t="n">
        <v>45842</v>
      </c>
      <c r="E2466" s="1" t="n">
        <v>46316</v>
      </c>
      <c r="F2466" t="inlineStr">
        <is>
          <t>KRONOBERGS LÄN</t>
        </is>
      </c>
      <c r="G2466" t="inlineStr">
        <is>
          <t>ÄLMHULT</t>
        </is>
      </c>
      <c r="I2466" t="n">
        <v>0.5</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61820-2022</t>
        </is>
      </c>
      <c r="B2467" t="inlineStr">
        <is>
          <t>avverkningsanmälan</t>
        </is>
      </c>
      <c r="C2467" t="inlineStr">
        <is>
          <t>Föryngringsavverkning</t>
        </is>
      </c>
      <c r="D2467" s="1" t="n">
        <v>44917</v>
      </c>
      <c r="E2467" s="1" t="n">
        <v>46316</v>
      </c>
      <c r="F2467" t="inlineStr">
        <is>
          <t>KRONOBERGS LÄN</t>
        </is>
      </c>
      <c r="G2467" t="inlineStr">
        <is>
          <t>UPPVIDINGE</t>
        </is>
      </c>
      <c r="I2467" t="n">
        <v>1.3</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6695-2025</t>
        </is>
      </c>
      <c r="B2468" t="inlineStr">
        <is>
          <t>avverkningsanmälan</t>
        </is>
      </c>
      <c r="C2468" t="inlineStr">
        <is>
          <t>Föryngringsavverkning</t>
        </is>
      </c>
      <c r="D2468" s="1" t="n">
        <v>45700</v>
      </c>
      <c r="E2468" s="1" t="n">
        <v>46316</v>
      </c>
      <c r="F2468" t="inlineStr">
        <is>
          <t>KRONOBERGS LÄN</t>
        </is>
      </c>
      <c r="G2468" t="inlineStr">
        <is>
          <t>LJUNGBY</t>
        </is>
      </c>
      <c r="I2468" t="n">
        <v>0.5</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46589-2024</t>
        </is>
      </c>
      <c r="B2469" t="inlineStr">
        <is>
          <t>avverkningsanmälan</t>
        </is>
      </c>
      <c r="C2469" t="inlineStr">
        <is>
          <t>Föryngringsavverkning</t>
        </is>
      </c>
      <c r="D2469" s="1" t="n">
        <v>45582</v>
      </c>
      <c r="E2469" s="1" t="n">
        <v>46316</v>
      </c>
      <c r="F2469" t="inlineStr">
        <is>
          <t>KRONOBERGS LÄN</t>
        </is>
      </c>
      <c r="G2469" t="inlineStr">
        <is>
          <t>VÄXJÖ</t>
        </is>
      </c>
      <c r="I2469" t="n">
        <v>2.4</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58604-2025</t>
        </is>
      </c>
      <c r="B2470" t="inlineStr">
        <is>
          <t>avverkningsanmälan</t>
        </is>
      </c>
      <c r="C2470" t="inlineStr">
        <is>
          <t>Föryngringsavverkning</t>
        </is>
      </c>
      <c r="D2470" s="1" t="n">
        <v>45986</v>
      </c>
      <c r="E2470" s="1" t="n">
        <v>46316</v>
      </c>
      <c r="F2470" t="inlineStr">
        <is>
          <t>KRONOBERGS LÄN</t>
        </is>
      </c>
      <c r="G2470" t="inlineStr">
        <is>
          <t>ALVESTA</t>
        </is>
      </c>
      <c r="I2470" t="n">
        <v>1.9</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58883-2025</t>
        </is>
      </c>
      <c r="B2471" t="inlineStr">
        <is>
          <t>avverkningsanmälan</t>
        </is>
      </c>
      <c r="C2471" t="inlineStr">
        <is>
          <t>Föryngringsavverkning</t>
        </is>
      </c>
      <c r="D2471" s="1" t="n">
        <v>45986</v>
      </c>
      <c r="E2471" s="1" t="n">
        <v>46316</v>
      </c>
      <c r="F2471" t="inlineStr">
        <is>
          <t>KRONOBERGS LÄN</t>
        </is>
      </c>
      <c r="G2471" t="inlineStr">
        <is>
          <t>ÄLMHULT</t>
        </is>
      </c>
      <c r="H2471" t="inlineStr">
        <is>
          <t>Kyrkan</t>
        </is>
      </c>
      <c r="I2471" t="n">
        <v>0.6</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51214-2023</t>
        </is>
      </c>
      <c r="B2472" t="inlineStr">
        <is>
          <t>avverkningsanmälan</t>
        </is>
      </c>
      <c r="C2472" t="inlineStr">
        <is>
          <t>Föryngringsavverkning</t>
        </is>
      </c>
      <c r="D2472" s="1" t="n">
        <v>45219</v>
      </c>
      <c r="E2472" s="1" t="n">
        <v>46316</v>
      </c>
      <c r="F2472" t="inlineStr">
        <is>
          <t>KRONOBERGS LÄN</t>
        </is>
      </c>
      <c r="G2472" t="inlineStr">
        <is>
          <t>UPPVIDINGE</t>
        </is>
      </c>
      <c r="I2472" t="n">
        <v>1.2</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37374-2022</t>
        </is>
      </c>
      <c r="B2473" t="inlineStr">
        <is>
          <t>avverkningsanmälan</t>
        </is>
      </c>
      <c r="C2473" t="inlineStr">
        <is>
          <t>Föryngringsavverkning</t>
        </is>
      </c>
      <c r="D2473" s="1" t="n">
        <v>44809</v>
      </c>
      <c r="E2473" s="1" t="n">
        <v>46316</v>
      </c>
      <c r="F2473" t="inlineStr">
        <is>
          <t>KRONOBERGS LÄN</t>
        </is>
      </c>
      <c r="G2473" t="inlineStr">
        <is>
          <t>LJUNGBY</t>
        </is>
      </c>
      <c r="I2473" t="n">
        <v>3.9</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37374-2022</t>
        </is>
      </c>
      <c r="B2474" t="inlineStr">
        <is>
          <t>avverkningsanmälan</t>
        </is>
      </c>
      <c r="C2474" t="inlineStr">
        <is>
          <t>Föryngringsavverkning</t>
        </is>
      </c>
      <c r="D2474" s="1" t="n">
        <v>44809</v>
      </c>
      <c r="E2474" s="1" t="n">
        <v>46316</v>
      </c>
      <c r="F2474" t="inlineStr">
        <is>
          <t>KRONOBERGS LÄN</t>
        </is>
      </c>
      <c r="G2474" t="inlineStr">
        <is>
          <t>LJUNGBY</t>
        </is>
      </c>
      <c r="I2474" t="n">
        <v>3.9</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33754-2025</t>
        </is>
      </c>
      <c r="B2475" t="inlineStr">
        <is>
          <t>avverkningsanmälan</t>
        </is>
      </c>
      <c r="C2475" t="inlineStr">
        <is>
          <t>Föryngringsavverkning</t>
        </is>
      </c>
      <c r="D2475" s="1" t="n">
        <v>45842</v>
      </c>
      <c r="E2475" s="1" t="n">
        <v>46316</v>
      </c>
      <c r="F2475" t="inlineStr">
        <is>
          <t>KRONOBERGS LÄN</t>
        </is>
      </c>
      <c r="G2475" t="inlineStr">
        <is>
          <t>ÄLMHULT</t>
        </is>
      </c>
      <c r="I2475" t="n">
        <v>1.3</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2805-2025</t>
        </is>
      </c>
      <c r="B2476" t="inlineStr">
        <is>
          <t>avverkningsanmälan</t>
        </is>
      </c>
      <c r="C2476" t="inlineStr">
        <is>
          <t>Föryngringsavverkning</t>
        </is>
      </c>
      <c r="D2476" s="1" t="n">
        <v>45677</v>
      </c>
      <c r="E2476" s="1" t="n">
        <v>46316</v>
      </c>
      <c r="F2476" t="inlineStr">
        <is>
          <t>KRONOBERGS LÄN</t>
        </is>
      </c>
      <c r="G2476" t="inlineStr">
        <is>
          <t>TINGSRYD</t>
        </is>
      </c>
      <c r="H2476" t="inlineStr">
        <is>
          <t>Sveaskog</t>
        </is>
      </c>
      <c r="I2476" t="n">
        <v>3.1</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45689-2025</t>
        </is>
      </c>
      <c r="B2477" t="inlineStr">
        <is>
          <t>avverkningsanmälan</t>
        </is>
      </c>
      <c r="C2477" t="inlineStr">
        <is>
          <t>Föryngringsavverkning</t>
        </is>
      </c>
      <c r="D2477" s="1" t="n">
        <v>45923</v>
      </c>
      <c r="E2477" s="1" t="n">
        <v>46316</v>
      </c>
      <c r="F2477" t="inlineStr">
        <is>
          <t>KRONOBERGS LÄN</t>
        </is>
      </c>
      <c r="G2477" t="inlineStr">
        <is>
          <t>VÄXJÖ</t>
        </is>
      </c>
      <c r="I2477" t="n">
        <v>4.6</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49602-2024</t>
        </is>
      </c>
      <c r="B2478" t="inlineStr">
        <is>
          <t>avverkningsanmälan</t>
        </is>
      </c>
      <c r="C2478" t="inlineStr">
        <is>
          <t>Föryngringsavverkning</t>
        </is>
      </c>
      <c r="D2478" s="1" t="n">
        <v>45596</v>
      </c>
      <c r="E2478" s="1" t="n">
        <v>46316</v>
      </c>
      <c r="F2478" t="inlineStr">
        <is>
          <t>KRONOBERGS LÄN</t>
        </is>
      </c>
      <c r="G2478" t="inlineStr">
        <is>
          <t>ALVESTA</t>
        </is>
      </c>
      <c r="I2478" t="n">
        <v>1.7</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16590-2023</t>
        </is>
      </c>
      <c r="B2479" t="inlineStr">
        <is>
          <t>avverkningsanmälan</t>
        </is>
      </c>
      <c r="C2479" t="inlineStr">
        <is>
          <t>Föryngringsavverkning</t>
        </is>
      </c>
      <c r="D2479" s="1" t="n">
        <v>45030</v>
      </c>
      <c r="E2479" s="1" t="n">
        <v>46316</v>
      </c>
      <c r="F2479" t="inlineStr">
        <is>
          <t>KRONOBERGS LÄN</t>
        </is>
      </c>
      <c r="G2479" t="inlineStr">
        <is>
          <t>VÄXJÖ</t>
        </is>
      </c>
      <c r="I2479" t="n">
        <v>3.2</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35103-2024</t>
        </is>
      </c>
      <c r="B2480" t="inlineStr">
        <is>
          <t>avverkningsanmälan</t>
        </is>
      </c>
      <c r="C2480" t="inlineStr">
        <is>
          <t>Föryngringsavverkning</t>
        </is>
      </c>
      <c r="D2480" s="1" t="n">
        <v>45529</v>
      </c>
      <c r="E2480" s="1" t="n">
        <v>46316</v>
      </c>
      <c r="F2480" t="inlineStr">
        <is>
          <t>KRONOBERGS LÄN</t>
        </is>
      </c>
      <c r="G2480" t="inlineStr">
        <is>
          <t>ÄLMHULT</t>
        </is>
      </c>
      <c r="I2480" t="n">
        <v>1.3</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59170-2025</t>
        </is>
      </c>
      <c r="B2481" t="inlineStr">
        <is>
          <t>avverkningsanmälan</t>
        </is>
      </c>
      <c r="C2481" t="inlineStr">
        <is>
          <t>Föryngringsavverkning</t>
        </is>
      </c>
      <c r="D2481" s="1" t="n">
        <v>45988</v>
      </c>
      <c r="E2481" s="1" t="n">
        <v>46316</v>
      </c>
      <c r="F2481" t="inlineStr">
        <is>
          <t>KRONOBERGS LÄN</t>
        </is>
      </c>
      <c r="G2481" t="inlineStr">
        <is>
          <t>LJUNGBY</t>
        </is>
      </c>
      <c r="I2481" t="n">
        <v>3.7</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41833-2025</t>
        </is>
      </c>
      <c r="B2482" t="inlineStr">
        <is>
          <t>avverkningsanmälan</t>
        </is>
      </c>
      <c r="C2482" t="inlineStr">
        <is>
          <t>Föryngringsavverkning</t>
        </is>
      </c>
      <c r="D2482" s="1" t="n">
        <v>45902</v>
      </c>
      <c r="E2482" s="1" t="n">
        <v>46316</v>
      </c>
      <c r="F2482" t="inlineStr">
        <is>
          <t>KRONOBERGS LÄN</t>
        </is>
      </c>
      <c r="G2482" t="inlineStr">
        <is>
          <t>TINGSRYD</t>
        </is>
      </c>
      <c r="I2482" t="n">
        <v>3.2</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59584-2025</t>
        </is>
      </c>
      <c r="B2483" t="inlineStr">
        <is>
          <t>avverkningsanmälan</t>
        </is>
      </c>
      <c r="C2483" t="inlineStr">
        <is>
          <t>Föryngringsavverkning</t>
        </is>
      </c>
      <c r="D2483" s="1" t="n">
        <v>45992</v>
      </c>
      <c r="E2483" s="1" t="n">
        <v>46316</v>
      </c>
      <c r="F2483" t="inlineStr">
        <is>
          <t>KRONOBERGS LÄN</t>
        </is>
      </c>
      <c r="G2483" t="inlineStr">
        <is>
          <t>TINGSRYD</t>
        </is>
      </c>
      <c r="I2483" t="n">
        <v>3.5</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49739-2024</t>
        </is>
      </c>
      <c r="B2484" t="inlineStr">
        <is>
          <t>avverkningsanmälan</t>
        </is>
      </c>
      <c r="C2484" t="inlineStr">
        <is>
          <t>Föryngringsavverkning</t>
        </is>
      </c>
      <c r="D2484" s="1" t="n">
        <v>45596</v>
      </c>
      <c r="E2484" s="1" t="n">
        <v>46316</v>
      </c>
      <c r="F2484" t="inlineStr">
        <is>
          <t>KRONOBERGS LÄN</t>
        </is>
      </c>
      <c r="G2484" t="inlineStr">
        <is>
          <t>TINGSRYD</t>
        </is>
      </c>
      <c r="I2484" t="n">
        <v>1.9</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59395-2025</t>
        </is>
      </c>
      <c r="B2485" t="inlineStr">
        <is>
          <t>avverkningsanmälan</t>
        </is>
      </c>
      <c r="C2485" t="inlineStr">
        <is>
          <t>Föryngringsavverkning</t>
        </is>
      </c>
      <c r="D2485" s="1" t="n">
        <v>45989</v>
      </c>
      <c r="E2485" s="1" t="n">
        <v>46316</v>
      </c>
      <c r="F2485" t="inlineStr">
        <is>
          <t>KRONOBERGS LÄN</t>
        </is>
      </c>
      <c r="G2485" t="inlineStr">
        <is>
          <t>UPPVIDINGE</t>
        </is>
      </c>
      <c r="I2485" t="n">
        <v>3</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49966-2025</t>
        </is>
      </c>
      <c r="B2486" t="inlineStr">
        <is>
          <t>avverkningsanmälan</t>
        </is>
      </c>
      <c r="C2486" t="inlineStr">
        <is>
          <t>Föryngringsavverkning</t>
        </is>
      </c>
      <c r="D2486" s="1" t="n">
        <v>45941</v>
      </c>
      <c r="E2486" s="1" t="n">
        <v>46316</v>
      </c>
      <c r="F2486" t="inlineStr">
        <is>
          <t>KRONOBERGS LÄN</t>
        </is>
      </c>
      <c r="G2486" t="inlineStr">
        <is>
          <t>UPPVIDINGE</t>
        </is>
      </c>
      <c r="H2486" t="inlineStr">
        <is>
          <t>Sveaskog</t>
        </is>
      </c>
      <c r="I2486" t="n">
        <v>1.1</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10734-2025</t>
        </is>
      </c>
      <c r="B2487" t="inlineStr">
        <is>
          <t>avverkningsanmälan</t>
        </is>
      </c>
      <c r="C2487" t="inlineStr">
        <is>
          <t>Föryngringsavverkning</t>
        </is>
      </c>
      <c r="D2487" s="1" t="n">
        <v>45722</v>
      </c>
      <c r="E2487" s="1" t="n">
        <v>46316</v>
      </c>
      <c r="F2487" t="inlineStr">
        <is>
          <t>KRONOBERGS LÄN</t>
        </is>
      </c>
      <c r="G2487" t="inlineStr">
        <is>
          <t>TINGSRYD</t>
        </is>
      </c>
      <c r="I2487" t="n">
        <v>0.7</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49068-2023</t>
        </is>
      </c>
      <c r="B2488" t="inlineStr">
        <is>
          <t>avverkningsanmälan</t>
        </is>
      </c>
      <c r="C2488" t="inlineStr">
        <is>
          <t>Föryngringsavverkning</t>
        </is>
      </c>
      <c r="D2488" s="1" t="n">
        <v>45210</v>
      </c>
      <c r="E2488" s="1" t="n">
        <v>46316</v>
      </c>
      <c r="F2488" t="inlineStr">
        <is>
          <t>KRONOBERGS LÄN</t>
        </is>
      </c>
      <c r="G2488" t="inlineStr">
        <is>
          <t>VÄXJÖ</t>
        </is>
      </c>
      <c r="I2488" t="n">
        <v>1.8</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49071-2023</t>
        </is>
      </c>
      <c r="B2489" t="inlineStr">
        <is>
          <t>avverkningsanmälan</t>
        </is>
      </c>
      <c r="C2489" t="inlineStr">
        <is>
          <t>Föryngringsavverkning</t>
        </is>
      </c>
      <c r="D2489" s="1" t="n">
        <v>45210</v>
      </c>
      <c r="E2489" s="1" t="n">
        <v>46316</v>
      </c>
      <c r="F2489" t="inlineStr">
        <is>
          <t>KRONOBERGS LÄN</t>
        </is>
      </c>
      <c r="G2489" t="inlineStr">
        <is>
          <t>TINGSRYD</t>
        </is>
      </c>
      <c r="I2489" t="n">
        <v>1.4</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1060-2023</t>
        </is>
      </c>
      <c r="B2490" t="inlineStr">
        <is>
          <t>avverkningsanmälan</t>
        </is>
      </c>
      <c r="C2490" t="inlineStr">
        <is>
          <t>Föryngringsavverkning</t>
        </is>
      </c>
      <c r="D2490" s="1" t="n">
        <v>44935</v>
      </c>
      <c r="E2490" s="1" t="n">
        <v>46316</v>
      </c>
      <c r="F2490" t="inlineStr">
        <is>
          <t>KRONOBERGS LÄN</t>
        </is>
      </c>
      <c r="G2490" t="inlineStr">
        <is>
          <t>ALVESTA</t>
        </is>
      </c>
      <c r="I2490" t="n">
        <v>2.9</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37661-2025</t>
        </is>
      </c>
      <c r="B2491" t="inlineStr">
        <is>
          <t>avverkningsanmälan</t>
        </is>
      </c>
      <c r="C2491" t="inlineStr">
        <is>
          <t>Föryngringsavverkning</t>
        </is>
      </c>
      <c r="D2491" s="1" t="n">
        <v>45880</v>
      </c>
      <c r="E2491" s="1" t="n">
        <v>46316</v>
      </c>
      <c r="F2491" t="inlineStr">
        <is>
          <t>KRONOBERGS LÄN</t>
        </is>
      </c>
      <c r="G2491" t="inlineStr">
        <is>
          <t>LJUNGBY</t>
        </is>
      </c>
      <c r="I2491" t="n">
        <v>5.6</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59225-2025</t>
        </is>
      </c>
      <c r="B2492" t="inlineStr">
        <is>
          <t>avverkningsanmälan</t>
        </is>
      </c>
      <c r="C2492" t="inlineStr">
        <is>
          <t>Föryngringsavverkning</t>
        </is>
      </c>
      <c r="D2492" s="1" t="n">
        <v>45988</v>
      </c>
      <c r="E2492" s="1" t="n">
        <v>46316</v>
      </c>
      <c r="F2492" t="inlineStr">
        <is>
          <t>KRONOBERGS LÄN</t>
        </is>
      </c>
      <c r="G2492" t="inlineStr">
        <is>
          <t>ALVESTA</t>
        </is>
      </c>
      <c r="I2492" t="n">
        <v>1.1</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28965-2025</t>
        </is>
      </c>
      <c r="B2493" t="inlineStr">
        <is>
          <t>avverkningsanmälan</t>
        </is>
      </c>
      <c r="C2493" t="inlineStr">
        <is>
          <t>Föryngringsavverkning</t>
        </is>
      </c>
      <c r="D2493" s="1" t="n">
        <v>45821</v>
      </c>
      <c r="E2493" s="1" t="n">
        <v>46316</v>
      </c>
      <c r="F2493" t="inlineStr">
        <is>
          <t>KRONOBERGS LÄN</t>
        </is>
      </c>
      <c r="G2493" t="inlineStr">
        <is>
          <t>TINGSRYD</t>
        </is>
      </c>
      <c r="I2493" t="n">
        <v>8.9</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29331-2025</t>
        </is>
      </c>
      <c r="B2494" t="inlineStr">
        <is>
          <t>avverkningsanmälan</t>
        </is>
      </c>
      <c r="C2494" t="inlineStr">
        <is>
          <t>Föryngringsavverkning</t>
        </is>
      </c>
      <c r="D2494" s="1" t="n">
        <v>45824</v>
      </c>
      <c r="E2494" s="1" t="n">
        <v>46316</v>
      </c>
      <c r="F2494" t="inlineStr">
        <is>
          <t>KRONOBERGS LÄN</t>
        </is>
      </c>
      <c r="G2494" t="inlineStr">
        <is>
          <t>UPPVIDINGE</t>
        </is>
      </c>
      <c r="I2494" t="n">
        <v>2.2</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42381-2024</t>
        </is>
      </c>
      <c r="B2495" t="inlineStr">
        <is>
          <t>avverkningsanmälan</t>
        </is>
      </c>
      <c r="C2495" t="inlineStr">
        <is>
          <t>Föryngringsavverkning</t>
        </is>
      </c>
      <c r="D2495" s="1" t="n">
        <v>45564</v>
      </c>
      <c r="E2495" s="1" t="n">
        <v>46316</v>
      </c>
      <c r="F2495" t="inlineStr">
        <is>
          <t>KRONOBERGS LÄN</t>
        </is>
      </c>
      <c r="G2495" t="inlineStr">
        <is>
          <t>MARKARYD</t>
        </is>
      </c>
      <c r="I2495" t="n">
        <v>3.1</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19213-2024</t>
        </is>
      </c>
      <c r="B2496" t="inlineStr">
        <is>
          <t>avverkningsanmälan</t>
        </is>
      </c>
      <c r="C2496" t="inlineStr">
        <is>
          <t>Föryngringsavverkning</t>
        </is>
      </c>
      <c r="D2496" s="1" t="n">
        <v>45428</v>
      </c>
      <c r="E2496" s="1" t="n">
        <v>46316</v>
      </c>
      <c r="F2496" t="inlineStr">
        <is>
          <t>KRONOBERGS LÄN</t>
        </is>
      </c>
      <c r="G2496" t="inlineStr">
        <is>
          <t>UPPVIDINGE</t>
        </is>
      </c>
      <c r="I2496" t="n">
        <v>0.8</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19214-2024</t>
        </is>
      </c>
      <c r="B2497" t="inlineStr">
        <is>
          <t>avverkningsanmälan</t>
        </is>
      </c>
      <c r="C2497" t="inlineStr">
        <is>
          <t>Föryngringsavverkning</t>
        </is>
      </c>
      <c r="D2497" s="1" t="n">
        <v>45428</v>
      </c>
      <c r="E2497" s="1" t="n">
        <v>46316</v>
      </c>
      <c r="F2497" t="inlineStr">
        <is>
          <t>KRONOBERGS LÄN</t>
        </is>
      </c>
      <c r="G2497" t="inlineStr">
        <is>
          <t>UPPVIDINGE</t>
        </is>
      </c>
      <c r="I2497" t="n">
        <v>0.8</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36783-2025</t>
        </is>
      </c>
      <c r="B2498" t="inlineStr">
        <is>
          <t>avverkningsanmälan</t>
        </is>
      </c>
      <c r="C2498" t="inlineStr">
        <is>
          <t>Föryngringsavverkning</t>
        </is>
      </c>
      <c r="D2498" s="1" t="n">
        <v>45873</v>
      </c>
      <c r="E2498" s="1" t="n">
        <v>46316</v>
      </c>
      <c r="F2498" t="inlineStr">
        <is>
          <t>KRONOBERGS LÄN</t>
        </is>
      </c>
      <c r="G2498" t="inlineStr">
        <is>
          <t>TINGSRYD</t>
        </is>
      </c>
      <c r="I2498" t="n">
        <v>1.4</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19252-2024</t>
        </is>
      </c>
      <c r="B2499" t="inlineStr">
        <is>
          <t>avverkningsanmälan</t>
        </is>
      </c>
      <c r="C2499" t="inlineStr">
        <is>
          <t>Föryngringsavverkning</t>
        </is>
      </c>
      <c r="D2499" s="1" t="n">
        <v>45428</v>
      </c>
      <c r="E2499" s="1" t="n">
        <v>46316</v>
      </c>
      <c r="F2499" t="inlineStr">
        <is>
          <t>KRONOBERGS LÄN</t>
        </is>
      </c>
      <c r="G2499" t="inlineStr">
        <is>
          <t>UPPVIDINGE</t>
        </is>
      </c>
      <c r="I2499" t="n">
        <v>0.9</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37375-2024</t>
        </is>
      </c>
      <c r="B2500" t="inlineStr">
        <is>
          <t>avverkningsanmälan</t>
        </is>
      </c>
      <c r="C2500" t="inlineStr">
        <is>
          <t>Föryngringsavverkning</t>
        </is>
      </c>
      <c r="D2500" s="1" t="n">
        <v>45540</v>
      </c>
      <c r="E2500" s="1" t="n">
        <v>46316</v>
      </c>
      <c r="F2500" t="inlineStr">
        <is>
          <t>KRONOBERGS LÄN</t>
        </is>
      </c>
      <c r="G2500" t="inlineStr">
        <is>
          <t>VÄXJÖ</t>
        </is>
      </c>
      <c r="I2500" t="n">
        <v>2</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36895-2025</t>
        </is>
      </c>
      <c r="B2501" t="inlineStr">
        <is>
          <t>avverkningsanmälan</t>
        </is>
      </c>
      <c r="C2501" t="inlineStr">
        <is>
          <t>Föryngringsavverkning</t>
        </is>
      </c>
      <c r="D2501" s="1" t="n">
        <v>45874</v>
      </c>
      <c r="E2501" s="1" t="n">
        <v>46316</v>
      </c>
      <c r="F2501" t="inlineStr">
        <is>
          <t>KRONOBERGS LÄN</t>
        </is>
      </c>
      <c r="G2501" t="inlineStr">
        <is>
          <t>LESSEBO</t>
        </is>
      </c>
      <c r="I2501" t="n">
        <v>1</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9767-2025</t>
        </is>
      </c>
      <c r="B2502" t="inlineStr">
        <is>
          <t>avverkningsanmälan</t>
        </is>
      </c>
      <c r="C2502" t="inlineStr">
        <is>
          <t>Föryngringsavverkning</t>
        </is>
      </c>
      <c r="D2502" s="1" t="n">
        <v>45716</v>
      </c>
      <c r="E2502" s="1" t="n">
        <v>46316</v>
      </c>
      <c r="F2502" t="inlineStr">
        <is>
          <t>KRONOBERGS LÄN</t>
        </is>
      </c>
      <c r="G2502" t="inlineStr">
        <is>
          <t>ÄLMHULT</t>
        </is>
      </c>
      <c r="I2502" t="n">
        <v>0.3</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9687-2025</t>
        </is>
      </c>
      <c r="B2503" t="inlineStr">
        <is>
          <t>avverkningsanmälan</t>
        </is>
      </c>
      <c r="C2503" t="inlineStr">
        <is>
          <t>Föryngringsavverkning</t>
        </is>
      </c>
      <c r="D2503" s="1" t="n">
        <v>45716</v>
      </c>
      <c r="E2503" s="1" t="n">
        <v>46316</v>
      </c>
      <c r="F2503" t="inlineStr">
        <is>
          <t>KRONOBERGS LÄN</t>
        </is>
      </c>
      <c r="G2503" t="inlineStr">
        <is>
          <t>UPPVIDINGE</t>
        </is>
      </c>
      <c r="H2503" t="inlineStr">
        <is>
          <t>Sveaskog</t>
        </is>
      </c>
      <c r="I2503" t="n">
        <v>0.8</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59339-2025</t>
        </is>
      </c>
      <c r="B2504" t="inlineStr">
        <is>
          <t>avverkningsanmälan</t>
        </is>
      </c>
      <c r="C2504" t="inlineStr">
        <is>
          <t>Föryngringsavverkning</t>
        </is>
      </c>
      <c r="D2504" s="1" t="n">
        <v>45989</v>
      </c>
      <c r="E2504" s="1" t="n">
        <v>46316</v>
      </c>
      <c r="F2504" t="inlineStr">
        <is>
          <t>KRONOBERGS LÄN</t>
        </is>
      </c>
      <c r="G2504" t="inlineStr">
        <is>
          <t>UPPVIDINGE</t>
        </is>
      </c>
      <c r="I2504" t="n">
        <v>1.9</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41979-2025</t>
        </is>
      </c>
      <c r="B2505" t="inlineStr">
        <is>
          <t>avverkningsanmälan</t>
        </is>
      </c>
      <c r="C2505" t="inlineStr">
        <is>
          <t>Föryngringsavverkning</t>
        </is>
      </c>
      <c r="D2505" s="1" t="n">
        <v>45903</v>
      </c>
      <c r="E2505" s="1" t="n">
        <v>46316</v>
      </c>
      <c r="F2505" t="inlineStr">
        <is>
          <t>KRONOBERGS LÄN</t>
        </is>
      </c>
      <c r="G2505" t="inlineStr">
        <is>
          <t>LJUNGBY</t>
        </is>
      </c>
      <c r="I2505" t="n">
        <v>5.2</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43315-2023</t>
        </is>
      </c>
      <c r="B2506" t="inlineStr">
        <is>
          <t>avverkningsanmälan</t>
        </is>
      </c>
      <c r="C2506" t="inlineStr">
        <is>
          <t>Föryngringsavverkning</t>
        </is>
      </c>
      <c r="D2506" s="1" t="n">
        <v>45183</v>
      </c>
      <c r="E2506" s="1" t="n">
        <v>46316</v>
      </c>
      <c r="F2506" t="inlineStr">
        <is>
          <t>KRONOBERGS LÄN</t>
        </is>
      </c>
      <c r="G2506" t="inlineStr">
        <is>
          <t>TINGSRYD</t>
        </is>
      </c>
      <c r="I2506" t="n">
        <v>2.3</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43319-2023</t>
        </is>
      </c>
      <c r="B2507" t="inlineStr">
        <is>
          <t>avverkningsanmälan</t>
        </is>
      </c>
      <c r="C2507" t="inlineStr">
        <is>
          <t>Föryngringsavverkning</t>
        </is>
      </c>
      <c r="D2507" s="1" t="n">
        <v>45183</v>
      </c>
      <c r="E2507" s="1" t="n">
        <v>46316</v>
      </c>
      <c r="F2507" t="inlineStr">
        <is>
          <t>KRONOBERGS LÄN</t>
        </is>
      </c>
      <c r="G2507" t="inlineStr">
        <is>
          <t>TINGSRYD</t>
        </is>
      </c>
      <c r="I2507" t="n">
        <v>1.1</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38303-2025</t>
        </is>
      </c>
      <c r="B2508" t="inlineStr">
        <is>
          <t>avverkningsanmälan</t>
        </is>
      </c>
      <c r="C2508" t="inlineStr">
        <is>
          <t>Föryngringsavverkning</t>
        </is>
      </c>
      <c r="D2508" s="1" t="n">
        <v>45883</v>
      </c>
      <c r="E2508" s="1" t="n">
        <v>46316</v>
      </c>
      <c r="F2508" t="inlineStr">
        <is>
          <t>KRONOBERGS LÄN</t>
        </is>
      </c>
      <c r="G2508" t="inlineStr">
        <is>
          <t>LESSEBO</t>
        </is>
      </c>
      <c r="I2508" t="n">
        <v>1.3</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16955-2025</t>
        </is>
      </c>
      <c r="B2509" t="inlineStr">
        <is>
          <t>avverkningsanmälan</t>
        </is>
      </c>
      <c r="C2509" t="inlineStr">
        <is>
          <t>Föryngringsavverkning</t>
        </is>
      </c>
      <c r="D2509" s="1" t="n">
        <v>45755</v>
      </c>
      <c r="E2509" s="1" t="n">
        <v>46316</v>
      </c>
      <c r="F2509" t="inlineStr">
        <is>
          <t>KRONOBERGS LÄN</t>
        </is>
      </c>
      <c r="G2509" t="inlineStr">
        <is>
          <t>TINGSRYD</t>
        </is>
      </c>
      <c r="I2509" t="n">
        <v>0.9</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33811-2025</t>
        </is>
      </c>
      <c r="B2510" t="inlineStr">
        <is>
          <t>avverkningsanmälan</t>
        </is>
      </c>
      <c r="C2510" t="inlineStr">
        <is>
          <t>Föryngringsavverkning</t>
        </is>
      </c>
      <c r="D2510" s="1" t="n">
        <v>45842</v>
      </c>
      <c r="E2510" s="1" t="n">
        <v>46316</v>
      </c>
      <c r="F2510" t="inlineStr">
        <is>
          <t>KRONOBERGS LÄN</t>
        </is>
      </c>
      <c r="G2510" t="inlineStr">
        <is>
          <t>LJUNGBY</t>
        </is>
      </c>
      <c r="I2510" t="n">
        <v>0.7</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30778-2023</t>
        </is>
      </c>
      <c r="B2511" t="inlineStr">
        <is>
          <t>avverkningsanmälan</t>
        </is>
      </c>
      <c r="C2511" t="inlineStr">
        <is>
          <t>Föryngringsavverkning</t>
        </is>
      </c>
      <c r="D2511" s="1" t="n">
        <v>45112</v>
      </c>
      <c r="E2511" s="1" t="n">
        <v>46316</v>
      </c>
      <c r="F2511" t="inlineStr">
        <is>
          <t>KRONOBERGS LÄN</t>
        </is>
      </c>
      <c r="G2511" t="inlineStr">
        <is>
          <t>LJUNGBY</t>
        </is>
      </c>
      <c r="I2511" t="n">
        <v>1.2</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30789-2023</t>
        </is>
      </c>
      <c r="B2512" t="inlineStr">
        <is>
          <t>avverkningsanmälan</t>
        </is>
      </c>
      <c r="C2512" t="inlineStr">
        <is>
          <t>Föryngringsavverkning</t>
        </is>
      </c>
      <c r="D2512" s="1" t="n">
        <v>45112</v>
      </c>
      <c r="E2512" s="1" t="n">
        <v>46316</v>
      </c>
      <c r="F2512" t="inlineStr">
        <is>
          <t>KRONOBERGS LÄN</t>
        </is>
      </c>
      <c r="G2512" t="inlineStr">
        <is>
          <t>VÄXJÖ</t>
        </is>
      </c>
      <c r="I2512" t="n">
        <v>0.7</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59268-2025</t>
        </is>
      </c>
      <c r="B2513" t="inlineStr">
        <is>
          <t>avverkningsanmälan</t>
        </is>
      </c>
      <c r="C2513" t="inlineStr">
        <is>
          <t>Föryngringsavverkning</t>
        </is>
      </c>
      <c r="D2513" s="1" t="n">
        <v>45988</v>
      </c>
      <c r="E2513" s="1" t="n">
        <v>46316</v>
      </c>
      <c r="F2513" t="inlineStr">
        <is>
          <t>KRONOBERGS LÄN</t>
        </is>
      </c>
      <c r="G2513" t="inlineStr">
        <is>
          <t>UPPVIDINGE</t>
        </is>
      </c>
      <c r="I2513" t="n">
        <v>2</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61935-2025</t>
        </is>
      </c>
      <c r="B2514" t="inlineStr">
        <is>
          <t>avverkningsanmälan</t>
        </is>
      </c>
      <c r="C2514" t="inlineStr">
        <is>
          <t>Föryngringsavverkning</t>
        </is>
      </c>
      <c r="D2514" s="1" t="n">
        <v>46003</v>
      </c>
      <c r="E2514" s="1" t="n">
        <v>46316</v>
      </c>
      <c r="F2514" t="inlineStr">
        <is>
          <t>KRONOBERGS LÄN</t>
        </is>
      </c>
      <c r="G2514" t="inlineStr">
        <is>
          <t>TINGSRYD</t>
        </is>
      </c>
      <c r="I2514" t="n">
        <v>1.1</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33821-2025</t>
        </is>
      </c>
      <c r="B2515" t="inlineStr">
        <is>
          <t>avverkningsanmälan</t>
        </is>
      </c>
      <c r="C2515" t="inlineStr">
        <is>
          <t>Föryngringsavverkning</t>
        </is>
      </c>
      <c r="D2515" s="1" t="n">
        <v>45842</v>
      </c>
      <c r="E2515" s="1" t="n">
        <v>46316</v>
      </c>
      <c r="F2515" t="inlineStr">
        <is>
          <t>KRONOBERGS LÄN</t>
        </is>
      </c>
      <c r="G2515" t="inlineStr">
        <is>
          <t>MARKARYD</t>
        </is>
      </c>
      <c r="I2515" t="n">
        <v>0.4</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32024-2023</t>
        </is>
      </c>
      <c r="B2516" t="inlineStr">
        <is>
          <t>avverkningsanmälan</t>
        </is>
      </c>
      <c r="C2516" t="inlineStr">
        <is>
          <t>Föryngringsavverkning</t>
        </is>
      </c>
      <c r="D2516" s="1" t="n">
        <v>45107</v>
      </c>
      <c r="E2516" s="1" t="n">
        <v>46316</v>
      </c>
      <c r="F2516" t="inlineStr">
        <is>
          <t>KRONOBERGS LÄN</t>
        </is>
      </c>
      <c r="G2516" t="inlineStr">
        <is>
          <t>MARKARYD</t>
        </is>
      </c>
      <c r="H2516" t="inlineStr">
        <is>
          <t>Kyrkan</t>
        </is>
      </c>
      <c r="I2516" t="n">
        <v>2.1</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40608-2024</t>
        </is>
      </c>
      <c r="B2517" t="inlineStr">
        <is>
          <t>avverkningsanmälan</t>
        </is>
      </c>
      <c r="C2517" t="inlineStr">
        <is>
          <t>Föryngringsavverkning</t>
        </is>
      </c>
      <c r="D2517" s="1" t="n">
        <v>45556</v>
      </c>
      <c r="E2517" s="1" t="n">
        <v>46316</v>
      </c>
      <c r="F2517" t="inlineStr">
        <is>
          <t>KRONOBERGS LÄN</t>
        </is>
      </c>
      <c r="G2517" t="inlineStr">
        <is>
          <t>MARKARYD</t>
        </is>
      </c>
      <c r="I2517" t="n">
        <v>2</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6487-2023</t>
        </is>
      </c>
      <c r="B2518" t="inlineStr">
        <is>
          <t>avverkningsanmälan</t>
        </is>
      </c>
      <c r="C2518" t="inlineStr">
        <is>
          <t>Föryngringsavverkning</t>
        </is>
      </c>
      <c r="D2518" s="1" t="n">
        <v>44966</v>
      </c>
      <c r="E2518" s="1" t="n">
        <v>46316</v>
      </c>
      <c r="F2518" t="inlineStr">
        <is>
          <t>KRONOBERGS LÄN</t>
        </is>
      </c>
      <c r="G2518" t="inlineStr">
        <is>
          <t>VÄXJÖ</t>
        </is>
      </c>
      <c r="I2518" t="n">
        <v>0</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31445-2023</t>
        </is>
      </c>
      <c r="B2519" t="inlineStr">
        <is>
          <t>avverkningsanmälan</t>
        </is>
      </c>
      <c r="C2519" t="inlineStr">
        <is>
          <t>Föryngringsavverkning</t>
        </is>
      </c>
      <c r="D2519" s="1" t="n">
        <v>45114</v>
      </c>
      <c r="E2519" s="1" t="n">
        <v>46316</v>
      </c>
      <c r="F2519" t="inlineStr">
        <is>
          <t>KRONOBERGS LÄN</t>
        </is>
      </c>
      <c r="G2519" t="inlineStr">
        <is>
          <t>UPPVIDINGE</t>
        </is>
      </c>
      <c r="I2519" t="n">
        <v>3.5</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11071-2025</t>
        </is>
      </c>
      <c r="B2520" t="inlineStr">
        <is>
          <t>avverkningsanmälan</t>
        </is>
      </c>
      <c r="C2520" t="inlineStr">
        <is>
          <t>Föryngringsavverkning</t>
        </is>
      </c>
      <c r="D2520" s="1" t="n">
        <v>45723</v>
      </c>
      <c r="E2520" s="1" t="n">
        <v>46316</v>
      </c>
      <c r="F2520" t="inlineStr">
        <is>
          <t>KRONOBERGS LÄN</t>
        </is>
      </c>
      <c r="G2520" t="inlineStr">
        <is>
          <t>LJUNGBY</t>
        </is>
      </c>
      <c r="I2520" t="n">
        <v>1.9</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10175-2025</t>
        </is>
      </c>
      <c r="B2521" t="inlineStr">
        <is>
          <t>avverkningsanmälan</t>
        </is>
      </c>
      <c r="C2521" t="inlineStr">
        <is>
          <t>Föryngringsavverkning</t>
        </is>
      </c>
      <c r="D2521" s="1" t="n">
        <v>45719</v>
      </c>
      <c r="E2521" s="1" t="n">
        <v>46316</v>
      </c>
      <c r="F2521" t="inlineStr">
        <is>
          <t>KRONOBERGS LÄN</t>
        </is>
      </c>
      <c r="G2521" t="inlineStr">
        <is>
          <t>MARKARYD</t>
        </is>
      </c>
      <c r="I2521" t="n">
        <v>8.6</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33721-2025</t>
        </is>
      </c>
      <c r="B2522" t="inlineStr">
        <is>
          <t>avverkningsanmälan</t>
        </is>
      </c>
      <c r="C2522" t="inlineStr">
        <is>
          <t>Föryngringsavverkning</t>
        </is>
      </c>
      <c r="D2522" s="1" t="n">
        <v>45841</v>
      </c>
      <c r="E2522" s="1" t="n">
        <v>46316</v>
      </c>
      <c r="F2522" t="inlineStr">
        <is>
          <t>KRONOBERGS LÄN</t>
        </is>
      </c>
      <c r="G2522" t="inlineStr">
        <is>
          <t>TINGSRYD</t>
        </is>
      </c>
      <c r="I2522" t="n">
        <v>1</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59497-2025</t>
        </is>
      </c>
      <c r="B2523" t="inlineStr">
        <is>
          <t>avverkningsanmälan</t>
        </is>
      </c>
      <c r="C2523" t="inlineStr">
        <is>
          <t>Föryngringsavverkning</t>
        </is>
      </c>
      <c r="D2523" s="1" t="n">
        <v>45989</v>
      </c>
      <c r="E2523" s="1" t="n">
        <v>46316</v>
      </c>
      <c r="F2523" t="inlineStr">
        <is>
          <t>KRONOBERGS LÄN</t>
        </is>
      </c>
      <c r="G2523" t="inlineStr">
        <is>
          <t>LJUNGBY</t>
        </is>
      </c>
      <c r="I2523" t="n">
        <v>0.8</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20365-2025</t>
        </is>
      </c>
      <c r="B2524" t="inlineStr">
        <is>
          <t>avverkningsanmälan</t>
        </is>
      </c>
      <c r="C2524" t="inlineStr">
        <is>
          <t>Föryngringsavverkning</t>
        </is>
      </c>
      <c r="D2524" s="1" t="n">
        <v>45775</v>
      </c>
      <c r="E2524" s="1" t="n">
        <v>46316</v>
      </c>
      <c r="F2524" t="inlineStr">
        <is>
          <t>KRONOBERGS LÄN</t>
        </is>
      </c>
      <c r="G2524" t="inlineStr">
        <is>
          <t>LJUNGBY</t>
        </is>
      </c>
      <c r="I2524" t="n">
        <v>1.4</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34048-2025</t>
        </is>
      </c>
      <c r="B2525" t="inlineStr">
        <is>
          <t>avverkningsanmälan</t>
        </is>
      </c>
      <c r="C2525" t="inlineStr">
        <is>
          <t>Föryngringsavverkning</t>
        </is>
      </c>
      <c r="D2525" s="1" t="n">
        <v>45845</v>
      </c>
      <c r="E2525" s="1" t="n">
        <v>46316</v>
      </c>
      <c r="F2525" t="inlineStr">
        <is>
          <t>KRONOBERGS LÄN</t>
        </is>
      </c>
      <c r="G2525" t="inlineStr">
        <is>
          <t>ÄLMHULT</t>
        </is>
      </c>
      <c r="I2525" t="n">
        <v>0.5</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34384-2025</t>
        </is>
      </c>
      <c r="B2526" t="inlineStr">
        <is>
          <t>avverkningsanmälan</t>
        </is>
      </c>
      <c r="C2526" t="inlineStr">
        <is>
          <t>Föryngringsavverkning</t>
        </is>
      </c>
      <c r="D2526" s="1" t="n">
        <v>45846</v>
      </c>
      <c r="E2526" s="1" t="n">
        <v>46316</v>
      </c>
      <c r="F2526" t="inlineStr">
        <is>
          <t>KRONOBERGS LÄN</t>
        </is>
      </c>
      <c r="G2526" t="inlineStr">
        <is>
          <t>ÄLMHULT</t>
        </is>
      </c>
      <c r="I2526" t="n">
        <v>7.5</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34348-2025</t>
        </is>
      </c>
      <c r="B2527" t="inlineStr">
        <is>
          <t>avverkningsanmälan</t>
        </is>
      </c>
      <c r="C2527" t="inlineStr">
        <is>
          <t>Föryngringsavverkning</t>
        </is>
      </c>
      <c r="D2527" s="1" t="n">
        <v>45846</v>
      </c>
      <c r="E2527" s="1" t="n">
        <v>46316</v>
      </c>
      <c r="F2527" t="inlineStr">
        <is>
          <t>KRONOBERGS LÄN</t>
        </is>
      </c>
      <c r="G2527" t="inlineStr">
        <is>
          <t>VÄXJÖ</t>
        </is>
      </c>
      <c r="I2527" t="n">
        <v>0.6</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12499-2025</t>
        </is>
      </c>
      <c r="B2528" t="inlineStr">
        <is>
          <t>avverkningsanmälan</t>
        </is>
      </c>
      <c r="C2528" t="inlineStr">
        <is>
          <t>Föryngringsavverkning</t>
        </is>
      </c>
      <c r="D2528" s="1" t="n">
        <v>45730</v>
      </c>
      <c r="E2528" s="1" t="n">
        <v>46316</v>
      </c>
      <c r="F2528" t="inlineStr">
        <is>
          <t>KRONOBERGS LÄN</t>
        </is>
      </c>
      <c r="G2528" t="inlineStr">
        <is>
          <t>LJUNGBY</t>
        </is>
      </c>
      <c r="I2528" t="n">
        <v>1.2</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34530-2025</t>
        </is>
      </c>
      <c r="B2529" t="inlineStr">
        <is>
          <t>avverkningsanmälan</t>
        </is>
      </c>
      <c r="C2529" t="inlineStr">
        <is>
          <t>Föryngringsavverkning</t>
        </is>
      </c>
      <c r="D2529" s="1" t="n">
        <v>45847</v>
      </c>
      <c r="E2529" s="1" t="n">
        <v>46316</v>
      </c>
      <c r="F2529" t="inlineStr">
        <is>
          <t>KRONOBERGS LÄN</t>
        </is>
      </c>
      <c r="G2529" t="inlineStr">
        <is>
          <t>ALVESTA</t>
        </is>
      </c>
      <c r="I2529" t="n">
        <v>0.4</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34549-2025</t>
        </is>
      </c>
      <c r="B2530" t="inlineStr">
        <is>
          <t>avverkningsanmälan</t>
        </is>
      </c>
      <c r="C2530" t="inlineStr">
        <is>
          <t>Föryngringsavverkning</t>
        </is>
      </c>
      <c r="D2530" s="1" t="n">
        <v>45847</v>
      </c>
      <c r="E2530" s="1" t="n">
        <v>46316</v>
      </c>
      <c r="F2530" t="inlineStr">
        <is>
          <t>KRONOBERGS LÄN</t>
        </is>
      </c>
      <c r="G2530" t="inlineStr">
        <is>
          <t>VÄXJÖ</t>
        </is>
      </c>
      <c r="I2530" t="n">
        <v>0.5</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16355-2024</t>
        </is>
      </c>
      <c r="B2531" t="inlineStr">
        <is>
          <t>avverkningsanmälan</t>
        </is>
      </c>
      <c r="C2531" t="inlineStr">
        <is>
          <t>Föryngringsavverkning</t>
        </is>
      </c>
      <c r="D2531" s="1" t="n">
        <v>45407</v>
      </c>
      <c r="E2531" s="1" t="n">
        <v>46316</v>
      </c>
      <c r="F2531" t="inlineStr">
        <is>
          <t>KRONOBERGS LÄN</t>
        </is>
      </c>
      <c r="G2531" t="inlineStr">
        <is>
          <t>ALVESTA</t>
        </is>
      </c>
      <c r="I2531" t="n">
        <v>1.9</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59803-2025</t>
        </is>
      </c>
      <c r="B2532" t="inlineStr">
        <is>
          <t>avverkningsanmälan</t>
        </is>
      </c>
      <c r="C2532" t="inlineStr">
        <is>
          <t>Avverkning för att bevara och utveckla /försöksver</t>
        </is>
      </c>
      <c r="D2532" s="1" t="n">
        <v>45992</v>
      </c>
      <c r="E2532" s="1" t="n">
        <v>46316</v>
      </c>
      <c r="F2532" t="inlineStr">
        <is>
          <t>KRONOBERGS LÄN</t>
        </is>
      </c>
      <c r="G2532" t="inlineStr">
        <is>
          <t>ÄLMHULT</t>
        </is>
      </c>
      <c r="H2532" t="inlineStr">
        <is>
          <t>Sveaskog</t>
        </is>
      </c>
      <c r="I2532" t="n">
        <v>0.4</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59813-2025</t>
        </is>
      </c>
      <c r="B2533" t="inlineStr">
        <is>
          <t>avverkningsanmälan</t>
        </is>
      </c>
      <c r="C2533" t="inlineStr">
        <is>
          <t>Föryngringsavverkning</t>
        </is>
      </c>
      <c r="D2533" s="1" t="n">
        <v>45992</v>
      </c>
      <c r="E2533" s="1" t="n">
        <v>46316</v>
      </c>
      <c r="F2533" t="inlineStr">
        <is>
          <t>KRONOBERGS LÄN</t>
        </is>
      </c>
      <c r="G2533" t="inlineStr">
        <is>
          <t>LJUNGBY</t>
        </is>
      </c>
      <c r="I2533" t="n">
        <v>6.4</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25179-2024</t>
        </is>
      </c>
      <c r="B2534" t="inlineStr">
        <is>
          <t>avverkningsanmälan</t>
        </is>
      </c>
      <c r="C2534" t="inlineStr">
        <is>
          <t>Föryngringsavverkning</t>
        </is>
      </c>
      <c r="D2534" s="1" t="n">
        <v>45462</v>
      </c>
      <c r="E2534" s="1" t="n">
        <v>46316</v>
      </c>
      <c r="F2534" t="inlineStr">
        <is>
          <t>KRONOBERGS LÄN</t>
        </is>
      </c>
      <c r="G2534" t="inlineStr">
        <is>
          <t>ALVESTA</t>
        </is>
      </c>
      <c r="I2534" t="n">
        <v>2.1</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59797-2025</t>
        </is>
      </c>
      <c r="B2535" t="inlineStr">
        <is>
          <t>avverkningsanmälan</t>
        </is>
      </c>
      <c r="C2535" t="inlineStr">
        <is>
          <t>Föryngringsavverkning</t>
        </is>
      </c>
      <c r="D2535" s="1" t="n">
        <v>45992</v>
      </c>
      <c r="E2535" s="1" t="n">
        <v>46316</v>
      </c>
      <c r="F2535" t="inlineStr">
        <is>
          <t>KRONOBERGS LÄN</t>
        </is>
      </c>
      <c r="G2535" t="inlineStr">
        <is>
          <t>ALVESTA</t>
        </is>
      </c>
      <c r="I2535" t="n">
        <v>4.7</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51463-2024</t>
        </is>
      </c>
      <c r="B2536" t="inlineStr">
        <is>
          <t>avverkningsanmälan</t>
        </is>
      </c>
      <c r="C2536" t="inlineStr">
        <is>
          <t>Föryngringsavverkning</t>
        </is>
      </c>
      <c r="D2536" s="1" t="n">
        <v>45604</v>
      </c>
      <c r="E2536" s="1" t="n">
        <v>46316</v>
      </c>
      <c r="F2536" t="inlineStr">
        <is>
          <t>KRONOBERGS LÄN</t>
        </is>
      </c>
      <c r="G2536" t="inlineStr">
        <is>
          <t>LJUNGBY</t>
        </is>
      </c>
      <c r="I2536" t="n">
        <v>0.8</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55847-2025</t>
        </is>
      </c>
      <c r="B2537" t="inlineStr">
        <is>
          <t>avverkningsanmälan</t>
        </is>
      </c>
      <c r="C2537" t="inlineStr">
        <is>
          <t>Föryngringsavverkning</t>
        </is>
      </c>
      <c r="D2537" s="1" t="n">
        <v>45973</v>
      </c>
      <c r="E2537" s="1" t="n">
        <v>46316</v>
      </c>
      <c r="F2537" t="inlineStr">
        <is>
          <t>KRONOBERGS LÄN</t>
        </is>
      </c>
      <c r="G2537" t="inlineStr">
        <is>
          <t>UPPVIDINGE</t>
        </is>
      </c>
      <c r="I2537" t="n">
        <v>3.2</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16377-2025</t>
        </is>
      </c>
      <c r="B2538" t="inlineStr">
        <is>
          <t>avverkningsanmälan</t>
        </is>
      </c>
      <c r="C2538" t="inlineStr">
        <is>
          <t>Föryngringsavverkning</t>
        </is>
      </c>
      <c r="D2538" s="1" t="n">
        <v>45751</v>
      </c>
      <c r="E2538" s="1" t="n">
        <v>46316</v>
      </c>
      <c r="F2538" t="inlineStr">
        <is>
          <t>KRONOBERGS LÄN</t>
        </is>
      </c>
      <c r="G2538" t="inlineStr">
        <is>
          <t>TINGSRYD</t>
        </is>
      </c>
      <c r="I2538" t="n">
        <v>1.4</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13447-2024</t>
        </is>
      </c>
      <c r="B2539" t="inlineStr">
        <is>
          <t>avverkningsanmälan</t>
        </is>
      </c>
      <c r="C2539" t="inlineStr">
        <is>
          <t>Föryngringsavverkning</t>
        </is>
      </c>
      <c r="D2539" s="1" t="n">
        <v>45387</v>
      </c>
      <c r="E2539" s="1" t="n">
        <v>46316</v>
      </c>
      <c r="F2539" t="inlineStr">
        <is>
          <t>KRONOBERGS LÄN</t>
        </is>
      </c>
      <c r="G2539" t="inlineStr">
        <is>
          <t>VÄXJÖ</t>
        </is>
      </c>
      <c r="I2539" t="n">
        <v>2.4</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49578-2025</t>
        </is>
      </c>
      <c r="B2540" t="inlineStr">
        <is>
          <t>avverkningsanmälan</t>
        </is>
      </c>
      <c r="C2540" t="inlineStr">
        <is>
          <t>Föryngringsavverkning</t>
        </is>
      </c>
      <c r="D2540" s="1" t="n">
        <v>45939</v>
      </c>
      <c r="E2540" s="1" t="n">
        <v>46316</v>
      </c>
      <c r="F2540" t="inlineStr">
        <is>
          <t>KRONOBERGS LÄN</t>
        </is>
      </c>
      <c r="G2540" t="inlineStr">
        <is>
          <t>VÄXJÖ</t>
        </is>
      </c>
      <c r="I2540" t="n">
        <v>0.9</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32197-2025</t>
        </is>
      </c>
      <c r="B2541" t="inlineStr">
        <is>
          <t>avverkningsanmälan</t>
        </is>
      </c>
      <c r="C2541" t="inlineStr">
        <is>
          <t>Föryngringsavverkning</t>
        </is>
      </c>
      <c r="D2541" s="1" t="n">
        <v>45835</v>
      </c>
      <c r="E2541" s="1" t="n">
        <v>46316</v>
      </c>
      <c r="F2541" t="inlineStr">
        <is>
          <t>KRONOBERGS LÄN</t>
        </is>
      </c>
      <c r="G2541" t="inlineStr">
        <is>
          <t>ÄLMHULT</t>
        </is>
      </c>
      <c r="I2541" t="n">
        <v>2.3</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41500-2024</t>
        </is>
      </c>
      <c r="B2542" t="inlineStr">
        <is>
          <t>avverkningsanmälan</t>
        </is>
      </c>
      <c r="C2542" t="inlineStr">
        <is>
          <t>Föryngringsavverkning</t>
        </is>
      </c>
      <c r="D2542" s="1" t="n">
        <v>45560</v>
      </c>
      <c r="E2542" s="1" t="n">
        <v>46316</v>
      </c>
      <c r="F2542" t="inlineStr">
        <is>
          <t>KRONOBERGS LÄN</t>
        </is>
      </c>
      <c r="G2542" t="inlineStr">
        <is>
          <t>VÄXJÖ</t>
        </is>
      </c>
      <c r="I2542" t="n">
        <v>1</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53736-2025</t>
        </is>
      </c>
      <c r="B2543" t="inlineStr">
        <is>
          <t>avverkningsanmälan</t>
        </is>
      </c>
      <c r="C2543" t="inlineStr">
        <is>
          <t>Föryngringsavverkning</t>
        </is>
      </c>
      <c r="D2543" s="1" t="n">
        <v>45960</v>
      </c>
      <c r="E2543" s="1" t="n">
        <v>46316</v>
      </c>
      <c r="F2543" t="inlineStr">
        <is>
          <t>KRONOBERGS LÄN</t>
        </is>
      </c>
      <c r="G2543" t="inlineStr">
        <is>
          <t>UPPVIDINGE</t>
        </is>
      </c>
      <c r="H2543" t="inlineStr">
        <is>
          <t>Sveaskog</t>
        </is>
      </c>
      <c r="I2543" t="n">
        <v>23.5</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34742-2025</t>
        </is>
      </c>
      <c r="B2544" t="inlineStr">
        <is>
          <t>avverkningsanmälan</t>
        </is>
      </c>
      <c r="C2544" t="inlineStr">
        <is>
          <t>Föryngringsavverkning</t>
        </is>
      </c>
      <c r="D2544" s="1" t="n">
        <v>45848</v>
      </c>
      <c r="E2544" s="1" t="n">
        <v>46316</v>
      </c>
      <c r="F2544" t="inlineStr">
        <is>
          <t>KRONOBERGS LÄN</t>
        </is>
      </c>
      <c r="G2544" t="inlineStr">
        <is>
          <t>LJUNGBY</t>
        </is>
      </c>
      <c r="I2544" t="n">
        <v>1.7</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26980-2023</t>
        </is>
      </c>
      <c r="B2545" t="inlineStr">
        <is>
          <t>avverkningsanmälan</t>
        </is>
      </c>
      <c r="C2545" t="inlineStr">
        <is>
          <t>Föryngringsavverkning</t>
        </is>
      </c>
      <c r="D2545" s="1" t="n">
        <v>45091</v>
      </c>
      <c r="E2545" s="1" t="n">
        <v>46316</v>
      </c>
      <c r="F2545" t="inlineStr">
        <is>
          <t>KRONOBERGS LÄN</t>
        </is>
      </c>
      <c r="G2545" t="inlineStr">
        <is>
          <t>VÄXJÖ</t>
        </is>
      </c>
      <c r="H2545" t="inlineStr">
        <is>
          <t>Kyrkan</t>
        </is>
      </c>
      <c r="I2545" t="n">
        <v>4.4</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27034-2023</t>
        </is>
      </c>
      <c r="B2546" t="inlineStr">
        <is>
          <t>avverkningsanmälan</t>
        </is>
      </c>
      <c r="C2546" t="inlineStr">
        <is>
          <t>Föryngringsavverkning</t>
        </is>
      </c>
      <c r="D2546" s="1" t="n">
        <v>45095</v>
      </c>
      <c r="E2546" s="1" t="n">
        <v>46316</v>
      </c>
      <c r="F2546" t="inlineStr">
        <is>
          <t>KRONOBERGS LÄN</t>
        </is>
      </c>
      <c r="G2546" t="inlineStr">
        <is>
          <t>ALVESTA</t>
        </is>
      </c>
      <c r="I2546" t="n">
        <v>3.8</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61282-2023</t>
        </is>
      </c>
      <c r="B2547" t="inlineStr">
        <is>
          <t>avverkningsanmälan</t>
        </is>
      </c>
      <c r="C2547" t="inlineStr">
        <is>
          <t>Föryngringsavverkning</t>
        </is>
      </c>
      <c r="D2547" s="1" t="n">
        <v>45264</v>
      </c>
      <c r="E2547" s="1" t="n">
        <v>46316</v>
      </c>
      <c r="F2547" t="inlineStr">
        <is>
          <t>KRONOBERGS LÄN</t>
        </is>
      </c>
      <c r="G2547" t="inlineStr">
        <is>
          <t>ALVESTA</t>
        </is>
      </c>
      <c r="I2547" t="n">
        <v>2.4</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46022-2023</t>
        </is>
      </c>
      <c r="B2548" t="inlineStr">
        <is>
          <t>avverkningsanmälan</t>
        </is>
      </c>
      <c r="C2548" t="inlineStr">
        <is>
          <t>Föryngringsavverkning</t>
        </is>
      </c>
      <c r="D2548" s="1" t="n">
        <v>45189</v>
      </c>
      <c r="E2548" s="1" t="n">
        <v>46316</v>
      </c>
      <c r="F2548" t="inlineStr">
        <is>
          <t>KRONOBERGS LÄN</t>
        </is>
      </c>
      <c r="G2548" t="inlineStr">
        <is>
          <t>ALVESTA</t>
        </is>
      </c>
      <c r="I2548" t="n">
        <v>0.8</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27415-2024</t>
        </is>
      </c>
      <c r="B2549" t="inlineStr">
        <is>
          <t>avverkningsanmälan</t>
        </is>
      </c>
      <c r="C2549" t="inlineStr">
        <is>
          <t>Föryngringsavverkning</t>
        </is>
      </c>
      <c r="D2549" s="1" t="n">
        <v>45474</v>
      </c>
      <c r="E2549" s="1" t="n">
        <v>46316</v>
      </c>
      <c r="F2549" t="inlineStr">
        <is>
          <t>KRONOBERGS LÄN</t>
        </is>
      </c>
      <c r="G2549" t="inlineStr">
        <is>
          <t>UPPVIDINGE</t>
        </is>
      </c>
      <c r="I2549" t="n">
        <v>8.4</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59604-2025</t>
        </is>
      </c>
      <c r="B2550" t="inlineStr">
        <is>
          <t>avverkningsanmälan</t>
        </is>
      </c>
      <c r="C2550" t="inlineStr">
        <is>
          <t>Föryngringsavverkning</t>
        </is>
      </c>
      <c r="D2550" s="1" t="n">
        <v>45992</v>
      </c>
      <c r="E2550" s="1" t="n">
        <v>46316</v>
      </c>
      <c r="F2550" t="inlineStr">
        <is>
          <t>KRONOBERGS LÄN</t>
        </is>
      </c>
      <c r="G2550" t="inlineStr">
        <is>
          <t>LJUNGBY</t>
        </is>
      </c>
      <c r="I2550" t="n">
        <v>0.5</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9676-2023</t>
        </is>
      </c>
      <c r="B2551" t="inlineStr">
        <is>
          <t>avverkningsanmälan</t>
        </is>
      </c>
      <c r="C2551" t="inlineStr">
        <is>
          <t>Föryngringsavverkning</t>
        </is>
      </c>
      <c r="D2551" s="1" t="n">
        <v>44984</v>
      </c>
      <c r="E2551" s="1" t="n">
        <v>46316</v>
      </c>
      <c r="F2551" t="inlineStr">
        <is>
          <t>KRONOBERGS LÄN</t>
        </is>
      </c>
      <c r="G2551" t="inlineStr">
        <is>
          <t>UPPVIDINGE</t>
        </is>
      </c>
      <c r="I2551" t="n">
        <v>4.8</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59771-2025</t>
        </is>
      </c>
      <c r="B2552" t="inlineStr">
        <is>
          <t>avverkningsanmälan</t>
        </is>
      </c>
      <c r="C2552" t="inlineStr">
        <is>
          <t>Avverkning för att bevara och utveckla /försöksver</t>
        </is>
      </c>
      <c r="D2552" s="1" t="n">
        <v>45992</v>
      </c>
      <c r="E2552" s="1" t="n">
        <v>46316</v>
      </c>
      <c r="F2552" t="inlineStr">
        <is>
          <t>KRONOBERGS LÄN</t>
        </is>
      </c>
      <c r="G2552" t="inlineStr">
        <is>
          <t>ÄLMHULT</t>
        </is>
      </c>
      <c r="H2552" t="inlineStr">
        <is>
          <t>Sveaskog</t>
        </is>
      </c>
      <c r="I2552" t="n">
        <v>0.7</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59778-2025</t>
        </is>
      </c>
      <c r="B2553" t="inlineStr">
        <is>
          <t>avverkningsanmälan</t>
        </is>
      </c>
      <c r="C2553" t="inlineStr">
        <is>
          <t>Föryngringsavverkning</t>
        </is>
      </c>
      <c r="D2553" s="1" t="n">
        <v>45992</v>
      </c>
      <c r="E2553" s="1" t="n">
        <v>46316</v>
      </c>
      <c r="F2553" t="inlineStr">
        <is>
          <t>KRONOBERGS LÄN</t>
        </is>
      </c>
      <c r="G2553" t="inlineStr">
        <is>
          <t>LJUNGBY</t>
        </is>
      </c>
      <c r="I2553" t="n">
        <v>3.5</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59918-2025</t>
        </is>
      </c>
      <c r="B2554" t="inlineStr">
        <is>
          <t>avverkningsanmälan</t>
        </is>
      </c>
      <c r="C2554" t="inlineStr">
        <is>
          <t>Föryngringsavverkning</t>
        </is>
      </c>
      <c r="D2554" s="1" t="n">
        <v>45993</v>
      </c>
      <c r="E2554" s="1" t="n">
        <v>46316</v>
      </c>
      <c r="F2554" t="inlineStr">
        <is>
          <t>KRONOBERGS LÄN</t>
        </is>
      </c>
      <c r="G2554" t="inlineStr">
        <is>
          <t>TINGSRYD</t>
        </is>
      </c>
      <c r="I2554" t="n">
        <v>2.9</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42680-2025</t>
        </is>
      </c>
      <c r="B2555" t="inlineStr">
        <is>
          <t>avverkningsanmälan</t>
        </is>
      </c>
      <c r="C2555" t="inlineStr">
        <is>
          <t>Föryngringsavverkning</t>
        </is>
      </c>
      <c r="D2555" s="1" t="n">
        <v>45908</v>
      </c>
      <c r="E2555" s="1" t="n">
        <v>46316</v>
      </c>
      <c r="F2555" t="inlineStr">
        <is>
          <t>KRONOBERGS LÄN</t>
        </is>
      </c>
      <c r="G2555" t="inlineStr">
        <is>
          <t>LJUNGBY</t>
        </is>
      </c>
      <c r="I2555" t="n">
        <v>2.2</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33722-2025</t>
        </is>
      </c>
      <c r="B2556" t="inlineStr">
        <is>
          <t>avverkningsanmälan</t>
        </is>
      </c>
      <c r="C2556" t="inlineStr">
        <is>
          <t>Föryngringsavverkning</t>
        </is>
      </c>
      <c r="D2556" s="1" t="n">
        <v>45841</v>
      </c>
      <c r="E2556" s="1" t="n">
        <v>46316</v>
      </c>
      <c r="F2556" t="inlineStr">
        <is>
          <t>KRONOBERGS LÄN</t>
        </is>
      </c>
      <c r="G2556" t="inlineStr">
        <is>
          <t>TINGSRYD</t>
        </is>
      </c>
      <c r="I2556" t="n">
        <v>2.6</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27685-2024</t>
        </is>
      </c>
      <c r="B2557" t="inlineStr">
        <is>
          <t>avverkningsanmälan</t>
        </is>
      </c>
      <c r="C2557" t="inlineStr">
        <is>
          <t>Föryngringsavverkning</t>
        </is>
      </c>
      <c r="D2557" s="1" t="n">
        <v>45474</v>
      </c>
      <c r="E2557" s="1" t="n">
        <v>46316</v>
      </c>
      <c r="F2557" t="inlineStr">
        <is>
          <t>KRONOBERGS LÄN</t>
        </is>
      </c>
      <c r="G2557" t="inlineStr">
        <is>
          <t>TINGSRYD</t>
        </is>
      </c>
      <c r="I2557" t="n">
        <v>0.8</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58858-2022</t>
        </is>
      </c>
      <c r="B2558" t="inlineStr">
        <is>
          <t>avverkningsanmälan</t>
        </is>
      </c>
      <c r="C2558" t="inlineStr">
        <is>
          <t>Föryngringsavverkning</t>
        </is>
      </c>
      <c r="D2558" s="1" t="n">
        <v>44903</v>
      </c>
      <c r="E2558" s="1" t="n">
        <v>46316</v>
      </c>
      <c r="F2558" t="inlineStr">
        <is>
          <t>KRONOBERGS LÄN</t>
        </is>
      </c>
      <c r="G2558" t="inlineStr">
        <is>
          <t>LJUNGBY</t>
        </is>
      </c>
      <c r="I2558" t="n">
        <v>0.5</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13480-2023</t>
        </is>
      </c>
      <c r="B2559" t="inlineStr">
        <is>
          <t>avverkningsanmälan</t>
        </is>
      </c>
      <c r="C2559" t="inlineStr">
        <is>
          <t>Föryngringsavverkning</t>
        </is>
      </c>
      <c r="D2559" s="1" t="n">
        <v>45005</v>
      </c>
      <c r="E2559" s="1" t="n">
        <v>46316</v>
      </c>
      <c r="F2559" t="inlineStr">
        <is>
          <t>KRONOBERGS LÄN</t>
        </is>
      </c>
      <c r="G2559" t="inlineStr">
        <is>
          <t>LJUNGBY</t>
        </is>
      </c>
      <c r="I2559" t="n">
        <v>10.3</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65115-2023</t>
        </is>
      </c>
      <c r="B2560" t="inlineStr">
        <is>
          <t>avverkningsanmälan</t>
        </is>
      </c>
      <c r="C2560" t="inlineStr">
        <is>
          <t>Föryngringsavverkning</t>
        </is>
      </c>
      <c r="D2560" s="1" t="n">
        <v>45288</v>
      </c>
      <c r="E2560" s="1" t="n">
        <v>46316</v>
      </c>
      <c r="F2560" t="inlineStr">
        <is>
          <t>KRONOBERGS LÄN</t>
        </is>
      </c>
      <c r="G2560" t="inlineStr">
        <is>
          <t>UPPVIDINGE</t>
        </is>
      </c>
      <c r="H2560" t="inlineStr">
        <is>
          <t>Sveaskog</t>
        </is>
      </c>
      <c r="I2560" t="n">
        <v>2.9</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32384-2025</t>
        </is>
      </c>
      <c r="B2561" t="inlineStr">
        <is>
          <t>avverkningsanmälan</t>
        </is>
      </c>
      <c r="C2561" t="inlineStr">
        <is>
          <t>Föryngringsavverkning</t>
        </is>
      </c>
      <c r="D2561" s="1" t="n">
        <v>45837</v>
      </c>
      <c r="E2561" s="1" t="n">
        <v>46316</v>
      </c>
      <c r="F2561" t="inlineStr">
        <is>
          <t>KRONOBERGS LÄN</t>
        </is>
      </c>
      <c r="G2561" t="inlineStr">
        <is>
          <t>MARKARYD</t>
        </is>
      </c>
      <c r="I2561" t="n">
        <v>3.8</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27096-2022</t>
        </is>
      </c>
      <c r="B2562" t="inlineStr">
        <is>
          <t>avverkningsanmälan</t>
        </is>
      </c>
      <c r="C2562" t="inlineStr">
        <is>
          <t>Föryngringsavverkning</t>
        </is>
      </c>
      <c r="D2562" s="1" t="n">
        <v>44741</v>
      </c>
      <c r="E2562" s="1" t="n">
        <v>46316</v>
      </c>
      <c r="F2562" t="inlineStr">
        <is>
          <t>KRONOBERGS LÄN</t>
        </is>
      </c>
      <c r="G2562" t="inlineStr">
        <is>
          <t>VÄXJÖ</t>
        </is>
      </c>
      <c r="I2562" t="n">
        <v>2.3</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27097-2022</t>
        </is>
      </c>
      <c r="B2563" t="inlineStr">
        <is>
          <t>avverkningsanmälan</t>
        </is>
      </c>
      <c r="C2563" t="inlineStr">
        <is>
          <t>Föryngringsavverkning</t>
        </is>
      </c>
      <c r="D2563" s="1" t="n">
        <v>44741</v>
      </c>
      <c r="E2563" s="1" t="n">
        <v>46316</v>
      </c>
      <c r="F2563" t="inlineStr">
        <is>
          <t>KRONOBERGS LÄN</t>
        </is>
      </c>
      <c r="G2563" t="inlineStr">
        <is>
          <t>VÄXJÖ</t>
        </is>
      </c>
      <c r="I2563" t="n">
        <v>1.7</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3876-2024</t>
        </is>
      </c>
      <c r="B2564" t="inlineStr">
        <is>
          <t>avverkningsanmälan</t>
        </is>
      </c>
      <c r="C2564" t="inlineStr">
        <is>
          <t>Föryngringsavverkning</t>
        </is>
      </c>
      <c r="D2564" s="1" t="n">
        <v>45322</v>
      </c>
      <c r="E2564" s="1" t="n">
        <v>46316</v>
      </c>
      <c r="F2564" t="inlineStr">
        <is>
          <t>KRONOBERGS LÄN</t>
        </is>
      </c>
      <c r="G2564" t="inlineStr">
        <is>
          <t>LESSEBO</t>
        </is>
      </c>
      <c r="I2564" t="n">
        <v>0.5</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33876-2025</t>
        </is>
      </c>
      <c r="B2565" t="inlineStr">
        <is>
          <t>avverkningsanmälan</t>
        </is>
      </c>
      <c r="C2565" t="inlineStr">
        <is>
          <t>Föryngringsavverkning</t>
        </is>
      </c>
      <c r="D2565" s="1" t="n">
        <v>45842</v>
      </c>
      <c r="E2565" s="1" t="n">
        <v>46316</v>
      </c>
      <c r="F2565" t="inlineStr">
        <is>
          <t>KRONOBERGS LÄN</t>
        </is>
      </c>
      <c r="G2565" t="inlineStr">
        <is>
          <t>UPPVIDINGE</t>
        </is>
      </c>
      <c r="I2565" t="n">
        <v>1</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61414-2025</t>
        </is>
      </c>
      <c r="B2566" t="inlineStr">
        <is>
          <t>avverkningsanmälan</t>
        </is>
      </c>
      <c r="C2566" t="inlineStr">
        <is>
          <t>Föryngringsavverkning</t>
        </is>
      </c>
      <c r="D2566" s="1" t="n">
        <v>46000</v>
      </c>
      <c r="E2566" s="1" t="n">
        <v>46316</v>
      </c>
      <c r="F2566" t="inlineStr">
        <is>
          <t>KRONOBERGS LÄN</t>
        </is>
      </c>
      <c r="G2566" t="inlineStr">
        <is>
          <t>ÄLMHULT</t>
        </is>
      </c>
      <c r="H2566" t="inlineStr">
        <is>
          <t>Kommuner</t>
        </is>
      </c>
      <c r="I2566" t="n">
        <v>1.5</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59948-2025</t>
        </is>
      </c>
      <c r="B2567" t="inlineStr">
        <is>
          <t>avverkningsanmälan</t>
        </is>
      </c>
      <c r="C2567" t="inlineStr">
        <is>
          <t>Föryngringsavverkning</t>
        </is>
      </c>
      <c r="D2567" s="1" t="n">
        <v>45993</v>
      </c>
      <c r="E2567" s="1" t="n">
        <v>46316</v>
      </c>
      <c r="F2567" t="inlineStr">
        <is>
          <t>KRONOBERGS LÄN</t>
        </is>
      </c>
      <c r="G2567" t="inlineStr">
        <is>
          <t>VÄXJÖ</t>
        </is>
      </c>
      <c r="I2567" t="n">
        <v>1</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9760-2025</t>
        </is>
      </c>
      <c r="B2568" t="inlineStr">
        <is>
          <t>avverkningsanmälan</t>
        </is>
      </c>
      <c r="C2568" t="inlineStr">
        <is>
          <t>Föryngringsavverkning</t>
        </is>
      </c>
      <c r="D2568" s="1" t="n">
        <v>45716</v>
      </c>
      <c r="E2568" s="1" t="n">
        <v>46316</v>
      </c>
      <c r="F2568" t="inlineStr">
        <is>
          <t>KRONOBERGS LÄN</t>
        </is>
      </c>
      <c r="G2568" t="inlineStr">
        <is>
          <t>ÄLMHULT</t>
        </is>
      </c>
      <c r="I2568" t="n">
        <v>0.5</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53742-2025</t>
        </is>
      </c>
      <c r="B2569" t="inlineStr">
        <is>
          <t>avverkningsanmälan</t>
        </is>
      </c>
      <c r="C2569" t="inlineStr">
        <is>
          <t>Föryngringsavverkning</t>
        </is>
      </c>
      <c r="D2569" s="1" t="n">
        <v>45960</v>
      </c>
      <c r="E2569" s="1" t="n">
        <v>46316</v>
      </c>
      <c r="F2569" t="inlineStr">
        <is>
          <t>KRONOBERGS LÄN</t>
        </is>
      </c>
      <c r="G2569" t="inlineStr">
        <is>
          <t>UPPVIDINGE</t>
        </is>
      </c>
      <c r="H2569" t="inlineStr">
        <is>
          <t>Sveaskog</t>
        </is>
      </c>
      <c r="I2569" t="n">
        <v>0.8</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60003-2025</t>
        </is>
      </c>
      <c r="B2570" t="inlineStr">
        <is>
          <t>avverkningsanmälan</t>
        </is>
      </c>
      <c r="C2570" t="inlineStr">
        <is>
          <t>Föryngringsavverkning</t>
        </is>
      </c>
      <c r="D2570" s="1" t="n">
        <v>45993</v>
      </c>
      <c r="E2570" s="1" t="n">
        <v>46316</v>
      </c>
      <c r="F2570" t="inlineStr">
        <is>
          <t>KRONOBERGS LÄN</t>
        </is>
      </c>
      <c r="G2570" t="inlineStr">
        <is>
          <t>VÄXJÖ</t>
        </is>
      </c>
      <c r="I2570" t="n">
        <v>0.7</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59780-2025</t>
        </is>
      </c>
      <c r="B2571" t="inlineStr">
        <is>
          <t>avverkningsanmälan</t>
        </is>
      </c>
      <c r="C2571" t="inlineStr">
        <is>
          <t>Avverkning för att bevara och utveckla /försöksver</t>
        </is>
      </c>
      <c r="D2571" s="1" t="n">
        <v>45992</v>
      </c>
      <c r="E2571" s="1" t="n">
        <v>46316</v>
      </c>
      <c r="F2571" t="inlineStr">
        <is>
          <t>KRONOBERGS LÄN</t>
        </is>
      </c>
      <c r="G2571" t="inlineStr">
        <is>
          <t>ÄLMHULT</t>
        </is>
      </c>
      <c r="H2571" t="inlineStr">
        <is>
          <t>Sveaskog</t>
        </is>
      </c>
      <c r="I2571" t="n">
        <v>0.6</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20343-2026</t>
        </is>
      </c>
      <c r="B2572" t="inlineStr">
        <is>
          <t>avverkningsanmälan</t>
        </is>
      </c>
      <c r="C2572" t="inlineStr">
        <is>
          <t>Föryngringsavverkning</t>
        </is>
      </c>
      <c r="D2572" s="1" t="n">
        <v>46139</v>
      </c>
      <c r="E2572" s="1" t="n">
        <v>46316</v>
      </c>
      <c r="F2572" t="inlineStr">
        <is>
          <t>KRONOBERGS LÄN</t>
        </is>
      </c>
      <c r="G2572" t="inlineStr">
        <is>
          <t>UPPVIDINGE</t>
        </is>
      </c>
      <c r="I2572" t="n">
        <v>3</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9821-2025</t>
        </is>
      </c>
      <c r="B2573" t="inlineStr">
        <is>
          <t>avverkningsanmälan</t>
        </is>
      </c>
      <c r="C2573" t="inlineStr">
        <is>
          <t>Föryngringsavverkning</t>
        </is>
      </c>
      <c r="D2573" s="1" t="n">
        <v>45715</v>
      </c>
      <c r="E2573" s="1" t="n">
        <v>46316</v>
      </c>
      <c r="F2573" t="inlineStr">
        <is>
          <t>KRONOBERGS LÄN</t>
        </is>
      </c>
      <c r="G2573" t="inlineStr">
        <is>
          <t>VÄXJÖ</t>
        </is>
      </c>
      <c r="H2573" t="inlineStr">
        <is>
          <t>Kyrkan</t>
        </is>
      </c>
      <c r="I2573" t="n">
        <v>0.8</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9879-2025</t>
        </is>
      </c>
      <c r="B2574" t="inlineStr">
        <is>
          <t>avverkningsanmälan</t>
        </is>
      </c>
      <c r="C2574" t="inlineStr">
        <is>
          <t>Föryngringsavverkning</t>
        </is>
      </c>
      <c r="D2574" s="1" t="n">
        <v>45716</v>
      </c>
      <c r="E2574" s="1" t="n">
        <v>46316</v>
      </c>
      <c r="F2574" t="inlineStr">
        <is>
          <t>KRONOBERGS LÄN</t>
        </is>
      </c>
      <c r="G2574" t="inlineStr">
        <is>
          <t>ÄLMHULT</t>
        </is>
      </c>
      <c r="H2574" t="inlineStr">
        <is>
          <t>Sveaskog</t>
        </is>
      </c>
      <c r="I2574" t="n">
        <v>0.6</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59782-2025</t>
        </is>
      </c>
      <c r="B2575" t="inlineStr">
        <is>
          <t>avverkningsanmälan</t>
        </is>
      </c>
      <c r="C2575" t="inlineStr">
        <is>
          <t>Föryngringsavverkning</t>
        </is>
      </c>
      <c r="D2575" s="1" t="n">
        <v>45992</v>
      </c>
      <c r="E2575" s="1" t="n">
        <v>46316</v>
      </c>
      <c r="F2575" t="inlineStr">
        <is>
          <t>KRONOBERGS LÄN</t>
        </is>
      </c>
      <c r="G2575" t="inlineStr">
        <is>
          <t>ALVESTA</t>
        </is>
      </c>
      <c r="I2575" t="n">
        <v>4.1</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59793-2025</t>
        </is>
      </c>
      <c r="B2576" t="inlineStr">
        <is>
          <t>avverkningsanmälan</t>
        </is>
      </c>
      <c r="C2576" t="inlineStr">
        <is>
          <t>Föryngringsavverkning</t>
        </is>
      </c>
      <c r="D2576" s="1" t="n">
        <v>45992</v>
      </c>
      <c r="E2576" s="1" t="n">
        <v>46316</v>
      </c>
      <c r="F2576" t="inlineStr">
        <is>
          <t>KRONOBERGS LÄN</t>
        </is>
      </c>
      <c r="G2576" t="inlineStr">
        <is>
          <t>ÄLMHULT</t>
        </is>
      </c>
      <c r="H2576" t="inlineStr">
        <is>
          <t>Sveaskog</t>
        </is>
      </c>
      <c r="I2576" t="n">
        <v>2.3</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34738-2025</t>
        </is>
      </c>
      <c r="B2577" t="inlineStr">
        <is>
          <t>avverkningsanmälan</t>
        </is>
      </c>
      <c r="C2577" t="inlineStr">
        <is>
          <t>Föryngringsavverkning</t>
        </is>
      </c>
      <c r="D2577" s="1" t="n">
        <v>45848</v>
      </c>
      <c r="E2577" s="1" t="n">
        <v>46316</v>
      </c>
      <c r="F2577" t="inlineStr">
        <is>
          <t>KRONOBERGS LÄN</t>
        </is>
      </c>
      <c r="G2577" t="inlineStr">
        <is>
          <t>LJUNGBY</t>
        </is>
      </c>
      <c r="I2577" t="n">
        <v>4.7</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18694-2022</t>
        </is>
      </c>
      <c r="B2578" t="inlineStr">
        <is>
          <t>avverkningsanmälan</t>
        </is>
      </c>
      <c r="C2578" t="inlineStr">
        <is>
          <t>Föryngringsavverkning</t>
        </is>
      </c>
      <c r="D2578" s="1" t="n">
        <v>44687</v>
      </c>
      <c r="E2578" s="1" t="n">
        <v>46316</v>
      </c>
      <c r="F2578" t="inlineStr">
        <is>
          <t>KRONOBERGS LÄN</t>
        </is>
      </c>
      <c r="G2578" t="inlineStr">
        <is>
          <t>VÄXJÖ</t>
        </is>
      </c>
      <c r="I2578" t="n">
        <v>1.4</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60539-2025</t>
        </is>
      </c>
      <c r="B2579" t="inlineStr">
        <is>
          <t>avverkningsanmälan</t>
        </is>
      </c>
      <c r="C2579" t="inlineStr">
        <is>
          <t>Föryngringsavverkning</t>
        </is>
      </c>
      <c r="D2579" s="1" t="n">
        <v>45995</v>
      </c>
      <c r="E2579" s="1" t="n">
        <v>46316</v>
      </c>
      <c r="F2579" t="inlineStr">
        <is>
          <t>KRONOBERGS LÄN</t>
        </is>
      </c>
      <c r="G2579" t="inlineStr">
        <is>
          <t>UPPVIDINGE</t>
        </is>
      </c>
      <c r="I2579" t="n">
        <v>5.2</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13859-2024</t>
        </is>
      </c>
      <c r="B2580" t="inlineStr">
        <is>
          <t>avverkningsanmälan</t>
        </is>
      </c>
      <c r="C2580" t="inlineStr">
        <is>
          <t>Föryngringsavverkning</t>
        </is>
      </c>
      <c r="D2580" s="1" t="n">
        <v>45390</v>
      </c>
      <c r="E2580" s="1" t="n">
        <v>46316</v>
      </c>
      <c r="F2580" t="inlineStr">
        <is>
          <t>KRONOBERGS LÄN</t>
        </is>
      </c>
      <c r="G2580" t="inlineStr">
        <is>
          <t>VÄXJÖ</t>
        </is>
      </c>
      <c r="I2580" t="n">
        <v>1.8</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42364-2024</t>
        </is>
      </c>
      <c r="B2581" t="inlineStr">
        <is>
          <t>avverkningsanmälan</t>
        </is>
      </c>
      <c r="C2581" t="inlineStr">
        <is>
          <t>Föryngringsavverkning</t>
        </is>
      </c>
      <c r="D2581" s="1" t="n">
        <v>45563</v>
      </c>
      <c r="E2581" s="1" t="n">
        <v>46316</v>
      </c>
      <c r="F2581" t="inlineStr">
        <is>
          <t>KRONOBERGS LÄN</t>
        </is>
      </c>
      <c r="G2581" t="inlineStr">
        <is>
          <t>ALVESTA</t>
        </is>
      </c>
      <c r="I2581" t="n">
        <v>0.4</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31778-2025</t>
        </is>
      </c>
      <c r="B2582" t="inlineStr">
        <is>
          <t>avverkningsanmälan</t>
        </is>
      </c>
      <c r="C2582" t="inlineStr">
        <is>
          <t>Föryngringsavverkning</t>
        </is>
      </c>
      <c r="D2582" s="1" t="n">
        <v>45834</v>
      </c>
      <c r="E2582" s="1" t="n">
        <v>46316</v>
      </c>
      <c r="F2582" t="inlineStr">
        <is>
          <t>KRONOBERGS LÄN</t>
        </is>
      </c>
      <c r="G2582" t="inlineStr">
        <is>
          <t>ALVESTA</t>
        </is>
      </c>
      <c r="I2582" t="n">
        <v>1</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35140-2025</t>
        </is>
      </c>
      <c r="B2583" t="inlineStr">
        <is>
          <t>avverkningsanmälan</t>
        </is>
      </c>
      <c r="C2583" t="inlineStr">
        <is>
          <t>Föryngringsavverkning</t>
        </is>
      </c>
      <c r="D2583" s="1" t="n">
        <v>45852</v>
      </c>
      <c r="E2583" s="1" t="n">
        <v>46316</v>
      </c>
      <c r="F2583" t="inlineStr">
        <is>
          <t>KRONOBERGS LÄN</t>
        </is>
      </c>
      <c r="G2583" t="inlineStr">
        <is>
          <t>ALVESTA</t>
        </is>
      </c>
      <c r="I2583" t="n">
        <v>0.6</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11427-2024</t>
        </is>
      </c>
      <c r="B2584" t="inlineStr">
        <is>
          <t>avverkningsanmälan</t>
        </is>
      </c>
      <c r="C2584" t="inlineStr">
        <is>
          <t>Föryngringsavverkning</t>
        </is>
      </c>
      <c r="D2584" s="1" t="n">
        <v>45372</v>
      </c>
      <c r="E2584" s="1" t="n">
        <v>46316</v>
      </c>
      <c r="F2584" t="inlineStr">
        <is>
          <t>KRONOBERGS LÄN</t>
        </is>
      </c>
      <c r="G2584" t="inlineStr">
        <is>
          <t>ÄLMHULT</t>
        </is>
      </c>
      <c r="I2584" t="n">
        <v>0.5</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1490-2025</t>
        </is>
      </c>
      <c r="B2585" t="inlineStr">
        <is>
          <t>avverkningsanmälan</t>
        </is>
      </c>
      <c r="C2585" t="inlineStr">
        <is>
          <t>Avverkning för annat ändamål</t>
        </is>
      </c>
      <c r="D2585" s="1" t="n">
        <v>45670</v>
      </c>
      <c r="E2585" s="1" t="n">
        <v>46316</v>
      </c>
      <c r="F2585" t="inlineStr">
        <is>
          <t>KRONOBERGS LÄN</t>
        </is>
      </c>
      <c r="G2585" t="inlineStr">
        <is>
          <t>LESSEBO</t>
        </is>
      </c>
      <c r="H2585" t="inlineStr">
        <is>
          <t>Sveaskog</t>
        </is>
      </c>
      <c r="I2585" t="n">
        <v>0.8</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35251-2025</t>
        </is>
      </c>
      <c r="B2586" t="inlineStr">
        <is>
          <t>avverkningsanmälan</t>
        </is>
      </c>
      <c r="C2586" t="inlineStr">
        <is>
          <t>Föryngringsavverkning</t>
        </is>
      </c>
      <c r="D2586" s="1" t="n">
        <v>45853</v>
      </c>
      <c r="E2586" s="1" t="n">
        <v>46316</v>
      </c>
      <c r="F2586" t="inlineStr">
        <is>
          <t>KRONOBERGS LÄN</t>
        </is>
      </c>
      <c r="G2586" t="inlineStr">
        <is>
          <t>VÄXJÖ</t>
        </is>
      </c>
      <c r="I2586" t="n">
        <v>0.6</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26979-2025</t>
        </is>
      </c>
      <c r="B2587" t="inlineStr">
        <is>
          <t>avverkningsanmälan</t>
        </is>
      </c>
      <c r="C2587" t="inlineStr">
        <is>
          <t>Föryngringsavverkning</t>
        </is>
      </c>
      <c r="D2587" s="1" t="n">
        <v>45811</v>
      </c>
      <c r="E2587" s="1" t="n">
        <v>46316</v>
      </c>
      <c r="F2587" t="inlineStr">
        <is>
          <t>KRONOBERGS LÄN</t>
        </is>
      </c>
      <c r="G2587" t="inlineStr">
        <is>
          <t>LJUNGBY</t>
        </is>
      </c>
      <c r="I2587" t="n">
        <v>2.6</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46558-2025</t>
        </is>
      </c>
      <c r="B2588" t="inlineStr">
        <is>
          <t>avverkningsanmälan</t>
        </is>
      </c>
      <c r="C2588" t="inlineStr">
        <is>
          <t>Föryngringsavverkning</t>
        </is>
      </c>
      <c r="D2588" s="1" t="n">
        <v>45926</v>
      </c>
      <c r="E2588" s="1" t="n">
        <v>46316</v>
      </c>
      <c r="F2588" t="inlineStr">
        <is>
          <t>KRONOBERGS LÄN</t>
        </is>
      </c>
      <c r="G2588" t="inlineStr">
        <is>
          <t>TINGSRYD</t>
        </is>
      </c>
      <c r="I2588" t="n">
        <v>0.8</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21508-2023</t>
        </is>
      </c>
      <c r="B2589" t="inlineStr">
        <is>
          <t>avverkningsanmälan</t>
        </is>
      </c>
      <c r="C2589" t="inlineStr">
        <is>
          <t>Föryngringsavverkning</t>
        </is>
      </c>
      <c r="D2589" s="1" t="n">
        <v>45063</v>
      </c>
      <c r="E2589" s="1" t="n">
        <v>46316</v>
      </c>
      <c r="F2589" t="inlineStr">
        <is>
          <t>KRONOBERGS LÄN</t>
        </is>
      </c>
      <c r="G2589" t="inlineStr">
        <is>
          <t>TINGSRYD</t>
        </is>
      </c>
      <c r="I2589" t="n">
        <v>1.3</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27095-2024</t>
        </is>
      </c>
      <c r="B2590" t="inlineStr">
        <is>
          <t>avverkningsanmälan</t>
        </is>
      </c>
      <c r="C2590" t="inlineStr">
        <is>
          <t>Föryngringsavverkning</t>
        </is>
      </c>
      <c r="D2590" s="1" t="n">
        <v>45471</v>
      </c>
      <c r="E2590" s="1" t="n">
        <v>46316</v>
      </c>
      <c r="F2590" t="inlineStr">
        <is>
          <t>KRONOBERGS LÄN</t>
        </is>
      </c>
      <c r="G2590" t="inlineStr">
        <is>
          <t>ALVESTA</t>
        </is>
      </c>
      <c r="I2590" t="n">
        <v>2.4</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30720-2025</t>
        </is>
      </c>
      <c r="B2591" t="inlineStr">
        <is>
          <t>avverkningsanmälan</t>
        </is>
      </c>
      <c r="C2591" t="inlineStr">
        <is>
          <t>Föryngringsavverkning</t>
        </is>
      </c>
      <c r="D2591" s="1" t="n">
        <v>45831</v>
      </c>
      <c r="E2591" s="1" t="n">
        <v>46316</v>
      </c>
      <c r="F2591" t="inlineStr">
        <is>
          <t>KRONOBERGS LÄN</t>
        </is>
      </c>
      <c r="G2591" t="inlineStr">
        <is>
          <t>LJUNGBY</t>
        </is>
      </c>
      <c r="I2591" t="n">
        <v>1.6</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3843-2023</t>
        </is>
      </c>
      <c r="B2592" t="inlineStr">
        <is>
          <t>avverkningsanmälan</t>
        </is>
      </c>
      <c r="C2592" t="inlineStr">
        <is>
          <t>Föryngringsavverkning</t>
        </is>
      </c>
      <c r="D2592" s="1" t="n">
        <v>44951</v>
      </c>
      <c r="E2592" s="1" t="n">
        <v>46316</v>
      </c>
      <c r="F2592" t="inlineStr">
        <is>
          <t>KRONOBERGS LÄN</t>
        </is>
      </c>
      <c r="G2592" t="inlineStr">
        <is>
          <t>ALVESTA</t>
        </is>
      </c>
      <c r="I2592" t="n">
        <v>6.7</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45716-2025</t>
        </is>
      </c>
      <c r="B2593" t="inlineStr">
        <is>
          <t>avverkningsanmälan</t>
        </is>
      </c>
      <c r="C2593" t="inlineStr">
        <is>
          <t>Föryngringsavverkning</t>
        </is>
      </c>
      <c r="D2593" s="1" t="n">
        <v>45923</v>
      </c>
      <c r="E2593" s="1" t="n">
        <v>46316</v>
      </c>
      <c r="F2593" t="inlineStr">
        <is>
          <t>KRONOBERGS LÄN</t>
        </is>
      </c>
      <c r="G2593" t="inlineStr">
        <is>
          <t>MARKARYD</t>
        </is>
      </c>
      <c r="I2593" t="n">
        <v>1.3</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14796-2025</t>
        </is>
      </c>
      <c r="B2594" t="inlineStr">
        <is>
          <t>avverkningsanmälan</t>
        </is>
      </c>
      <c r="C2594" t="inlineStr">
        <is>
          <t>Föryngringsavverkning</t>
        </is>
      </c>
      <c r="D2594" s="1" t="n">
        <v>45742</v>
      </c>
      <c r="E2594" s="1" t="n">
        <v>46316</v>
      </c>
      <c r="F2594" t="inlineStr">
        <is>
          <t>KRONOBERGS LÄN</t>
        </is>
      </c>
      <c r="G2594" t="inlineStr">
        <is>
          <t>LJUNGBY</t>
        </is>
      </c>
      <c r="I2594" t="n">
        <v>0.8</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59122-2025</t>
        </is>
      </c>
      <c r="B2595" t="inlineStr">
        <is>
          <t>avverkningsanmälan</t>
        </is>
      </c>
      <c r="C2595" t="inlineStr">
        <is>
          <t>Föryngringsavverkning</t>
        </is>
      </c>
      <c r="D2595" s="1" t="n">
        <v>45988</v>
      </c>
      <c r="E2595" s="1" t="n">
        <v>46316</v>
      </c>
      <c r="F2595" t="inlineStr">
        <is>
          <t>KRONOBERGS LÄN</t>
        </is>
      </c>
      <c r="G2595" t="inlineStr">
        <is>
          <t>VÄXJÖ</t>
        </is>
      </c>
      <c r="I2595" t="n">
        <v>0.7</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56387-2023</t>
        </is>
      </c>
      <c r="B2596" t="inlineStr">
        <is>
          <t>avverkningsanmälan</t>
        </is>
      </c>
      <c r="C2596" t="inlineStr">
        <is>
          <t>Avverkning för annat ändamål</t>
        </is>
      </c>
      <c r="D2596" s="1" t="n">
        <v>45243</v>
      </c>
      <c r="E2596" s="1" t="n">
        <v>46316</v>
      </c>
      <c r="F2596" t="inlineStr">
        <is>
          <t>KRONOBERGS LÄN</t>
        </is>
      </c>
      <c r="G2596" t="inlineStr">
        <is>
          <t>LJUNGBY</t>
        </is>
      </c>
      <c r="I2596" t="n">
        <v>0.8</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60484-2025</t>
        </is>
      </c>
      <c r="B2597" t="inlineStr">
        <is>
          <t>avverkningsanmälan</t>
        </is>
      </c>
      <c r="C2597" t="inlineStr">
        <is>
          <t>Föryngringsavverkning</t>
        </is>
      </c>
      <c r="D2597" s="1" t="n">
        <v>45995</v>
      </c>
      <c r="E2597" s="1" t="n">
        <v>46316</v>
      </c>
      <c r="F2597" t="inlineStr">
        <is>
          <t>KRONOBERGS LÄN</t>
        </is>
      </c>
      <c r="G2597" t="inlineStr">
        <is>
          <t>UPPVIDINGE</t>
        </is>
      </c>
      <c r="I2597" t="n">
        <v>0.8</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58490-2023</t>
        </is>
      </c>
      <c r="B2598" t="inlineStr">
        <is>
          <t>avverkningsanmälan</t>
        </is>
      </c>
      <c r="C2598" t="inlineStr">
        <is>
          <t>Föryngringsavverkning</t>
        </is>
      </c>
      <c r="D2598" s="1" t="n">
        <v>45251</v>
      </c>
      <c r="E2598" s="1" t="n">
        <v>46316</v>
      </c>
      <c r="F2598" t="inlineStr">
        <is>
          <t>KRONOBERGS LÄN</t>
        </is>
      </c>
      <c r="G2598" t="inlineStr">
        <is>
          <t>ÄLMHULT</t>
        </is>
      </c>
      <c r="I2598" t="n">
        <v>7.1</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40069-2025</t>
        </is>
      </c>
      <c r="B2599" t="inlineStr">
        <is>
          <t>avverkningsanmälan</t>
        </is>
      </c>
      <c r="C2599" t="inlineStr">
        <is>
          <t>Föryngringsavverkning</t>
        </is>
      </c>
      <c r="D2599" s="1" t="n">
        <v>45894</v>
      </c>
      <c r="E2599" s="1" t="n">
        <v>46316</v>
      </c>
      <c r="F2599" t="inlineStr">
        <is>
          <t>KRONOBERGS LÄN</t>
        </is>
      </c>
      <c r="G2599" t="inlineStr">
        <is>
          <t>VÄXJÖ</t>
        </is>
      </c>
      <c r="I2599" t="n">
        <v>4.5</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5972-2023</t>
        </is>
      </c>
      <c r="B2600" t="inlineStr">
        <is>
          <t>avverkningsanmälan</t>
        </is>
      </c>
      <c r="C2600" t="inlineStr">
        <is>
          <t>Föryngringsavverkning</t>
        </is>
      </c>
      <c r="D2600" s="1" t="n">
        <v>44964</v>
      </c>
      <c r="E2600" s="1" t="n">
        <v>46316</v>
      </c>
      <c r="F2600" t="inlineStr">
        <is>
          <t>KRONOBERGS LÄN</t>
        </is>
      </c>
      <c r="G2600" t="inlineStr">
        <is>
          <t>TINGSRYD</t>
        </is>
      </c>
      <c r="I2600" t="n">
        <v>1.9</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11352-2025</t>
        </is>
      </c>
      <c r="B2601" t="inlineStr">
        <is>
          <t>avverkningsanmälan</t>
        </is>
      </c>
      <c r="C2601" t="inlineStr">
        <is>
          <t>Föryngringsavverkning</t>
        </is>
      </c>
      <c r="D2601" s="1" t="n">
        <v>45726</v>
      </c>
      <c r="E2601" s="1" t="n">
        <v>46316</v>
      </c>
      <c r="F2601" t="inlineStr">
        <is>
          <t>KRONOBERGS LÄN</t>
        </is>
      </c>
      <c r="G2601" t="inlineStr">
        <is>
          <t>ÄLMHULT</t>
        </is>
      </c>
      <c r="I2601" t="n">
        <v>2.6</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15496-2025</t>
        </is>
      </c>
      <c r="B2602" t="inlineStr">
        <is>
          <t>avverkningsanmälan</t>
        </is>
      </c>
      <c r="C2602" t="inlineStr">
        <is>
          <t>Föryngringsavverkning</t>
        </is>
      </c>
      <c r="D2602" s="1" t="n">
        <v>45747</v>
      </c>
      <c r="E2602" s="1" t="n">
        <v>46316</v>
      </c>
      <c r="F2602" t="inlineStr">
        <is>
          <t>KRONOBERGS LÄN</t>
        </is>
      </c>
      <c r="G2602" t="inlineStr">
        <is>
          <t>UPPVIDINGE</t>
        </is>
      </c>
      <c r="H2602" t="inlineStr">
        <is>
          <t>Kommuner</t>
        </is>
      </c>
      <c r="I2602" t="n">
        <v>1.9</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45813-2025</t>
        </is>
      </c>
      <c r="B2603" t="inlineStr">
        <is>
          <t>avverkningsanmälan</t>
        </is>
      </c>
      <c r="C2603" t="inlineStr">
        <is>
          <t>Föryngringsavverkning</t>
        </is>
      </c>
      <c r="D2603" s="1" t="n">
        <v>45923</v>
      </c>
      <c r="E2603" s="1" t="n">
        <v>46316</v>
      </c>
      <c r="F2603" t="inlineStr">
        <is>
          <t>KRONOBERGS LÄN</t>
        </is>
      </c>
      <c r="G2603" t="inlineStr">
        <is>
          <t>VÄXJÖ</t>
        </is>
      </c>
      <c r="I2603" t="n">
        <v>3</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38859-2023</t>
        </is>
      </c>
      <c r="B2604" t="inlineStr">
        <is>
          <t>avverkningsanmälan</t>
        </is>
      </c>
      <c r="C2604" t="inlineStr">
        <is>
          <t>Föryngringsavverkning</t>
        </is>
      </c>
      <c r="D2604" s="1" t="n">
        <v>45163</v>
      </c>
      <c r="E2604" s="1" t="n">
        <v>46316</v>
      </c>
      <c r="F2604" t="inlineStr">
        <is>
          <t>KRONOBERGS LÄN</t>
        </is>
      </c>
      <c r="G2604" t="inlineStr">
        <is>
          <t>ALVESTA</t>
        </is>
      </c>
      <c r="I2604" t="n">
        <v>0.9</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27421-2024</t>
        </is>
      </c>
      <c r="B2605" t="inlineStr">
        <is>
          <t>avverkningsanmälan</t>
        </is>
      </c>
      <c r="C2605" t="inlineStr">
        <is>
          <t>Föryngringsavverkning</t>
        </is>
      </c>
      <c r="D2605" s="1" t="n">
        <v>45474</v>
      </c>
      <c r="E2605" s="1" t="n">
        <v>46316</v>
      </c>
      <c r="F2605" t="inlineStr">
        <is>
          <t>KRONOBERGS LÄN</t>
        </is>
      </c>
      <c r="G2605" t="inlineStr">
        <is>
          <t>TINGSRYD</t>
        </is>
      </c>
      <c r="I2605" t="n">
        <v>2.4</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60480-2025</t>
        </is>
      </c>
      <c r="B2606" t="inlineStr">
        <is>
          <t>avverkningsanmälan</t>
        </is>
      </c>
      <c r="C2606" t="inlineStr">
        <is>
          <t>Föryngringsavverkning</t>
        </is>
      </c>
      <c r="D2606" s="1" t="n">
        <v>45995</v>
      </c>
      <c r="E2606" s="1" t="n">
        <v>46316</v>
      </c>
      <c r="F2606" t="inlineStr">
        <is>
          <t>KRONOBERGS LÄN</t>
        </is>
      </c>
      <c r="G2606" t="inlineStr">
        <is>
          <t>LJUNGBY</t>
        </is>
      </c>
      <c r="I2606" t="n">
        <v>1.2</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16241-2022</t>
        </is>
      </c>
      <c r="B2607" t="inlineStr">
        <is>
          <t>avverkningsanmälan</t>
        </is>
      </c>
      <c r="C2607" t="inlineStr">
        <is>
          <t>Föryngringsavverkning</t>
        </is>
      </c>
      <c r="D2607" s="1" t="n">
        <v>44670</v>
      </c>
      <c r="E2607" s="1" t="n">
        <v>46316</v>
      </c>
      <c r="F2607" t="inlineStr">
        <is>
          <t>KRONOBERGS LÄN</t>
        </is>
      </c>
      <c r="G2607" t="inlineStr">
        <is>
          <t>LJUNGBY</t>
        </is>
      </c>
      <c r="I2607" t="n">
        <v>1.7</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60744-2023</t>
        </is>
      </c>
      <c r="B2608" t="inlineStr">
        <is>
          <t>avverkningsanmälan</t>
        </is>
      </c>
      <c r="C2608" t="inlineStr">
        <is>
          <t>Föryngringsavverkning</t>
        </is>
      </c>
      <c r="D2608" s="1" t="n">
        <v>45260</v>
      </c>
      <c r="E2608" s="1" t="n">
        <v>46316</v>
      </c>
      <c r="F2608" t="inlineStr">
        <is>
          <t>KRONOBERGS LÄN</t>
        </is>
      </c>
      <c r="G2608" t="inlineStr">
        <is>
          <t>TINGSRYD</t>
        </is>
      </c>
      <c r="I2608" t="n">
        <v>1.5</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12427-2022</t>
        </is>
      </c>
      <c r="B2609" t="inlineStr">
        <is>
          <t>avverkningsanmälan</t>
        </is>
      </c>
      <c r="C2609" t="inlineStr">
        <is>
          <t>Föryngringsavverkning</t>
        </is>
      </c>
      <c r="D2609" s="1" t="n">
        <v>44638</v>
      </c>
      <c r="E2609" s="1" t="n">
        <v>46316</v>
      </c>
      <c r="F2609" t="inlineStr">
        <is>
          <t>KRONOBERGS LÄN</t>
        </is>
      </c>
      <c r="G2609" t="inlineStr">
        <is>
          <t>UPPVIDINGE</t>
        </is>
      </c>
      <c r="I2609" t="n">
        <v>1.4</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35309-2024</t>
        </is>
      </c>
      <c r="B2610" t="inlineStr">
        <is>
          <t>avverkningsanmälan</t>
        </is>
      </c>
      <c r="C2610" t="inlineStr">
        <is>
          <t>Föryngringsavverkning</t>
        </is>
      </c>
      <c r="D2610" s="1" t="n">
        <v>45530</v>
      </c>
      <c r="E2610" s="1" t="n">
        <v>46316</v>
      </c>
      <c r="F2610" t="inlineStr">
        <is>
          <t>KRONOBERGS LÄN</t>
        </is>
      </c>
      <c r="G2610" t="inlineStr">
        <is>
          <t>MARKARYD</t>
        </is>
      </c>
      <c r="H2610" t="inlineStr">
        <is>
          <t>Sveaskog</t>
        </is>
      </c>
      <c r="I2610" t="n">
        <v>0.4</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36911-2025</t>
        </is>
      </c>
      <c r="B2611" t="inlineStr">
        <is>
          <t>avverkningsanmälan</t>
        </is>
      </c>
      <c r="C2611" t="inlineStr">
        <is>
          <t>Föryngringsavverkning</t>
        </is>
      </c>
      <c r="D2611" s="1" t="n">
        <v>45874</v>
      </c>
      <c r="E2611" s="1" t="n">
        <v>46316</v>
      </c>
      <c r="F2611" t="inlineStr">
        <is>
          <t>KRONOBERGS LÄN</t>
        </is>
      </c>
      <c r="G2611" t="inlineStr">
        <is>
          <t>ALVESTA</t>
        </is>
      </c>
      <c r="I2611" t="n">
        <v>2.3</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55977-2025</t>
        </is>
      </c>
      <c r="B2612" t="inlineStr">
        <is>
          <t>avverkningsanmälan</t>
        </is>
      </c>
      <c r="C2612" t="inlineStr">
        <is>
          <t>Föryngringsavverkning</t>
        </is>
      </c>
      <c r="D2612" s="1" t="n">
        <v>45973</v>
      </c>
      <c r="E2612" s="1" t="n">
        <v>46316</v>
      </c>
      <c r="F2612" t="inlineStr">
        <is>
          <t>KRONOBERGS LÄN</t>
        </is>
      </c>
      <c r="G2612" t="inlineStr">
        <is>
          <t>UPPVIDINGE</t>
        </is>
      </c>
      <c r="I2612" t="n">
        <v>0.8</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38425-2025</t>
        </is>
      </c>
      <c r="B2613" t="inlineStr">
        <is>
          <t>avverkningsanmälan</t>
        </is>
      </c>
      <c r="C2613" t="inlineStr">
        <is>
          <t>Föryngringsavverkning</t>
        </is>
      </c>
      <c r="D2613" s="1" t="n">
        <v>45883</v>
      </c>
      <c r="E2613" s="1" t="n">
        <v>46316</v>
      </c>
      <c r="F2613" t="inlineStr">
        <is>
          <t>KRONOBERGS LÄN</t>
        </is>
      </c>
      <c r="G2613" t="inlineStr">
        <is>
          <t>VÄXJÖ</t>
        </is>
      </c>
      <c r="I2613" t="n">
        <v>1.3</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50115-2022</t>
        </is>
      </c>
      <c r="B2614" t="inlineStr">
        <is>
          <t>avverkningsanmälan</t>
        </is>
      </c>
      <c r="C2614" t="inlineStr">
        <is>
          <t>Föryngringsavverkning</t>
        </is>
      </c>
      <c r="D2614" s="1" t="n">
        <v>44865</v>
      </c>
      <c r="E2614" s="1" t="n">
        <v>46316</v>
      </c>
      <c r="F2614" t="inlineStr">
        <is>
          <t>KRONOBERGS LÄN</t>
        </is>
      </c>
      <c r="G2614" t="inlineStr">
        <is>
          <t>UPPVIDINGE</t>
        </is>
      </c>
      <c r="I2614" t="n">
        <v>0.9</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38433-2025</t>
        </is>
      </c>
      <c r="B2615" t="inlineStr">
        <is>
          <t>avverkningsanmälan</t>
        </is>
      </c>
      <c r="C2615" t="inlineStr">
        <is>
          <t>Föryngringsavverkning</t>
        </is>
      </c>
      <c r="D2615" s="1" t="n">
        <v>45883</v>
      </c>
      <c r="E2615" s="1" t="n">
        <v>46316</v>
      </c>
      <c r="F2615" t="inlineStr">
        <is>
          <t>KRONOBERGS LÄN</t>
        </is>
      </c>
      <c r="G2615" t="inlineStr">
        <is>
          <t>VÄXJÖ</t>
        </is>
      </c>
      <c r="I2615" t="n">
        <v>1.7</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30374-2025</t>
        </is>
      </c>
      <c r="B2616" t="inlineStr">
        <is>
          <t>avverkningsanmälan</t>
        </is>
      </c>
      <c r="C2616" t="inlineStr">
        <is>
          <t>Föryngringsavverkning</t>
        </is>
      </c>
      <c r="D2616" s="1" t="n">
        <v>45827</v>
      </c>
      <c r="E2616" s="1" t="n">
        <v>46316</v>
      </c>
      <c r="F2616" t="inlineStr">
        <is>
          <t>KRONOBERGS LÄN</t>
        </is>
      </c>
      <c r="G2616" t="inlineStr">
        <is>
          <t>VÄXJÖ</t>
        </is>
      </c>
      <c r="I2616" t="n">
        <v>1.3</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20388-2026</t>
        </is>
      </c>
      <c r="B2617" t="inlineStr">
        <is>
          <t>avverkningsanmälan</t>
        </is>
      </c>
      <c r="C2617" t="inlineStr">
        <is>
          <t>Föryngringsavverkning</t>
        </is>
      </c>
      <c r="D2617" s="1" t="n">
        <v>46139</v>
      </c>
      <c r="E2617" s="1" t="n">
        <v>46316</v>
      </c>
      <c r="F2617" t="inlineStr">
        <is>
          <t>KRONOBERGS LÄN</t>
        </is>
      </c>
      <c r="G2617" t="inlineStr">
        <is>
          <t>LJUNGBY</t>
        </is>
      </c>
      <c r="I2617" t="n">
        <v>4.2</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1331-2026</t>
        </is>
      </c>
      <c r="B2618" t="inlineStr">
        <is>
          <t>avverkningsanmälan</t>
        </is>
      </c>
      <c r="C2618" t="inlineStr">
        <is>
          <t>Föryngringsavverkning</t>
        </is>
      </c>
      <c r="D2618" s="1" t="n">
        <v>46031</v>
      </c>
      <c r="E2618" s="1" t="n">
        <v>46316</v>
      </c>
      <c r="F2618" t="inlineStr">
        <is>
          <t>KRONOBERGS LÄN</t>
        </is>
      </c>
      <c r="G2618" t="inlineStr">
        <is>
          <t>TINGSRYD</t>
        </is>
      </c>
      <c r="I2618" t="n">
        <v>1.7</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60354-2025</t>
        </is>
      </c>
      <c r="B2619" t="inlineStr">
        <is>
          <t>avverkningsanmälan</t>
        </is>
      </c>
      <c r="C2619" t="inlineStr">
        <is>
          <t>Föryngringsavverkning</t>
        </is>
      </c>
      <c r="D2619" s="1" t="n">
        <v>45995</v>
      </c>
      <c r="E2619" s="1" t="n">
        <v>46316</v>
      </c>
      <c r="F2619" t="inlineStr">
        <is>
          <t>KRONOBERGS LÄN</t>
        </is>
      </c>
      <c r="G2619" t="inlineStr">
        <is>
          <t>UPPVIDINGE</t>
        </is>
      </c>
      <c r="H2619" t="inlineStr">
        <is>
          <t>Sveaskog</t>
        </is>
      </c>
      <c r="I2619" t="n">
        <v>0.9</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34160-2023</t>
        </is>
      </c>
      <c r="B2620" t="inlineStr">
        <is>
          <t>avverkningsanmälan</t>
        </is>
      </c>
      <c r="C2620" t="inlineStr">
        <is>
          <t>Föryngringsavverkning</t>
        </is>
      </c>
      <c r="D2620" s="1" t="n">
        <v>45137</v>
      </c>
      <c r="E2620" s="1" t="n">
        <v>46316</v>
      </c>
      <c r="F2620" t="inlineStr">
        <is>
          <t>KRONOBERGS LÄN</t>
        </is>
      </c>
      <c r="G2620" t="inlineStr">
        <is>
          <t>LJUNGBY</t>
        </is>
      </c>
      <c r="I2620" t="n">
        <v>2.1</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59477-2024</t>
        </is>
      </c>
      <c r="B2621" t="inlineStr">
        <is>
          <t>avverkningsanmälan</t>
        </is>
      </c>
      <c r="C2621" t="inlineStr">
        <is>
          <t>Avverkning för att bevara och utveckla /försöksver</t>
        </is>
      </c>
      <c r="D2621" s="1" t="n">
        <v>45638</v>
      </c>
      <c r="E2621" s="1" t="n">
        <v>46316</v>
      </c>
      <c r="F2621" t="inlineStr">
        <is>
          <t>KRONOBERGS LÄN</t>
        </is>
      </c>
      <c r="G2621" t="inlineStr">
        <is>
          <t>VÄXJÖ</t>
        </is>
      </c>
      <c r="I2621" t="n">
        <v>1.7</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14868-2025</t>
        </is>
      </c>
      <c r="B2622" t="inlineStr">
        <is>
          <t>avverkningsanmälan</t>
        </is>
      </c>
      <c r="C2622" t="inlineStr">
        <is>
          <t>Avverkning för annat ändamål</t>
        </is>
      </c>
      <c r="D2622" s="1" t="n">
        <v>45743</v>
      </c>
      <c r="E2622" s="1" t="n">
        <v>46316</v>
      </c>
      <c r="F2622" t="inlineStr">
        <is>
          <t>KRONOBERGS LÄN</t>
        </is>
      </c>
      <c r="G2622" t="inlineStr">
        <is>
          <t>VÄXJÖ</t>
        </is>
      </c>
      <c r="I2622" t="n">
        <v>2.8</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31855-2023</t>
        </is>
      </c>
      <c r="B2623" t="inlineStr">
        <is>
          <t>avverkningsanmälan</t>
        </is>
      </c>
      <c r="C2623" t="inlineStr">
        <is>
          <t>Föryngringsavverkning</t>
        </is>
      </c>
      <c r="D2623" s="1" t="n">
        <v>45106</v>
      </c>
      <c r="E2623" s="1" t="n">
        <v>46316</v>
      </c>
      <c r="F2623" t="inlineStr">
        <is>
          <t>KRONOBERGS LÄN</t>
        </is>
      </c>
      <c r="G2623" t="inlineStr">
        <is>
          <t>ALVESTA</t>
        </is>
      </c>
      <c r="I2623" t="n">
        <v>1.9</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40865-2025</t>
        </is>
      </c>
      <c r="B2624" t="inlineStr">
        <is>
          <t>avverkningsanmälan</t>
        </is>
      </c>
      <c r="C2624" t="inlineStr">
        <is>
          <t>Föryngringsavverkning</t>
        </is>
      </c>
      <c r="D2624" s="1" t="n">
        <v>45897</v>
      </c>
      <c r="E2624" s="1" t="n">
        <v>46316</v>
      </c>
      <c r="F2624" t="inlineStr">
        <is>
          <t>KRONOBERGS LÄN</t>
        </is>
      </c>
      <c r="G2624" t="inlineStr">
        <is>
          <t>TINGSRYD</t>
        </is>
      </c>
      <c r="I2624" t="n">
        <v>1.5</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60793-2025</t>
        </is>
      </c>
      <c r="B2625" t="inlineStr">
        <is>
          <t>avverkningsanmälan</t>
        </is>
      </c>
      <c r="C2625" t="inlineStr">
        <is>
          <t>Föryngringsavverkning</t>
        </is>
      </c>
      <c r="D2625" s="1" t="n">
        <v>45999</v>
      </c>
      <c r="E2625" s="1" t="n">
        <v>46316</v>
      </c>
      <c r="F2625" t="inlineStr">
        <is>
          <t>KRONOBERGS LÄN</t>
        </is>
      </c>
      <c r="G2625" t="inlineStr">
        <is>
          <t>VÄXJÖ</t>
        </is>
      </c>
      <c r="I2625" t="n">
        <v>0.6</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60951-2025</t>
        </is>
      </c>
      <c r="B2626" t="inlineStr">
        <is>
          <t>avverkningsanmälan</t>
        </is>
      </c>
      <c r="C2626" t="inlineStr">
        <is>
          <t>Föryngringsavverkning</t>
        </is>
      </c>
      <c r="D2626" s="1" t="n">
        <v>45999</v>
      </c>
      <c r="E2626" s="1" t="n">
        <v>46316</v>
      </c>
      <c r="F2626" t="inlineStr">
        <is>
          <t>KRONOBERGS LÄN</t>
        </is>
      </c>
      <c r="G2626" t="inlineStr">
        <is>
          <t>UPPVIDINGE</t>
        </is>
      </c>
      <c r="I2626" t="n">
        <v>2.7</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11348-2025</t>
        </is>
      </c>
      <c r="B2627" t="inlineStr">
        <is>
          <t>avverkningsanmälan</t>
        </is>
      </c>
      <c r="C2627" t="inlineStr">
        <is>
          <t>Föryngringsavverkning</t>
        </is>
      </c>
      <c r="D2627" s="1" t="n">
        <v>45726</v>
      </c>
      <c r="E2627" s="1" t="n">
        <v>46316</v>
      </c>
      <c r="F2627" t="inlineStr">
        <is>
          <t>KRONOBERGS LÄN</t>
        </is>
      </c>
      <c r="G2627" t="inlineStr">
        <is>
          <t>ÄLMHULT</t>
        </is>
      </c>
      <c r="I2627" t="n">
        <v>1.9</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35038-2025</t>
        </is>
      </c>
      <c r="B2628" t="inlineStr">
        <is>
          <t>avverkningsanmälan</t>
        </is>
      </c>
      <c r="C2628" t="inlineStr">
        <is>
          <t>Föryngringsavverkning</t>
        </is>
      </c>
      <c r="D2628" s="1" t="n">
        <v>45852</v>
      </c>
      <c r="E2628" s="1" t="n">
        <v>46316</v>
      </c>
      <c r="F2628" t="inlineStr">
        <is>
          <t>KRONOBERGS LÄN</t>
        </is>
      </c>
      <c r="G2628" t="inlineStr">
        <is>
          <t>LJUNGBY</t>
        </is>
      </c>
      <c r="I2628" t="n">
        <v>3</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23228-2025</t>
        </is>
      </c>
      <c r="B2629" t="inlineStr">
        <is>
          <t>avverkningsanmälan</t>
        </is>
      </c>
      <c r="C2629" t="inlineStr">
        <is>
          <t>Föryngringsavverkning</t>
        </is>
      </c>
      <c r="D2629" s="1" t="n">
        <v>45791</v>
      </c>
      <c r="E2629" s="1" t="n">
        <v>46316</v>
      </c>
      <c r="F2629" t="inlineStr">
        <is>
          <t>KRONOBERGS LÄN</t>
        </is>
      </c>
      <c r="G2629" t="inlineStr">
        <is>
          <t>VÄXJÖ</t>
        </is>
      </c>
      <c r="I2629" t="n">
        <v>1.9</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20621-2024</t>
        </is>
      </c>
      <c r="B2630" t="inlineStr">
        <is>
          <t>avverkningsanmälan</t>
        </is>
      </c>
      <c r="C2630" t="inlineStr">
        <is>
          <t>Föryngringsavverkning</t>
        </is>
      </c>
      <c r="D2630" s="1" t="n">
        <v>45436</v>
      </c>
      <c r="E2630" s="1" t="n">
        <v>46316</v>
      </c>
      <c r="F2630" t="inlineStr">
        <is>
          <t>KRONOBERGS LÄN</t>
        </is>
      </c>
      <c r="G2630" t="inlineStr">
        <is>
          <t>VÄXJÖ</t>
        </is>
      </c>
      <c r="I2630" t="n">
        <v>1.6</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20628-2024</t>
        </is>
      </c>
      <c r="B2631" t="inlineStr">
        <is>
          <t>avverkningsanmälan</t>
        </is>
      </c>
      <c r="C2631" t="inlineStr">
        <is>
          <t>Föryngringsavverkning</t>
        </is>
      </c>
      <c r="D2631" s="1" t="n">
        <v>45436</v>
      </c>
      <c r="E2631" s="1" t="n">
        <v>46316</v>
      </c>
      <c r="F2631" t="inlineStr">
        <is>
          <t>KRONOBERGS LÄN</t>
        </is>
      </c>
      <c r="G2631" t="inlineStr">
        <is>
          <t>ALVESTA</t>
        </is>
      </c>
      <c r="I2631" t="n">
        <v>0.5</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21272-2024</t>
        </is>
      </c>
      <c r="B2632" t="inlineStr">
        <is>
          <t>avverkningsanmälan</t>
        </is>
      </c>
      <c r="C2632" t="inlineStr">
        <is>
          <t>Föryngringsavverkning</t>
        </is>
      </c>
      <c r="D2632" s="1" t="n">
        <v>45440</v>
      </c>
      <c r="E2632" s="1" t="n">
        <v>46316</v>
      </c>
      <c r="F2632" t="inlineStr">
        <is>
          <t>KRONOBERGS LÄN</t>
        </is>
      </c>
      <c r="G2632" t="inlineStr">
        <is>
          <t>ÄLMHULT</t>
        </is>
      </c>
      <c r="I2632" t="n">
        <v>0.8</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56471-2024</t>
        </is>
      </c>
      <c r="B2633" t="inlineStr">
        <is>
          <t>avverkningsanmälan</t>
        </is>
      </c>
      <c r="C2633" t="inlineStr">
        <is>
          <t>Föryngringsavverkning</t>
        </is>
      </c>
      <c r="D2633" s="1" t="n">
        <v>45625</v>
      </c>
      <c r="E2633" s="1" t="n">
        <v>46316</v>
      </c>
      <c r="F2633" t="inlineStr">
        <is>
          <t>KRONOBERGS LÄN</t>
        </is>
      </c>
      <c r="G2633" t="inlineStr">
        <is>
          <t>LESSEBO</t>
        </is>
      </c>
      <c r="I2633" t="n">
        <v>3.5</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7104-2022</t>
        </is>
      </c>
      <c r="B2634" t="inlineStr">
        <is>
          <t>avverkningsanmälan</t>
        </is>
      </c>
      <c r="C2634" t="inlineStr">
        <is>
          <t>Föryngringsavverkning</t>
        </is>
      </c>
      <c r="D2634" s="1" t="n">
        <v>44603</v>
      </c>
      <c r="E2634" s="1" t="n">
        <v>46316</v>
      </c>
      <c r="F2634" t="inlineStr">
        <is>
          <t>KRONOBERGS LÄN</t>
        </is>
      </c>
      <c r="G2634" t="inlineStr">
        <is>
          <t>UPPVIDINGE</t>
        </is>
      </c>
      <c r="I2634" t="n">
        <v>1.1</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60621-2023</t>
        </is>
      </c>
      <c r="B2635" t="inlineStr">
        <is>
          <t>avverkningsanmälan</t>
        </is>
      </c>
      <c r="C2635" t="inlineStr">
        <is>
          <t>Föryngringsavverkning</t>
        </is>
      </c>
      <c r="D2635" s="1" t="n">
        <v>45260</v>
      </c>
      <c r="E2635" s="1" t="n">
        <v>46316</v>
      </c>
      <c r="F2635" t="inlineStr">
        <is>
          <t>KRONOBERGS LÄN</t>
        </is>
      </c>
      <c r="G2635" t="inlineStr">
        <is>
          <t>VÄXJÖ</t>
        </is>
      </c>
      <c r="I2635" t="n">
        <v>1.7</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3230-2025</t>
        </is>
      </c>
      <c r="B2636" t="inlineStr">
        <is>
          <t>avverkningsanmälan</t>
        </is>
      </c>
      <c r="C2636" t="inlineStr">
        <is>
          <t>Föryngringsavverkning</t>
        </is>
      </c>
      <c r="D2636" s="1" t="n">
        <v>45679</v>
      </c>
      <c r="E2636" s="1" t="n">
        <v>46316</v>
      </c>
      <c r="F2636" t="inlineStr">
        <is>
          <t>KRONOBERGS LÄN</t>
        </is>
      </c>
      <c r="G2636" t="inlineStr">
        <is>
          <t>LJUNGBY</t>
        </is>
      </c>
      <c r="I2636" t="n">
        <v>7.3</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39573-2023</t>
        </is>
      </c>
      <c r="B2637" t="inlineStr">
        <is>
          <t>avverkningsanmälan</t>
        </is>
      </c>
      <c r="C2637" t="inlineStr">
        <is>
          <t>Föryngringsavverkning</t>
        </is>
      </c>
      <c r="D2637" s="1" t="n">
        <v>45167</v>
      </c>
      <c r="E2637" s="1" t="n">
        <v>46316</v>
      </c>
      <c r="F2637" t="inlineStr">
        <is>
          <t>KRONOBERGS LÄN</t>
        </is>
      </c>
      <c r="G2637" t="inlineStr">
        <is>
          <t>ÄLMHULT</t>
        </is>
      </c>
      <c r="I2637" t="n">
        <v>4.5</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28035-2025</t>
        </is>
      </c>
      <c r="B2638" t="inlineStr">
        <is>
          <t>avverkningsanmälan</t>
        </is>
      </c>
      <c r="C2638" t="inlineStr">
        <is>
          <t>Föryngringsavverkning</t>
        </is>
      </c>
      <c r="D2638" s="1" t="n">
        <v>45817</v>
      </c>
      <c r="E2638" s="1" t="n">
        <v>46316</v>
      </c>
      <c r="F2638" t="inlineStr">
        <is>
          <t>KRONOBERGS LÄN</t>
        </is>
      </c>
      <c r="G2638" t="inlineStr">
        <is>
          <t>ÄLMHULT</t>
        </is>
      </c>
      <c r="I2638" t="n">
        <v>6.2</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60305-2025</t>
        </is>
      </c>
      <c r="B2639" t="inlineStr">
        <is>
          <t>avverkningsanmälan</t>
        </is>
      </c>
      <c r="C2639" t="inlineStr">
        <is>
          <t>Föryngringsavverkning</t>
        </is>
      </c>
      <c r="D2639" s="1" t="n">
        <v>45994</v>
      </c>
      <c r="E2639" s="1" t="n">
        <v>46316</v>
      </c>
      <c r="F2639" t="inlineStr">
        <is>
          <t>KRONOBERGS LÄN</t>
        </is>
      </c>
      <c r="G2639" t="inlineStr">
        <is>
          <t>LJUNGBY</t>
        </is>
      </c>
      <c r="I2639" t="n">
        <v>5.6</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35868-2023</t>
        </is>
      </c>
      <c r="B2640" t="inlineStr">
        <is>
          <t>avverkningsanmälan</t>
        </is>
      </c>
      <c r="C2640" t="inlineStr">
        <is>
          <t>Föryngringsavverkning</t>
        </is>
      </c>
      <c r="D2640" s="1" t="n">
        <v>45148</v>
      </c>
      <c r="E2640" s="1" t="n">
        <v>46316</v>
      </c>
      <c r="F2640" t="inlineStr">
        <is>
          <t>KRONOBERGS LÄN</t>
        </is>
      </c>
      <c r="G2640" t="inlineStr">
        <is>
          <t>VÄXJÖ</t>
        </is>
      </c>
      <c r="I2640" t="n">
        <v>2.8</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35876-2023</t>
        </is>
      </c>
      <c r="B2641" t="inlineStr">
        <is>
          <t>avverkningsanmälan</t>
        </is>
      </c>
      <c r="C2641" t="inlineStr">
        <is>
          <t>Föryngringsavverkning</t>
        </is>
      </c>
      <c r="D2641" s="1" t="n">
        <v>45148</v>
      </c>
      <c r="E2641" s="1" t="n">
        <v>46316</v>
      </c>
      <c r="F2641" t="inlineStr">
        <is>
          <t>KRONOBERGS LÄN</t>
        </is>
      </c>
      <c r="G2641" t="inlineStr">
        <is>
          <t>VÄXJÖ</t>
        </is>
      </c>
      <c r="I2641" t="n">
        <v>2.8</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60700-2025</t>
        </is>
      </c>
      <c r="B2642" t="inlineStr">
        <is>
          <t>avverkningsanmälan</t>
        </is>
      </c>
      <c r="C2642" t="inlineStr">
        <is>
          <t>Avverkning för annat ändamål</t>
        </is>
      </c>
      <c r="D2642" s="1" t="n">
        <v>45996</v>
      </c>
      <c r="E2642" s="1" t="n">
        <v>46316</v>
      </c>
      <c r="F2642" t="inlineStr">
        <is>
          <t>KRONOBERGS LÄN</t>
        </is>
      </c>
      <c r="G2642" t="inlineStr">
        <is>
          <t>ALVESTA</t>
        </is>
      </c>
      <c r="I2642" t="n">
        <v>0.6</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72429-2021</t>
        </is>
      </c>
      <c r="B2643" t="inlineStr">
        <is>
          <t>avverkningsanmälan</t>
        </is>
      </c>
      <c r="C2643" t="inlineStr">
        <is>
          <t>Föryngringsavverkning</t>
        </is>
      </c>
      <c r="D2643" s="1" t="n">
        <v>44545</v>
      </c>
      <c r="E2643" s="1" t="n">
        <v>46316</v>
      </c>
      <c r="F2643" t="inlineStr">
        <is>
          <t>KRONOBERGS LÄN</t>
        </is>
      </c>
      <c r="G2643" t="inlineStr">
        <is>
          <t>VÄXJÖ</t>
        </is>
      </c>
      <c r="I2643" t="n">
        <v>2.6</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72469-2021</t>
        </is>
      </c>
      <c r="B2644" t="inlineStr">
        <is>
          <t>avverkningsanmälan</t>
        </is>
      </c>
      <c r="C2644" t="inlineStr">
        <is>
          <t>Föryngringsavverkning</t>
        </is>
      </c>
      <c r="D2644" s="1" t="n">
        <v>44545</v>
      </c>
      <c r="E2644" s="1" t="n">
        <v>46316</v>
      </c>
      <c r="F2644" t="inlineStr">
        <is>
          <t>KRONOBERGS LÄN</t>
        </is>
      </c>
      <c r="G2644" t="inlineStr">
        <is>
          <t>ÄLMHULT</t>
        </is>
      </c>
      <c r="I2644" t="n">
        <v>0.9</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1643-2025</t>
        </is>
      </c>
      <c r="B2645" t="inlineStr">
        <is>
          <t>avverkningsanmälan</t>
        </is>
      </c>
      <c r="C2645" t="inlineStr">
        <is>
          <t>Föryngringsavverkning</t>
        </is>
      </c>
      <c r="D2645" s="1" t="n">
        <v>45670</v>
      </c>
      <c r="E2645" s="1" t="n">
        <v>46316</v>
      </c>
      <c r="F2645" t="inlineStr">
        <is>
          <t>KRONOBERGS LÄN</t>
        </is>
      </c>
      <c r="G2645" t="inlineStr">
        <is>
          <t>VÄXJÖ</t>
        </is>
      </c>
      <c r="I2645" t="n">
        <v>12.9</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35346-2025</t>
        </is>
      </c>
      <c r="B2646" t="inlineStr">
        <is>
          <t>avverkningsanmälan</t>
        </is>
      </c>
      <c r="C2646" t="inlineStr">
        <is>
          <t>Föryngringsavverkning</t>
        </is>
      </c>
      <c r="D2646" s="1" t="n">
        <v>45854</v>
      </c>
      <c r="E2646" s="1" t="n">
        <v>46316</v>
      </c>
      <c r="F2646" t="inlineStr">
        <is>
          <t>KRONOBERGS LÄN</t>
        </is>
      </c>
      <c r="G2646" t="inlineStr">
        <is>
          <t>ÄLMHULT</t>
        </is>
      </c>
      <c r="I2646" t="n">
        <v>0.6</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60068-2025</t>
        </is>
      </c>
      <c r="B2647" t="inlineStr">
        <is>
          <t>avverkningsanmälan</t>
        </is>
      </c>
      <c r="C2647" t="inlineStr">
        <is>
          <t>Föryngringsavverkning</t>
        </is>
      </c>
      <c r="D2647" s="1" t="n">
        <v>45993</v>
      </c>
      <c r="E2647" s="1" t="n">
        <v>46316</v>
      </c>
      <c r="F2647" t="inlineStr">
        <is>
          <t>KRONOBERGS LÄN</t>
        </is>
      </c>
      <c r="G2647" t="inlineStr">
        <is>
          <t>LJUNGBY</t>
        </is>
      </c>
      <c r="I2647" t="n">
        <v>0.5</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27810-2024</t>
        </is>
      </c>
      <c r="B2648" t="inlineStr">
        <is>
          <t>avverkningsanmälan</t>
        </is>
      </c>
      <c r="C2648" t="inlineStr">
        <is>
          <t>Föryngringsavverkning</t>
        </is>
      </c>
      <c r="D2648" s="1" t="n">
        <v>45475</v>
      </c>
      <c r="E2648" s="1" t="n">
        <v>46316</v>
      </c>
      <c r="F2648" t="inlineStr">
        <is>
          <t>KRONOBERGS LÄN</t>
        </is>
      </c>
      <c r="G2648" t="inlineStr">
        <is>
          <t>LJUNGBY</t>
        </is>
      </c>
      <c r="I2648" t="n">
        <v>2.2</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62514-2021</t>
        </is>
      </c>
      <c r="B2649" t="inlineStr">
        <is>
          <t>avverkningsanmälan</t>
        </is>
      </c>
      <c r="C2649" t="inlineStr">
        <is>
          <t>Föryngringsavverkning</t>
        </is>
      </c>
      <c r="D2649" s="1" t="n">
        <v>44503</v>
      </c>
      <c r="E2649" s="1" t="n">
        <v>46316</v>
      </c>
      <c r="F2649" t="inlineStr">
        <is>
          <t>KRONOBERGS LÄN</t>
        </is>
      </c>
      <c r="G2649" t="inlineStr">
        <is>
          <t>UPPVIDINGE</t>
        </is>
      </c>
      <c r="I2649" t="n">
        <v>1.9</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13088-2025</t>
        </is>
      </c>
      <c r="B2650" t="inlineStr">
        <is>
          <t>avverkningsanmälan</t>
        </is>
      </c>
      <c r="C2650" t="inlineStr">
        <is>
          <t>Föryngringsavverkning</t>
        </is>
      </c>
      <c r="D2650" s="1" t="n">
        <v>45734</v>
      </c>
      <c r="E2650" s="1" t="n">
        <v>46316</v>
      </c>
      <c r="F2650" t="inlineStr">
        <is>
          <t>KRONOBERGS LÄN</t>
        </is>
      </c>
      <c r="G2650" t="inlineStr">
        <is>
          <t>UPPVIDINGE</t>
        </is>
      </c>
      <c r="I2650" t="n">
        <v>2.7</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25806-2025</t>
        </is>
      </c>
      <c r="B2651" t="inlineStr">
        <is>
          <t>avverkningsanmälan</t>
        </is>
      </c>
      <c r="C2651" t="inlineStr">
        <is>
          <t>Föryngringsavverkning</t>
        </is>
      </c>
      <c r="D2651" s="1" t="n">
        <v>45804</v>
      </c>
      <c r="E2651" s="1" t="n">
        <v>46316</v>
      </c>
      <c r="F2651" t="inlineStr">
        <is>
          <t>KRONOBERGS LÄN</t>
        </is>
      </c>
      <c r="G2651" t="inlineStr">
        <is>
          <t>UPPVIDINGE</t>
        </is>
      </c>
      <c r="I2651" t="n">
        <v>1.4</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34662-2023</t>
        </is>
      </c>
      <c r="B2652" t="inlineStr">
        <is>
          <t>avverkningsanmälan</t>
        </is>
      </c>
      <c r="C2652" t="inlineStr">
        <is>
          <t>Föryngringsavverkning</t>
        </is>
      </c>
      <c r="D2652" s="1" t="n">
        <v>45140</v>
      </c>
      <c r="E2652" s="1" t="n">
        <v>46316</v>
      </c>
      <c r="F2652" t="inlineStr">
        <is>
          <t>KRONOBERGS LÄN</t>
        </is>
      </c>
      <c r="G2652" t="inlineStr">
        <is>
          <t>ÄLMHULT</t>
        </is>
      </c>
      <c r="I2652" t="n">
        <v>0.6</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31571-2025</t>
        </is>
      </c>
      <c r="B2653" t="inlineStr">
        <is>
          <t>avverkningsanmälan</t>
        </is>
      </c>
      <c r="C2653" t="inlineStr">
        <is>
          <t>Föryngringsavverkning</t>
        </is>
      </c>
      <c r="D2653" s="1" t="n">
        <v>45833</v>
      </c>
      <c r="E2653" s="1" t="n">
        <v>46316</v>
      </c>
      <c r="F2653" t="inlineStr">
        <is>
          <t>KRONOBERGS LÄN</t>
        </is>
      </c>
      <c r="G2653" t="inlineStr">
        <is>
          <t>VÄXJÖ</t>
        </is>
      </c>
      <c r="I2653" t="n">
        <v>2.5</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39485-2025</t>
        </is>
      </c>
      <c r="B2654" t="inlineStr">
        <is>
          <t>avverkningsanmälan</t>
        </is>
      </c>
      <c r="C2654" t="inlineStr">
        <is>
          <t>Föryngringsavverkning</t>
        </is>
      </c>
      <c r="D2654" s="1" t="n">
        <v>45890</v>
      </c>
      <c r="E2654" s="1" t="n">
        <v>46316</v>
      </c>
      <c r="F2654" t="inlineStr">
        <is>
          <t>KRONOBERGS LÄN</t>
        </is>
      </c>
      <c r="G2654" t="inlineStr">
        <is>
          <t>TINGSRYD</t>
        </is>
      </c>
      <c r="I2654" t="n">
        <v>1.7</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10743-2025</t>
        </is>
      </c>
      <c r="B2655" t="inlineStr">
        <is>
          <t>avverkningsanmälan</t>
        </is>
      </c>
      <c r="C2655" t="inlineStr">
        <is>
          <t>Föryngringsavverkning</t>
        </is>
      </c>
      <c r="D2655" s="1" t="n">
        <v>45722</v>
      </c>
      <c r="E2655" s="1" t="n">
        <v>46316</v>
      </c>
      <c r="F2655" t="inlineStr">
        <is>
          <t>KRONOBERGS LÄN</t>
        </is>
      </c>
      <c r="G2655" t="inlineStr">
        <is>
          <t>ÄLMHULT</t>
        </is>
      </c>
      <c r="I2655" t="n">
        <v>3.4</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26085-2023</t>
        </is>
      </c>
      <c r="B2656" t="inlineStr">
        <is>
          <t>avverkningsanmälan</t>
        </is>
      </c>
      <c r="C2656" t="inlineStr">
        <is>
          <t>Föryngringsavverkning</t>
        </is>
      </c>
      <c r="D2656" s="1" t="n">
        <v>45091</v>
      </c>
      <c r="E2656" s="1" t="n">
        <v>46316</v>
      </c>
      <c r="F2656" t="inlineStr">
        <is>
          <t>KRONOBERGS LÄN</t>
        </is>
      </c>
      <c r="G2656" t="inlineStr">
        <is>
          <t>VÄXJÖ</t>
        </is>
      </c>
      <c r="I2656" t="n">
        <v>3.3</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41998-2025</t>
        </is>
      </c>
      <c r="B2657" t="inlineStr">
        <is>
          <t>avverkningsanmälan</t>
        </is>
      </c>
      <c r="C2657" t="inlineStr">
        <is>
          <t>Föryngringsavverkning</t>
        </is>
      </c>
      <c r="D2657" s="1" t="n">
        <v>45903</v>
      </c>
      <c r="E2657" s="1" t="n">
        <v>46316</v>
      </c>
      <c r="F2657" t="inlineStr">
        <is>
          <t>KRONOBERGS LÄN</t>
        </is>
      </c>
      <c r="G2657" t="inlineStr">
        <is>
          <t>TINGSRYD</t>
        </is>
      </c>
      <c r="H2657" t="inlineStr">
        <is>
          <t>Övriga Aktiebolag</t>
        </is>
      </c>
      <c r="I2657" t="n">
        <v>1.1</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37397-2025</t>
        </is>
      </c>
      <c r="B2658" t="inlineStr">
        <is>
          <t>avverkningsanmälan</t>
        </is>
      </c>
      <c r="C2658" t="inlineStr">
        <is>
          <t>Föryngringsavverkning</t>
        </is>
      </c>
      <c r="D2658" s="1" t="n">
        <v>45877</v>
      </c>
      <c r="E2658" s="1" t="n">
        <v>46316</v>
      </c>
      <c r="F2658" t="inlineStr">
        <is>
          <t>KRONOBERGS LÄN</t>
        </is>
      </c>
      <c r="G2658" t="inlineStr">
        <is>
          <t>UPPVIDINGE</t>
        </is>
      </c>
      <c r="I2658" t="n">
        <v>1.9</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4641-2024</t>
        </is>
      </c>
      <c r="B2659" t="inlineStr">
        <is>
          <t>avverkningsanmälan</t>
        </is>
      </c>
      <c r="C2659" t="inlineStr">
        <is>
          <t>Föryngringsavverkning</t>
        </is>
      </c>
      <c r="D2659" s="1" t="n">
        <v>45328</v>
      </c>
      <c r="E2659" s="1" t="n">
        <v>46316</v>
      </c>
      <c r="F2659" t="inlineStr">
        <is>
          <t>KRONOBERGS LÄN</t>
        </is>
      </c>
      <c r="G2659" t="inlineStr">
        <is>
          <t>ÄLMHULT</t>
        </is>
      </c>
      <c r="I2659" t="n">
        <v>6</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11559-2022</t>
        </is>
      </c>
      <c r="B2660" t="inlineStr">
        <is>
          <t>avverkningsanmälan</t>
        </is>
      </c>
      <c r="C2660" t="inlineStr">
        <is>
          <t>Föryngringsavverkning</t>
        </is>
      </c>
      <c r="D2660" s="1" t="n">
        <v>44631</v>
      </c>
      <c r="E2660" s="1" t="n">
        <v>46316</v>
      </c>
      <c r="F2660" t="inlineStr">
        <is>
          <t>KRONOBERGS LÄN</t>
        </is>
      </c>
      <c r="G2660" t="inlineStr">
        <is>
          <t>TINGSRYD</t>
        </is>
      </c>
      <c r="I2660" t="n">
        <v>2.6</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40016-2024</t>
        </is>
      </c>
      <c r="B2661" t="inlineStr">
        <is>
          <t>avverkningsanmälan</t>
        </is>
      </c>
      <c r="C2661" t="inlineStr">
        <is>
          <t>Föryngringsavverkning</t>
        </is>
      </c>
      <c r="D2661" s="1" t="n">
        <v>45553</v>
      </c>
      <c r="E2661" s="1" t="n">
        <v>46316</v>
      </c>
      <c r="F2661" t="inlineStr">
        <is>
          <t>KRONOBERGS LÄN</t>
        </is>
      </c>
      <c r="G2661" t="inlineStr">
        <is>
          <t>TINGSRYD</t>
        </is>
      </c>
      <c r="H2661" t="inlineStr">
        <is>
          <t>Sveaskog</t>
        </is>
      </c>
      <c r="I2661" t="n">
        <v>1.3</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34101-2025</t>
        </is>
      </c>
      <c r="B2662" t="inlineStr">
        <is>
          <t>avverkningsanmälan</t>
        </is>
      </c>
      <c r="C2662" t="inlineStr">
        <is>
          <t>Föryngringsavverkning</t>
        </is>
      </c>
      <c r="D2662" s="1" t="n">
        <v>45845</v>
      </c>
      <c r="E2662" s="1" t="n">
        <v>46316</v>
      </c>
      <c r="F2662" t="inlineStr">
        <is>
          <t>KRONOBERGS LÄN</t>
        </is>
      </c>
      <c r="G2662" t="inlineStr">
        <is>
          <t>LJUNGBY</t>
        </is>
      </c>
      <c r="I2662" t="n">
        <v>1.4</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3225-2025</t>
        </is>
      </c>
      <c r="B2663" t="inlineStr">
        <is>
          <t>avverkningsanmälan</t>
        </is>
      </c>
      <c r="C2663" t="inlineStr">
        <is>
          <t>Föryngringsavverkning</t>
        </is>
      </c>
      <c r="D2663" s="1" t="n">
        <v>45679</v>
      </c>
      <c r="E2663" s="1" t="n">
        <v>46316</v>
      </c>
      <c r="F2663" t="inlineStr">
        <is>
          <t>KRONOBERGS LÄN</t>
        </is>
      </c>
      <c r="G2663" t="inlineStr">
        <is>
          <t>LJUNGBY</t>
        </is>
      </c>
      <c r="I2663" t="n">
        <v>20.8</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43024-2024</t>
        </is>
      </c>
      <c r="B2664" t="inlineStr">
        <is>
          <t>avverkningsanmälan</t>
        </is>
      </c>
      <c r="C2664" t="inlineStr">
        <is>
          <t>Föryngringsavverkning</t>
        </is>
      </c>
      <c r="D2664" s="1" t="n">
        <v>45567</v>
      </c>
      <c r="E2664" s="1" t="n">
        <v>46316</v>
      </c>
      <c r="F2664" t="inlineStr">
        <is>
          <t>KRONOBERGS LÄN</t>
        </is>
      </c>
      <c r="G2664" t="inlineStr">
        <is>
          <t>LJUNGBY</t>
        </is>
      </c>
      <c r="I2664" t="n">
        <v>0.7</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61312-2025</t>
        </is>
      </c>
      <c r="B2665" t="inlineStr">
        <is>
          <t>avverkningsanmälan</t>
        </is>
      </c>
      <c r="C2665" t="inlineStr">
        <is>
          <t>Föryngringsavverkning</t>
        </is>
      </c>
      <c r="D2665" s="1" t="n">
        <v>46000</v>
      </c>
      <c r="E2665" s="1" t="n">
        <v>46316</v>
      </c>
      <c r="F2665" t="inlineStr">
        <is>
          <t>KRONOBERGS LÄN</t>
        </is>
      </c>
      <c r="G2665" t="inlineStr">
        <is>
          <t>UPPVIDINGE</t>
        </is>
      </c>
      <c r="I2665" t="n">
        <v>7.3</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21917-2025</t>
        </is>
      </c>
      <c r="B2666" t="inlineStr">
        <is>
          <t>avverkningsanmälan</t>
        </is>
      </c>
      <c r="C2666" t="inlineStr">
        <is>
          <t>Föryngringsavverkning</t>
        </is>
      </c>
      <c r="D2666" s="1" t="n">
        <v>45784</v>
      </c>
      <c r="E2666" s="1" t="n">
        <v>46316</v>
      </c>
      <c r="F2666" t="inlineStr">
        <is>
          <t>KRONOBERGS LÄN</t>
        </is>
      </c>
      <c r="G2666" t="inlineStr">
        <is>
          <t>LESSEBO</t>
        </is>
      </c>
      <c r="I2666" t="n">
        <v>1.7</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47486-2025</t>
        </is>
      </c>
      <c r="B2667" t="inlineStr">
        <is>
          <t>avverkningsanmälan</t>
        </is>
      </c>
      <c r="C2667" t="inlineStr">
        <is>
          <t>Föryngringsavverkning</t>
        </is>
      </c>
      <c r="D2667" s="1" t="n">
        <v>45930</v>
      </c>
      <c r="E2667" s="1" t="n">
        <v>46316</v>
      </c>
      <c r="F2667" t="inlineStr">
        <is>
          <t>KRONOBERGS LÄN</t>
        </is>
      </c>
      <c r="G2667" t="inlineStr">
        <is>
          <t>ÄLMHULT</t>
        </is>
      </c>
      <c r="I2667" t="n">
        <v>1.2</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39754-2023</t>
        </is>
      </c>
      <c r="B2668" t="inlineStr">
        <is>
          <t>avverkningsanmälan</t>
        </is>
      </c>
      <c r="C2668" t="inlineStr">
        <is>
          <t>Föryngringsavverkning</t>
        </is>
      </c>
      <c r="D2668" s="1" t="n">
        <v>45167</v>
      </c>
      <c r="E2668" s="1" t="n">
        <v>46316</v>
      </c>
      <c r="F2668" t="inlineStr">
        <is>
          <t>KRONOBERGS LÄN</t>
        </is>
      </c>
      <c r="G2668" t="inlineStr">
        <is>
          <t>LJUNGBY</t>
        </is>
      </c>
      <c r="I2668" t="n">
        <v>0.8</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61111-2025</t>
        </is>
      </c>
      <c r="B2669" t="inlineStr">
        <is>
          <t>avverkningsanmälan</t>
        </is>
      </c>
      <c r="C2669" t="inlineStr">
        <is>
          <t>Föryngringsavverkning</t>
        </is>
      </c>
      <c r="D2669" s="1" t="n">
        <v>46000</v>
      </c>
      <c r="E2669" s="1" t="n">
        <v>46316</v>
      </c>
      <c r="F2669" t="inlineStr">
        <is>
          <t>KRONOBERGS LÄN</t>
        </is>
      </c>
      <c r="G2669" t="inlineStr">
        <is>
          <t>TINGSRYD</t>
        </is>
      </c>
      <c r="I2669" t="n">
        <v>0.5</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59278-2024</t>
        </is>
      </c>
      <c r="B2670" t="inlineStr">
        <is>
          <t>avverkningsanmälan</t>
        </is>
      </c>
      <c r="C2670" t="inlineStr">
        <is>
          <t>Föryngringsavverkning</t>
        </is>
      </c>
      <c r="D2670" s="1" t="n">
        <v>45637</v>
      </c>
      <c r="E2670" s="1" t="n">
        <v>46316</v>
      </c>
      <c r="F2670" t="inlineStr">
        <is>
          <t>KRONOBERGS LÄN</t>
        </is>
      </c>
      <c r="G2670" t="inlineStr">
        <is>
          <t>UPPVIDINGE</t>
        </is>
      </c>
      <c r="I2670" t="n">
        <v>3.5</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21526-2025</t>
        </is>
      </c>
      <c r="B2671" t="inlineStr">
        <is>
          <t>avverkningsanmälan</t>
        </is>
      </c>
      <c r="C2671" t="inlineStr">
        <is>
          <t>Föryngringsavverkning</t>
        </is>
      </c>
      <c r="D2671" s="1" t="n">
        <v>45782</v>
      </c>
      <c r="E2671" s="1" t="n">
        <v>46316</v>
      </c>
      <c r="F2671" t="inlineStr">
        <is>
          <t>KRONOBERGS LÄN</t>
        </is>
      </c>
      <c r="G2671" t="inlineStr">
        <is>
          <t>VÄXJÖ</t>
        </is>
      </c>
      <c r="I2671" t="n">
        <v>1.6</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61313-2025</t>
        </is>
      </c>
      <c r="B2672" t="inlineStr">
        <is>
          <t>avverkningsanmälan</t>
        </is>
      </c>
      <c r="C2672" t="inlineStr">
        <is>
          <t>Föryngringsavverkning</t>
        </is>
      </c>
      <c r="D2672" s="1" t="n">
        <v>46000</v>
      </c>
      <c r="E2672" s="1" t="n">
        <v>46316</v>
      </c>
      <c r="F2672" t="inlineStr">
        <is>
          <t>KRONOBERGS LÄN</t>
        </is>
      </c>
      <c r="G2672" t="inlineStr">
        <is>
          <t>UPPVIDINGE</t>
        </is>
      </c>
      <c r="I2672" t="n">
        <v>6.9</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57501-2024</t>
        </is>
      </c>
      <c r="B2673" t="inlineStr">
        <is>
          <t>avverkningsanmälan</t>
        </is>
      </c>
      <c r="C2673" t="inlineStr">
        <is>
          <t>Föryngringsavverkning</t>
        </is>
      </c>
      <c r="D2673" s="1" t="n">
        <v>45630</v>
      </c>
      <c r="E2673" s="1" t="n">
        <v>46316</v>
      </c>
      <c r="F2673" t="inlineStr">
        <is>
          <t>KRONOBERGS LÄN</t>
        </is>
      </c>
      <c r="G2673" t="inlineStr">
        <is>
          <t>ÄLMHULT</t>
        </is>
      </c>
      <c r="I2673" t="n">
        <v>1.2</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61418-2025</t>
        </is>
      </c>
      <c r="B2674" t="inlineStr">
        <is>
          <t>avverkningsanmälan</t>
        </is>
      </c>
      <c r="C2674" t="inlineStr">
        <is>
          <t>Föryngringsavverkning</t>
        </is>
      </c>
      <c r="D2674" s="1" t="n">
        <v>46000</v>
      </c>
      <c r="E2674" s="1" t="n">
        <v>46316</v>
      </c>
      <c r="F2674" t="inlineStr">
        <is>
          <t>KRONOBERGS LÄN</t>
        </is>
      </c>
      <c r="G2674" t="inlineStr">
        <is>
          <t>ÄLMHULT</t>
        </is>
      </c>
      <c r="H2674" t="inlineStr">
        <is>
          <t>Kommuner</t>
        </is>
      </c>
      <c r="I2674" t="n">
        <v>0.6</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54541-2023</t>
        </is>
      </c>
      <c r="B2675" t="inlineStr">
        <is>
          <t>avverkningsanmälan</t>
        </is>
      </c>
      <c r="C2675" t="inlineStr">
        <is>
          <t>Avverkning för annat ändamål</t>
        </is>
      </c>
      <c r="D2675" s="1" t="n">
        <v>45233</v>
      </c>
      <c r="E2675" s="1" t="n">
        <v>46316</v>
      </c>
      <c r="F2675" t="inlineStr">
        <is>
          <t>KRONOBERGS LÄN</t>
        </is>
      </c>
      <c r="G2675" t="inlineStr">
        <is>
          <t>LESSEBO</t>
        </is>
      </c>
      <c r="H2675" t="inlineStr">
        <is>
          <t>Sveaskog</t>
        </is>
      </c>
      <c r="I2675" t="n">
        <v>0.5</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13648-2024</t>
        </is>
      </c>
      <c r="B2676" t="inlineStr">
        <is>
          <t>avverkningsanmälan</t>
        </is>
      </c>
      <c r="C2676" t="inlineStr">
        <is>
          <t>Föryngringsavverkning</t>
        </is>
      </c>
      <c r="D2676" s="1" t="n">
        <v>45390</v>
      </c>
      <c r="E2676" s="1" t="n">
        <v>46316</v>
      </c>
      <c r="F2676" t="inlineStr">
        <is>
          <t>KRONOBERGS LÄN</t>
        </is>
      </c>
      <c r="G2676" t="inlineStr">
        <is>
          <t>ALVESTA</t>
        </is>
      </c>
      <c r="I2676" t="n">
        <v>4.6</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42983-2025</t>
        </is>
      </c>
      <c r="B2677" t="inlineStr">
        <is>
          <t>avverkningsanmälan</t>
        </is>
      </c>
      <c r="C2677" t="inlineStr">
        <is>
          <t>Föryngringsavverkning</t>
        </is>
      </c>
      <c r="D2677" s="1" t="n">
        <v>45909</v>
      </c>
      <c r="E2677" s="1" t="n">
        <v>46316</v>
      </c>
      <c r="F2677" t="inlineStr">
        <is>
          <t>KRONOBERGS LÄN</t>
        </is>
      </c>
      <c r="G2677" t="inlineStr">
        <is>
          <t>VÄXJÖ</t>
        </is>
      </c>
      <c r="I2677" t="n">
        <v>2.1</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1142-2025</t>
        </is>
      </c>
      <c r="B2678" t="inlineStr">
        <is>
          <t>avverkningsanmälan</t>
        </is>
      </c>
      <c r="C2678" t="inlineStr">
        <is>
          <t>Föryngringsavverkning</t>
        </is>
      </c>
      <c r="D2678" s="1" t="n">
        <v>45666</v>
      </c>
      <c r="E2678" s="1" t="n">
        <v>46316</v>
      </c>
      <c r="F2678" t="inlineStr">
        <is>
          <t>KRONOBERGS LÄN</t>
        </is>
      </c>
      <c r="G2678" t="inlineStr">
        <is>
          <t>MARKARYD</t>
        </is>
      </c>
      <c r="I2678" t="n">
        <v>6.1</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13682-2024</t>
        </is>
      </c>
      <c r="B2679" t="inlineStr">
        <is>
          <t>avverkningsanmälan</t>
        </is>
      </c>
      <c r="C2679" t="inlineStr">
        <is>
          <t>Föryngringsavverkning</t>
        </is>
      </c>
      <c r="D2679" s="1" t="n">
        <v>45390</v>
      </c>
      <c r="E2679" s="1" t="n">
        <v>46316</v>
      </c>
      <c r="F2679" t="inlineStr">
        <is>
          <t>KRONOBERGS LÄN</t>
        </is>
      </c>
      <c r="G2679" t="inlineStr">
        <is>
          <t>VÄXJÖ</t>
        </is>
      </c>
      <c r="I2679" t="n">
        <v>1.1</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61095-2025</t>
        </is>
      </c>
      <c r="B2680" t="inlineStr">
        <is>
          <t>avverkningsanmälan</t>
        </is>
      </c>
      <c r="C2680" t="inlineStr">
        <is>
          <t>Föryngringsavverkning</t>
        </is>
      </c>
      <c r="D2680" s="1" t="n">
        <v>46000</v>
      </c>
      <c r="E2680" s="1" t="n">
        <v>46316</v>
      </c>
      <c r="F2680" t="inlineStr">
        <is>
          <t>KRONOBERGS LÄN</t>
        </is>
      </c>
      <c r="G2680" t="inlineStr">
        <is>
          <t>VÄXJÖ</t>
        </is>
      </c>
      <c r="I2680" t="n">
        <v>1.5</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40856-2025</t>
        </is>
      </c>
      <c r="B2681" t="inlineStr">
        <is>
          <t>avverkningsanmälan</t>
        </is>
      </c>
      <c r="C2681" t="inlineStr">
        <is>
          <t>Föryngringsavverkning</t>
        </is>
      </c>
      <c r="D2681" s="1" t="n">
        <v>45897</v>
      </c>
      <c r="E2681" s="1" t="n">
        <v>46316</v>
      </c>
      <c r="F2681" t="inlineStr">
        <is>
          <t>KRONOBERGS LÄN</t>
        </is>
      </c>
      <c r="G2681" t="inlineStr">
        <is>
          <t>TINGSRYD</t>
        </is>
      </c>
      <c r="I2681" t="n">
        <v>1.3</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15925-2025</t>
        </is>
      </c>
      <c r="B2682" t="inlineStr">
        <is>
          <t>avverkningsanmälan</t>
        </is>
      </c>
      <c r="C2682" t="inlineStr">
        <is>
          <t>Föryngringsavverkning</t>
        </is>
      </c>
      <c r="D2682" s="1" t="n">
        <v>45749</v>
      </c>
      <c r="E2682" s="1" t="n">
        <v>46316</v>
      </c>
      <c r="F2682" t="inlineStr">
        <is>
          <t>KRONOBERGS LÄN</t>
        </is>
      </c>
      <c r="G2682" t="inlineStr">
        <is>
          <t>UPPVIDINGE</t>
        </is>
      </c>
      <c r="I2682" t="n">
        <v>5</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14583-2025</t>
        </is>
      </c>
      <c r="B2683" t="inlineStr">
        <is>
          <t>avverkningsanmälan</t>
        </is>
      </c>
      <c r="C2683" t="inlineStr">
        <is>
          <t>Föryngringsavverkning</t>
        </is>
      </c>
      <c r="D2683" s="1" t="n">
        <v>45742</v>
      </c>
      <c r="E2683" s="1" t="n">
        <v>46316</v>
      </c>
      <c r="F2683" t="inlineStr">
        <is>
          <t>KRONOBERGS LÄN</t>
        </is>
      </c>
      <c r="G2683" t="inlineStr">
        <is>
          <t>TINGSRYD</t>
        </is>
      </c>
      <c r="I2683" t="n">
        <v>1.9</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1265-2025</t>
        </is>
      </c>
      <c r="B2684" t="inlineStr">
        <is>
          <t>avverkningsanmälan</t>
        </is>
      </c>
      <c r="C2684" t="inlineStr">
        <is>
          <t>Föryngringsavverkning</t>
        </is>
      </c>
      <c r="D2684" s="1" t="n">
        <v>45667</v>
      </c>
      <c r="E2684" s="1" t="n">
        <v>46316</v>
      </c>
      <c r="F2684" t="inlineStr">
        <is>
          <t>KRONOBERGS LÄN</t>
        </is>
      </c>
      <c r="G2684" t="inlineStr">
        <is>
          <t>LJUNGBY</t>
        </is>
      </c>
      <c r="I2684" t="n">
        <v>2.2</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1350-2023</t>
        </is>
      </c>
      <c r="B2685" t="inlineStr">
        <is>
          <t>avverkningsanmälan</t>
        </is>
      </c>
      <c r="C2685" t="inlineStr">
        <is>
          <t>Föryngringsavverkning</t>
        </is>
      </c>
      <c r="D2685" s="1" t="n">
        <v>44936</v>
      </c>
      <c r="E2685" s="1" t="n">
        <v>46316</v>
      </c>
      <c r="F2685" t="inlineStr">
        <is>
          <t>KRONOBERGS LÄN</t>
        </is>
      </c>
      <c r="G2685" t="inlineStr">
        <is>
          <t>TINGSRYD</t>
        </is>
      </c>
      <c r="I2685" t="n">
        <v>0</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1364-2023</t>
        </is>
      </c>
      <c r="B2686" t="inlineStr">
        <is>
          <t>avverkningsanmälan</t>
        </is>
      </c>
      <c r="C2686" t="inlineStr">
        <is>
          <t>Föryngringsavverkning</t>
        </is>
      </c>
      <c r="D2686" s="1" t="n">
        <v>44936</v>
      </c>
      <c r="E2686" s="1" t="n">
        <v>46316</v>
      </c>
      <c r="F2686" t="inlineStr">
        <is>
          <t>KRONOBERGS LÄN</t>
        </is>
      </c>
      <c r="G2686" t="inlineStr">
        <is>
          <t>TINGSRYD</t>
        </is>
      </c>
      <c r="I2686" t="n">
        <v>1.5</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939-2025</t>
        </is>
      </c>
      <c r="B2687" t="inlineStr">
        <is>
          <t>avverkningsanmälan</t>
        </is>
      </c>
      <c r="C2687" t="inlineStr">
        <is>
          <t>Föryngringsavverkning</t>
        </is>
      </c>
      <c r="D2687" s="1" t="n">
        <v>45666</v>
      </c>
      <c r="E2687" s="1" t="n">
        <v>46316</v>
      </c>
      <c r="F2687" t="inlineStr">
        <is>
          <t>KRONOBERGS LÄN</t>
        </is>
      </c>
      <c r="G2687" t="inlineStr">
        <is>
          <t>UPPVIDINGE</t>
        </is>
      </c>
      <c r="I2687" t="n">
        <v>4</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8887-2023</t>
        </is>
      </c>
      <c r="B2688" t="inlineStr">
        <is>
          <t>avverkningsanmälan</t>
        </is>
      </c>
      <c r="C2688" t="inlineStr">
        <is>
          <t>Föryngringsavverkning</t>
        </is>
      </c>
      <c r="D2688" s="1" t="n">
        <v>44979</v>
      </c>
      <c r="E2688" s="1" t="n">
        <v>46316</v>
      </c>
      <c r="F2688" t="inlineStr">
        <is>
          <t>KRONOBERGS LÄN</t>
        </is>
      </c>
      <c r="G2688" t="inlineStr">
        <is>
          <t>ÄLMHULT</t>
        </is>
      </c>
      <c r="I2688" t="n">
        <v>1.9</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28665-2025</t>
        </is>
      </c>
      <c r="B2689" t="inlineStr">
        <is>
          <t>avverkningsanmälan</t>
        </is>
      </c>
      <c r="C2689" t="inlineStr">
        <is>
          <t>Föryngringsavverkning</t>
        </is>
      </c>
      <c r="D2689" s="1" t="n">
        <v>45819</v>
      </c>
      <c r="E2689" s="1" t="n">
        <v>46316</v>
      </c>
      <c r="F2689" t="inlineStr">
        <is>
          <t>KRONOBERGS LÄN</t>
        </is>
      </c>
      <c r="G2689" t="inlineStr">
        <is>
          <t>ÄLMHULT</t>
        </is>
      </c>
      <c r="I2689" t="n">
        <v>2</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27006-2022</t>
        </is>
      </c>
      <c r="B2690" t="inlineStr">
        <is>
          <t>avverkningsanmälan</t>
        </is>
      </c>
      <c r="C2690" t="inlineStr">
        <is>
          <t>Föryngringsavverkning</t>
        </is>
      </c>
      <c r="D2690" s="1" t="n">
        <v>44740</v>
      </c>
      <c r="E2690" s="1" t="n">
        <v>46316</v>
      </c>
      <c r="F2690" t="inlineStr">
        <is>
          <t>KRONOBERGS LÄN</t>
        </is>
      </c>
      <c r="G2690" t="inlineStr">
        <is>
          <t>LJUNGBY</t>
        </is>
      </c>
      <c r="I2690" t="n">
        <v>0.6</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62861-2023</t>
        </is>
      </c>
      <c r="B2691" t="inlineStr">
        <is>
          <t>avverkningsanmälan</t>
        </is>
      </c>
      <c r="C2691" t="inlineStr">
        <is>
          <t>Föryngringsavverkning</t>
        </is>
      </c>
      <c r="D2691" s="1" t="n">
        <v>45272</v>
      </c>
      <c r="E2691" s="1" t="n">
        <v>46316</v>
      </c>
      <c r="F2691" t="inlineStr">
        <is>
          <t>KRONOBERGS LÄN</t>
        </is>
      </c>
      <c r="G2691" t="inlineStr">
        <is>
          <t>LJUNGBY</t>
        </is>
      </c>
      <c r="I2691" t="n">
        <v>1.2</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32828-2023</t>
        </is>
      </c>
      <c r="B2692" t="inlineStr">
        <is>
          <t>avverkningsanmälan</t>
        </is>
      </c>
      <c r="C2692" t="inlineStr">
        <is>
          <t>Föryngringsavverkning</t>
        </is>
      </c>
      <c r="D2692" s="1" t="n">
        <v>45124</v>
      </c>
      <c r="E2692" s="1" t="n">
        <v>46316</v>
      </c>
      <c r="F2692" t="inlineStr">
        <is>
          <t>KRONOBERGS LÄN</t>
        </is>
      </c>
      <c r="G2692" t="inlineStr">
        <is>
          <t>VÄXJÖ</t>
        </is>
      </c>
      <c r="I2692" t="n">
        <v>0.5</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21176-2024</t>
        </is>
      </c>
      <c r="B2693" t="inlineStr">
        <is>
          <t>avverkningsanmälan</t>
        </is>
      </c>
      <c r="C2693" t="inlineStr">
        <is>
          <t>Föryngringsavverkning</t>
        </is>
      </c>
      <c r="D2693" s="1" t="n">
        <v>45440</v>
      </c>
      <c r="E2693" s="1" t="n">
        <v>46316</v>
      </c>
      <c r="F2693" t="inlineStr">
        <is>
          <t>KRONOBERGS LÄN</t>
        </is>
      </c>
      <c r="G2693" t="inlineStr">
        <is>
          <t>LJUNGBY</t>
        </is>
      </c>
      <c r="I2693" t="n">
        <v>2.7</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31765-2025</t>
        </is>
      </c>
      <c r="B2694" t="inlineStr">
        <is>
          <t>avverkningsanmälan</t>
        </is>
      </c>
      <c r="C2694" t="inlineStr">
        <is>
          <t>Föryngringsavverkning</t>
        </is>
      </c>
      <c r="D2694" s="1" t="n">
        <v>45834</v>
      </c>
      <c r="E2694" s="1" t="n">
        <v>46316</v>
      </c>
      <c r="F2694" t="inlineStr">
        <is>
          <t>KRONOBERGS LÄN</t>
        </is>
      </c>
      <c r="G2694" t="inlineStr">
        <is>
          <t>TINGSRYD</t>
        </is>
      </c>
      <c r="I2694" t="n">
        <v>1.2</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20411-2025</t>
        </is>
      </c>
      <c r="B2695" t="inlineStr">
        <is>
          <t>avverkningsanmälan</t>
        </is>
      </c>
      <c r="C2695" t="inlineStr">
        <is>
          <t>Föryngringsavverkning</t>
        </is>
      </c>
      <c r="D2695" s="1" t="n">
        <v>45775</v>
      </c>
      <c r="E2695" s="1" t="n">
        <v>46316</v>
      </c>
      <c r="F2695" t="inlineStr">
        <is>
          <t>KRONOBERGS LÄN</t>
        </is>
      </c>
      <c r="G2695" t="inlineStr">
        <is>
          <t>VÄXJÖ</t>
        </is>
      </c>
      <c r="I2695" t="n">
        <v>4.4</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29336-2024</t>
        </is>
      </c>
      <c r="B2696" t="inlineStr">
        <is>
          <t>avverkningsanmälan</t>
        </is>
      </c>
      <c r="C2696" t="inlineStr">
        <is>
          <t>Föryngringsavverkning</t>
        </is>
      </c>
      <c r="D2696" s="1" t="n">
        <v>45483</v>
      </c>
      <c r="E2696" s="1" t="n">
        <v>46316</v>
      </c>
      <c r="F2696" t="inlineStr">
        <is>
          <t>KRONOBERGS LÄN</t>
        </is>
      </c>
      <c r="G2696" t="inlineStr">
        <is>
          <t>LJUNGBY</t>
        </is>
      </c>
      <c r="I2696" t="n">
        <v>2</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30018-2023</t>
        </is>
      </c>
      <c r="B2697" t="inlineStr">
        <is>
          <t>avverkningsanmälan</t>
        </is>
      </c>
      <c r="C2697" t="inlineStr">
        <is>
          <t>Föryngringsavverkning</t>
        </is>
      </c>
      <c r="D2697" s="1" t="n">
        <v>45109</v>
      </c>
      <c r="E2697" s="1" t="n">
        <v>46316</v>
      </c>
      <c r="F2697" t="inlineStr">
        <is>
          <t>KRONOBERGS LÄN</t>
        </is>
      </c>
      <c r="G2697" t="inlineStr">
        <is>
          <t>LJUNGBY</t>
        </is>
      </c>
      <c r="I2697" t="n">
        <v>13.6</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51179-2023</t>
        </is>
      </c>
      <c r="B2698" t="inlineStr">
        <is>
          <t>avverkningsanmälan</t>
        </is>
      </c>
      <c r="C2698" t="inlineStr">
        <is>
          <t>Föryngringsavverkning</t>
        </is>
      </c>
      <c r="D2698" s="1" t="n">
        <v>45219</v>
      </c>
      <c r="E2698" s="1" t="n">
        <v>46316</v>
      </c>
      <c r="F2698" t="inlineStr">
        <is>
          <t>KRONOBERGS LÄN</t>
        </is>
      </c>
      <c r="G2698" t="inlineStr">
        <is>
          <t>MARKARYD</t>
        </is>
      </c>
      <c r="I2698" t="n">
        <v>1.5</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51189-2023</t>
        </is>
      </c>
      <c r="B2699" t="inlineStr">
        <is>
          <t>avverkningsanmälan</t>
        </is>
      </c>
      <c r="C2699" t="inlineStr">
        <is>
          <t>Föryngringsavverkning</t>
        </is>
      </c>
      <c r="D2699" s="1" t="n">
        <v>45219</v>
      </c>
      <c r="E2699" s="1" t="n">
        <v>46316</v>
      </c>
      <c r="F2699" t="inlineStr">
        <is>
          <t>KRONOBERGS LÄN</t>
        </is>
      </c>
      <c r="G2699" t="inlineStr">
        <is>
          <t>LESSEBO</t>
        </is>
      </c>
      <c r="I2699" t="n">
        <v>0.6</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16201-2023</t>
        </is>
      </c>
      <c r="B2700" t="inlineStr">
        <is>
          <t>avverkningsanmälan</t>
        </is>
      </c>
      <c r="C2700" t="inlineStr">
        <is>
          <t>Föryngringsavverkning</t>
        </is>
      </c>
      <c r="D2700" s="1" t="n">
        <v>45028</v>
      </c>
      <c r="E2700" s="1" t="n">
        <v>46316</v>
      </c>
      <c r="F2700" t="inlineStr">
        <is>
          <t>KRONOBERGS LÄN</t>
        </is>
      </c>
      <c r="G2700" t="inlineStr">
        <is>
          <t>UPPVIDINGE</t>
        </is>
      </c>
      <c r="I2700" t="n">
        <v>2.8</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12999-2024</t>
        </is>
      </c>
      <c r="B2701" t="inlineStr">
        <is>
          <t>avverkningsanmälan</t>
        </is>
      </c>
      <c r="C2701" t="inlineStr">
        <is>
          <t>Föryngringsavverkning</t>
        </is>
      </c>
      <c r="D2701" s="1" t="n">
        <v>45385</v>
      </c>
      <c r="E2701" s="1" t="n">
        <v>46316</v>
      </c>
      <c r="F2701" t="inlineStr">
        <is>
          <t>KRONOBERGS LÄN</t>
        </is>
      </c>
      <c r="G2701" t="inlineStr">
        <is>
          <t>VÄXJÖ</t>
        </is>
      </c>
      <c r="H2701" t="inlineStr">
        <is>
          <t>Sveaskog</t>
        </is>
      </c>
      <c r="I2701" t="n">
        <v>0.5</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46067-2024</t>
        </is>
      </c>
      <c r="B2702" t="inlineStr">
        <is>
          <t>avverkningsanmälan</t>
        </is>
      </c>
      <c r="C2702" t="inlineStr">
        <is>
          <t>Föryngringsavverkning</t>
        </is>
      </c>
      <c r="D2702" s="1" t="n">
        <v>45581</v>
      </c>
      <c r="E2702" s="1" t="n">
        <v>46316</v>
      </c>
      <c r="F2702" t="inlineStr">
        <is>
          <t>KRONOBERGS LÄN</t>
        </is>
      </c>
      <c r="G2702" t="inlineStr">
        <is>
          <t>ÄLMHULT</t>
        </is>
      </c>
      <c r="I2702" t="n">
        <v>5.7</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18749-2025</t>
        </is>
      </c>
      <c r="B2703" t="inlineStr">
        <is>
          <t>avverkningsanmälan</t>
        </is>
      </c>
      <c r="C2703" t="inlineStr">
        <is>
          <t>Föryngringsavverkning</t>
        </is>
      </c>
      <c r="D2703" s="1" t="n">
        <v>45763</v>
      </c>
      <c r="E2703" s="1" t="n">
        <v>46316</v>
      </c>
      <c r="F2703" t="inlineStr">
        <is>
          <t>KRONOBERGS LÄN</t>
        </is>
      </c>
      <c r="G2703" t="inlineStr">
        <is>
          <t>ÄLMHULT</t>
        </is>
      </c>
      <c r="I2703" t="n">
        <v>1.8</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18750-2025</t>
        </is>
      </c>
      <c r="B2704" t="inlineStr">
        <is>
          <t>avverkningsanmälan</t>
        </is>
      </c>
      <c r="C2704" t="inlineStr">
        <is>
          <t>Föryngringsavverkning</t>
        </is>
      </c>
      <c r="D2704" s="1" t="n">
        <v>45763</v>
      </c>
      <c r="E2704" s="1" t="n">
        <v>46316</v>
      </c>
      <c r="F2704" t="inlineStr">
        <is>
          <t>KRONOBERGS LÄN</t>
        </is>
      </c>
      <c r="G2704" t="inlineStr">
        <is>
          <t>ÄLMHULT</t>
        </is>
      </c>
      <c r="I2704" t="n">
        <v>2.1</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42765-2025</t>
        </is>
      </c>
      <c r="B2705" t="inlineStr">
        <is>
          <t>avverkningsanmälan</t>
        </is>
      </c>
      <c r="C2705" t="inlineStr">
        <is>
          <t>Föryngringsavverkning</t>
        </is>
      </c>
      <c r="D2705" s="1" t="n">
        <v>45908</v>
      </c>
      <c r="E2705" s="1" t="n">
        <v>46316</v>
      </c>
      <c r="F2705" t="inlineStr">
        <is>
          <t>KRONOBERGS LÄN</t>
        </is>
      </c>
      <c r="G2705" t="inlineStr">
        <is>
          <t>TINGSRYD</t>
        </is>
      </c>
      <c r="I2705" t="n">
        <v>3</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35317-2024</t>
        </is>
      </c>
      <c r="B2706" t="inlineStr">
        <is>
          <t>avverkningsanmälan</t>
        </is>
      </c>
      <c r="C2706" t="inlineStr">
        <is>
          <t>Föryngringsavverkning</t>
        </is>
      </c>
      <c r="D2706" s="1" t="n">
        <v>45530</v>
      </c>
      <c r="E2706" s="1" t="n">
        <v>46316</v>
      </c>
      <c r="F2706" t="inlineStr">
        <is>
          <t>KRONOBERGS LÄN</t>
        </is>
      </c>
      <c r="G2706" t="inlineStr">
        <is>
          <t>LJUNGBY</t>
        </is>
      </c>
      <c r="I2706" t="n">
        <v>1</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39738-2024</t>
        </is>
      </c>
      <c r="B2707" t="inlineStr">
        <is>
          <t>avverkningsanmälan</t>
        </is>
      </c>
      <c r="C2707" t="inlineStr">
        <is>
          <t>Föryngringsavverkning</t>
        </is>
      </c>
      <c r="D2707" s="1" t="n">
        <v>45552</v>
      </c>
      <c r="E2707" s="1" t="n">
        <v>46316</v>
      </c>
      <c r="F2707" t="inlineStr">
        <is>
          <t>KRONOBERGS LÄN</t>
        </is>
      </c>
      <c r="G2707" t="inlineStr">
        <is>
          <t>UPPVIDINGE</t>
        </is>
      </c>
      <c r="I2707" t="n">
        <v>0.4</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48495-2023</t>
        </is>
      </c>
      <c r="B2708" t="inlineStr">
        <is>
          <t>avverkningsanmälan</t>
        </is>
      </c>
      <c r="C2708" t="inlineStr">
        <is>
          <t>Föryngringsavverkning</t>
        </is>
      </c>
      <c r="D2708" s="1" t="n">
        <v>45207</v>
      </c>
      <c r="E2708" s="1" t="n">
        <v>46316</v>
      </c>
      <c r="F2708" t="inlineStr">
        <is>
          <t>KRONOBERGS LÄN</t>
        </is>
      </c>
      <c r="G2708" t="inlineStr">
        <is>
          <t>LJUNGBY</t>
        </is>
      </c>
      <c r="I2708" t="n">
        <v>1.3</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11650-2023</t>
        </is>
      </c>
      <c r="B2709" t="inlineStr">
        <is>
          <t>avverkningsanmälan</t>
        </is>
      </c>
      <c r="C2709" t="inlineStr">
        <is>
          <t>Föryngringsavverkning</t>
        </is>
      </c>
      <c r="D2709" s="1" t="n">
        <v>44994</v>
      </c>
      <c r="E2709" s="1" t="n">
        <v>46316</v>
      </c>
      <c r="F2709" t="inlineStr">
        <is>
          <t>KRONOBERGS LÄN</t>
        </is>
      </c>
      <c r="G2709" t="inlineStr">
        <is>
          <t>UPPVIDINGE</t>
        </is>
      </c>
      <c r="I2709" t="n">
        <v>0.7</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27019-2025</t>
        </is>
      </c>
      <c r="B2710" t="inlineStr">
        <is>
          <t>avverkningsanmälan</t>
        </is>
      </c>
      <c r="C2710" t="inlineStr">
        <is>
          <t>Föryngringsavverkning</t>
        </is>
      </c>
      <c r="D2710" s="1" t="n">
        <v>45811</v>
      </c>
      <c r="E2710" s="1" t="n">
        <v>46316</v>
      </c>
      <c r="F2710" t="inlineStr">
        <is>
          <t>KRONOBERGS LÄN</t>
        </is>
      </c>
      <c r="G2710" t="inlineStr">
        <is>
          <t>LJUNGBY</t>
        </is>
      </c>
      <c r="I2710" t="n">
        <v>5.4</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14226-2025</t>
        </is>
      </c>
      <c r="B2711" t="inlineStr">
        <is>
          <t>avverkningsanmälan</t>
        </is>
      </c>
      <c r="C2711" t="inlineStr">
        <is>
          <t>Föryngringsavverkning</t>
        </is>
      </c>
      <c r="D2711" s="1" t="n">
        <v>45740</v>
      </c>
      <c r="E2711" s="1" t="n">
        <v>46316</v>
      </c>
      <c r="F2711" t="inlineStr">
        <is>
          <t>KRONOBERGS LÄN</t>
        </is>
      </c>
      <c r="G2711" t="inlineStr">
        <is>
          <t>VÄXJÖ</t>
        </is>
      </c>
      <c r="I2711" t="n">
        <v>2.7</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11533-2025</t>
        </is>
      </c>
      <c r="B2712" t="inlineStr">
        <is>
          <t>avverkningsanmälan</t>
        </is>
      </c>
      <c r="C2712" t="inlineStr">
        <is>
          <t>Föryngringsavverkning</t>
        </is>
      </c>
      <c r="D2712" s="1" t="n">
        <v>45727</v>
      </c>
      <c r="E2712" s="1" t="n">
        <v>46316</v>
      </c>
      <c r="F2712" t="inlineStr">
        <is>
          <t>KRONOBERGS LÄN</t>
        </is>
      </c>
      <c r="G2712" t="inlineStr">
        <is>
          <t>TINGSRYD</t>
        </is>
      </c>
      <c r="I2712" t="n">
        <v>0.6</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23600-2023</t>
        </is>
      </c>
      <c r="B2713" t="inlineStr">
        <is>
          <t>avverkningsanmälan</t>
        </is>
      </c>
      <c r="C2713" t="inlineStr">
        <is>
          <t>Avverkning för annat ändamål</t>
        </is>
      </c>
      <c r="D2713" s="1" t="n">
        <v>45077</v>
      </c>
      <c r="E2713" s="1" t="n">
        <v>46316</v>
      </c>
      <c r="F2713" t="inlineStr">
        <is>
          <t>KRONOBERGS LÄN</t>
        </is>
      </c>
      <c r="G2713" t="inlineStr">
        <is>
          <t>LJUNGBY</t>
        </is>
      </c>
      <c r="I2713" t="n">
        <v>1.7</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50852-2025</t>
        </is>
      </c>
      <c r="B2714" t="inlineStr">
        <is>
          <t>avverkningsanmälan</t>
        </is>
      </c>
      <c r="C2714" t="inlineStr">
        <is>
          <t>Föryngringsavverkning</t>
        </is>
      </c>
      <c r="D2714" s="1" t="n">
        <v>45946</v>
      </c>
      <c r="E2714" s="1" t="n">
        <v>46316</v>
      </c>
      <c r="F2714" t="inlineStr">
        <is>
          <t>KRONOBERGS LÄN</t>
        </is>
      </c>
      <c r="G2714" t="inlineStr">
        <is>
          <t>ALVESTA</t>
        </is>
      </c>
      <c r="I2714" t="n">
        <v>1</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47393-2022</t>
        </is>
      </c>
      <c r="B2715" t="inlineStr">
        <is>
          <t>avverkningsanmälan</t>
        </is>
      </c>
      <c r="C2715" t="inlineStr">
        <is>
          <t>Föryngringsavverkning</t>
        </is>
      </c>
      <c r="D2715" s="1" t="n">
        <v>44852</v>
      </c>
      <c r="E2715" s="1" t="n">
        <v>46316</v>
      </c>
      <c r="F2715" t="inlineStr">
        <is>
          <t>KRONOBERGS LÄN</t>
        </is>
      </c>
      <c r="G2715" t="inlineStr">
        <is>
          <t>TINGSRYD</t>
        </is>
      </c>
      <c r="I2715" t="n">
        <v>1.6</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22087-2023</t>
        </is>
      </c>
      <c r="B2716" t="inlineStr">
        <is>
          <t>avverkningsanmälan</t>
        </is>
      </c>
      <c r="C2716" t="inlineStr">
        <is>
          <t>Föryngringsavverkning</t>
        </is>
      </c>
      <c r="D2716" s="1" t="n">
        <v>45069</v>
      </c>
      <c r="E2716" s="1" t="n">
        <v>46316</v>
      </c>
      <c r="F2716" t="inlineStr">
        <is>
          <t>KRONOBERGS LÄN</t>
        </is>
      </c>
      <c r="G2716" t="inlineStr">
        <is>
          <t>LJUNGBY</t>
        </is>
      </c>
      <c r="I2716" t="n">
        <v>1.1</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32007-2025</t>
        </is>
      </c>
      <c r="B2717" t="inlineStr">
        <is>
          <t>avverkningsanmälan</t>
        </is>
      </c>
      <c r="C2717" t="inlineStr">
        <is>
          <t>Föryngringsavverkning</t>
        </is>
      </c>
      <c r="D2717" s="1" t="n">
        <v>45835</v>
      </c>
      <c r="E2717" s="1" t="n">
        <v>46316</v>
      </c>
      <c r="F2717" t="inlineStr">
        <is>
          <t>KRONOBERGS LÄN</t>
        </is>
      </c>
      <c r="G2717" t="inlineStr">
        <is>
          <t>VÄXJÖ</t>
        </is>
      </c>
      <c r="I2717" t="n">
        <v>1</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48157-2025</t>
        </is>
      </c>
      <c r="B2718" t="inlineStr">
        <is>
          <t>avverkningsanmälan</t>
        </is>
      </c>
      <c r="C2718" t="inlineStr">
        <is>
          <t>Föryngringsavverkning</t>
        </is>
      </c>
      <c r="D2718" s="1" t="n">
        <v>45933</v>
      </c>
      <c r="E2718" s="1" t="n">
        <v>46316</v>
      </c>
      <c r="F2718" t="inlineStr">
        <is>
          <t>KRONOBERGS LÄN</t>
        </is>
      </c>
      <c r="G2718" t="inlineStr">
        <is>
          <t>TINGSRYD</t>
        </is>
      </c>
      <c r="I2718" t="n">
        <v>1.5</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56832-2024</t>
        </is>
      </c>
      <c r="B2719" t="inlineStr">
        <is>
          <t>avverkningsanmälan</t>
        </is>
      </c>
      <c r="C2719" t="inlineStr">
        <is>
          <t>Föryngringsavverkning</t>
        </is>
      </c>
      <c r="D2719" s="1" t="n">
        <v>45628</v>
      </c>
      <c r="E2719" s="1" t="n">
        <v>46316</v>
      </c>
      <c r="F2719" t="inlineStr">
        <is>
          <t>KRONOBERGS LÄN</t>
        </is>
      </c>
      <c r="G2719" t="inlineStr">
        <is>
          <t>ALVESTA</t>
        </is>
      </c>
      <c r="I2719" t="n">
        <v>1</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18931-2025</t>
        </is>
      </c>
      <c r="B2720" t="inlineStr">
        <is>
          <t>avverkningsanmälan</t>
        </is>
      </c>
      <c r="C2720" t="inlineStr">
        <is>
          <t>Föryngringsavverkning</t>
        </is>
      </c>
      <c r="D2720" s="1" t="n">
        <v>45764</v>
      </c>
      <c r="E2720" s="1" t="n">
        <v>46316</v>
      </c>
      <c r="F2720" t="inlineStr">
        <is>
          <t>KRONOBERGS LÄN</t>
        </is>
      </c>
      <c r="G2720" t="inlineStr">
        <is>
          <t>LJUNGBY</t>
        </is>
      </c>
      <c r="I2720" t="n">
        <v>1.5</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17130-2025</t>
        </is>
      </c>
      <c r="B2721" t="inlineStr">
        <is>
          <t>avverkningsanmälan</t>
        </is>
      </c>
      <c r="C2721" t="inlineStr">
        <is>
          <t>Föryngringsavverkning</t>
        </is>
      </c>
      <c r="D2721" s="1" t="n">
        <v>45755</v>
      </c>
      <c r="E2721" s="1" t="n">
        <v>46316</v>
      </c>
      <c r="F2721" t="inlineStr">
        <is>
          <t>KRONOBERGS LÄN</t>
        </is>
      </c>
      <c r="G2721" t="inlineStr">
        <is>
          <t>TINGSRYD</t>
        </is>
      </c>
      <c r="I2721" t="n">
        <v>3.6</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12787-2025</t>
        </is>
      </c>
      <c r="B2722" t="inlineStr">
        <is>
          <t>avverkningsanmälan</t>
        </is>
      </c>
      <c r="C2722" t="inlineStr">
        <is>
          <t>Föryngringsavverkning</t>
        </is>
      </c>
      <c r="D2722" s="1" t="n">
        <v>45733</v>
      </c>
      <c r="E2722" s="1" t="n">
        <v>46316</v>
      </c>
      <c r="F2722" t="inlineStr">
        <is>
          <t>KRONOBERGS LÄN</t>
        </is>
      </c>
      <c r="G2722" t="inlineStr">
        <is>
          <t>LJUNGBY</t>
        </is>
      </c>
      <c r="I2722" t="n">
        <v>1.5</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22012-2025</t>
        </is>
      </c>
      <c r="B2723" t="inlineStr">
        <is>
          <t>avverkningsanmälan</t>
        </is>
      </c>
      <c r="C2723" t="inlineStr">
        <is>
          <t>Föryngringsavverkning</t>
        </is>
      </c>
      <c r="D2723" s="1" t="n">
        <v>45784</v>
      </c>
      <c r="E2723" s="1" t="n">
        <v>46316</v>
      </c>
      <c r="F2723" t="inlineStr">
        <is>
          <t>KRONOBERGS LÄN</t>
        </is>
      </c>
      <c r="G2723" t="inlineStr">
        <is>
          <t>LJUNGBY</t>
        </is>
      </c>
      <c r="I2723" t="n">
        <v>0.9</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12877-2025</t>
        </is>
      </c>
      <c r="B2724" t="inlineStr">
        <is>
          <t>avverkningsanmälan</t>
        </is>
      </c>
      <c r="C2724" t="inlineStr">
        <is>
          <t>Föryngringsavverkning</t>
        </is>
      </c>
      <c r="D2724" s="1" t="n">
        <v>45733</v>
      </c>
      <c r="E2724" s="1" t="n">
        <v>46316</v>
      </c>
      <c r="F2724" t="inlineStr">
        <is>
          <t>KRONOBERGS LÄN</t>
        </is>
      </c>
      <c r="G2724" t="inlineStr">
        <is>
          <t>ÄLMHULT</t>
        </is>
      </c>
      <c r="I2724" t="n">
        <v>2.3</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25989-2024</t>
        </is>
      </c>
      <c r="B2725" t="inlineStr">
        <is>
          <t>avverkningsanmälan</t>
        </is>
      </c>
      <c r="C2725" t="inlineStr">
        <is>
          <t>Föryngringsavverkning</t>
        </is>
      </c>
      <c r="D2725" s="1" t="n">
        <v>45467</v>
      </c>
      <c r="E2725" s="1" t="n">
        <v>46316</v>
      </c>
      <c r="F2725" t="inlineStr">
        <is>
          <t>KRONOBERGS LÄN</t>
        </is>
      </c>
      <c r="G2725" t="inlineStr">
        <is>
          <t>TINGSRYD</t>
        </is>
      </c>
      <c r="I2725" t="n">
        <v>3.9</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25992-2024</t>
        </is>
      </c>
      <c r="B2726" t="inlineStr">
        <is>
          <t>avverkningsanmälan</t>
        </is>
      </c>
      <c r="C2726" t="inlineStr">
        <is>
          <t>Föryngringsavverkning</t>
        </is>
      </c>
      <c r="D2726" s="1" t="n">
        <v>45467</v>
      </c>
      <c r="E2726" s="1" t="n">
        <v>46316</v>
      </c>
      <c r="F2726" t="inlineStr">
        <is>
          <t>KRONOBERGS LÄN</t>
        </is>
      </c>
      <c r="G2726" t="inlineStr">
        <is>
          <t>TINGSRYD</t>
        </is>
      </c>
      <c r="I2726" t="n">
        <v>5</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25993-2024</t>
        </is>
      </c>
      <c r="B2727" t="inlineStr">
        <is>
          <t>avverkningsanmälan</t>
        </is>
      </c>
      <c r="C2727" t="inlineStr">
        <is>
          <t>Föryngringsavverkning</t>
        </is>
      </c>
      <c r="D2727" s="1" t="n">
        <v>45467</v>
      </c>
      <c r="E2727" s="1" t="n">
        <v>46316</v>
      </c>
      <c r="F2727" t="inlineStr">
        <is>
          <t>KRONOBERGS LÄN</t>
        </is>
      </c>
      <c r="G2727" t="inlineStr">
        <is>
          <t>TINGSRYD</t>
        </is>
      </c>
      <c r="I2727" t="n">
        <v>1.6</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38909-2024</t>
        </is>
      </c>
      <c r="B2728" t="inlineStr">
        <is>
          <t>avverkningsanmälan</t>
        </is>
      </c>
      <c r="C2728" t="inlineStr">
        <is>
          <t>Föryngringsavverkning</t>
        </is>
      </c>
      <c r="D2728" s="1" t="n">
        <v>45547</v>
      </c>
      <c r="E2728" s="1" t="n">
        <v>46316</v>
      </c>
      <c r="F2728" t="inlineStr">
        <is>
          <t>KRONOBERGS LÄN</t>
        </is>
      </c>
      <c r="G2728" t="inlineStr">
        <is>
          <t>ALVESTA</t>
        </is>
      </c>
      <c r="I2728" t="n">
        <v>1.4</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30494-2023</t>
        </is>
      </c>
      <c r="B2729" t="inlineStr">
        <is>
          <t>avverkningsanmälan</t>
        </is>
      </c>
      <c r="C2729" t="inlineStr">
        <is>
          <t>Föryngringsavverkning</t>
        </is>
      </c>
      <c r="D2729" s="1" t="n">
        <v>45111</v>
      </c>
      <c r="E2729" s="1" t="n">
        <v>46316</v>
      </c>
      <c r="F2729" t="inlineStr">
        <is>
          <t>KRONOBERGS LÄN</t>
        </is>
      </c>
      <c r="G2729" t="inlineStr">
        <is>
          <t>ÄLMHULT</t>
        </is>
      </c>
      <c r="I2729" t="n">
        <v>4</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27424-2025</t>
        </is>
      </c>
      <c r="B2730" t="inlineStr">
        <is>
          <t>avverkningsanmälan</t>
        </is>
      </c>
      <c r="C2730" t="inlineStr">
        <is>
          <t>Föryngringsavverkning</t>
        </is>
      </c>
      <c r="D2730" s="1" t="n">
        <v>45812</v>
      </c>
      <c r="E2730" s="1" t="n">
        <v>46316</v>
      </c>
      <c r="F2730" t="inlineStr">
        <is>
          <t>KRONOBERGS LÄN</t>
        </is>
      </c>
      <c r="G2730" t="inlineStr">
        <is>
          <t>ÄLMHULT</t>
        </is>
      </c>
      <c r="I2730" t="n">
        <v>0.9</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35285-2022</t>
        </is>
      </c>
      <c r="B2731" t="inlineStr">
        <is>
          <t>avverkningsanmälan</t>
        </is>
      </c>
      <c r="C2731" t="inlineStr">
        <is>
          <t>Föryngringsavverkning</t>
        </is>
      </c>
      <c r="D2731" s="1" t="n">
        <v>44798</v>
      </c>
      <c r="E2731" s="1" t="n">
        <v>46316</v>
      </c>
      <c r="F2731" t="inlineStr">
        <is>
          <t>KRONOBERGS LÄN</t>
        </is>
      </c>
      <c r="G2731" t="inlineStr">
        <is>
          <t>MARKARYD</t>
        </is>
      </c>
      <c r="I2731" t="n">
        <v>1.1</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8690-2023</t>
        </is>
      </c>
      <c r="B2732" t="inlineStr">
        <is>
          <t>avverkningsanmälan</t>
        </is>
      </c>
      <c r="C2732" t="inlineStr">
        <is>
          <t>Föryngringsavverkning</t>
        </is>
      </c>
      <c r="D2732" s="1" t="n">
        <v>44978</v>
      </c>
      <c r="E2732" s="1" t="n">
        <v>46316</v>
      </c>
      <c r="F2732" t="inlineStr">
        <is>
          <t>KRONOBERGS LÄN</t>
        </is>
      </c>
      <c r="G2732" t="inlineStr">
        <is>
          <t>LESSEBO</t>
        </is>
      </c>
      <c r="I2732" t="n">
        <v>3.5</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7546-2024</t>
        </is>
      </c>
      <c r="B2733" t="inlineStr">
        <is>
          <t>avverkningsanmälan</t>
        </is>
      </c>
      <c r="C2733" t="inlineStr">
        <is>
          <t>Föryngringsavverkning</t>
        </is>
      </c>
      <c r="D2733" s="1" t="n">
        <v>45348</v>
      </c>
      <c r="E2733" s="1" t="n">
        <v>46316</v>
      </c>
      <c r="F2733" t="inlineStr">
        <is>
          <t>KRONOBERGS LÄN</t>
        </is>
      </c>
      <c r="G2733" t="inlineStr">
        <is>
          <t>ÄLMHULT</t>
        </is>
      </c>
      <c r="I2733" t="n">
        <v>0.6</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48692-2024</t>
        </is>
      </c>
      <c r="B2734" t="inlineStr">
        <is>
          <t>avverkningsanmälan</t>
        </is>
      </c>
      <c r="C2734" t="inlineStr">
        <is>
          <t>Föryngringsavverkning</t>
        </is>
      </c>
      <c r="D2734" s="1" t="n">
        <v>45593</v>
      </c>
      <c r="E2734" s="1" t="n">
        <v>46316</v>
      </c>
      <c r="F2734" t="inlineStr">
        <is>
          <t>KRONOBERGS LÄN</t>
        </is>
      </c>
      <c r="G2734" t="inlineStr">
        <is>
          <t>ALVESTA</t>
        </is>
      </c>
      <c r="I2734" t="n">
        <v>0.7</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7150-2026</t>
        </is>
      </c>
      <c r="B2735" t="inlineStr">
        <is>
          <t>avverkningsanmälan</t>
        </is>
      </c>
      <c r="C2735" t="inlineStr">
        <is>
          <t>Föryngringsavverkning</t>
        </is>
      </c>
      <c r="D2735" s="1" t="n">
        <v>46058</v>
      </c>
      <c r="E2735" s="1" t="n">
        <v>46316</v>
      </c>
      <c r="F2735" t="inlineStr">
        <is>
          <t>KRONOBERGS LÄN</t>
        </is>
      </c>
      <c r="G2735" t="inlineStr">
        <is>
          <t>ALVESTA</t>
        </is>
      </c>
      <c r="I2735" t="n">
        <v>3.4</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35790-2025</t>
        </is>
      </c>
      <c r="B2736" t="inlineStr">
        <is>
          <t>avverkningsanmälan</t>
        </is>
      </c>
      <c r="C2736" t="inlineStr">
        <is>
          <t>Föryngringsavverkning</t>
        </is>
      </c>
      <c r="D2736" s="1" t="n">
        <v>45860</v>
      </c>
      <c r="E2736" s="1" t="n">
        <v>46316</v>
      </c>
      <c r="F2736" t="inlineStr">
        <is>
          <t>KRONOBERGS LÄN</t>
        </is>
      </c>
      <c r="G2736" t="inlineStr">
        <is>
          <t>LJUNGBY</t>
        </is>
      </c>
      <c r="I2736" t="n">
        <v>3.6</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54290-2023</t>
        </is>
      </c>
      <c r="B2737" t="inlineStr">
        <is>
          <t>avverkningsanmälan</t>
        </is>
      </c>
      <c r="C2737" t="inlineStr">
        <is>
          <t>Föryngringsavverkning</t>
        </is>
      </c>
      <c r="D2737" s="1" t="n">
        <v>45232</v>
      </c>
      <c r="E2737" s="1" t="n">
        <v>46316</v>
      </c>
      <c r="F2737" t="inlineStr">
        <is>
          <t>KRONOBERGS LÄN</t>
        </is>
      </c>
      <c r="G2737" t="inlineStr">
        <is>
          <t>UPPVIDINGE</t>
        </is>
      </c>
      <c r="I2737" t="n">
        <v>1.6</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60202-2021</t>
        </is>
      </c>
      <c r="B2738" t="inlineStr">
        <is>
          <t>avverkningsanmälan</t>
        </is>
      </c>
      <c r="C2738" t="inlineStr">
        <is>
          <t>Föryngringsavverkning</t>
        </is>
      </c>
      <c r="D2738" s="1" t="n">
        <v>44495</v>
      </c>
      <c r="E2738" s="1" t="n">
        <v>46316</v>
      </c>
      <c r="F2738" t="inlineStr">
        <is>
          <t>KRONOBERGS LÄN</t>
        </is>
      </c>
      <c r="G2738" t="inlineStr">
        <is>
          <t>ALVESTA</t>
        </is>
      </c>
      <c r="I2738" t="n">
        <v>8.800000000000001</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54363-2023</t>
        </is>
      </c>
      <c r="B2739" t="inlineStr">
        <is>
          <t>avverkningsanmälan</t>
        </is>
      </c>
      <c r="C2739" t="inlineStr">
        <is>
          <t>Avverkning för annat ändamål</t>
        </is>
      </c>
      <c r="D2739" s="1" t="n">
        <v>45233</v>
      </c>
      <c r="E2739" s="1" t="n">
        <v>46316</v>
      </c>
      <c r="F2739" t="inlineStr">
        <is>
          <t>KRONOBERGS LÄN</t>
        </is>
      </c>
      <c r="G2739" t="inlineStr">
        <is>
          <t>ÄLMHULT</t>
        </is>
      </c>
      <c r="I2739" t="n">
        <v>8.6</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54364-2023</t>
        </is>
      </c>
      <c r="B2740" t="inlineStr">
        <is>
          <t>avverkningsanmälan</t>
        </is>
      </c>
      <c r="C2740" t="inlineStr">
        <is>
          <t>Avverkning för annat ändamål</t>
        </is>
      </c>
      <c r="D2740" s="1" t="n">
        <v>45233</v>
      </c>
      <c r="E2740" s="1" t="n">
        <v>46316</v>
      </c>
      <c r="F2740" t="inlineStr">
        <is>
          <t>KRONOBERGS LÄN</t>
        </is>
      </c>
      <c r="G2740" t="inlineStr">
        <is>
          <t>ÄLMHULT</t>
        </is>
      </c>
      <c r="I2740" t="n">
        <v>6.2</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30223-2025</t>
        </is>
      </c>
      <c r="B2741" t="inlineStr">
        <is>
          <t>avverkningsanmälan</t>
        </is>
      </c>
      <c r="C2741" t="inlineStr">
        <is>
          <t>Föryngringsavverkning</t>
        </is>
      </c>
      <c r="D2741" s="1" t="n">
        <v>45827</v>
      </c>
      <c r="E2741" s="1" t="n">
        <v>46316</v>
      </c>
      <c r="F2741" t="inlineStr">
        <is>
          <t>KRONOBERGS LÄN</t>
        </is>
      </c>
      <c r="G2741" t="inlineStr">
        <is>
          <t>ALVESTA</t>
        </is>
      </c>
      <c r="I2741" t="n">
        <v>2.5</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20335-2026</t>
        </is>
      </c>
      <c r="B2742" t="inlineStr">
        <is>
          <t>avverkningsanmälan</t>
        </is>
      </c>
      <c r="C2742" t="inlineStr">
        <is>
          <t>Föryngringsavverkning</t>
        </is>
      </c>
      <c r="D2742" s="1" t="n">
        <v>46139</v>
      </c>
      <c r="E2742" s="1" t="n">
        <v>46316</v>
      </c>
      <c r="F2742" t="inlineStr">
        <is>
          <t>KRONOBERGS LÄN</t>
        </is>
      </c>
      <c r="G2742" t="inlineStr">
        <is>
          <t>LJUNGBY</t>
        </is>
      </c>
      <c r="I2742" t="n">
        <v>0.5</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14844-2022</t>
        </is>
      </c>
      <c r="B2743" t="inlineStr">
        <is>
          <t>avverkningsanmälan</t>
        </is>
      </c>
      <c r="C2743" t="inlineStr">
        <is>
          <t>Föryngringsavverkning</t>
        </is>
      </c>
      <c r="D2743" s="1" t="n">
        <v>44656</v>
      </c>
      <c r="E2743" s="1" t="n">
        <v>46316</v>
      </c>
      <c r="F2743" t="inlineStr">
        <is>
          <t>KRONOBERGS LÄN</t>
        </is>
      </c>
      <c r="G2743" t="inlineStr">
        <is>
          <t>LJUNGBY</t>
        </is>
      </c>
      <c r="I2743" t="n">
        <v>0.5</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47858-2023</t>
        </is>
      </c>
      <c r="B2744" t="inlineStr">
        <is>
          <t>avverkningsanmälan</t>
        </is>
      </c>
      <c r="C2744" t="inlineStr">
        <is>
          <t>Föryngringsavverkning</t>
        </is>
      </c>
      <c r="D2744" s="1" t="n">
        <v>45204</v>
      </c>
      <c r="E2744" s="1" t="n">
        <v>46316</v>
      </c>
      <c r="F2744" t="inlineStr">
        <is>
          <t>KRONOBERGS LÄN</t>
        </is>
      </c>
      <c r="G2744" t="inlineStr">
        <is>
          <t>UPPVIDINGE</t>
        </is>
      </c>
      <c r="I2744" t="n">
        <v>2.5</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25039-2023</t>
        </is>
      </c>
      <c r="B2745" t="inlineStr">
        <is>
          <t>avverkningsanmälan</t>
        </is>
      </c>
      <c r="C2745" t="inlineStr">
        <is>
          <t>Föryngringsavverkning</t>
        </is>
      </c>
      <c r="D2745" s="1" t="n">
        <v>45085</v>
      </c>
      <c r="E2745" s="1" t="n">
        <v>46316</v>
      </c>
      <c r="F2745" t="inlineStr">
        <is>
          <t>KRONOBERGS LÄN</t>
        </is>
      </c>
      <c r="G2745" t="inlineStr">
        <is>
          <t>LJUNGBY</t>
        </is>
      </c>
      <c r="I2745" t="n">
        <v>0.6</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35909-2025</t>
        </is>
      </c>
      <c r="B2746" t="inlineStr">
        <is>
          <t>avverkningsanmälan</t>
        </is>
      </c>
      <c r="C2746" t="inlineStr">
        <is>
          <t>Föryngringsavverkning</t>
        </is>
      </c>
      <c r="D2746" s="1" t="n">
        <v>45862</v>
      </c>
      <c r="E2746" s="1" t="n">
        <v>46316</v>
      </c>
      <c r="F2746" t="inlineStr">
        <is>
          <t>KRONOBERGS LÄN</t>
        </is>
      </c>
      <c r="G2746" t="inlineStr">
        <is>
          <t>LESSEBO</t>
        </is>
      </c>
      <c r="H2746" t="inlineStr">
        <is>
          <t>Sveaskog</t>
        </is>
      </c>
      <c r="I2746" t="n">
        <v>2.7</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40953-2025</t>
        </is>
      </c>
      <c r="B2747" t="inlineStr">
        <is>
          <t>avverkningsanmälan</t>
        </is>
      </c>
      <c r="C2747" t="inlineStr">
        <is>
          <t>Föryngringsavverkning</t>
        </is>
      </c>
      <c r="D2747" s="1" t="n">
        <v>45897</v>
      </c>
      <c r="E2747" s="1" t="n">
        <v>46316</v>
      </c>
      <c r="F2747" t="inlineStr">
        <is>
          <t>KRONOBERGS LÄN</t>
        </is>
      </c>
      <c r="G2747" t="inlineStr">
        <is>
          <t>UPPVIDINGE</t>
        </is>
      </c>
      <c r="I2747" t="n">
        <v>2.5</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35899-2025</t>
        </is>
      </c>
      <c r="B2748" t="inlineStr">
        <is>
          <t>avverkningsanmälan</t>
        </is>
      </c>
      <c r="C2748" t="inlineStr">
        <is>
          <t>Föryngringsavverkning</t>
        </is>
      </c>
      <c r="D2748" s="1" t="n">
        <v>45862</v>
      </c>
      <c r="E2748" s="1" t="n">
        <v>46316</v>
      </c>
      <c r="F2748" t="inlineStr">
        <is>
          <t>KRONOBERGS LÄN</t>
        </is>
      </c>
      <c r="G2748" t="inlineStr">
        <is>
          <t>LESSEBO</t>
        </is>
      </c>
      <c r="H2748" t="inlineStr">
        <is>
          <t>Sveaskog</t>
        </is>
      </c>
      <c r="I2748" t="n">
        <v>1.4</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25297-2023</t>
        </is>
      </c>
      <c r="B2749" t="inlineStr">
        <is>
          <t>avverkningsanmälan</t>
        </is>
      </c>
      <c r="C2749" t="inlineStr">
        <is>
          <t>Föryngringsavverkning</t>
        </is>
      </c>
      <c r="D2749" s="1" t="n">
        <v>45086</v>
      </c>
      <c r="E2749" s="1" t="n">
        <v>46316</v>
      </c>
      <c r="F2749" t="inlineStr">
        <is>
          <t>KRONOBERGS LÄN</t>
        </is>
      </c>
      <c r="G2749" t="inlineStr">
        <is>
          <t>ALVESTA</t>
        </is>
      </c>
      <c r="I2749" t="n">
        <v>0.9</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33713-2025</t>
        </is>
      </c>
      <c r="B2750" t="inlineStr">
        <is>
          <t>avverkningsanmälan</t>
        </is>
      </c>
      <c r="C2750" t="inlineStr">
        <is>
          <t>Avverkning för annat ändamål</t>
        </is>
      </c>
      <c r="D2750" s="1" t="n">
        <v>45841</v>
      </c>
      <c r="E2750" s="1" t="n">
        <v>46316</v>
      </c>
      <c r="F2750" t="inlineStr">
        <is>
          <t>KRONOBERGS LÄN</t>
        </is>
      </c>
      <c r="G2750" t="inlineStr">
        <is>
          <t>VÄXJÖ</t>
        </is>
      </c>
      <c r="I2750" t="n">
        <v>2.2</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14133-2023</t>
        </is>
      </c>
      <c r="B2751" t="inlineStr">
        <is>
          <t>avverkningsanmälan</t>
        </is>
      </c>
      <c r="C2751" t="inlineStr">
        <is>
          <t>Föryngringsavverkning</t>
        </is>
      </c>
      <c r="D2751" s="1" t="n">
        <v>45009</v>
      </c>
      <c r="E2751" s="1" t="n">
        <v>46316</v>
      </c>
      <c r="F2751" t="inlineStr">
        <is>
          <t>KRONOBERGS LÄN</t>
        </is>
      </c>
      <c r="G2751" t="inlineStr">
        <is>
          <t>ALVESTA</t>
        </is>
      </c>
      <c r="I2751" t="n">
        <v>1.5</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6870-2024</t>
        </is>
      </c>
      <c r="B2752" t="inlineStr">
        <is>
          <t>avverkningsanmälan</t>
        </is>
      </c>
      <c r="C2752" t="inlineStr">
        <is>
          <t>Föryngringsavverkning</t>
        </is>
      </c>
      <c r="D2752" s="1" t="n">
        <v>45342</v>
      </c>
      <c r="E2752" s="1" t="n">
        <v>46316</v>
      </c>
      <c r="F2752" t="inlineStr">
        <is>
          <t>KRONOBERGS LÄN</t>
        </is>
      </c>
      <c r="G2752" t="inlineStr">
        <is>
          <t>VÄXJÖ</t>
        </is>
      </c>
      <c r="I2752" t="n">
        <v>0.6</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20220-2026</t>
        </is>
      </c>
      <c r="B2753" t="inlineStr">
        <is>
          <t>avverkningsanmälan</t>
        </is>
      </c>
      <c r="C2753" t="inlineStr">
        <is>
          <t>Föryngringsavverkning</t>
        </is>
      </c>
      <c r="D2753" s="1" t="n">
        <v>46139</v>
      </c>
      <c r="E2753" s="1" t="n">
        <v>46316</v>
      </c>
      <c r="F2753" t="inlineStr">
        <is>
          <t>KRONOBERGS LÄN</t>
        </is>
      </c>
      <c r="G2753" t="inlineStr">
        <is>
          <t>ALVESTA</t>
        </is>
      </c>
      <c r="I2753" t="n">
        <v>1.2</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33841-2025</t>
        </is>
      </c>
      <c r="B2754" t="inlineStr">
        <is>
          <t>avverkningsanmälan</t>
        </is>
      </c>
      <c r="C2754" t="inlineStr">
        <is>
          <t>Föryngringsavverkning</t>
        </is>
      </c>
      <c r="D2754" s="1" t="n">
        <v>45842</v>
      </c>
      <c r="E2754" s="1" t="n">
        <v>46316</v>
      </c>
      <c r="F2754" t="inlineStr">
        <is>
          <t>KRONOBERGS LÄN</t>
        </is>
      </c>
      <c r="G2754" t="inlineStr">
        <is>
          <t>UPPVIDINGE</t>
        </is>
      </c>
      <c r="I2754" t="n">
        <v>0.7</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30130-2025</t>
        </is>
      </c>
      <c r="B2755" t="inlineStr">
        <is>
          <t>avverkningsanmälan</t>
        </is>
      </c>
      <c r="C2755" t="inlineStr">
        <is>
          <t>Föryngringsavverkning</t>
        </is>
      </c>
      <c r="D2755" s="1" t="n">
        <v>45826</v>
      </c>
      <c r="E2755" s="1" t="n">
        <v>46316</v>
      </c>
      <c r="F2755" t="inlineStr">
        <is>
          <t>KRONOBERGS LÄN</t>
        </is>
      </c>
      <c r="G2755" t="inlineStr">
        <is>
          <t>VÄXJÖ</t>
        </is>
      </c>
      <c r="H2755" t="inlineStr">
        <is>
          <t>Kyrkan</t>
        </is>
      </c>
      <c r="I2755" t="n">
        <v>4.4</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8503-2024</t>
        </is>
      </c>
      <c r="B2756" t="inlineStr">
        <is>
          <t>avverkningsanmälan</t>
        </is>
      </c>
      <c r="C2756" t="inlineStr">
        <is>
          <t>Föryngringsavverkning</t>
        </is>
      </c>
      <c r="D2756" s="1" t="n">
        <v>45355</v>
      </c>
      <c r="E2756" s="1" t="n">
        <v>46316</v>
      </c>
      <c r="F2756" t="inlineStr">
        <is>
          <t>KRONOBERGS LÄN</t>
        </is>
      </c>
      <c r="G2756" t="inlineStr">
        <is>
          <t>LJUNGBY</t>
        </is>
      </c>
      <c r="I2756" t="n">
        <v>0.8</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53552-2025</t>
        </is>
      </c>
      <c r="B2757" t="inlineStr">
        <is>
          <t>avverkningsanmälan</t>
        </is>
      </c>
      <c r="C2757" t="inlineStr">
        <is>
          <t>Föryngringsavverkning</t>
        </is>
      </c>
      <c r="D2757" s="1" t="n">
        <v>45960</v>
      </c>
      <c r="E2757" s="1" t="n">
        <v>46316</v>
      </c>
      <c r="F2757" t="inlineStr">
        <is>
          <t>KRONOBERGS LÄN</t>
        </is>
      </c>
      <c r="G2757" t="inlineStr">
        <is>
          <t>VÄXJÖ</t>
        </is>
      </c>
      <c r="I2757" t="n">
        <v>1.1</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11552-2025</t>
        </is>
      </c>
      <c r="B2758" t="inlineStr">
        <is>
          <t>avverkningsanmälan</t>
        </is>
      </c>
      <c r="C2758" t="inlineStr">
        <is>
          <t>Föryngringsavverkning</t>
        </is>
      </c>
      <c r="D2758" s="1" t="n">
        <v>45727</v>
      </c>
      <c r="E2758" s="1" t="n">
        <v>46316</v>
      </c>
      <c r="F2758" t="inlineStr">
        <is>
          <t>KRONOBERGS LÄN</t>
        </is>
      </c>
      <c r="G2758" t="inlineStr">
        <is>
          <t>LJUNGBY</t>
        </is>
      </c>
      <c r="I2758" t="n">
        <v>2.2</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63722-2025</t>
        </is>
      </c>
      <c r="B2759" t="inlineStr">
        <is>
          <t>avverkningsanmälan</t>
        </is>
      </c>
      <c r="C2759" t="inlineStr">
        <is>
          <t>Föryngringsavverkning</t>
        </is>
      </c>
      <c r="D2759" s="1" t="n">
        <v>46010</v>
      </c>
      <c r="E2759" s="1" t="n">
        <v>46316</v>
      </c>
      <c r="F2759" t="inlineStr">
        <is>
          <t>KRONOBERGS LÄN</t>
        </is>
      </c>
      <c r="G2759" t="inlineStr">
        <is>
          <t>UPPVIDINGE</t>
        </is>
      </c>
      <c r="H2759" t="inlineStr">
        <is>
          <t>Kyrkan</t>
        </is>
      </c>
      <c r="I2759" t="n">
        <v>0.8</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46891-2024</t>
        </is>
      </c>
      <c r="B2760" t="inlineStr">
        <is>
          <t>avverkningsanmälan</t>
        </is>
      </c>
      <c r="C2760" t="inlineStr">
        <is>
          <t>Föryngringsavverkning</t>
        </is>
      </c>
      <c r="D2760" s="1" t="n">
        <v>45583</v>
      </c>
      <c r="E2760" s="1" t="n">
        <v>46316</v>
      </c>
      <c r="F2760" t="inlineStr">
        <is>
          <t>KRONOBERGS LÄN</t>
        </is>
      </c>
      <c r="G2760" t="inlineStr">
        <is>
          <t>MARKARYD</t>
        </is>
      </c>
      <c r="I2760" t="n">
        <v>0.5</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67257-2021</t>
        </is>
      </c>
      <c r="B2761" t="inlineStr">
        <is>
          <t>avverkningsanmälan</t>
        </is>
      </c>
      <c r="C2761" t="inlineStr">
        <is>
          <t>Föryngringsavverkning</t>
        </is>
      </c>
      <c r="D2761" s="1" t="n">
        <v>44523</v>
      </c>
      <c r="E2761" s="1" t="n">
        <v>46316</v>
      </c>
      <c r="F2761" t="inlineStr">
        <is>
          <t>KRONOBERGS LÄN</t>
        </is>
      </c>
      <c r="G2761" t="inlineStr">
        <is>
          <t>ÄLMHULT</t>
        </is>
      </c>
      <c r="I2761" t="n">
        <v>6.7</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49564-2023</t>
        </is>
      </c>
      <c r="B2762" t="inlineStr">
        <is>
          <t>avverkningsanmälan</t>
        </is>
      </c>
      <c r="C2762" t="inlineStr">
        <is>
          <t>Föryngringsavverkning</t>
        </is>
      </c>
      <c r="D2762" s="1" t="n">
        <v>45211</v>
      </c>
      <c r="E2762" s="1" t="n">
        <v>46316</v>
      </c>
      <c r="F2762" t="inlineStr">
        <is>
          <t>KRONOBERGS LÄN</t>
        </is>
      </c>
      <c r="G2762" t="inlineStr">
        <is>
          <t>ÄLMHULT</t>
        </is>
      </c>
      <c r="I2762" t="n">
        <v>2.6</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1853-2026</t>
        </is>
      </c>
      <c r="B2763" t="inlineStr">
        <is>
          <t>avverkningsanmälan</t>
        </is>
      </c>
      <c r="C2763" t="inlineStr">
        <is>
          <t>Föryngringsavverkning</t>
        </is>
      </c>
      <c r="D2763" s="1" t="n">
        <v>46035</v>
      </c>
      <c r="E2763" s="1" t="n">
        <v>46316</v>
      </c>
      <c r="F2763" t="inlineStr">
        <is>
          <t>KRONOBERGS LÄN</t>
        </is>
      </c>
      <c r="G2763" t="inlineStr">
        <is>
          <t>TINGSRYD</t>
        </is>
      </c>
      <c r="I2763" t="n">
        <v>1.2</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50062-2023</t>
        </is>
      </c>
      <c r="B2764" t="inlineStr">
        <is>
          <t>avverkningsanmälan</t>
        </is>
      </c>
      <c r="C2764" t="inlineStr">
        <is>
          <t>Föryngringsavverkning</t>
        </is>
      </c>
      <c r="D2764" s="1" t="n">
        <v>45215</v>
      </c>
      <c r="E2764" s="1" t="n">
        <v>46316</v>
      </c>
      <c r="F2764" t="inlineStr">
        <is>
          <t>KRONOBERGS LÄN</t>
        </is>
      </c>
      <c r="G2764" t="inlineStr">
        <is>
          <t>ÄLMHULT</t>
        </is>
      </c>
      <c r="I2764" t="n">
        <v>0.5</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18813-2024</t>
        </is>
      </c>
      <c r="B2765" t="inlineStr">
        <is>
          <t>avverkningsanmälan</t>
        </is>
      </c>
      <c r="C2765" t="inlineStr">
        <is>
          <t>Avverkning för annat ändamål</t>
        </is>
      </c>
      <c r="D2765" s="1" t="n">
        <v>45426</v>
      </c>
      <c r="E2765" s="1" t="n">
        <v>46316</v>
      </c>
      <c r="F2765" t="inlineStr">
        <is>
          <t>KRONOBERGS LÄN</t>
        </is>
      </c>
      <c r="G2765" t="inlineStr">
        <is>
          <t>VÄXJÖ</t>
        </is>
      </c>
      <c r="I2765" t="n">
        <v>2.3</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16271-2022</t>
        </is>
      </c>
      <c r="B2766" t="inlineStr">
        <is>
          <t>avverkningsanmälan</t>
        </is>
      </c>
      <c r="C2766" t="inlineStr">
        <is>
          <t>Föryngringsavverkning</t>
        </is>
      </c>
      <c r="D2766" s="1" t="n">
        <v>44670</v>
      </c>
      <c r="E2766" s="1" t="n">
        <v>46316</v>
      </c>
      <c r="F2766" t="inlineStr">
        <is>
          <t>KRONOBERGS LÄN</t>
        </is>
      </c>
      <c r="G2766" t="inlineStr">
        <is>
          <t>ALVESTA</t>
        </is>
      </c>
      <c r="I2766" t="n">
        <v>1.3</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3991-2025</t>
        </is>
      </c>
      <c r="B2767" t="inlineStr">
        <is>
          <t>avverkningsanmälan</t>
        </is>
      </c>
      <c r="C2767" t="inlineStr">
        <is>
          <t>Föryngringsavverkning</t>
        </is>
      </c>
      <c r="D2767" s="1" t="n">
        <v>45684</v>
      </c>
      <c r="E2767" s="1" t="n">
        <v>46316</v>
      </c>
      <c r="F2767" t="inlineStr">
        <is>
          <t>KRONOBERGS LÄN</t>
        </is>
      </c>
      <c r="G2767" t="inlineStr">
        <is>
          <t>TINGSRYD</t>
        </is>
      </c>
      <c r="I2767" t="n">
        <v>5.2</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62123-2023</t>
        </is>
      </c>
      <c r="B2768" t="inlineStr">
        <is>
          <t>avverkningsanmälan</t>
        </is>
      </c>
      <c r="C2768" t="inlineStr">
        <is>
          <t>Föryngringsavverkning</t>
        </is>
      </c>
      <c r="D2768" s="1" t="n">
        <v>45267</v>
      </c>
      <c r="E2768" s="1" t="n">
        <v>46316</v>
      </c>
      <c r="F2768" t="inlineStr">
        <is>
          <t>KRONOBERGS LÄN</t>
        </is>
      </c>
      <c r="G2768" t="inlineStr">
        <is>
          <t>VÄXJÖ</t>
        </is>
      </c>
      <c r="I2768" t="n">
        <v>1.5</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25941-2023</t>
        </is>
      </c>
      <c r="B2769" t="inlineStr">
        <is>
          <t>avverkningsanmälan</t>
        </is>
      </c>
      <c r="C2769" t="inlineStr">
        <is>
          <t>Föryngringsavverkning</t>
        </is>
      </c>
      <c r="D2769" s="1" t="n">
        <v>45090</v>
      </c>
      <c r="E2769" s="1" t="n">
        <v>46316</v>
      </c>
      <c r="F2769" t="inlineStr">
        <is>
          <t>KRONOBERGS LÄN</t>
        </is>
      </c>
      <c r="G2769" t="inlineStr">
        <is>
          <t>TINGSRYD</t>
        </is>
      </c>
      <c r="I2769" t="n">
        <v>1</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19278-2023</t>
        </is>
      </c>
      <c r="B2770" t="inlineStr">
        <is>
          <t>avverkningsanmälan</t>
        </is>
      </c>
      <c r="C2770" t="inlineStr">
        <is>
          <t>Föryngringsavverkning</t>
        </is>
      </c>
      <c r="D2770" s="1" t="n">
        <v>45049</v>
      </c>
      <c r="E2770" s="1" t="n">
        <v>46316</v>
      </c>
      <c r="F2770" t="inlineStr">
        <is>
          <t>KRONOBERGS LÄN</t>
        </is>
      </c>
      <c r="G2770" t="inlineStr">
        <is>
          <t>VÄXJÖ</t>
        </is>
      </c>
      <c r="I2770" t="n">
        <v>0.5</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1894-2025</t>
        </is>
      </c>
      <c r="B2771" t="inlineStr">
        <is>
          <t>avverkningsanmälan</t>
        </is>
      </c>
      <c r="C2771" t="inlineStr">
        <is>
          <t>Föryngringsavverkning</t>
        </is>
      </c>
      <c r="D2771" s="1" t="n">
        <v>45671</v>
      </c>
      <c r="E2771" s="1" t="n">
        <v>46316</v>
      </c>
      <c r="F2771" t="inlineStr">
        <is>
          <t>KRONOBERGS LÄN</t>
        </is>
      </c>
      <c r="G2771" t="inlineStr">
        <is>
          <t>LESSEBO</t>
        </is>
      </c>
      <c r="I2771" t="n">
        <v>1.6</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36545-2024</t>
        </is>
      </c>
      <c r="B2772" t="inlineStr">
        <is>
          <t>avverkningsanmälan</t>
        </is>
      </c>
      <c r="C2772" t="inlineStr">
        <is>
          <t>Föryngringsavverkning</t>
        </is>
      </c>
      <c r="D2772" s="1" t="n">
        <v>45537</v>
      </c>
      <c r="E2772" s="1" t="n">
        <v>46316</v>
      </c>
      <c r="F2772" t="inlineStr">
        <is>
          <t>KRONOBERGS LÄN</t>
        </is>
      </c>
      <c r="G2772" t="inlineStr">
        <is>
          <t>ÄLMHULT</t>
        </is>
      </c>
      <c r="I2772" t="n">
        <v>2.7</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57519-2022</t>
        </is>
      </c>
      <c r="B2773" t="inlineStr">
        <is>
          <t>avverkningsanmälan</t>
        </is>
      </c>
      <c r="C2773" t="inlineStr">
        <is>
          <t>Föryngringsavverkning</t>
        </is>
      </c>
      <c r="D2773" s="1" t="n">
        <v>44896</v>
      </c>
      <c r="E2773" s="1" t="n">
        <v>46316</v>
      </c>
      <c r="F2773" t="inlineStr">
        <is>
          <t>KRONOBERGS LÄN</t>
        </is>
      </c>
      <c r="G2773" t="inlineStr">
        <is>
          <t>LESSEBO</t>
        </is>
      </c>
      <c r="I2773" t="n">
        <v>6.6</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42931-2024</t>
        </is>
      </c>
      <c r="B2774" t="inlineStr">
        <is>
          <t>avverkningsanmälan</t>
        </is>
      </c>
      <c r="C2774" t="inlineStr">
        <is>
          <t>Föryngringsavverkning</t>
        </is>
      </c>
      <c r="D2774" s="1" t="n">
        <v>45567</v>
      </c>
      <c r="E2774" s="1" t="n">
        <v>46316</v>
      </c>
      <c r="F2774" t="inlineStr">
        <is>
          <t>KRONOBERGS LÄN</t>
        </is>
      </c>
      <c r="G2774" t="inlineStr">
        <is>
          <t>LJUNGBY</t>
        </is>
      </c>
      <c r="I2774" t="n">
        <v>1.3</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61150-2024</t>
        </is>
      </c>
      <c r="B2775" t="inlineStr">
        <is>
          <t>avverkningsanmälan</t>
        </is>
      </c>
      <c r="C2775" t="inlineStr">
        <is>
          <t>Föryngringsavverkning</t>
        </is>
      </c>
      <c r="D2775" s="1" t="n">
        <v>45645</v>
      </c>
      <c r="E2775" s="1" t="n">
        <v>46316</v>
      </c>
      <c r="F2775" t="inlineStr">
        <is>
          <t>KRONOBERGS LÄN</t>
        </is>
      </c>
      <c r="G2775" t="inlineStr">
        <is>
          <t>LJUNGBY</t>
        </is>
      </c>
      <c r="I2775" t="n">
        <v>2.2</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36037-2025</t>
        </is>
      </c>
      <c r="B2776" t="inlineStr">
        <is>
          <t>avverkningsanmälan</t>
        </is>
      </c>
      <c r="C2776" t="inlineStr">
        <is>
          <t>Föryngringsavverkning</t>
        </is>
      </c>
      <c r="D2776" s="1" t="n">
        <v>45865</v>
      </c>
      <c r="E2776" s="1" t="n">
        <v>46316</v>
      </c>
      <c r="F2776" t="inlineStr">
        <is>
          <t>KRONOBERGS LÄN</t>
        </is>
      </c>
      <c r="G2776" t="inlineStr">
        <is>
          <t>UPPVIDINGE</t>
        </is>
      </c>
      <c r="I2776" t="n">
        <v>0.6</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28225-2025</t>
        </is>
      </c>
      <c r="B2777" t="inlineStr">
        <is>
          <t>avverkningsanmälan</t>
        </is>
      </c>
      <c r="C2777" t="inlineStr">
        <is>
          <t>Föryngringsavverkning</t>
        </is>
      </c>
      <c r="D2777" s="1" t="n">
        <v>45818</v>
      </c>
      <c r="E2777" s="1" t="n">
        <v>46316</v>
      </c>
      <c r="F2777" t="inlineStr">
        <is>
          <t>KRONOBERGS LÄN</t>
        </is>
      </c>
      <c r="G2777" t="inlineStr">
        <is>
          <t>ALVESTA</t>
        </is>
      </c>
      <c r="I2777" t="n">
        <v>2.6</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56475-2024</t>
        </is>
      </c>
      <c r="B2778" t="inlineStr">
        <is>
          <t>avverkningsanmälan</t>
        </is>
      </c>
      <c r="C2778" t="inlineStr">
        <is>
          <t>Föryngringsavverkning</t>
        </is>
      </c>
      <c r="D2778" s="1" t="n">
        <v>45625</v>
      </c>
      <c r="E2778" s="1" t="n">
        <v>46316</v>
      </c>
      <c r="F2778" t="inlineStr">
        <is>
          <t>KRONOBERGS LÄN</t>
        </is>
      </c>
      <c r="G2778" t="inlineStr">
        <is>
          <t>LESSEBO</t>
        </is>
      </c>
      <c r="I2778" t="n">
        <v>1.3</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57037-2023</t>
        </is>
      </c>
      <c r="B2779" t="inlineStr">
        <is>
          <t>avverkningsanmälan</t>
        </is>
      </c>
      <c r="C2779" t="inlineStr">
        <is>
          <t>Föryngringsavverkning</t>
        </is>
      </c>
      <c r="D2779" s="1" t="n">
        <v>45244</v>
      </c>
      <c r="E2779" s="1" t="n">
        <v>46316</v>
      </c>
      <c r="F2779" t="inlineStr">
        <is>
          <t>KRONOBERGS LÄN</t>
        </is>
      </c>
      <c r="G2779" t="inlineStr">
        <is>
          <t>VÄXJÖ</t>
        </is>
      </c>
      <c r="I2779" t="n">
        <v>0.7</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32637-2025</t>
        </is>
      </c>
      <c r="B2780" t="inlineStr">
        <is>
          <t>avverkningsanmälan</t>
        </is>
      </c>
      <c r="C2780" t="inlineStr">
        <is>
          <t>Föryngringsavverkning</t>
        </is>
      </c>
      <c r="D2780" s="1" t="n">
        <v>45838</v>
      </c>
      <c r="E2780" s="1" t="n">
        <v>46316</v>
      </c>
      <c r="F2780" t="inlineStr">
        <is>
          <t>KRONOBERGS LÄN</t>
        </is>
      </c>
      <c r="G2780" t="inlineStr">
        <is>
          <t>LJUNGBY</t>
        </is>
      </c>
      <c r="I2780" t="n">
        <v>1.9</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58045-2024</t>
        </is>
      </c>
      <c r="B2781" t="inlineStr">
        <is>
          <t>avverkningsanmälan</t>
        </is>
      </c>
      <c r="C2781" t="inlineStr">
        <is>
          <t>Föryngringsavverkning</t>
        </is>
      </c>
      <c r="D2781" s="1" t="n">
        <v>45631</v>
      </c>
      <c r="E2781" s="1" t="n">
        <v>46316</v>
      </c>
      <c r="F2781" t="inlineStr">
        <is>
          <t>KRONOBERGS LÄN</t>
        </is>
      </c>
      <c r="G2781" t="inlineStr">
        <is>
          <t>ÄLMHULT</t>
        </is>
      </c>
      <c r="I2781" t="n">
        <v>0.8</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12645-2024</t>
        </is>
      </c>
      <c r="B2782" t="inlineStr">
        <is>
          <t>avverkningsanmälan</t>
        </is>
      </c>
      <c r="C2782" t="inlineStr">
        <is>
          <t>Föryngringsavverkning</t>
        </is>
      </c>
      <c r="D2782" s="1" t="n">
        <v>45384</v>
      </c>
      <c r="E2782" s="1" t="n">
        <v>46316</v>
      </c>
      <c r="F2782" t="inlineStr">
        <is>
          <t>KRONOBERGS LÄN</t>
        </is>
      </c>
      <c r="G2782" t="inlineStr">
        <is>
          <t>VÄXJÖ</t>
        </is>
      </c>
      <c r="I2782" t="n">
        <v>1</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42367-2025</t>
        </is>
      </c>
      <c r="B2783" t="inlineStr">
        <is>
          <t>avverkningsanmälan</t>
        </is>
      </c>
      <c r="C2783" t="inlineStr">
        <is>
          <t>Föryngringsavverkning</t>
        </is>
      </c>
      <c r="D2783" s="1" t="n">
        <v>45905</v>
      </c>
      <c r="E2783" s="1" t="n">
        <v>46316</v>
      </c>
      <c r="F2783" t="inlineStr">
        <is>
          <t>KRONOBERGS LÄN</t>
        </is>
      </c>
      <c r="G2783" t="inlineStr">
        <is>
          <t>VÄXJÖ</t>
        </is>
      </c>
      <c r="I2783" t="n">
        <v>1.3</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44069-2025</t>
        </is>
      </c>
      <c r="B2784" t="inlineStr">
        <is>
          <t>avverkningsanmälan</t>
        </is>
      </c>
      <c r="C2784" t="inlineStr">
        <is>
          <t>Föryngringsavverkning</t>
        </is>
      </c>
      <c r="D2784" s="1" t="n">
        <v>45915</v>
      </c>
      <c r="E2784" s="1" t="n">
        <v>46316</v>
      </c>
      <c r="F2784" t="inlineStr">
        <is>
          <t>KRONOBERGS LÄN</t>
        </is>
      </c>
      <c r="G2784" t="inlineStr">
        <is>
          <t>UPPVIDINGE</t>
        </is>
      </c>
      <c r="I2784" t="n">
        <v>2.4</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57188-2024</t>
        </is>
      </c>
      <c r="B2785" t="inlineStr">
        <is>
          <t>avverkningsanmälan</t>
        </is>
      </c>
      <c r="C2785" t="inlineStr">
        <is>
          <t>Föryngringsavverkning</t>
        </is>
      </c>
      <c r="D2785" s="1" t="n">
        <v>45629</v>
      </c>
      <c r="E2785" s="1" t="n">
        <v>46316</v>
      </c>
      <c r="F2785" t="inlineStr">
        <is>
          <t>KRONOBERGS LÄN</t>
        </is>
      </c>
      <c r="G2785" t="inlineStr">
        <is>
          <t>VÄXJÖ</t>
        </is>
      </c>
      <c r="I2785" t="n">
        <v>0.3</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57197-2024</t>
        </is>
      </c>
      <c r="B2786" t="inlineStr">
        <is>
          <t>avverkningsanmälan</t>
        </is>
      </c>
      <c r="C2786" t="inlineStr">
        <is>
          <t>Föryngringsavverkning</t>
        </is>
      </c>
      <c r="D2786" s="1" t="n">
        <v>45629</v>
      </c>
      <c r="E2786" s="1" t="n">
        <v>46316</v>
      </c>
      <c r="F2786" t="inlineStr">
        <is>
          <t>KRONOBERGS LÄN</t>
        </is>
      </c>
      <c r="G2786" t="inlineStr">
        <is>
          <t>ÄLMHULT</t>
        </is>
      </c>
      <c r="I2786" t="n">
        <v>1.5</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35478-2024</t>
        </is>
      </c>
      <c r="B2787" t="inlineStr">
        <is>
          <t>avverkningsanmälan</t>
        </is>
      </c>
      <c r="C2787" t="inlineStr">
        <is>
          <t>Föryngringsavverkning</t>
        </is>
      </c>
      <c r="D2787" s="1" t="n">
        <v>45531</v>
      </c>
      <c r="E2787" s="1" t="n">
        <v>46316</v>
      </c>
      <c r="F2787" t="inlineStr">
        <is>
          <t>KRONOBERGS LÄN</t>
        </is>
      </c>
      <c r="G2787" t="inlineStr">
        <is>
          <t>ÄLMHULT</t>
        </is>
      </c>
      <c r="H2787" t="inlineStr">
        <is>
          <t>Kyrkan</t>
        </is>
      </c>
      <c r="I2787" t="n">
        <v>5.7</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10844-2023</t>
        </is>
      </c>
      <c r="B2788" t="inlineStr">
        <is>
          <t>avverkningsanmälan</t>
        </is>
      </c>
      <c r="C2788" t="inlineStr">
        <is>
          <t>Föryngringsavverkning</t>
        </is>
      </c>
      <c r="D2788" s="1" t="n">
        <v>44991</v>
      </c>
      <c r="E2788" s="1" t="n">
        <v>46316</v>
      </c>
      <c r="F2788" t="inlineStr">
        <is>
          <t>KRONOBERGS LÄN</t>
        </is>
      </c>
      <c r="G2788" t="inlineStr">
        <is>
          <t>LJUNGBY</t>
        </is>
      </c>
      <c r="I2788" t="n">
        <v>1.7</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24390-2023</t>
        </is>
      </c>
      <c r="B2789" t="inlineStr">
        <is>
          <t>avverkningsanmälan</t>
        </is>
      </c>
      <c r="C2789" t="inlineStr">
        <is>
          <t>Föryngringsavverkning</t>
        </is>
      </c>
      <c r="D2789" s="1" t="n">
        <v>45082</v>
      </c>
      <c r="E2789" s="1" t="n">
        <v>46316</v>
      </c>
      <c r="F2789" t="inlineStr">
        <is>
          <t>KRONOBERGS LÄN</t>
        </is>
      </c>
      <c r="G2789" t="inlineStr">
        <is>
          <t>TINGSRYD</t>
        </is>
      </c>
      <c r="I2789" t="n">
        <v>1.1</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24395-2023</t>
        </is>
      </c>
      <c r="B2790" t="inlineStr">
        <is>
          <t>avverkningsanmälan</t>
        </is>
      </c>
      <c r="C2790" t="inlineStr">
        <is>
          <t>Föryngringsavverkning</t>
        </is>
      </c>
      <c r="D2790" s="1" t="n">
        <v>45082</v>
      </c>
      <c r="E2790" s="1" t="n">
        <v>46316</v>
      </c>
      <c r="F2790" t="inlineStr">
        <is>
          <t>KRONOBERGS LÄN</t>
        </is>
      </c>
      <c r="G2790" t="inlineStr">
        <is>
          <t>TINGSRYD</t>
        </is>
      </c>
      <c r="I2790" t="n">
        <v>2.2</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38457-2025</t>
        </is>
      </c>
      <c r="B2791" t="inlineStr">
        <is>
          <t>avverkningsanmälan</t>
        </is>
      </c>
      <c r="C2791" t="inlineStr">
        <is>
          <t>Föryngringsavverkning</t>
        </is>
      </c>
      <c r="D2791" s="1" t="n">
        <v>45883</v>
      </c>
      <c r="E2791" s="1" t="n">
        <v>46316</v>
      </c>
      <c r="F2791" t="inlineStr">
        <is>
          <t>KRONOBERGS LÄN</t>
        </is>
      </c>
      <c r="G2791" t="inlineStr">
        <is>
          <t>ÄLMHULT</t>
        </is>
      </c>
      <c r="I2791" t="n">
        <v>1</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38576-2025</t>
        </is>
      </c>
      <c r="B2792" t="inlineStr">
        <is>
          <t>avverkningsanmälan</t>
        </is>
      </c>
      <c r="C2792" t="inlineStr">
        <is>
          <t>Föryngringsavverkning</t>
        </is>
      </c>
      <c r="D2792" s="1" t="n">
        <v>45884</v>
      </c>
      <c r="E2792" s="1" t="n">
        <v>46316</v>
      </c>
      <c r="F2792" t="inlineStr">
        <is>
          <t>KRONOBERGS LÄN</t>
        </is>
      </c>
      <c r="G2792" t="inlineStr">
        <is>
          <t>TINGSRYD</t>
        </is>
      </c>
      <c r="I2792" t="n">
        <v>1.7</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29165-2023</t>
        </is>
      </c>
      <c r="B2793" t="inlineStr">
        <is>
          <t>avverkningsanmälan</t>
        </is>
      </c>
      <c r="C2793" t="inlineStr">
        <is>
          <t>Föryngringsavverkning</t>
        </is>
      </c>
      <c r="D2793" s="1" t="n">
        <v>45097</v>
      </c>
      <c r="E2793" s="1" t="n">
        <v>46316</v>
      </c>
      <c r="F2793" t="inlineStr">
        <is>
          <t>KRONOBERGS LÄN</t>
        </is>
      </c>
      <c r="G2793" t="inlineStr">
        <is>
          <t>VÄXJÖ</t>
        </is>
      </c>
      <c r="H2793" t="inlineStr">
        <is>
          <t>Kyrkan</t>
        </is>
      </c>
      <c r="I2793" t="n">
        <v>6.8</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50017-2024</t>
        </is>
      </c>
      <c r="B2794" t="inlineStr">
        <is>
          <t>avverkningsanmälan</t>
        </is>
      </c>
      <c r="C2794" t="inlineStr">
        <is>
          <t>Föryngringsavverkning</t>
        </is>
      </c>
      <c r="D2794" s="1" t="n">
        <v>45599</v>
      </c>
      <c r="E2794" s="1" t="n">
        <v>46316</v>
      </c>
      <c r="F2794" t="inlineStr">
        <is>
          <t>KRONOBERGS LÄN</t>
        </is>
      </c>
      <c r="G2794" t="inlineStr">
        <is>
          <t>VÄXJÖ</t>
        </is>
      </c>
      <c r="I2794" t="n">
        <v>1.3</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38639-2025</t>
        </is>
      </c>
      <c r="B2795" t="inlineStr">
        <is>
          <t>avverkningsanmälan</t>
        </is>
      </c>
      <c r="C2795" t="inlineStr">
        <is>
          <t>Föryngringsavverkning</t>
        </is>
      </c>
      <c r="D2795" s="1" t="n">
        <v>45884</v>
      </c>
      <c r="E2795" s="1" t="n">
        <v>46316</v>
      </c>
      <c r="F2795" t="inlineStr">
        <is>
          <t>KRONOBERGS LÄN</t>
        </is>
      </c>
      <c r="G2795" t="inlineStr">
        <is>
          <t>ALVESTA</t>
        </is>
      </c>
      <c r="I2795" t="n">
        <v>4.5</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20855-2025</t>
        </is>
      </c>
      <c r="B2796" t="inlineStr">
        <is>
          <t>avverkningsanmälan</t>
        </is>
      </c>
      <c r="C2796" t="inlineStr">
        <is>
          <t>Föryngringsavverkning</t>
        </is>
      </c>
      <c r="D2796" s="1" t="n">
        <v>45777</v>
      </c>
      <c r="E2796" s="1" t="n">
        <v>46316</v>
      </c>
      <c r="F2796" t="inlineStr">
        <is>
          <t>KRONOBERGS LÄN</t>
        </is>
      </c>
      <c r="G2796" t="inlineStr">
        <is>
          <t>LESSEBO</t>
        </is>
      </c>
      <c r="H2796" t="inlineStr">
        <is>
          <t>Sveaskog</t>
        </is>
      </c>
      <c r="I2796" t="n">
        <v>2.7</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23662-2025</t>
        </is>
      </c>
      <c r="B2797" t="inlineStr">
        <is>
          <t>avverkningsanmälan</t>
        </is>
      </c>
      <c r="C2797" t="inlineStr">
        <is>
          <t>Föryngringsavverkning</t>
        </is>
      </c>
      <c r="D2797" s="1" t="n">
        <v>45792</v>
      </c>
      <c r="E2797" s="1" t="n">
        <v>46316</v>
      </c>
      <c r="F2797" t="inlineStr">
        <is>
          <t>KRONOBERGS LÄN</t>
        </is>
      </c>
      <c r="G2797" t="inlineStr">
        <is>
          <t>UPPVIDINGE</t>
        </is>
      </c>
      <c r="I2797" t="n">
        <v>1.2</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40660-2023</t>
        </is>
      </c>
      <c r="B2798" t="inlineStr">
        <is>
          <t>avverkningsanmälan</t>
        </is>
      </c>
      <c r="C2798" t="inlineStr">
        <is>
          <t>Föryngringsavverkning</t>
        </is>
      </c>
      <c r="D2798" s="1" t="n">
        <v>45170</v>
      </c>
      <c r="E2798" s="1" t="n">
        <v>46316</v>
      </c>
      <c r="F2798" t="inlineStr">
        <is>
          <t>KRONOBERGS LÄN</t>
        </is>
      </c>
      <c r="G2798" t="inlineStr">
        <is>
          <t>ÄLMHULT</t>
        </is>
      </c>
      <c r="I2798" t="n">
        <v>1.9</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28335-2025</t>
        </is>
      </c>
      <c r="B2799" t="inlineStr">
        <is>
          <t>avverkningsanmälan</t>
        </is>
      </c>
      <c r="C2799" t="inlineStr">
        <is>
          <t>Föryngringsavverkning</t>
        </is>
      </c>
      <c r="D2799" s="1" t="n">
        <v>45818</v>
      </c>
      <c r="E2799" s="1" t="n">
        <v>46316</v>
      </c>
      <c r="F2799" t="inlineStr">
        <is>
          <t>KRONOBERGS LÄN</t>
        </is>
      </c>
      <c r="G2799" t="inlineStr">
        <is>
          <t>LJUNGBY</t>
        </is>
      </c>
      <c r="I2799" t="n">
        <v>1.1</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35061-2023</t>
        </is>
      </c>
      <c r="B2800" t="inlineStr">
        <is>
          <t>avverkningsanmälan</t>
        </is>
      </c>
      <c r="C2800" t="inlineStr">
        <is>
          <t>Föryngringsavverkning</t>
        </is>
      </c>
      <c r="D2800" s="1" t="n">
        <v>45145</v>
      </c>
      <c r="E2800" s="1" t="n">
        <v>46316</v>
      </c>
      <c r="F2800" t="inlineStr">
        <is>
          <t>KRONOBERGS LÄN</t>
        </is>
      </c>
      <c r="G2800" t="inlineStr">
        <is>
          <t>VÄXJÖ</t>
        </is>
      </c>
      <c r="I2800" t="n">
        <v>1.1</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60041-2024</t>
        </is>
      </c>
      <c r="B2801" t="inlineStr">
        <is>
          <t>avverkningsanmälan</t>
        </is>
      </c>
      <c r="C2801" t="inlineStr">
        <is>
          <t>Föryngringsavverkning</t>
        </is>
      </c>
      <c r="D2801" s="1" t="n">
        <v>45642</v>
      </c>
      <c r="E2801" s="1" t="n">
        <v>46316</v>
      </c>
      <c r="F2801" t="inlineStr">
        <is>
          <t>KRONOBERGS LÄN</t>
        </is>
      </c>
      <c r="G2801" t="inlineStr">
        <is>
          <t>UPPVIDINGE</t>
        </is>
      </c>
      <c r="H2801" t="inlineStr">
        <is>
          <t>Sveaskog</t>
        </is>
      </c>
      <c r="I2801" t="n">
        <v>0.9</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46065-2024</t>
        </is>
      </c>
      <c r="B2802" t="inlineStr">
        <is>
          <t>avverkningsanmälan</t>
        </is>
      </c>
      <c r="C2802" t="inlineStr">
        <is>
          <t>Föryngringsavverkning</t>
        </is>
      </c>
      <c r="D2802" s="1" t="n">
        <v>45581</v>
      </c>
      <c r="E2802" s="1" t="n">
        <v>46316</v>
      </c>
      <c r="F2802" t="inlineStr">
        <is>
          <t>KRONOBERGS LÄN</t>
        </is>
      </c>
      <c r="G2802" t="inlineStr">
        <is>
          <t>ÄLMHULT</t>
        </is>
      </c>
      <c r="I2802" t="n">
        <v>3.3</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36157-2025</t>
        </is>
      </c>
      <c r="B2803" t="inlineStr">
        <is>
          <t>avverkningsanmälan</t>
        </is>
      </c>
      <c r="C2803" t="inlineStr">
        <is>
          <t>Föryngringsavverkning</t>
        </is>
      </c>
      <c r="D2803" s="1" t="n">
        <v>45867</v>
      </c>
      <c r="E2803" s="1" t="n">
        <v>46316</v>
      </c>
      <c r="F2803" t="inlineStr">
        <is>
          <t>KRONOBERGS LÄN</t>
        </is>
      </c>
      <c r="G2803" t="inlineStr">
        <is>
          <t>ÄLMHULT</t>
        </is>
      </c>
      <c r="I2803" t="n">
        <v>1.2</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43429-2025</t>
        </is>
      </c>
      <c r="B2804" t="inlineStr">
        <is>
          <t>avverkningsanmälan</t>
        </is>
      </c>
      <c r="C2804" t="inlineStr">
        <is>
          <t>Föryngringsavverkning</t>
        </is>
      </c>
      <c r="D2804" s="1" t="n">
        <v>45911</v>
      </c>
      <c r="E2804" s="1" t="n">
        <v>46316</v>
      </c>
      <c r="F2804" t="inlineStr">
        <is>
          <t>KRONOBERGS LÄN</t>
        </is>
      </c>
      <c r="G2804" t="inlineStr">
        <is>
          <t>ÄLMHULT</t>
        </is>
      </c>
      <c r="I2804" t="n">
        <v>2</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38399-2023</t>
        </is>
      </c>
      <c r="B2805" t="inlineStr">
        <is>
          <t>avverkningsanmälan</t>
        </is>
      </c>
      <c r="C2805" t="inlineStr">
        <is>
          <t>Föryngringsavverkning</t>
        </is>
      </c>
      <c r="D2805" s="1" t="n">
        <v>45162</v>
      </c>
      <c r="E2805" s="1" t="n">
        <v>46316</v>
      </c>
      <c r="F2805" t="inlineStr">
        <is>
          <t>KRONOBERGS LÄN</t>
        </is>
      </c>
      <c r="G2805" t="inlineStr">
        <is>
          <t>LJUNGBY</t>
        </is>
      </c>
      <c r="I2805" t="n">
        <v>0.5</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6325-2024</t>
        </is>
      </c>
      <c r="B2806" t="inlineStr">
        <is>
          <t>avverkningsanmälan</t>
        </is>
      </c>
      <c r="C2806" t="inlineStr">
        <is>
          <t>Föryngringsavverkning</t>
        </is>
      </c>
      <c r="D2806" s="1" t="n">
        <v>45338</v>
      </c>
      <c r="E2806" s="1" t="n">
        <v>46316</v>
      </c>
      <c r="F2806" t="inlineStr">
        <is>
          <t>KRONOBERGS LÄN</t>
        </is>
      </c>
      <c r="G2806" t="inlineStr">
        <is>
          <t>UPPVIDINGE</t>
        </is>
      </c>
      <c r="H2806" t="inlineStr">
        <is>
          <t>Sveaskog</t>
        </is>
      </c>
      <c r="I2806" t="n">
        <v>0.6</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6329-2024</t>
        </is>
      </c>
      <c r="B2807" t="inlineStr">
        <is>
          <t>avverkningsanmälan</t>
        </is>
      </c>
      <c r="C2807" t="inlineStr">
        <is>
          <t>Föryngringsavverkning</t>
        </is>
      </c>
      <c r="D2807" s="1" t="n">
        <v>45338</v>
      </c>
      <c r="E2807" s="1" t="n">
        <v>46316</v>
      </c>
      <c r="F2807" t="inlineStr">
        <is>
          <t>KRONOBERGS LÄN</t>
        </is>
      </c>
      <c r="G2807" t="inlineStr">
        <is>
          <t>UPPVIDINGE</t>
        </is>
      </c>
      <c r="H2807" t="inlineStr">
        <is>
          <t>Sveaskog</t>
        </is>
      </c>
      <c r="I2807" t="n">
        <v>0.3</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36345-2025</t>
        </is>
      </c>
      <c r="B2808" t="inlineStr">
        <is>
          <t>avverkningsanmälan</t>
        </is>
      </c>
      <c r="C2808" t="inlineStr">
        <is>
          <t>Föryngringsavverkning</t>
        </is>
      </c>
      <c r="D2808" s="1" t="n">
        <v>45868</v>
      </c>
      <c r="E2808" s="1" t="n">
        <v>46316</v>
      </c>
      <c r="F2808" t="inlineStr">
        <is>
          <t>KRONOBERGS LÄN</t>
        </is>
      </c>
      <c r="G2808" t="inlineStr">
        <is>
          <t>ALVESTA</t>
        </is>
      </c>
      <c r="I2808" t="n">
        <v>1</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24577-2025</t>
        </is>
      </c>
      <c r="B2809" t="inlineStr">
        <is>
          <t>avverkningsanmälan</t>
        </is>
      </c>
      <c r="C2809" t="inlineStr">
        <is>
          <t>Föryngringsavverkning</t>
        </is>
      </c>
      <c r="D2809" s="1" t="n">
        <v>45798</v>
      </c>
      <c r="E2809" s="1" t="n">
        <v>46316</v>
      </c>
      <c r="F2809" t="inlineStr">
        <is>
          <t>KRONOBERGS LÄN</t>
        </is>
      </c>
      <c r="G2809" t="inlineStr">
        <is>
          <t>MARKARYD</t>
        </is>
      </c>
      <c r="I2809" t="n">
        <v>2.6</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34345-2025</t>
        </is>
      </c>
      <c r="B2810" t="inlineStr">
        <is>
          <t>avverkningsanmälan</t>
        </is>
      </c>
      <c r="C2810" t="inlineStr">
        <is>
          <t>Föryngringsavverkning</t>
        </is>
      </c>
      <c r="D2810" s="1" t="n">
        <v>45846</v>
      </c>
      <c r="E2810" s="1" t="n">
        <v>46316</v>
      </c>
      <c r="F2810" t="inlineStr">
        <is>
          <t>KRONOBERGS LÄN</t>
        </is>
      </c>
      <c r="G2810" t="inlineStr">
        <is>
          <t>VÄXJÖ</t>
        </is>
      </c>
      <c r="I2810" t="n">
        <v>1</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14718-2025</t>
        </is>
      </c>
      <c r="B2811" t="inlineStr">
        <is>
          <t>avverkningsanmälan</t>
        </is>
      </c>
      <c r="C2811" t="inlineStr">
        <is>
          <t>Föryngringsavverkning</t>
        </is>
      </c>
      <c r="D2811" s="1" t="n">
        <v>45742</v>
      </c>
      <c r="E2811" s="1" t="n">
        <v>46316</v>
      </c>
      <c r="F2811" t="inlineStr">
        <is>
          <t>KRONOBERGS LÄN</t>
        </is>
      </c>
      <c r="G2811" t="inlineStr">
        <is>
          <t>LJUNGBY</t>
        </is>
      </c>
      <c r="I2811" t="n">
        <v>11.4</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11341-2025</t>
        </is>
      </c>
      <c r="B2812" t="inlineStr">
        <is>
          <t>avverkningsanmälan</t>
        </is>
      </c>
      <c r="C2812" t="inlineStr">
        <is>
          <t>Föryngringsavverkning</t>
        </is>
      </c>
      <c r="D2812" s="1" t="n">
        <v>45726</v>
      </c>
      <c r="E2812" s="1" t="n">
        <v>46316</v>
      </c>
      <c r="F2812" t="inlineStr">
        <is>
          <t>KRONOBERGS LÄN</t>
        </is>
      </c>
      <c r="G2812" t="inlineStr">
        <is>
          <t>ÄLMHULT</t>
        </is>
      </c>
      <c r="I2812" t="n">
        <v>2.9</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65137-2023</t>
        </is>
      </c>
      <c r="B2813" t="inlineStr">
        <is>
          <t>avverkningsanmälan</t>
        </is>
      </c>
      <c r="C2813" t="inlineStr">
        <is>
          <t>Föryngringsavverkning</t>
        </is>
      </c>
      <c r="D2813" s="1" t="n">
        <v>45288</v>
      </c>
      <c r="E2813" s="1" t="n">
        <v>46316</v>
      </c>
      <c r="F2813" t="inlineStr">
        <is>
          <t>KRONOBERGS LÄN</t>
        </is>
      </c>
      <c r="G2813" t="inlineStr">
        <is>
          <t>LESSEBO</t>
        </is>
      </c>
      <c r="I2813" t="n">
        <v>5.4</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25929-2024</t>
        </is>
      </c>
      <c r="B2814" t="inlineStr">
        <is>
          <t>avverkningsanmälan</t>
        </is>
      </c>
      <c r="C2814" t="inlineStr">
        <is>
          <t>Föryngringsavverkning</t>
        </is>
      </c>
      <c r="D2814" s="1" t="n">
        <v>45467</v>
      </c>
      <c r="E2814" s="1" t="n">
        <v>46316</v>
      </c>
      <c r="F2814" t="inlineStr">
        <is>
          <t>KRONOBERGS LÄN</t>
        </is>
      </c>
      <c r="G2814" t="inlineStr">
        <is>
          <t>ALVESTA</t>
        </is>
      </c>
      <c r="I2814" t="n">
        <v>2</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57310-2022</t>
        </is>
      </c>
      <c r="B2815" t="inlineStr">
        <is>
          <t>avverkningsanmälan</t>
        </is>
      </c>
      <c r="C2815" t="inlineStr">
        <is>
          <t>Föryngringsavverkning</t>
        </is>
      </c>
      <c r="D2815" s="1" t="n">
        <v>44896</v>
      </c>
      <c r="E2815" s="1" t="n">
        <v>46316</v>
      </c>
      <c r="F2815" t="inlineStr">
        <is>
          <t>KRONOBERGS LÄN</t>
        </is>
      </c>
      <c r="G2815" t="inlineStr">
        <is>
          <t>LJUNGBY</t>
        </is>
      </c>
      <c r="I2815" t="n">
        <v>0.7</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57769-2025</t>
        </is>
      </c>
      <c r="B2816" t="inlineStr">
        <is>
          <t>avverkningsanmälan</t>
        </is>
      </c>
      <c r="C2816" t="inlineStr">
        <is>
          <t>Föryngringsavverkning</t>
        </is>
      </c>
      <c r="D2816" s="1" t="n">
        <v>45981</v>
      </c>
      <c r="E2816" s="1" t="n">
        <v>46316</v>
      </c>
      <c r="F2816" t="inlineStr">
        <is>
          <t>KRONOBERGS LÄN</t>
        </is>
      </c>
      <c r="G2816" t="inlineStr">
        <is>
          <t>TINGSRYD</t>
        </is>
      </c>
      <c r="I2816" t="n">
        <v>4.9</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45651-2022</t>
        </is>
      </c>
      <c r="B2817" t="inlineStr">
        <is>
          <t>avverkningsanmälan</t>
        </is>
      </c>
      <c r="C2817" t="inlineStr">
        <is>
          <t>Föryngringsavverkning</t>
        </is>
      </c>
      <c r="D2817" s="1" t="n">
        <v>44845</v>
      </c>
      <c r="E2817" s="1" t="n">
        <v>46316</v>
      </c>
      <c r="F2817" t="inlineStr">
        <is>
          <t>KRONOBERGS LÄN</t>
        </is>
      </c>
      <c r="G2817" t="inlineStr">
        <is>
          <t>VÄXJÖ</t>
        </is>
      </c>
      <c r="I2817" t="n">
        <v>2.2</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38005-2025</t>
        </is>
      </c>
      <c r="B2818" t="inlineStr">
        <is>
          <t>avverkningsanmälan</t>
        </is>
      </c>
      <c r="C2818" t="inlineStr">
        <is>
          <t>Avverkning för annat ändamål</t>
        </is>
      </c>
      <c r="D2818" s="1" t="n">
        <v>45882</v>
      </c>
      <c r="E2818" s="1" t="n">
        <v>46316</v>
      </c>
      <c r="F2818" t="inlineStr">
        <is>
          <t>KRONOBERGS LÄN</t>
        </is>
      </c>
      <c r="G2818" t="inlineStr">
        <is>
          <t>MARKARYD</t>
        </is>
      </c>
      <c r="I2818" t="n">
        <v>0.2</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21515-2025</t>
        </is>
      </c>
      <c r="B2819" t="inlineStr">
        <is>
          <t>avverkningsanmälan</t>
        </is>
      </c>
      <c r="C2819" t="inlineStr">
        <is>
          <t>Föryngringsavverkning</t>
        </is>
      </c>
      <c r="D2819" s="1" t="n">
        <v>45782</v>
      </c>
      <c r="E2819" s="1" t="n">
        <v>46316</v>
      </c>
      <c r="F2819" t="inlineStr">
        <is>
          <t>KRONOBERGS LÄN</t>
        </is>
      </c>
      <c r="G2819" t="inlineStr">
        <is>
          <t>VÄXJÖ</t>
        </is>
      </c>
      <c r="I2819" t="n">
        <v>1.7</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25739-2025</t>
        </is>
      </c>
      <c r="B2820" t="inlineStr">
        <is>
          <t>avverkningsanmälan</t>
        </is>
      </c>
      <c r="C2820" t="inlineStr">
        <is>
          <t>Föryngringsavverkning</t>
        </is>
      </c>
      <c r="D2820" s="1" t="n">
        <v>45803</v>
      </c>
      <c r="E2820" s="1" t="n">
        <v>46316</v>
      </c>
      <c r="F2820" t="inlineStr">
        <is>
          <t>KRONOBERGS LÄN</t>
        </is>
      </c>
      <c r="G2820" t="inlineStr">
        <is>
          <t>TINGSRYD</t>
        </is>
      </c>
      <c r="I2820" t="n">
        <v>3.2</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21658-2023</t>
        </is>
      </c>
      <c r="B2821" t="inlineStr">
        <is>
          <t>avverkningsanmälan</t>
        </is>
      </c>
      <c r="C2821" t="inlineStr">
        <is>
          <t>Föryngringsavverkning</t>
        </is>
      </c>
      <c r="D2821" s="1" t="n">
        <v>45063</v>
      </c>
      <c r="E2821" s="1" t="n">
        <v>46316</v>
      </c>
      <c r="F2821" t="inlineStr">
        <is>
          <t>KRONOBERGS LÄN</t>
        </is>
      </c>
      <c r="G2821" t="inlineStr">
        <is>
          <t>MARKARYD</t>
        </is>
      </c>
      <c r="I2821" t="n">
        <v>12</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42976-2025</t>
        </is>
      </c>
      <c r="B2822" t="inlineStr">
        <is>
          <t>avverkningsanmälan</t>
        </is>
      </c>
      <c r="C2822" t="inlineStr">
        <is>
          <t>Föryngringsavverkning</t>
        </is>
      </c>
      <c r="D2822" s="1" t="n">
        <v>45909</v>
      </c>
      <c r="E2822" s="1" t="n">
        <v>46316</v>
      </c>
      <c r="F2822" t="inlineStr">
        <is>
          <t>KRONOBERGS LÄN</t>
        </is>
      </c>
      <c r="G2822" t="inlineStr">
        <is>
          <t>ALVESTA</t>
        </is>
      </c>
      <c r="I2822" t="n">
        <v>1.9</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10889-2024</t>
        </is>
      </c>
      <c r="B2823" t="inlineStr">
        <is>
          <t>avverkningsanmälan</t>
        </is>
      </c>
      <c r="C2823" t="inlineStr">
        <is>
          <t>Föryngringsavverkning</t>
        </is>
      </c>
      <c r="D2823" s="1" t="n">
        <v>45370</v>
      </c>
      <c r="E2823" s="1" t="n">
        <v>46316</v>
      </c>
      <c r="F2823" t="inlineStr">
        <is>
          <t>KRONOBERGS LÄN</t>
        </is>
      </c>
      <c r="G2823" t="inlineStr">
        <is>
          <t>LJUNGBY</t>
        </is>
      </c>
      <c r="I2823" t="n">
        <v>1.9</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50030-2023</t>
        </is>
      </c>
      <c r="B2824" t="inlineStr">
        <is>
          <t>avverkningsanmälan</t>
        </is>
      </c>
      <c r="C2824" t="inlineStr">
        <is>
          <t>Föryngringsavverkning</t>
        </is>
      </c>
      <c r="D2824" s="1" t="n">
        <v>45215</v>
      </c>
      <c r="E2824" s="1" t="n">
        <v>46316</v>
      </c>
      <c r="F2824" t="inlineStr">
        <is>
          <t>KRONOBERGS LÄN</t>
        </is>
      </c>
      <c r="G2824" t="inlineStr">
        <is>
          <t>LJUNGBY</t>
        </is>
      </c>
      <c r="I2824" t="n">
        <v>0.4</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58641-2024</t>
        </is>
      </c>
      <c r="B2825" t="inlineStr">
        <is>
          <t>avverkningsanmälan</t>
        </is>
      </c>
      <c r="C2825" t="inlineStr">
        <is>
          <t>Föryngringsavverkning</t>
        </is>
      </c>
      <c r="D2825" s="1" t="n">
        <v>45635</v>
      </c>
      <c r="E2825" s="1" t="n">
        <v>46316</v>
      </c>
      <c r="F2825" t="inlineStr">
        <is>
          <t>KRONOBERGS LÄN</t>
        </is>
      </c>
      <c r="G2825" t="inlineStr">
        <is>
          <t>ALVESTA</t>
        </is>
      </c>
      <c r="I2825" t="n">
        <v>1.5</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60746-2024</t>
        </is>
      </c>
      <c r="B2826" t="inlineStr">
        <is>
          <t>avverkningsanmälan</t>
        </is>
      </c>
      <c r="C2826" t="inlineStr">
        <is>
          <t>Föryngringsavverkning</t>
        </is>
      </c>
      <c r="D2826" s="1" t="n">
        <v>45644</v>
      </c>
      <c r="E2826" s="1" t="n">
        <v>46316</v>
      </c>
      <c r="F2826" t="inlineStr">
        <is>
          <t>KRONOBERGS LÄN</t>
        </is>
      </c>
      <c r="G2826" t="inlineStr">
        <is>
          <t>TINGSRYD</t>
        </is>
      </c>
      <c r="I2826" t="n">
        <v>3.8</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24583-2025</t>
        </is>
      </c>
      <c r="B2827" t="inlineStr">
        <is>
          <t>avverkningsanmälan</t>
        </is>
      </c>
      <c r="C2827" t="inlineStr">
        <is>
          <t>Föryngringsavverkning</t>
        </is>
      </c>
      <c r="D2827" s="1" t="n">
        <v>45798</v>
      </c>
      <c r="E2827" s="1" t="n">
        <v>46316</v>
      </c>
      <c r="F2827" t="inlineStr">
        <is>
          <t>KRONOBERGS LÄN</t>
        </is>
      </c>
      <c r="G2827" t="inlineStr">
        <is>
          <t>LJUNGBY</t>
        </is>
      </c>
      <c r="I2827" t="n">
        <v>2.2</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19935-2026</t>
        </is>
      </c>
      <c r="B2828" t="inlineStr">
        <is>
          <t>avverkningsanmälan</t>
        </is>
      </c>
      <c r="C2828" t="inlineStr">
        <is>
          <t>Föryngringsavverkning</t>
        </is>
      </c>
      <c r="D2828" s="1" t="n">
        <v>46136</v>
      </c>
      <c r="E2828" s="1" t="n">
        <v>46316</v>
      </c>
      <c r="F2828" t="inlineStr">
        <is>
          <t>KRONOBERGS LÄN</t>
        </is>
      </c>
      <c r="G2828" t="inlineStr">
        <is>
          <t>TINGSRYD</t>
        </is>
      </c>
      <c r="I2828" t="n">
        <v>1.3</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6271-2025</t>
        </is>
      </c>
      <c r="B2829" t="inlineStr">
        <is>
          <t>avverkningsanmälan</t>
        </is>
      </c>
      <c r="C2829" t="inlineStr">
        <is>
          <t>Föryngringsavverkning</t>
        </is>
      </c>
      <c r="D2829" s="1" t="n">
        <v>45698</v>
      </c>
      <c r="E2829" s="1" t="n">
        <v>46316</v>
      </c>
      <c r="F2829" t="inlineStr">
        <is>
          <t>KRONOBERGS LÄN</t>
        </is>
      </c>
      <c r="G2829" t="inlineStr">
        <is>
          <t>VÄXJÖ</t>
        </is>
      </c>
      <c r="I2829" t="n">
        <v>1.7</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63432-2023</t>
        </is>
      </c>
      <c r="B2830" t="inlineStr">
        <is>
          <t>avverkningsanmälan</t>
        </is>
      </c>
      <c r="C2830" t="inlineStr">
        <is>
          <t>Föryngringsavverkning</t>
        </is>
      </c>
      <c r="D2830" s="1" t="n">
        <v>45274</v>
      </c>
      <c r="E2830" s="1" t="n">
        <v>46316</v>
      </c>
      <c r="F2830" t="inlineStr">
        <is>
          <t>KRONOBERGS LÄN</t>
        </is>
      </c>
      <c r="G2830" t="inlineStr">
        <is>
          <t>LJUNGBY</t>
        </is>
      </c>
      <c r="I2830" t="n">
        <v>2.1</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14608-2024</t>
        </is>
      </c>
      <c r="B2831" t="inlineStr">
        <is>
          <t>avverkningsanmälan</t>
        </is>
      </c>
      <c r="C2831" t="inlineStr">
        <is>
          <t>Föryngringsavverkning</t>
        </is>
      </c>
      <c r="D2831" s="1" t="n">
        <v>45396</v>
      </c>
      <c r="E2831" s="1" t="n">
        <v>46316</v>
      </c>
      <c r="F2831" t="inlineStr">
        <is>
          <t>KRONOBERGS LÄN</t>
        </is>
      </c>
      <c r="G2831" t="inlineStr">
        <is>
          <t>LJUNGBY</t>
        </is>
      </c>
      <c r="I2831" t="n">
        <v>1.8</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40216-2023</t>
        </is>
      </c>
      <c r="B2832" t="inlineStr">
        <is>
          <t>avverkningsanmälan</t>
        </is>
      </c>
      <c r="C2832" t="inlineStr">
        <is>
          <t>Föryngringsavverkning</t>
        </is>
      </c>
      <c r="D2832" s="1" t="n">
        <v>45169</v>
      </c>
      <c r="E2832" s="1" t="n">
        <v>46316</v>
      </c>
      <c r="F2832" t="inlineStr">
        <is>
          <t>KRONOBERGS LÄN</t>
        </is>
      </c>
      <c r="G2832" t="inlineStr">
        <is>
          <t>VÄXJÖ</t>
        </is>
      </c>
      <c r="I2832" t="n">
        <v>1.8</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60560-2024</t>
        </is>
      </c>
      <c r="B2833" t="inlineStr">
        <is>
          <t>avverkningsanmälan</t>
        </is>
      </c>
      <c r="C2833" t="inlineStr">
        <is>
          <t>Föryngringsavverkning</t>
        </is>
      </c>
      <c r="D2833" s="1" t="n">
        <v>45644</v>
      </c>
      <c r="E2833" s="1" t="n">
        <v>46316</v>
      </c>
      <c r="F2833" t="inlineStr">
        <is>
          <t>KRONOBERGS LÄN</t>
        </is>
      </c>
      <c r="G2833" t="inlineStr">
        <is>
          <t>LJUNGBY</t>
        </is>
      </c>
      <c r="I2833" t="n">
        <v>3.8</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22058-2022</t>
        </is>
      </c>
      <c r="B2834" t="inlineStr">
        <is>
          <t>avverkningsanmälan</t>
        </is>
      </c>
      <c r="C2834" t="inlineStr">
        <is>
          <t>Föryngringsavverkning</t>
        </is>
      </c>
      <c r="D2834" s="1" t="n">
        <v>44711</v>
      </c>
      <c r="E2834" s="1" t="n">
        <v>46316</v>
      </c>
      <c r="F2834" t="inlineStr">
        <is>
          <t>KRONOBERGS LÄN</t>
        </is>
      </c>
      <c r="G2834" t="inlineStr">
        <is>
          <t>VÄXJÖ</t>
        </is>
      </c>
      <c r="I2834" t="n">
        <v>3.5</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35170-2023</t>
        </is>
      </c>
      <c r="B2835" t="inlineStr">
        <is>
          <t>avverkningsanmälan</t>
        </is>
      </c>
      <c r="C2835" t="inlineStr">
        <is>
          <t>Föryngringsavverkning</t>
        </is>
      </c>
      <c r="D2835" s="1" t="n">
        <v>45145</v>
      </c>
      <c r="E2835" s="1" t="n">
        <v>46316</v>
      </c>
      <c r="F2835" t="inlineStr">
        <is>
          <t>KRONOBERGS LÄN</t>
        </is>
      </c>
      <c r="G2835" t="inlineStr">
        <is>
          <t>LJUNGBY</t>
        </is>
      </c>
      <c r="I2835" t="n">
        <v>0.5</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38730-2025</t>
        </is>
      </c>
      <c r="B2836" t="inlineStr">
        <is>
          <t>avverkningsanmälan</t>
        </is>
      </c>
      <c r="C2836" t="inlineStr">
        <is>
          <t>Föryngringsavverkning</t>
        </is>
      </c>
      <c r="D2836" s="1" t="n">
        <v>45887</v>
      </c>
      <c r="E2836" s="1" t="n">
        <v>46316</v>
      </c>
      <c r="F2836" t="inlineStr">
        <is>
          <t>KRONOBERGS LÄN</t>
        </is>
      </c>
      <c r="G2836" t="inlineStr">
        <is>
          <t>ÄLMHULT</t>
        </is>
      </c>
      <c r="I2836" t="n">
        <v>2</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9822-2022</t>
        </is>
      </c>
      <c r="B2837" t="inlineStr">
        <is>
          <t>avverkningsanmälan</t>
        </is>
      </c>
      <c r="C2837" t="inlineStr">
        <is>
          <t>Föryngringsavverkning</t>
        </is>
      </c>
      <c r="D2837" s="1" t="n">
        <v>44620</v>
      </c>
      <c r="E2837" s="1" t="n">
        <v>46316</v>
      </c>
      <c r="F2837" t="inlineStr">
        <is>
          <t>KRONOBERGS LÄN</t>
        </is>
      </c>
      <c r="G2837" t="inlineStr">
        <is>
          <t>ALVESTA</t>
        </is>
      </c>
      <c r="I2837" t="n">
        <v>2.3</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38641-2024</t>
        </is>
      </c>
      <c r="B2838" t="inlineStr">
        <is>
          <t>avverkningsanmälan</t>
        </is>
      </c>
      <c r="C2838" t="inlineStr">
        <is>
          <t>Föryngringsavverkning</t>
        </is>
      </c>
      <c r="D2838" s="1" t="n">
        <v>45546</v>
      </c>
      <c r="E2838" s="1" t="n">
        <v>46316</v>
      </c>
      <c r="F2838" t="inlineStr">
        <is>
          <t>KRONOBERGS LÄN</t>
        </is>
      </c>
      <c r="G2838" t="inlineStr">
        <is>
          <t>LJUNGBY</t>
        </is>
      </c>
      <c r="H2838" t="inlineStr">
        <is>
          <t>Sveaskog</t>
        </is>
      </c>
      <c r="I2838" t="n">
        <v>1.8</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19240-2025</t>
        </is>
      </c>
      <c r="B2839" t="inlineStr">
        <is>
          <t>avverkningsanmälan</t>
        </is>
      </c>
      <c r="C2839" t="inlineStr">
        <is>
          <t>Föryngringsavverkning</t>
        </is>
      </c>
      <c r="D2839" s="1" t="n">
        <v>45769</v>
      </c>
      <c r="E2839" s="1" t="n">
        <v>46316</v>
      </c>
      <c r="F2839" t="inlineStr">
        <is>
          <t>KRONOBERGS LÄN</t>
        </is>
      </c>
      <c r="G2839" t="inlineStr">
        <is>
          <t>MARKARYD</t>
        </is>
      </c>
      <c r="I2839" t="n">
        <v>2.5</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54177-2022</t>
        </is>
      </c>
      <c r="B2840" t="inlineStr">
        <is>
          <t>avverkningsanmälan</t>
        </is>
      </c>
      <c r="C2840" t="inlineStr">
        <is>
          <t>Föryngringsavverkning</t>
        </is>
      </c>
      <c r="D2840" s="1" t="n">
        <v>44881</v>
      </c>
      <c r="E2840" s="1" t="n">
        <v>46316</v>
      </c>
      <c r="F2840" t="inlineStr">
        <is>
          <t>KRONOBERGS LÄN</t>
        </is>
      </c>
      <c r="G2840" t="inlineStr">
        <is>
          <t>LJUNGBY</t>
        </is>
      </c>
      <c r="I2840" t="n">
        <v>1.4</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36515-2025</t>
        </is>
      </c>
      <c r="B2841" t="inlineStr">
        <is>
          <t>avverkningsanmälan</t>
        </is>
      </c>
      <c r="C2841" t="inlineStr">
        <is>
          <t>Föryngringsavverkning</t>
        </is>
      </c>
      <c r="D2841" s="1" t="n">
        <v>45869</v>
      </c>
      <c r="E2841" s="1" t="n">
        <v>46316</v>
      </c>
      <c r="F2841" t="inlineStr">
        <is>
          <t>KRONOBERGS LÄN</t>
        </is>
      </c>
      <c r="G2841" t="inlineStr">
        <is>
          <t>LJUNGBY</t>
        </is>
      </c>
      <c r="H2841" t="inlineStr">
        <is>
          <t>Kyrkan</t>
        </is>
      </c>
      <c r="I2841" t="n">
        <v>4.2</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7008-2025</t>
        </is>
      </c>
      <c r="B2842" t="inlineStr">
        <is>
          <t>avverkningsanmälan</t>
        </is>
      </c>
      <c r="C2842" t="inlineStr">
        <is>
          <t>Föryngringsavverkning</t>
        </is>
      </c>
      <c r="D2842" s="1" t="n">
        <v>45701</v>
      </c>
      <c r="E2842" s="1" t="n">
        <v>46316</v>
      </c>
      <c r="F2842" t="inlineStr">
        <is>
          <t>KRONOBERGS LÄN</t>
        </is>
      </c>
      <c r="G2842" t="inlineStr">
        <is>
          <t>LJUNGBY</t>
        </is>
      </c>
      <c r="I2842" t="n">
        <v>1</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16983-2025</t>
        </is>
      </c>
      <c r="B2843" t="inlineStr">
        <is>
          <t>avverkningsanmälan</t>
        </is>
      </c>
      <c r="C2843" t="inlineStr">
        <is>
          <t>Föryngringsavverkning</t>
        </is>
      </c>
      <c r="D2843" s="1" t="n">
        <v>45755</v>
      </c>
      <c r="E2843" s="1" t="n">
        <v>46316</v>
      </c>
      <c r="F2843" t="inlineStr">
        <is>
          <t>KRONOBERGS LÄN</t>
        </is>
      </c>
      <c r="G2843" t="inlineStr">
        <is>
          <t>LJUNGBY</t>
        </is>
      </c>
      <c r="I2843" t="n">
        <v>0.6</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19219-2024</t>
        </is>
      </c>
      <c r="B2844" t="inlineStr">
        <is>
          <t>avverkningsanmälan</t>
        </is>
      </c>
      <c r="C2844" t="inlineStr">
        <is>
          <t>Föryngringsavverkning</t>
        </is>
      </c>
      <c r="D2844" s="1" t="n">
        <v>45428</v>
      </c>
      <c r="E2844" s="1" t="n">
        <v>46316</v>
      </c>
      <c r="F2844" t="inlineStr">
        <is>
          <t>KRONOBERGS LÄN</t>
        </is>
      </c>
      <c r="G2844" t="inlineStr">
        <is>
          <t>MARKARYD</t>
        </is>
      </c>
      <c r="H2844" t="inlineStr">
        <is>
          <t>Sveaskog</t>
        </is>
      </c>
      <c r="I2844" t="n">
        <v>5.7</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19223-2024</t>
        </is>
      </c>
      <c r="B2845" t="inlineStr">
        <is>
          <t>avverkningsanmälan</t>
        </is>
      </c>
      <c r="C2845" t="inlineStr">
        <is>
          <t>Föryngringsavverkning</t>
        </is>
      </c>
      <c r="D2845" s="1" t="n">
        <v>45428</v>
      </c>
      <c r="E2845" s="1" t="n">
        <v>46316</v>
      </c>
      <c r="F2845" t="inlineStr">
        <is>
          <t>KRONOBERGS LÄN</t>
        </is>
      </c>
      <c r="G2845" t="inlineStr">
        <is>
          <t>UPPVIDINGE</t>
        </is>
      </c>
      <c r="I2845" t="n">
        <v>0.4</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34475-2025</t>
        </is>
      </c>
      <c r="B2846" t="inlineStr">
        <is>
          <t>avverkningsanmälan</t>
        </is>
      </c>
      <c r="C2846" t="inlineStr">
        <is>
          <t>Föryngringsavverkning</t>
        </is>
      </c>
      <c r="D2846" s="1" t="n">
        <v>45847</v>
      </c>
      <c r="E2846" s="1" t="n">
        <v>46316</v>
      </c>
      <c r="F2846" t="inlineStr">
        <is>
          <t>KRONOBERGS LÄN</t>
        </is>
      </c>
      <c r="G2846" t="inlineStr">
        <is>
          <t>LJUNGBY</t>
        </is>
      </c>
      <c r="I2846" t="n">
        <v>0.5</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13998-2025</t>
        </is>
      </c>
      <c r="B2847" t="inlineStr">
        <is>
          <t>avverkningsanmälan</t>
        </is>
      </c>
      <c r="C2847" t="inlineStr">
        <is>
          <t>Föryngringsavverkning</t>
        </is>
      </c>
      <c r="D2847" s="1" t="n">
        <v>45739</v>
      </c>
      <c r="E2847" s="1" t="n">
        <v>46316</v>
      </c>
      <c r="F2847" t="inlineStr">
        <is>
          <t>KRONOBERGS LÄN</t>
        </is>
      </c>
      <c r="G2847" t="inlineStr">
        <is>
          <t>LJUNGBY</t>
        </is>
      </c>
      <c r="I2847" t="n">
        <v>2.9</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21788-2025</t>
        </is>
      </c>
      <c r="B2848" t="inlineStr">
        <is>
          <t>avverkningsanmälan</t>
        </is>
      </c>
      <c r="C2848" t="inlineStr">
        <is>
          <t>Föryngringsavverkning</t>
        </is>
      </c>
      <c r="D2848" s="1" t="n">
        <v>45783</v>
      </c>
      <c r="E2848" s="1" t="n">
        <v>46316</v>
      </c>
      <c r="F2848" t="inlineStr">
        <is>
          <t>KRONOBERGS LÄN</t>
        </is>
      </c>
      <c r="G2848" t="inlineStr">
        <is>
          <t>LJUNGBY</t>
        </is>
      </c>
      <c r="I2848" t="n">
        <v>1.1</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36724-2023</t>
        </is>
      </c>
      <c r="B2849" t="inlineStr">
        <is>
          <t>avverkningsanmälan</t>
        </is>
      </c>
      <c r="C2849" t="inlineStr">
        <is>
          <t>Avverkning för annat ändamål</t>
        </is>
      </c>
      <c r="D2849" s="1" t="n">
        <v>45153</v>
      </c>
      <c r="E2849" s="1" t="n">
        <v>46316</v>
      </c>
      <c r="F2849" t="inlineStr">
        <is>
          <t>KRONOBERGS LÄN</t>
        </is>
      </c>
      <c r="G2849" t="inlineStr">
        <is>
          <t>VÄXJÖ</t>
        </is>
      </c>
      <c r="I2849" t="n">
        <v>0.6</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45905-2025</t>
        </is>
      </c>
      <c r="B2850" t="inlineStr">
        <is>
          <t>avverkningsanmälan</t>
        </is>
      </c>
      <c r="C2850" t="inlineStr">
        <is>
          <t>Föryngringsavverkning</t>
        </is>
      </c>
      <c r="D2850" s="1" t="n">
        <v>45923</v>
      </c>
      <c r="E2850" s="1" t="n">
        <v>46316</v>
      </c>
      <c r="F2850" t="inlineStr">
        <is>
          <t>KRONOBERGS LÄN</t>
        </is>
      </c>
      <c r="G2850" t="inlineStr">
        <is>
          <t>UPPVIDINGE</t>
        </is>
      </c>
      <c r="I2850" t="n">
        <v>1.7</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13388-2023</t>
        </is>
      </c>
      <c r="B2851" t="inlineStr">
        <is>
          <t>avverkningsanmälan</t>
        </is>
      </c>
      <c r="C2851" t="inlineStr">
        <is>
          <t>Föryngringsavverkning</t>
        </is>
      </c>
      <c r="D2851" s="1" t="n">
        <v>45005</v>
      </c>
      <c r="E2851" s="1" t="n">
        <v>46316</v>
      </c>
      <c r="F2851" t="inlineStr">
        <is>
          <t>KRONOBERGS LÄN</t>
        </is>
      </c>
      <c r="G2851" t="inlineStr">
        <is>
          <t>LJUNGBY</t>
        </is>
      </c>
      <c r="I2851" t="n">
        <v>1.1</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61893-2022</t>
        </is>
      </c>
      <c r="B2852" t="inlineStr">
        <is>
          <t>avverkningsanmälan</t>
        </is>
      </c>
      <c r="C2852" t="inlineStr">
        <is>
          <t>Föryngringsavverkning</t>
        </is>
      </c>
      <c r="D2852" s="1" t="n">
        <v>44917</v>
      </c>
      <c r="E2852" s="1" t="n">
        <v>46316</v>
      </c>
      <c r="F2852" t="inlineStr">
        <is>
          <t>KRONOBERGS LÄN</t>
        </is>
      </c>
      <c r="G2852" t="inlineStr">
        <is>
          <t>LJUNGBY</t>
        </is>
      </c>
      <c r="I2852" t="n">
        <v>0.4</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7004-2025</t>
        </is>
      </c>
      <c r="B2853" t="inlineStr">
        <is>
          <t>avverkningsanmälan</t>
        </is>
      </c>
      <c r="C2853" t="inlineStr">
        <is>
          <t>Föryngringsavverkning</t>
        </is>
      </c>
      <c r="D2853" s="1" t="n">
        <v>45701</v>
      </c>
      <c r="E2853" s="1" t="n">
        <v>46316</v>
      </c>
      <c r="F2853" t="inlineStr">
        <is>
          <t>KRONOBERGS LÄN</t>
        </is>
      </c>
      <c r="G2853" t="inlineStr">
        <is>
          <t>LJUNGBY</t>
        </is>
      </c>
      <c r="I2853" t="n">
        <v>2.5</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994-2025</t>
        </is>
      </c>
      <c r="B2854" t="inlineStr">
        <is>
          <t>avverkningsanmälan</t>
        </is>
      </c>
      <c r="C2854" t="inlineStr">
        <is>
          <t>Föryngringsavverkning</t>
        </is>
      </c>
      <c r="D2854" s="1" t="n">
        <v>45666</v>
      </c>
      <c r="E2854" s="1" t="n">
        <v>46316</v>
      </c>
      <c r="F2854" t="inlineStr">
        <is>
          <t>KRONOBERGS LÄN</t>
        </is>
      </c>
      <c r="G2854" t="inlineStr">
        <is>
          <t>ALVESTA</t>
        </is>
      </c>
      <c r="I2854" t="n">
        <v>2.7</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639-2024</t>
        </is>
      </c>
      <c r="B2855" t="inlineStr">
        <is>
          <t>avverkningsanmälan</t>
        </is>
      </c>
      <c r="C2855" t="inlineStr">
        <is>
          <t>Föryngringsavverkning</t>
        </is>
      </c>
      <c r="D2855" s="1" t="n">
        <v>45299</v>
      </c>
      <c r="E2855" s="1" t="n">
        <v>46316</v>
      </c>
      <c r="F2855" t="inlineStr">
        <is>
          <t>KRONOBERGS LÄN</t>
        </is>
      </c>
      <c r="G2855" t="inlineStr">
        <is>
          <t>TINGSRYD</t>
        </is>
      </c>
      <c r="I2855" t="n">
        <v>2.7</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64507-2023</t>
        </is>
      </c>
      <c r="B2856" t="inlineStr">
        <is>
          <t>avverkningsanmälan</t>
        </is>
      </c>
      <c r="C2856" t="inlineStr">
        <is>
          <t>Föryngringsavverkning</t>
        </is>
      </c>
      <c r="D2856" s="1" t="n">
        <v>45281</v>
      </c>
      <c r="E2856" s="1" t="n">
        <v>46316</v>
      </c>
      <c r="F2856" t="inlineStr">
        <is>
          <t>KRONOBERGS LÄN</t>
        </is>
      </c>
      <c r="G2856" t="inlineStr">
        <is>
          <t>MARKARYD</t>
        </is>
      </c>
      <c r="I2856" t="n">
        <v>1.9</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18567-2024</t>
        </is>
      </c>
      <c r="B2857" t="inlineStr">
        <is>
          <t>avverkningsanmälan</t>
        </is>
      </c>
      <c r="C2857" t="inlineStr">
        <is>
          <t>Föryngringsavverkning</t>
        </is>
      </c>
      <c r="D2857" s="1" t="n">
        <v>45425</v>
      </c>
      <c r="E2857" s="1" t="n">
        <v>46316</v>
      </c>
      <c r="F2857" t="inlineStr">
        <is>
          <t>KRONOBERGS LÄN</t>
        </is>
      </c>
      <c r="G2857" t="inlineStr">
        <is>
          <t>LJUNGBY</t>
        </is>
      </c>
      <c r="I2857" t="n">
        <v>0.5</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28350-2023</t>
        </is>
      </c>
      <c r="B2858" t="inlineStr">
        <is>
          <t>avverkningsanmälan</t>
        </is>
      </c>
      <c r="C2858" t="inlineStr">
        <is>
          <t>Föryngringsavverkning</t>
        </is>
      </c>
      <c r="D2858" s="1" t="n">
        <v>45099</v>
      </c>
      <c r="E2858" s="1" t="n">
        <v>46316</v>
      </c>
      <c r="F2858" t="inlineStr">
        <is>
          <t>KRONOBERGS LÄN</t>
        </is>
      </c>
      <c r="G2858" t="inlineStr">
        <is>
          <t>LJUNGBY</t>
        </is>
      </c>
      <c r="I2858" t="n">
        <v>1.2</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10085-2022</t>
        </is>
      </c>
      <c r="B2859" t="inlineStr">
        <is>
          <t>avverkningsanmälan</t>
        </is>
      </c>
      <c r="C2859" t="inlineStr">
        <is>
          <t>Föryngringsavverkning</t>
        </is>
      </c>
      <c r="D2859" s="1" t="n">
        <v>44621</v>
      </c>
      <c r="E2859" s="1" t="n">
        <v>46316</v>
      </c>
      <c r="F2859" t="inlineStr">
        <is>
          <t>KRONOBERGS LÄN</t>
        </is>
      </c>
      <c r="G2859" t="inlineStr">
        <is>
          <t>LJUNGBY</t>
        </is>
      </c>
      <c r="I2859" t="n">
        <v>1.6</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35627-2024</t>
        </is>
      </c>
      <c r="B2860" t="inlineStr">
        <is>
          <t>avverkningsanmälan</t>
        </is>
      </c>
      <c r="C2860" t="inlineStr">
        <is>
          <t>Föryngringsavverkning</t>
        </is>
      </c>
      <c r="D2860" s="1" t="n">
        <v>45531</v>
      </c>
      <c r="E2860" s="1" t="n">
        <v>46316</v>
      </c>
      <c r="F2860" t="inlineStr">
        <is>
          <t>KRONOBERGS LÄN</t>
        </is>
      </c>
      <c r="G2860" t="inlineStr">
        <is>
          <t>ÄLMHULT</t>
        </is>
      </c>
      <c r="I2860" t="n">
        <v>6.9</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64508-2023</t>
        </is>
      </c>
      <c r="B2861" t="inlineStr">
        <is>
          <t>avverkningsanmälan</t>
        </is>
      </c>
      <c r="C2861" t="inlineStr">
        <is>
          <t>Föryngringsavverkning</t>
        </is>
      </c>
      <c r="D2861" s="1" t="n">
        <v>45281</v>
      </c>
      <c r="E2861" s="1" t="n">
        <v>46316</v>
      </c>
      <c r="F2861" t="inlineStr">
        <is>
          <t>KRONOBERGS LÄN</t>
        </is>
      </c>
      <c r="G2861" t="inlineStr">
        <is>
          <t>MARKARYD</t>
        </is>
      </c>
      <c r="I2861" t="n">
        <v>0.7</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11724-2022</t>
        </is>
      </c>
      <c r="B2862" t="inlineStr">
        <is>
          <t>avverkningsanmälan</t>
        </is>
      </c>
      <c r="C2862" t="inlineStr">
        <is>
          <t>Föryngringsavverkning</t>
        </is>
      </c>
      <c r="D2862" s="1" t="n">
        <v>44634</v>
      </c>
      <c r="E2862" s="1" t="n">
        <v>46316</v>
      </c>
      <c r="F2862" t="inlineStr">
        <is>
          <t>KRONOBERGS LÄN</t>
        </is>
      </c>
      <c r="G2862" t="inlineStr">
        <is>
          <t>TINGSRYD</t>
        </is>
      </c>
      <c r="I2862" t="n">
        <v>4.8</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1813-2023</t>
        </is>
      </c>
      <c r="B2863" t="inlineStr">
        <is>
          <t>avverkningsanmälan</t>
        </is>
      </c>
      <c r="C2863" t="inlineStr">
        <is>
          <t>Föryngringsavverkning</t>
        </is>
      </c>
      <c r="D2863" s="1" t="n">
        <v>44938</v>
      </c>
      <c r="E2863" s="1" t="n">
        <v>46316</v>
      </c>
      <c r="F2863" t="inlineStr">
        <is>
          <t>KRONOBERGS LÄN</t>
        </is>
      </c>
      <c r="G2863" t="inlineStr">
        <is>
          <t>VÄXJÖ</t>
        </is>
      </c>
      <c r="I2863" t="n">
        <v>1</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36864-2025</t>
        </is>
      </c>
      <c r="B2864" t="inlineStr">
        <is>
          <t>avverkningsanmälan</t>
        </is>
      </c>
      <c r="C2864" t="inlineStr">
        <is>
          <t>Föryngringsavverkning</t>
        </is>
      </c>
      <c r="D2864" s="1" t="n">
        <v>45873</v>
      </c>
      <c r="E2864" s="1" t="n">
        <v>46316</v>
      </c>
      <c r="F2864" t="inlineStr">
        <is>
          <t>KRONOBERGS LÄN</t>
        </is>
      </c>
      <c r="G2864" t="inlineStr">
        <is>
          <t>UPPVIDINGE</t>
        </is>
      </c>
      <c r="I2864" t="n">
        <v>5.2</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35523-2025</t>
        </is>
      </c>
      <c r="B2865" t="inlineStr">
        <is>
          <t>avverkningsanmälan</t>
        </is>
      </c>
      <c r="C2865" t="inlineStr">
        <is>
          <t>Föryngringsavverkning</t>
        </is>
      </c>
      <c r="D2865" s="1" t="n">
        <v>45856</v>
      </c>
      <c r="E2865" s="1" t="n">
        <v>46316</v>
      </c>
      <c r="F2865" t="inlineStr">
        <is>
          <t>KRONOBERGS LÄN</t>
        </is>
      </c>
      <c r="G2865" t="inlineStr">
        <is>
          <t>ALVESTA</t>
        </is>
      </c>
      <c r="I2865" t="n">
        <v>2</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35601-2025</t>
        </is>
      </c>
      <c r="B2866" t="inlineStr">
        <is>
          <t>avverkningsanmälan</t>
        </is>
      </c>
      <c r="C2866" t="inlineStr">
        <is>
          <t>Föryngringsavverkning</t>
        </is>
      </c>
      <c r="D2866" s="1" t="n">
        <v>45858</v>
      </c>
      <c r="E2866" s="1" t="n">
        <v>46316</v>
      </c>
      <c r="F2866" t="inlineStr">
        <is>
          <t>KRONOBERGS LÄN</t>
        </is>
      </c>
      <c r="G2866" t="inlineStr">
        <is>
          <t>ALVESTA</t>
        </is>
      </c>
      <c r="I2866" t="n">
        <v>1.3</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20101-2026</t>
        </is>
      </c>
      <c r="B2867" t="inlineStr">
        <is>
          <t>avverkningsanmälan</t>
        </is>
      </c>
      <c r="C2867" t="inlineStr">
        <is>
          <t>Föryngringsavverkning</t>
        </is>
      </c>
      <c r="D2867" s="1" t="n">
        <v>46136</v>
      </c>
      <c r="E2867" s="1" t="n">
        <v>46316</v>
      </c>
      <c r="F2867" t="inlineStr">
        <is>
          <t>KRONOBERGS LÄN</t>
        </is>
      </c>
      <c r="G2867" t="inlineStr">
        <is>
          <t>ALVESTA</t>
        </is>
      </c>
      <c r="I2867" t="n">
        <v>4.6</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59667-2025</t>
        </is>
      </c>
      <c r="B2868" t="inlineStr">
        <is>
          <t>avverkningsanmälan</t>
        </is>
      </c>
      <c r="C2868" t="inlineStr">
        <is>
          <t>Föryngringsavverkning</t>
        </is>
      </c>
      <c r="D2868" s="1" t="n">
        <v>45992</v>
      </c>
      <c r="E2868" s="1" t="n">
        <v>46316</v>
      </c>
      <c r="F2868" t="inlineStr">
        <is>
          <t>KRONOBERGS LÄN</t>
        </is>
      </c>
      <c r="G2868" t="inlineStr">
        <is>
          <t>TINGSRYD</t>
        </is>
      </c>
      <c r="I2868" t="n">
        <v>4.7</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17346-2023</t>
        </is>
      </c>
      <c r="B2869" t="inlineStr">
        <is>
          <t>avverkningsanmälan</t>
        </is>
      </c>
      <c r="C2869" t="inlineStr">
        <is>
          <t>Föryngringsavverkning</t>
        </is>
      </c>
      <c r="D2869" s="1" t="n">
        <v>45035</v>
      </c>
      <c r="E2869" s="1" t="n">
        <v>46316</v>
      </c>
      <c r="F2869" t="inlineStr">
        <is>
          <t>KRONOBERGS LÄN</t>
        </is>
      </c>
      <c r="G2869" t="inlineStr">
        <is>
          <t>TINGSRYD</t>
        </is>
      </c>
      <c r="I2869" t="n">
        <v>0</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25152-2023</t>
        </is>
      </c>
      <c r="B2870" t="inlineStr">
        <is>
          <t>avverkningsanmälan</t>
        </is>
      </c>
      <c r="C2870" t="inlineStr">
        <is>
          <t>Föryngringsavverkning</t>
        </is>
      </c>
      <c r="D2870" s="1" t="n">
        <v>45079</v>
      </c>
      <c r="E2870" s="1" t="n">
        <v>46316</v>
      </c>
      <c r="F2870" t="inlineStr">
        <is>
          <t>KRONOBERGS LÄN</t>
        </is>
      </c>
      <c r="G2870" t="inlineStr">
        <is>
          <t>LJUNGBY</t>
        </is>
      </c>
      <c r="I2870" t="n">
        <v>5.4</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49812-2024</t>
        </is>
      </c>
      <c r="B2871" t="inlineStr">
        <is>
          <t>avverkningsanmälan</t>
        </is>
      </c>
      <c r="C2871" t="inlineStr">
        <is>
          <t>Föryngringsavverkning</t>
        </is>
      </c>
      <c r="D2871" s="1" t="n">
        <v>45597</v>
      </c>
      <c r="E2871" s="1" t="n">
        <v>46316</v>
      </c>
      <c r="F2871" t="inlineStr">
        <is>
          <t>KRONOBERGS LÄN</t>
        </is>
      </c>
      <c r="G2871" t="inlineStr">
        <is>
          <t>UPPVIDINGE</t>
        </is>
      </c>
      <c r="H2871" t="inlineStr">
        <is>
          <t>Sveaskog</t>
        </is>
      </c>
      <c r="I2871" t="n">
        <v>1.6</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30367-2025</t>
        </is>
      </c>
      <c r="B2872" t="inlineStr">
        <is>
          <t>avverkningsanmälan</t>
        </is>
      </c>
      <c r="C2872" t="inlineStr">
        <is>
          <t>Föryngringsavverkning</t>
        </is>
      </c>
      <c r="D2872" s="1" t="n">
        <v>45827</v>
      </c>
      <c r="E2872" s="1" t="n">
        <v>46316</v>
      </c>
      <c r="F2872" t="inlineStr">
        <is>
          <t>KRONOBERGS LÄN</t>
        </is>
      </c>
      <c r="G2872" t="inlineStr">
        <is>
          <t>VÄXJÖ</t>
        </is>
      </c>
      <c r="I2872" t="n">
        <v>0.9</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49327-2025</t>
        </is>
      </c>
      <c r="B2873" t="inlineStr">
        <is>
          <t>avverkningsanmälan</t>
        </is>
      </c>
      <c r="C2873" t="inlineStr">
        <is>
          <t>Föryngringsavverkning</t>
        </is>
      </c>
      <c r="D2873" s="1" t="n">
        <v>45938</v>
      </c>
      <c r="E2873" s="1" t="n">
        <v>46316</v>
      </c>
      <c r="F2873" t="inlineStr">
        <is>
          <t>KRONOBERGS LÄN</t>
        </is>
      </c>
      <c r="G2873" t="inlineStr">
        <is>
          <t>ÄLMHULT</t>
        </is>
      </c>
      <c r="I2873" t="n">
        <v>3.9</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70888-2021</t>
        </is>
      </c>
      <c r="B2874" t="inlineStr">
        <is>
          <t>avverkningsanmälan</t>
        </is>
      </c>
      <c r="C2874" t="inlineStr">
        <is>
          <t>Föryngringsavverkning</t>
        </is>
      </c>
      <c r="D2874" s="1" t="n">
        <v>44538</v>
      </c>
      <c r="E2874" s="1" t="n">
        <v>46316</v>
      </c>
      <c r="F2874" t="inlineStr">
        <is>
          <t>KRONOBERGS LÄN</t>
        </is>
      </c>
      <c r="G2874" t="inlineStr">
        <is>
          <t>LJUNGBY</t>
        </is>
      </c>
      <c r="I2874" t="n">
        <v>2.7</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58831-2023</t>
        </is>
      </c>
      <c r="B2875" t="inlineStr">
        <is>
          <t>avverkningsanmälan</t>
        </is>
      </c>
      <c r="C2875" t="inlineStr">
        <is>
          <t>Föryngringsavverkning</t>
        </is>
      </c>
      <c r="D2875" s="1" t="n">
        <v>45252</v>
      </c>
      <c r="E2875" s="1" t="n">
        <v>46316</v>
      </c>
      <c r="F2875" t="inlineStr">
        <is>
          <t>KRONOBERGS LÄN</t>
        </is>
      </c>
      <c r="G2875" t="inlineStr">
        <is>
          <t>ÄLMHULT</t>
        </is>
      </c>
      <c r="I2875" t="n">
        <v>0.5</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14561-2024</t>
        </is>
      </c>
      <c r="B2876" t="inlineStr">
        <is>
          <t>avverkningsanmälan</t>
        </is>
      </c>
      <c r="C2876" t="inlineStr">
        <is>
          <t>Föryngringsavverkning</t>
        </is>
      </c>
      <c r="D2876" s="1" t="n">
        <v>45394</v>
      </c>
      <c r="E2876" s="1" t="n">
        <v>46316</v>
      </c>
      <c r="F2876" t="inlineStr">
        <is>
          <t>KRONOBERGS LÄN</t>
        </is>
      </c>
      <c r="G2876" t="inlineStr">
        <is>
          <t>LJUNGBY</t>
        </is>
      </c>
      <c r="I2876" t="n">
        <v>0.7</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28165-2025</t>
        </is>
      </c>
      <c r="B2877" t="inlineStr">
        <is>
          <t>avverkningsanmälan</t>
        </is>
      </c>
      <c r="C2877" t="inlineStr">
        <is>
          <t>Föryngringsavverkning</t>
        </is>
      </c>
      <c r="D2877" s="1" t="n">
        <v>45818</v>
      </c>
      <c r="E2877" s="1" t="n">
        <v>46316</v>
      </c>
      <c r="F2877" t="inlineStr">
        <is>
          <t>KRONOBERGS LÄN</t>
        </is>
      </c>
      <c r="G2877" t="inlineStr">
        <is>
          <t>VÄXJÖ</t>
        </is>
      </c>
      <c r="I2877" t="n">
        <v>3.5</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63938-2025</t>
        </is>
      </c>
      <c r="B2878" t="inlineStr">
        <is>
          <t>avverkningsanmälan</t>
        </is>
      </c>
      <c r="C2878" t="inlineStr">
        <is>
          <t>Föryngringsavverkning</t>
        </is>
      </c>
      <c r="D2878" s="1" t="n">
        <v>46010</v>
      </c>
      <c r="E2878" s="1" t="n">
        <v>46316</v>
      </c>
      <c r="F2878" t="inlineStr">
        <is>
          <t>KRONOBERGS LÄN</t>
        </is>
      </c>
      <c r="G2878" t="inlineStr">
        <is>
          <t>TINGSRYD</t>
        </is>
      </c>
      <c r="I2878" t="n">
        <v>1</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63337-2025</t>
        </is>
      </c>
      <c r="B2879" t="inlineStr">
        <is>
          <t>avverkningsanmälan</t>
        </is>
      </c>
      <c r="C2879" t="inlineStr">
        <is>
          <t>Föryngringsavverkning</t>
        </is>
      </c>
      <c r="D2879" s="1" t="n">
        <v>46010</v>
      </c>
      <c r="E2879" s="1" t="n">
        <v>46316</v>
      </c>
      <c r="F2879" t="inlineStr">
        <is>
          <t>KRONOBERGS LÄN</t>
        </is>
      </c>
      <c r="G2879" t="inlineStr">
        <is>
          <t>TINGSRYD</t>
        </is>
      </c>
      <c r="I2879" t="n">
        <v>1.5</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47693-2025</t>
        </is>
      </c>
      <c r="B2880" t="inlineStr">
        <is>
          <t>avverkningsanmälan</t>
        </is>
      </c>
      <c r="C2880" t="inlineStr">
        <is>
          <t>Föryngringsavverkning</t>
        </is>
      </c>
      <c r="D2880" s="1" t="n">
        <v>45931</v>
      </c>
      <c r="E2880" s="1" t="n">
        <v>46316</v>
      </c>
      <c r="F2880" t="inlineStr">
        <is>
          <t>KRONOBERGS LÄN</t>
        </is>
      </c>
      <c r="G2880" t="inlineStr">
        <is>
          <t>LESSEBO</t>
        </is>
      </c>
      <c r="I2880" t="n">
        <v>2.2</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36513-2025</t>
        </is>
      </c>
      <c r="B2881" t="inlineStr">
        <is>
          <t>avverkningsanmälan</t>
        </is>
      </c>
      <c r="C2881" t="inlineStr">
        <is>
          <t>Föryngringsavverkning</t>
        </is>
      </c>
      <c r="D2881" s="1" t="n">
        <v>45869</v>
      </c>
      <c r="E2881" s="1" t="n">
        <v>46316</v>
      </c>
      <c r="F2881" t="inlineStr">
        <is>
          <t>KRONOBERGS LÄN</t>
        </is>
      </c>
      <c r="G2881" t="inlineStr">
        <is>
          <t>LJUNGBY</t>
        </is>
      </c>
      <c r="H2881" t="inlineStr">
        <is>
          <t>Kyrkan</t>
        </is>
      </c>
      <c r="I2881" t="n">
        <v>7.2</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21868-2022</t>
        </is>
      </c>
      <c r="B2882" t="inlineStr">
        <is>
          <t>avverkningsanmälan</t>
        </is>
      </c>
      <c r="C2882" t="inlineStr">
        <is>
          <t>Föryngringsavverkning</t>
        </is>
      </c>
      <c r="D2882" s="1" t="n">
        <v>44711</v>
      </c>
      <c r="E2882" s="1" t="n">
        <v>46316</v>
      </c>
      <c r="F2882" t="inlineStr">
        <is>
          <t>KRONOBERGS LÄN</t>
        </is>
      </c>
      <c r="G2882" t="inlineStr">
        <is>
          <t>UPPVIDINGE</t>
        </is>
      </c>
      <c r="I2882" t="n">
        <v>2.2</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36782-2025</t>
        </is>
      </c>
      <c r="B2883" t="inlineStr">
        <is>
          <t>avverkningsanmälan</t>
        </is>
      </c>
      <c r="C2883" t="inlineStr">
        <is>
          <t>Föryngringsavverkning</t>
        </is>
      </c>
      <c r="D2883" s="1" t="n">
        <v>45873</v>
      </c>
      <c r="E2883" s="1" t="n">
        <v>46316</v>
      </c>
      <c r="F2883" t="inlineStr">
        <is>
          <t>KRONOBERGS LÄN</t>
        </is>
      </c>
      <c r="G2883" t="inlineStr">
        <is>
          <t>TINGSRYD</t>
        </is>
      </c>
      <c r="I2883" t="n">
        <v>0.6</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36785-2025</t>
        </is>
      </c>
      <c r="B2884" t="inlineStr">
        <is>
          <t>avverkningsanmälan</t>
        </is>
      </c>
      <c r="C2884" t="inlineStr">
        <is>
          <t>Föryngringsavverkning</t>
        </is>
      </c>
      <c r="D2884" s="1" t="n">
        <v>45873</v>
      </c>
      <c r="E2884" s="1" t="n">
        <v>46316</v>
      </c>
      <c r="F2884" t="inlineStr">
        <is>
          <t>KRONOBERGS LÄN</t>
        </is>
      </c>
      <c r="G2884" t="inlineStr">
        <is>
          <t>TINGSRYD</t>
        </is>
      </c>
      <c r="I2884" t="n">
        <v>2.7</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62717-2023</t>
        </is>
      </c>
      <c r="B2885" t="inlineStr">
        <is>
          <t>avverkningsanmälan</t>
        </is>
      </c>
      <c r="C2885" t="inlineStr">
        <is>
          <t>Föryngringsavverkning</t>
        </is>
      </c>
      <c r="D2885" s="1" t="n">
        <v>45271</v>
      </c>
      <c r="E2885" s="1" t="n">
        <v>46316</v>
      </c>
      <c r="F2885" t="inlineStr">
        <is>
          <t>KRONOBERGS LÄN</t>
        </is>
      </c>
      <c r="G2885" t="inlineStr">
        <is>
          <t>LJUNGBY</t>
        </is>
      </c>
      <c r="I2885" t="n">
        <v>3.3</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26848-2025</t>
        </is>
      </c>
      <c r="B2886" t="inlineStr">
        <is>
          <t>avverkningsanmälan</t>
        </is>
      </c>
      <c r="C2886" t="inlineStr">
        <is>
          <t>Föryngringsavverkning</t>
        </is>
      </c>
      <c r="D2886" s="1" t="n">
        <v>45810</v>
      </c>
      <c r="E2886" s="1" t="n">
        <v>46316</v>
      </c>
      <c r="F2886" t="inlineStr">
        <is>
          <t>KRONOBERGS LÄN</t>
        </is>
      </c>
      <c r="G2886" t="inlineStr">
        <is>
          <t>VÄXJÖ</t>
        </is>
      </c>
      <c r="H2886" t="inlineStr">
        <is>
          <t>Övriga Aktiebolag</t>
        </is>
      </c>
      <c r="I2886" t="n">
        <v>1.6</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26972-2025</t>
        </is>
      </c>
      <c r="B2887" t="inlineStr">
        <is>
          <t>avverkningsanmälan</t>
        </is>
      </c>
      <c r="C2887" t="inlineStr">
        <is>
          <t>Föryngringsavverkning</t>
        </is>
      </c>
      <c r="D2887" s="1" t="n">
        <v>45811</v>
      </c>
      <c r="E2887" s="1" t="n">
        <v>46316</v>
      </c>
      <c r="F2887" t="inlineStr">
        <is>
          <t>KRONOBERGS LÄN</t>
        </is>
      </c>
      <c r="G2887" t="inlineStr">
        <is>
          <t>LJUNGBY</t>
        </is>
      </c>
      <c r="I2887" t="n">
        <v>4</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46150-2022</t>
        </is>
      </c>
      <c r="B2888" t="inlineStr">
        <is>
          <t>avverkningsanmälan</t>
        </is>
      </c>
      <c r="C2888" t="inlineStr">
        <is>
          <t>Föryngringsavverkning</t>
        </is>
      </c>
      <c r="D2888" s="1" t="n">
        <v>44847</v>
      </c>
      <c r="E2888" s="1" t="n">
        <v>46316</v>
      </c>
      <c r="F2888" t="inlineStr">
        <is>
          <t>KRONOBERGS LÄN</t>
        </is>
      </c>
      <c r="G2888" t="inlineStr">
        <is>
          <t>LJUNGBY</t>
        </is>
      </c>
      <c r="I2888" t="n">
        <v>2.7</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16128-2023</t>
        </is>
      </c>
      <c r="B2889" t="inlineStr">
        <is>
          <t>avverkningsanmälan</t>
        </is>
      </c>
      <c r="C2889" t="inlineStr">
        <is>
          <t>Avverkning för annat ändamål</t>
        </is>
      </c>
      <c r="D2889" s="1" t="n">
        <v>45026</v>
      </c>
      <c r="E2889" s="1" t="n">
        <v>46316</v>
      </c>
      <c r="F2889" t="inlineStr">
        <is>
          <t>KRONOBERGS LÄN</t>
        </is>
      </c>
      <c r="G2889" t="inlineStr">
        <is>
          <t>LJUNGBY</t>
        </is>
      </c>
      <c r="I2889" t="n">
        <v>1.4</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1064-2024</t>
        </is>
      </c>
      <c r="B2890" t="inlineStr">
        <is>
          <t>avverkningsanmälan</t>
        </is>
      </c>
      <c r="C2890" t="inlineStr">
        <is>
          <t>Föryngringsavverkning</t>
        </is>
      </c>
      <c r="D2890" s="1" t="n">
        <v>45301</v>
      </c>
      <c r="E2890" s="1" t="n">
        <v>46316</v>
      </c>
      <c r="F2890" t="inlineStr">
        <is>
          <t>KRONOBERGS LÄN</t>
        </is>
      </c>
      <c r="G2890" t="inlineStr">
        <is>
          <t>LJUNGBY</t>
        </is>
      </c>
      <c r="I2890" t="n">
        <v>0.8</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61666-2024</t>
        </is>
      </c>
      <c r="B2891" t="inlineStr">
        <is>
          <t>avverkningsanmälan</t>
        </is>
      </c>
      <c r="C2891" t="inlineStr">
        <is>
          <t>Föryngringsavverkning</t>
        </is>
      </c>
      <c r="D2891" s="1" t="n">
        <v>45647</v>
      </c>
      <c r="E2891" s="1" t="n">
        <v>46316</v>
      </c>
      <c r="F2891" t="inlineStr">
        <is>
          <t>KRONOBERGS LÄN</t>
        </is>
      </c>
      <c r="G2891" t="inlineStr">
        <is>
          <t>LJUNGBY</t>
        </is>
      </c>
      <c r="I2891" t="n">
        <v>0.6</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36707-2025</t>
        </is>
      </c>
      <c r="B2892" t="inlineStr">
        <is>
          <t>avverkningsanmälan</t>
        </is>
      </c>
      <c r="C2892" t="inlineStr">
        <is>
          <t>Föryngringsavverkning</t>
        </is>
      </c>
      <c r="D2892" s="1" t="n">
        <v>45873</v>
      </c>
      <c r="E2892" s="1" t="n">
        <v>46316</v>
      </c>
      <c r="F2892" t="inlineStr">
        <is>
          <t>KRONOBERGS LÄN</t>
        </is>
      </c>
      <c r="G2892" t="inlineStr">
        <is>
          <t>TINGSRYD</t>
        </is>
      </c>
      <c r="I2892" t="n">
        <v>3.3</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54182-2022</t>
        </is>
      </c>
      <c r="B2893" t="inlineStr">
        <is>
          <t>avverkningsanmälan</t>
        </is>
      </c>
      <c r="C2893" t="inlineStr">
        <is>
          <t>Föryngringsavverkning</t>
        </is>
      </c>
      <c r="D2893" s="1" t="n">
        <v>44881</v>
      </c>
      <c r="E2893" s="1" t="n">
        <v>46316</v>
      </c>
      <c r="F2893" t="inlineStr">
        <is>
          <t>KRONOBERGS LÄN</t>
        </is>
      </c>
      <c r="G2893" t="inlineStr">
        <is>
          <t>LJUNGBY</t>
        </is>
      </c>
      <c r="I2893" t="n">
        <v>1.5</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49552-2023</t>
        </is>
      </c>
      <c r="B2894" t="inlineStr">
        <is>
          <t>avverkningsanmälan</t>
        </is>
      </c>
      <c r="C2894" t="inlineStr">
        <is>
          <t>Föryngringsavverkning</t>
        </is>
      </c>
      <c r="D2894" s="1" t="n">
        <v>45211</v>
      </c>
      <c r="E2894" s="1" t="n">
        <v>46316</v>
      </c>
      <c r="F2894" t="inlineStr">
        <is>
          <t>KRONOBERGS LÄN</t>
        </is>
      </c>
      <c r="G2894" t="inlineStr">
        <is>
          <t>LJUNGBY</t>
        </is>
      </c>
      <c r="I2894" t="n">
        <v>0.7</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57875-2023</t>
        </is>
      </c>
      <c r="B2895" t="inlineStr">
        <is>
          <t>avverkningsanmälan</t>
        </is>
      </c>
      <c r="C2895" t="inlineStr">
        <is>
          <t>Föryngringsavverkning</t>
        </is>
      </c>
      <c r="D2895" s="1" t="n">
        <v>45247</v>
      </c>
      <c r="E2895" s="1" t="n">
        <v>46316</v>
      </c>
      <c r="F2895" t="inlineStr">
        <is>
          <t>KRONOBERGS LÄN</t>
        </is>
      </c>
      <c r="G2895" t="inlineStr">
        <is>
          <t>LJUNGBY</t>
        </is>
      </c>
      <c r="I2895" t="n">
        <v>2.5</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35167-2023</t>
        </is>
      </c>
      <c r="B2896" t="inlineStr">
        <is>
          <t>avverkningsanmälan</t>
        </is>
      </c>
      <c r="C2896" t="inlineStr">
        <is>
          <t>Föryngringsavverkning</t>
        </is>
      </c>
      <c r="D2896" s="1" t="n">
        <v>45145</v>
      </c>
      <c r="E2896" s="1" t="n">
        <v>46316</v>
      </c>
      <c r="F2896" t="inlineStr">
        <is>
          <t>KRONOBERGS LÄN</t>
        </is>
      </c>
      <c r="G2896" t="inlineStr">
        <is>
          <t>LJUNGBY</t>
        </is>
      </c>
      <c r="I2896" t="n">
        <v>4.1</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14402-2024</t>
        </is>
      </c>
      <c r="B2897" t="inlineStr">
        <is>
          <t>avverkningsanmälan</t>
        </is>
      </c>
      <c r="C2897" t="inlineStr">
        <is>
          <t>Föryngringsavverkning</t>
        </is>
      </c>
      <c r="D2897" s="1" t="n">
        <v>45394</v>
      </c>
      <c r="E2897" s="1" t="n">
        <v>46316</v>
      </c>
      <c r="F2897" t="inlineStr">
        <is>
          <t>KRONOBERGS LÄN</t>
        </is>
      </c>
      <c r="G2897" t="inlineStr">
        <is>
          <t>LJUNGBY</t>
        </is>
      </c>
      <c r="I2897" t="n">
        <v>3.4</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22800-2022</t>
        </is>
      </c>
      <c r="B2898" t="inlineStr">
        <is>
          <t>avverkningsanmälan</t>
        </is>
      </c>
      <c r="C2898" t="inlineStr">
        <is>
          <t>Föryngringsavverkning</t>
        </is>
      </c>
      <c r="D2898" s="1" t="n">
        <v>44715</v>
      </c>
      <c r="E2898" s="1" t="n">
        <v>46316</v>
      </c>
      <c r="F2898" t="inlineStr">
        <is>
          <t>KRONOBERGS LÄN</t>
        </is>
      </c>
      <c r="G2898" t="inlineStr">
        <is>
          <t>LJUNGBY</t>
        </is>
      </c>
      <c r="I2898" t="n">
        <v>3.5</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40514-2023</t>
        </is>
      </c>
      <c r="B2899" t="inlineStr">
        <is>
          <t>avverkningsanmälan</t>
        </is>
      </c>
      <c r="C2899" t="inlineStr">
        <is>
          <t>Föryngringsavverkning</t>
        </is>
      </c>
      <c r="D2899" s="1" t="n">
        <v>45170</v>
      </c>
      <c r="E2899" s="1" t="n">
        <v>46316</v>
      </c>
      <c r="F2899" t="inlineStr">
        <is>
          <t>KRONOBERGS LÄN</t>
        </is>
      </c>
      <c r="G2899" t="inlineStr">
        <is>
          <t>MARKARYD</t>
        </is>
      </c>
      <c r="I2899" t="n">
        <v>0.6</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46072-2025</t>
        </is>
      </c>
      <c r="B2900" t="inlineStr">
        <is>
          <t>avverkningsanmälan</t>
        </is>
      </c>
      <c r="C2900" t="inlineStr">
        <is>
          <t>Föryngringsavverkning</t>
        </is>
      </c>
      <c r="D2900" s="1" t="n">
        <v>45924</v>
      </c>
      <c r="E2900" s="1" t="n">
        <v>46316</v>
      </c>
      <c r="F2900" t="inlineStr">
        <is>
          <t>KRONOBERGS LÄN</t>
        </is>
      </c>
      <c r="G2900" t="inlineStr">
        <is>
          <t>TINGSRYD</t>
        </is>
      </c>
      <c r="I2900" t="n">
        <v>3.8</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1061-2024</t>
        </is>
      </c>
      <c r="B2901" t="inlineStr">
        <is>
          <t>avverkningsanmälan</t>
        </is>
      </c>
      <c r="C2901" t="inlineStr">
        <is>
          <t>Föryngringsavverkning</t>
        </is>
      </c>
      <c r="D2901" s="1" t="n">
        <v>45301</v>
      </c>
      <c r="E2901" s="1" t="n">
        <v>46316</v>
      </c>
      <c r="F2901" t="inlineStr">
        <is>
          <t>KRONOBERGS LÄN</t>
        </is>
      </c>
      <c r="G2901" t="inlineStr">
        <is>
          <t>LJUNGBY</t>
        </is>
      </c>
      <c r="I2901" t="n">
        <v>1.7</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28991-2024</t>
        </is>
      </c>
      <c r="B2902" t="inlineStr">
        <is>
          <t>avverkningsanmälan</t>
        </is>
      </c>
      <c r="C2902" t="inlineStr">
        <is>
          <t>Föryngringsavverkning</t>
        </is>
      </c>
      <c r="D2902" s="1" t="n">
        <v>45481</v>
      </c>
      <c r="E2902" s="1" t="n">
        <v>46316</v>
      </c>
      <c r="F2902" t="inlineStr">
        <is>
          <t>KRONOBERGS LÄN</t>
        </is>
      </c>
      <c r="G2902" t="inlineStr">
        <is>
          <t>LJUNGBY</t>
        </is>
      </c>
      <c r="I2902" t="n">
        <v>1.1</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10702-2023</t>
        </is>
      </c>
      <c r="B2903" t="inlineStr">
        <is>
          <t>avverkningsanmälan</t>
        </is>
      </c>
      <c r="C2903" t="inlineStr">
        <is>
          <t>Föryngringsavverkning</t>
        </is>
      </c>
      <c r="D2903" s="1" t="n">
        <v>44984</v>
      </c>
      <c r="E2903" s="1" t="n">
        <v>46316</v>
      </c>
      <c r="F2903" t="inlineStr">
        <is>
          <t>KRONOBERGS LÄN</t>
        </is>
      </c>
      <c r="G2903" t="inlineStr">
        <is>
          <t>MARKARYD</t>
        </is>
      </c>
      <c r="I2903" t="n">
        <v>5.9</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65062-2021</t>
        </is>
      </c>
      <c r="B2904" t="inlineStr">
        <is>
          <t>avverkningsanmälan</t>
        </is>
      </c>
      <c r="C2904" t="inlineStr">
        <is>
          <t>Föryngringsavverkning</t>
        </is>
      </c>
      <c r="D2904" s="1" t="n">
        <v>44515</v>
      </c>
      <c r="E2904" s="1" t="n">
        <v>46316</v>
      </c>
      <c r="F2904" t="inlineStr">
        <is>
          <t>KRONOBERGS LÄN</t>
        </is>
      </c>
      <c r="G2904" t="inlineStr">
        <is>
          <t>LJUNGBY</t>
        </is>
      </c>
      <c r="I2904" t="n">
        <v>0.7</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65066-2021</t>
        </is>
      </c>
      <c r="B2905" t="inlineStr">
        <is>
          <t>avverkningsanmälan</t>
        </is>
      </c>
      <c r="C2905" t="inlineStr">
        <is>
          <t>Föryngringsavverkning</t>
        </is>
      </c>
      <c r="D2905" s="1" t="n">
        <v>44515</v>
      </c>
      <c r="E2905" s="1" t="n">
        <v>46316</v>
      </c>
      <c r="F2905" t="inlineStr">
        <is>
          <t>KRONOBERGS LÄN</t>
        </is>
      </c>
      <c r="G2905" t="inlineStr">
        <is>
          <t>LJUNGBY</t>
        </is>
      </c>
      <c r="I2905" t="n">
        <v>0.6</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30561-2025</t>
        </is>
      </c>
      <c r="B2906" t="inlineStr">
        <is>
          <t>avverkningsanmälan</t>
        </is>
      </c>
      <c r="C2906" t="inlineStr">
        <is>
          <t>Föryngringsavverkning</t>
        </is>
      </c>
      <c r="D2906" s="1" t="n">
        <v>45831</v>
      </c>
      <c r="E2906" s="1" t="n">
        <v>46316</v>
      </c>
      <c r="F2906" t="inlineStr">
        <is>
          <t>KRONOBERGS LÄN</t>
        </is>
      </c>
      <c r="G2906" t="inlineStr">
        <is>
          <t>LJUNGBY</t>
        </is>
      </c>
      <c r="I2906" t="n">
        <v>7.1</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13606-2023</t>
        </is>
      </c>
      <c r="B2907" t="inlineStr">
        <is>
          <t>avverkningsanmälan</t>
        </is>
      </c>
      <c r="C2907" t="inlineStr">
        <is>
          <t>Avverkning för annat ändamål</t>
        </is>
      </c>
      <c r="D2907" s="1" t="n">
        <v>45006</v>
      </c>
      <c r="E2907" s="1" t="n">
        <v>46316</v>
      </c>
      <c r="F2907" t="inlineStr">
        <is>
          <t>KRONOBERGS LÄN</t>
        </is>
      </c>
      <c r="G2907" t="inlineStr">
        <is>
          <t>ÄLMHULT</t>
        </is>
      </c>
      <c r="H2907" t="inlineStr">
        <is>
          <t>Kommuner</t>
        </is>
      </c>
      <c r="I2907" t="n">
        <v>4.6</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13132-2025</t>
        </is>
      </c>
      <c r="B2908" t="inlineStr">
        <is>
          <t>avverkningsanmälan</t>
        </is>
      </c>
      <c r="C2908" t="inlineStr">
        <is>
          <t>Föryngringsavverkning</t>
        </is>
      </c>
      <c r="D2908" s="1" t="n">
        <v>45734</v>
      </c>
      <c r="E2908" s="1" t="n">
        <v>46316</v>
      </c>
      <c r="F2908" t="inlineStr">
        <is>
          <t>KRONOBERGS LÄN</t>
        </is>
      </c>
      <c r="G2908" t="inlineStr">
        <is>
          <t>LJUNGBY</t>
        </is>
      </c>
      <c r="I2908" t="n">
        <v>0</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51058-2023</t>
        </is>
      </c>
      <c r="B2909" t="inlineStr">
        <is>
          <t>avverkningsanmälan</t>
        </is>
      </c>
      <c r="C2909" t="inlineStr">
        <is>
          <t>Föryngringsavverkning</t>
        </is>
      </c>
      <c r="D2909" s="1" t="n">
        <v>45211</v>
      </c>
      <c r="E2909" s="1" t="n">
        <v>46316</v>
      </c>
      <c r="F2909" t="inlineStr">
        <is>
          <t>KRONOBERGS LÄN</t>
        </is>
      </c>
      <c r="G2909" t="inlineStr">
        <is>
          <t>LJUNGBY</t>
        </is>
      </c>
      <c r="I2909" t="n">
        <v>3.5</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16711-2022</t>
        </is>
      </c>
      <c r="B2910" t="inlineStr">
        <is>
          <t>avverkningsanmälan</t>
        </is>
      </c>
      <c r="C2910" t="inlineStr">
        <is>
          <t>Föryngringsavverkning</t>
        </is>
      </c>
      <c r="D2910" s="1" t="n">
        <v>44673</v>
      </c>
      <c r="E2910" s="1" t="n">
        <v>46316</v>
      </c>
      <c r="F2910" t="inlineStr">
        <is>
          <t>KRONOBERGS LÄN</t>
        </is>
      </c>
      <c r="G2910" t="inlineStr">
        <is>
          <t>MARKARYD</t>
        </is>
      </c>
      <c r="I2910" t="n">
        <v>0.7</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16274-2025</t>
        </is>
      </c>
      <c r="B2911" t="inlineStr">
        <is>
          <t>avverkningsanmälan</t>
        </is>
      </c>
      <c r="C2911" t="inlineStr">
        <is>
          <t>Föryngringsavverkning</t>
        </is>
      </c>
      <c r="D2911" s="1" t="n">
        <v>45750</v>
      </c>
      <c r="E2911" s="1" t="n">
        <v>46316</v>
      </c>
      <c r="F2911" t="inlineStr">
        <is>
          <t>KRONOBERGS LÄN</t>
        </is>
      </c>
      <c r="G2911" t="inlineStr">
        <is>
          <t>LJUNGBY</t>
        </is>
      </c>
      <c r="I2911" t="n">
        <v>2.2</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16712-2022</t>
        </is>
      </c>
      <c r="B2912" t="inlineStr">
        <is>
          <t>avverkningsanmälan</t>
        </is>
      </c>
      <c r="C2912" t="inlineStr">
        <is>
          <t>Föryngringsavverkning</t>
        </is>
      </c>
      <c r="D2912" s="1" t="n">
        <v>44673</v>
      </c>
      <c r="E2912" s="1" t="n">
        <v>46316</v>
      </c>
      <c r="F2912" t="inlineStr">
        <is>
          <t>KRONOBERGS LÄN</t>
        </is>
      </c>
      <c r="G2912" t="inlineStr">
        <is>
          <t>MARKARYD</t>
        </is>
      </c>
      <c r="I2912" t="n">
        <v>3.8</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28972-2023</t>
        </is>
      </c>
      <c r="B2913" t="inlineStr">
        <is>
          <t>avverkningsanmälan</t>
        </is>
      </c>
      <c r="C2913" t="inlineStr">
        <is>
          <t>Föryngringsavverkning</t>
        </is>
      </c>
      <c r="D2913" s="1" t="n">
        <v>45104</v>
      </c>
      <c r="E2913" s="1" t="n">
        <v>46316</v>
      </c>
      <c r="F2913" t="inlineStr">
        <is>
          <t>KRONOBERGS LÄN</t>
        </is>
      </c>
      <c r="G2913" t="inlineStr">
        <is>
          <t>VÄXJÖ</t>
        </is>
      </c>
      <c r="I2913" t="n">
        <v>1.3</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7266-2025</t>
        </is>
      </c>
      <c r="B2914" t="inlineStr">
        <is>
          <t>avverkningsanmälan</t>
        </is>
      </c>
      <c r="C2914" t="inlineStr">
        <is>
          <t>Föryngringsavverkning</t>
        </is>
      </c>
      <c r="D2914" s="1" t="n">
        <v>45702</v>
      </c>
      <c r="E2914" s="1" t="n">
        <v>46316</v>
      </c>
      <c r="F2914" t="inlineStr">
        <is>
          <t>KRONOBERGS LÄN</t>
        </is>
      </c>
      <c r="G2914" t="inlineStr">
        <is>
          <t>VÄXJÖ</t>
        </is>
      </c>
      <c r="I2914" t="n">
        <v>1</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19233-2025</t>
        </is>
      </c>
      <c r="B2915" t="inlineStr">
        <is>
          <t>avverkningsanmälan</t>
        </is>
      </c>
      <c r="C2915" t="inlineStr">
        <is>
          <t>Föryngringsavverkning</t>
        </is>
      </c>
      <c r="D2915" s="1" t="n">
        <v>45769</v>
      </c>
      <c r="E2915" s="1" t="n">
        <v>46316</v>
      </c>
      <c r="F2915" t="inlineStr">
        <is>
          <t>KRONOBERGS LÄN</t>
        </is>
      </c>
      <c r="G2915" t="inlineStr">
        <is>
          <t>MARKARYD</t>
        </is>
      </c>
      <c r="I2915" t="n">
        <v>2.7</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36460-2025</t>
        </is>
      </c>
      <c r="B2916" t="inlineStr">
        <is>
          <t>avverkningsanmälan</t>
        </is>
      </c>
      <c r="C2916" t="inlineStr">
        <is>
          <t>Föryngringsavverkning</t>
        </is>
      </c>
      <c r="D2916" s="1" t="n">
        <v>45869</v>
      </c>
      <c r="E2916" s="1" t="n">
        <v>46316</v>
      </c>
      <c r="F2916" t="inlineStr">
        <is>
          <t>KRONOBERGS LÄN</t>
        </is>
      </c>
      <c r="G2916" t="inlineStr">
        <is>
          <t>LJUNGBY</t>
        </is>
      </c>
      <c r="H2916" t="inlineStr">
        <is>
          <t>Kyrkan</t>
        </is>
      </c>
      <c r="I2916" t="n">
        <v>0.8</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29408-2025</t>
        </is>
      </c>
      <c r="B2917" t="inlineStr">
        <is>
          <t>avverkningsanmälan</t>
        </is>
      </c>
      <c r="C2917" t="inlineStr">
        <is>
          <t>Föryngringsavverkning</t>
        </is>
      </c>
      <c r="D2917" s="1" t="n">
        <v>45824</v>
      </c>
      <c r="E2917" s="1" t="n">
        <v>46316</v>
      </c>
      <c r="F2917" t="inlineStr">
        <is>
          <t>KRONOBERGS LÄN</t>
        </is>
      </c>
      <c r="G2917" t="inlineStr">
        <is>
          <t>LJUNGBY</t>
        </is>
      </c>
      <c r="I2917" t="n">
        <v>0.5</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1062-2024</t>
        </is>
      </c>
      <c r="B2918" t="inlineStr">
        <is>
          <t>avverkningsanmälan</t>
        </is>
      </c>
      <c r="C2918" t="inlineStr">
        <is>
          <t>Föryngringsavverkning</t>
        </is>
      </c>
      <c r="D2918" s="1" t="n">
        <v>45301</v>
      </c>
      <c r="E2918" s="1" t="n">
        <v>46316</v>
      </c>
      <c r="F2918" t="inlineStr">
        <is>
          <t>KRONOBERGS LÄN</t>
        </is>
      </c>
      <c r="G2918" t="inlineStr">
        <is>
          <t>LJUNGBY</t>
        </is>
      </c>
      <c r="I2918" t="n">
        <v>0.7</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8678-2025</t>
        </is>
      </c>
      <c r="B2919" t="inlineStr">
        <is>
          <t>avverkningsanmälan</t>
        </is>
      </c>
      <c r="C2919" t="inlineStr">
        <is>
          <t>Föryngringsavverkning</t>
        </is>
      </c>
      <c r="D2919" s="1" t="n">
        <v>45711</v>
      </c>
      <c r="E2919" s="1" t="n">
        <v>46316</v>
      </c>
      <c r="F2919" t="inlineStr">
        <is>
          <t>KRONOBERGS LÄN</t>
        </is>
      </c>
      <c r="G2919" t="inlineStr">
        <is>
          <t>TINGSRYD</t>
        </is>
      </c>
      <c r="I2919" t="n">
        <v>1.3</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16259-2025</t>
        </is>
      </c>
      <c r="B2920" t="inlineStr">
        <is>
          <t>avverkningsanmälan</t>
        </is>
      </c>
      <c r="C2920" t="inlineStr">
        <is>
          <t>Föryngringsavverkning</t>
        </is>
      </c>
      <c r="D2920" s="1" t="n">
        <v>45749</v>
      </c>
      <c r="E2920" s="1" t="n">
        <v>46316</v>
      </c>
      <c r="F2920" t="inlineStr">
        <is>
          <t>KRONOBERGS LÄN</t>
        </is>
      </c>
      <c r="G2920" t="inlineStr">
        <is>
          <t>UPPVIDINGE</t>
        </is>
      </c>
      <c r="H2920" t="inlineStr">
        <is>
          <t>Kyrkan</t>
        </is>
      </c>
      <c r="I2920" t="n">
        <v>2.3</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3527-2022</t>
        </is>
      </c>
      <c r="B2921" t="inlineStr">
        <is>
          <t>avverkningsanmälan</t>
        </is>
      </c>
      <c r="C2921" t="inlineStr">
        <is>
          <t>Avverkning för annat ändamål</t>
        </is>
      </c>
      <c r="D2921" s="1" t="n">
        <v>44585</v>
      </c>
      <c r="E2921" s="1" t="n">
        <v>46316</v>
      </c>
      <c r="F2921" t="inlineStr">
        <is>
          <t>KRONOBERGS LÄN</t>
        </is>
      </c>
      <c r="G2921" t="inlineStr">
        <is>
          <t>LJUNGBY</t>
        </is>
      </c>
      <c r="I2921" t="n">
        <v>0.2</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49179-2022</t>
        </is>
      </c>
      <c r="B2922" t="inlineStr">
        <is>
          <t>avverkningsanmälan</t>
        </is>
      </c>
      <c r="C2922" t="inlineStr">
        <is>
          <t>Föryngringsavverkning</t>
        </is>
      </c>
      <c r="D2922" s="1" t="n">
        <v>44860</v>
      </c>
      <c r="E2922" s="1" t="n">
        <v>46316</v>
      </c>
      <c r="F2922" t="inlineStr">
        <is>
          <t>KRONOBERGS LÄN</t>
        </is>
      </c>
      <c r="G2922" t="inlineStr">
        <is>
          <t>LJUNGBY</t>
        </is>
      </c>
      <c r="I2922" t="n">
        <v>0.6</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13371-2024</t>
        </is>
      </c>
      <c r="B2923" t="inlineStr">
        <is>
          <t>avverkningsanmälan</t>
        </is>
      </c>
      <c r="C2923" t="inlineStr">
        <is>
          <t>Föryngringsavverkning</t>
        </is>
      </c>
      <c r="D2923" s="1" t="n">
        <v>45387</v>
      </c>
      <c r="E2923" s="1" t="n">
        <v>46316</v>
      </c>
      <c r="F2923" t="inlineStr">
        <is>
          <t>KRONOBERGS LÄN</t>
        </is>
      </c>
      <c r="G2923" t="inlineStr">
        <is>
          <t>VÄXJÖ</t>
        </is>
      </c>
      <c r="I2923" t="n">
        <v>1.1</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2648-2025</t>
        </is>
      </c>
      <c r="B2924" t="inlineStr">
        <is>
          <t>avverkningsanmälan</t>
        </is>
      </c>
      <c r="C2924" t="inlineStr">
        <is>
          <t>Föryngringsavverkning</t>
        </is>
      </c>
      <c r="D2924" s="1" t="n">
        <v>45676</v>
      </c>
      <c r="E2924" s="1" t="n">
        <v>46316</v>
      </c>
      <c r="F2924" t="inlineStr">
        <is>
          <t>KRONOBERGS LÄN</t>
        </is>
      </c>
      <c r="G2924" t="inlineStr">
        <is>
          <t>LJUNGBY</t>
        </is>
      </c>
      <c r="I2924" t="n">
        <v>4.2</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28039-2024</t>
        </is>
      </c>
      <c r="B2925" t="inlineStr">
        <is>
          <t>avverkningsanmälan</t>
        </is>
      </c>
      <c r="C2925" t="inlineStr">
        <is>
          <t>Föryngringsavverkning</t>
        </is>
      </c>
      <c r="D2925" s="1" t="n">
        <v>45476</v>
      </c>
      <c r="E2925" s="1" t="n">
        <v>46316</v>
      </c>
      <c r="F2925" t="inlineStr">
        <is>
          <t>KRONOBERGS LÄN</t>
        </is>
      </c>
      <c r="G2925" t="inlineStr">
        <is>
          <t>LJUNGBY</t>
        </is>
      </c>
      <c r="I2925" t="n">
        <v>1.5</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25636-2023</t>
        </is>
      </c>
      <c r="B2926" t="inlineStr">
        <is>
          <t>avverkningsanmälan</t>
        </is>
      </c>
      <c r="C2926" t="inlineStr">
        <is>
          <t>Föryngringsavverkning</t>
        </is>
      </c>
      <c r="D2926" s="1" t="n">
        <v>45089</v>
      </c>
      <c r="E2926" s="1" t="n">
        <v>46316</v>
      </c>
      <c r="F2926" t="inlineStr">
        <is>
          <t>KRONOBERGS LÄN</t>
        </is>
      </c>
      <c r="G2926" t="inlineStr">
        <is>
          <t>ÄLMHULT</t>
        </is>
      </c>
      <c r="I2926" t="n">
        <v>0.7</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52171-2024</t>
        </is>
      </c>
      <c r="B2927" t="inlineStr">
        <is>
          <t>avverkningsanmälan</t>
        </is>
      </c>
      <c r="C2927" t="inlineStr">
        <is>
          <t>Föryngringsavverkning</t>
        </is>
      </c>
      <c r="D2927" s="1" t="n">
        <v>45608</v>
      </c>
      <c r="E2927" s="1" t="n">
        <v>46316</v>
      </c>
      <c r="F2927" t="inlineStr">
        <is>
          <t>KRONOBERGS LÄN</t>
        </is>
      </c>
      <c r="G2927" t="inlineStr">
        <is>
          <t>ÄLMHULT</t>
        </is>
      </c>
      <c r="I2927" t="n">
        <v>1.8</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36866-2025</t>
        </is>
      </c>
      <c r="B2928" t="inlineStr">
        <is>
          <t>avverkningsanmälan</t>
        </is>
      </c>
      <c r="C2928" t="inlineStr">
        <is>
          <t>Föryngringsavverkning</t>
        </is>
      </c>
      <c r="D2928" s="1" t="n">
        <v>45874</v>
      </c>
      <c r="E2928" s="1" t="n">
        <v>46316</v>
      </c>
      <c r="F2928" t="inlineStr">
        <is>
          <t>KRONOBERGS LÄN</t>
        </is>
      </c>
      <c r="G2928" t="inlineStr">
        <is>
          <t>VÄXJÖ</t>
        </is>
      </c>
      <c r="I2928" t="n">
        <v>10.9</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40057-2024</t>
        </is>
      </c>
      <c r="B2929" t="inlineStr">
        <is>
          <t>avverkningsanmälan</t>
        </is>
      </c>
      <c r="C2929" t="inlineStr">
        <is>
          <t>Föryngringsavverkning</t>
        </is>
      </c>
      <c r="D2929" s="1" t="n">
        <v>45553</v>
      </c>
      <c r="E2929" s="1" t="n">
        <v>46316</v>
      </c>
      <c r="F2929" t="inlineStr">
        <is>
          <t>KRONOBERGS LÄN</t>
        </is>
      </c>
      <c r="G2929" t="inlineStr">
        <is>
          <t>TINGSRYD</t>
        </is>
      </c>
      <c r="I2929" t="n">
        <v>0.7</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37026-2025</t>
        </is>
      </c>
      <c r="B2930" t="inlineStr">
        <is>
          <t>avverkningsanmälan</t>
        </is>
      </c>
      <c r="C2930" t="inlineStr">
        <is>
          <t>Föryngringsavverkning</t>
        </is>
      </c>
      <c r="D2930" s="1" t="n">
        <v>45874</v>
      </c>
      <c r="E2930" s="1" t="n">
        <v>46316</v>
      </c>
      <c r="F2930" t="inlineStr">
        <is>
          <t>KRONOBERGS LÄN</t>
        </is>
      </c>
      <c r="G2930" t="inlineStr">
        <is>
          <t>MARKARYD</t>
        </is>
      </c>
      <c r="I2930" t="n">
        <v>2</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12405-2023</t>
        </is>
      </c>
      <c r="B2931" t="inlineStr">
        <is>
          <t>avverkningsanmälan</t>
        </is>
      </c>
      <c r="C2931" t="inlineStr">
        <is>
          <t>Föryngringsavverkning</t>
        </is>
      </c>
      <c r="D2931" s="1" t="n">
        <v>44999</v>
      </c>
      <c r="E2931" s="1" t="n">
        <v>46316</v>
      </c>
      <c r="F2931" t="inlineStr">
        <is>
          <t>KRONOBERGS LÄN</t>
        </is>
      </c>
      <c r="G2931" t="inlineStr">
        <is>
          <t>LJUNGBY</t>
        </is>
      </c>
      <c r="I2931" t="n">
        <v>6</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66863-2021</t>
        </is>
      </c>
      <c r="B2932" t="inlineStr">
        <is>
          <t>avverkningsanmälan</t>
        </is>
      </c>
      <c r="C2932" t="inlineStr">
        <is>
          <t>Föryngringsavverkning</t>
        </is>
      </c>
      <c r="D2932" s="1" t="n">
        <v>44522</v>
      </c>
      <c r="E2932" s="1" t="n">
        <v>46316</v>
      </c>
      <c r="F2932" t="inlineStr">
        <is>
          <t>KRONOBERGS LÄN</t>
        </is>
      </c>
      <c r="G2932" t="inlineStr">
        <is>
          <t>VÄXJÖ</t>
        </is>
      </c>
      <c r="I2932" t="n">
        <v>2.9</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37087-2025</t>
        </is>
      </c>
      <c r="B2933" t="inlineStr">
        <is>
          <t>avverkningsanmälan</t>
        </is>
      </c>
      <c r="C2933" t="inlineStr">
        <is>
          <t>Föryngringsavverkning</t>
        </is>
      </c>
      <c r="D2933" s="1" t="n">
        <v>45875</v>
      </c>
      <c r="E2933" s="1" t="n">
        <v>46316</v>
      </c>
      <c r="F2933" t="inlineStr">
        <is>
          <t>KRONOBERGS LÄN</t>
        </is>
      </c>
      <c r="G2933" t="inlineStr">
        <is>
          <t>LJUNGBY</t>
        </is>
      </c>
      <c r="I2933" t="n">
        <v>0.6</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25446-2025</t>
        </is>
      </c>
      <c r="B2934" t="inlineStr">
        <is>
          <t>avverkningsanmälan</t>
        </is>
      </c>
      <c r="C2934" t="inlineStr">
        <is>
          <t>Föryngringsavverkning</t>
        </is>
      </c>
      <c r="D2934" s="1" t="n">
        <v>45801</v>
      </c>
      <c r="E2934" s="1" t="n">
        <v>46316</v>
      </c>
      <c r="F2934" t="inlineStr">
        <is>
          <t>KRONOBERGS LÄN</t>
        </is>
      </c>
      <c r="G2934" t="inlineStr">
        <is>
          <t>UPPVIDINGE</t>
        </is>
      </c>
      <c r="I2934" t="n">
        <v>3.4</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6330-2024</t>
        </is>
      </c>
      <c r="B2935" t="inlineStr">
        <is>
          <t>avverkningsanmälan</t>
        </is>
      </c>
      <c r="C2935" t="inlineStr">
        <is>
          <t>Föryngringsavverkning</t>
        </is>
      </c>
      <c r="D2935" s="1" t="n">
        <v>45338</v>
      </c>
      <c r="E2935" s="1" t="n">
        <v>46316</v>
      </c>
      <c r="F2935" t="inlineStr">
        <is>
          <t>KRONOBERGS LÄN</t>
        </is>
      </c>
      <c r="G2935" t="inlineStr">
        <is>
          <t>UPPVIDINGE</t>
        </is>
      </c>
      <c r="H2935" t="inlineStr">
        <is>
          <t>Sveaskog</t>
        </is>
      </c>
      <c r="I2935" t="n">
        <v>0.5</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22153-2024</t>
        </is>
      </c>
      <c r="B2936" t="inlineStr">
        <is>
          <t>avverkningsanmälan</t>
        </is>
      </c>
      <c r="C2936" t="inlineStr">
        <is>
          <t>Föryngringsavverkning</t>
        </is>
      </c>
      <c r="D2936" s="1" t="n">
        <v>45445</v>
      </c>
      <c r="E2936" s="1" t="n">
        <v>46316</v>
      </c>
      <c r="F2936" t="inlineStr">
        <is>
          <t>KRONOBERGS LÄN</t>
        </is>
      </c>
      <c r="G2936" t="inlineStr">
        <is>
          <t>TINGSRYD</t>
        </is>
      </c>
      <c r="I2936" t="n">
        <v>2.1</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44269-2025</t>
        </is>
      </c>
      <c r="B2937" t="inlineStr">
        <is>
          <t>avverkningsanmälan</t>
        </is>
      </c>
      <c r="C2937" t="inlineStr">
        <is>
          <t>Föryngringsavverkning</t>
        </is>
      </c>
      <c r="D2937" s="1" t="n">
        <v>45916</v>
      </c>
      <c r="E2937" s="1" t="n">
        <v>46316</v>
      </c>
      <c r="F2937" t="inlineStr">
        <is>
          <t>KRONOBERGS LÄN</t>
        </is>
      </c>
      <c r="G2937" t="inlineStr">
        <is>
          <t>LJUNGBY</t>
        </is>
      </c>
      <c r="I2937" t="n">
        <v>1.4</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33839-2025</t>
        </is>
      </c>
      <c r="B2938" t="inlineStr">
        <is>
          <t>avverkningsanmälan</t>
        </is>
      </c>
      <c r="C2938" t="inlineStr">
        <is>
          <t>Föryngringsavverkning</t>
        </is>
      </c>
      <c r="D2938" s="1" t="n">
        <v>45842</v>
      </c>
      <c r="E2938" s="1" t="n">
        <v>46316</v>
      </c>
      <c r="F2938" t="inlineStr">
        <is>
          <t>KRONOBERGS LÄN</t>
        </is>
      </c>
      <c r="G2938" t="inlineStr">
        <is>
          <t>UPPVIDINGE</t>
        </is>
      </c>
      <c r="I2938" t="n">
        <v>2.9</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20824-2023</t>
        </is>
      </c>
      <c r="B2939" t="inlineStr">
        <is>
          <t>avverkningsanmälan</t>
        </is>
      </c>
      <c r="C2939" t="inlineStr">
        <is>
          <t>Föryngringsavverkning</t>
        </is>
      </c>
      <c r="D2939" s="1" t="n">
        <v>45058</v>
      </c>
      <c r="E2939" s="1" t="n">
        <v>46316</v>
      </c>
      <c r="F2939" t="inlineStr">
        <is>
          <t>KRONOBERGS LÄN</t>
        </is>
      </c>
      <c r="G2939" t="inlineStr">
        <is>
          <t>LESSEBO</t>
        </is>
      </c>
      <c r="I2939" t="n">
        <v>2.3</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37002-2025</t>
        </is>
      </c>
      <c r="B2940" t="inlineStr">
        <is>
          <t>avverkningsanmälan</t>
        </is>
      </c>
      <c r="C2940" t="inlineStr">
        <is>
          <t>Föryngringsavverkning</t>
        </is>
      </c>
      <c r="D2940" s="1" t="n">
        <v>45874</v>
      </c>
      <c r="E2940" s="1" t="n">
        <v>46316</v>
      </c>
      <c r="F2940" t="inlineStr">
        <is>
          <t>KRONOBERGS LÄN</t>
        </is>
      </c>
      <c r="G2940" t="inlineStr">
        <is>
          <t>TINGSRYD</t>
        </is>
      </c>
      <c r="I2940" t="n">
        <v>0</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12947-2025</t>
        </is>
      </c>
      <c r="B2941" t="inlineStr">
        <is>
          <t>avverkningsanmälan</t>
        </is>
      </c>
      <c r="C2941" t="inlineStr">
        <is>
          <t>Föryngringsavverkning</t>
        </is>
      </c>
      <c r="D2941" s="1" t="n">
        <v>45734</v>
      </c>
      <c r="E2941" s="1" t="n">
        <v>46316</v>
      </c>
      <c r="F2941" t="inlineStr">
        <is>
          <t>KRONOBERGS LÄN</t>
        </is>
      </c>
      <c r="G2941" t="inlineStr">
        <is>
          <t>ÄLMHULT</t>
        </is>
      </c>
      <c r="I2941" t="n">
        <v>0.5</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58781-2024</t>
        </is>
      </c>
      <c r="B2942" t="inlineStr">
        <is>
          <t>avverkningsanmälan</t>
        </is>
      </c>
      <c r="C2942" t="inlineStr">
        <is>
          <t>Föryngringsavverkning</t>
        </is>
      </c>
      <c r="D2942" s="1" t="n">
        <v>45635</v>
      </c>
      <c r="E2942" s="1" t="n">
        <v>46316</v>
      </c>
      <c r="F2942" t="inlineStr">
        <is>
          <t>KRONOBERGS LÄN</t>
        </is>
      </c>
      <c r="G2942" t="inlineStr">
        <is>
          <t>LJUNGBY</t>
        </is>
      </c>
      <c r="I2942" t="n">
        <v>0.8</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35894-2025</t>
        </is>
      </c>
      <c r="B2943" t="inlineStr">
        <is>
          <t>avverkningsanmälan</t>
        </is>
      </c>
      <c r="C2943" t="inlineStr">
        <is>
          <t>Föryngringsavverkning</t>
        </is>
      </c>
      <c r="D2943" s="1" t="n">
        <v>45862</v>
      </c>
      <c r="E2943" s="1" t="n">
        <v>46316</v>
      </c>
      <c r="F2943" t="inlineStr">
        <is>
          <t>KRONOBERGS LÄN</t>
        </is>
      </c>
      <c r="G2943" t="inlineStr">
        <is>
          <t>LESSEBO</t>
        </is>
      </c>
      <c r="H2943" t="inlineStr">
        <is>
          <t>Sveaskog</t>
        </is>
      </c>
      <c r="I2943" t="n">
        <v>1.8</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36909-2025</t>
        </is>
      </c>
      <c r="B2944" t="inlineStr">
        <is>
          <t>avverkningsanmälan</t>
        </is>
      </c>
      <c r="C2944" t="inlineStr">
        <is>
          <t>Föryngringsavverkning</t>
        </is>
      </c>
      <c r="D2944" s="1" t="n">
        <v>45874</v>
      </c>
      <c r="E2944" s="1" t="n">
        <v>46316</v>
      </c>
      <c r="F2944" t="inlineStr">
        <is>
          <t>KRONOBERGS LÄN</t>
        </is>
      </c>
      <c r="G2944" t="inlineStr">
        <is>
          <t>ALVESTA</t>
        </is>
      </c>
      <c r="I2944" t="n">
        <v>2.1</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12676-2025</t>
        </is>
      </c>
      <c r="B2945" t="inlineStr">
        <is>
          <t>avverkningsanmälan</t>
        </is>
      </c>
      <c r="C2945" t="inlineStr">
        <is>
          <t>Föryngringsavverkning</t>
        </is>
      </c>
      <c r="D2945" s="1" t="n">
        <v>45733</v>
      </c>
      <c r="E2945" s="1" t="n">
        <v>46316</v>
      </c>
      <c r="F2945" t="inlineStr">
        <is>
          <t>KRONOBERGS LÄN</t>
        </is>
      </c>
      <c r="G2945" t="inlineStr">
        <is>
          <t>LJUNGBY</t>
        </is>
      </c>
      <c r="I2945" t="n">
        <v>4.2</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33926-2025</t>
        </is>
      </c>
      <c r="B2946" t="inlineStr">
        <is>
          <t>avverkningsanmälan</t>
        </is>
      </c>
      <c r="C2946" t="inlineStr">
        <is>
          <t>Föryngringsavverkning</t>
        </is>
      </c>
      <c r="D2946" s="1" t="n">
        <v>45842</v>
      </c>
      <c r="E2946" s="1" t="n">
        <v>46316</v>
      </c>
      <c r="F2946" t="inlineStr">
        <is>
          <t>KRONOBERGS LÄN</t>
        </is>
      </c>
      <c r="G2946" t="inlineStr">
        <is>
          <t>LJUNGBY</t>
        </is>
      </c>
      <c r="I2946" t="n">
        <v>1.6</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93-2023</t>
        </is>
      </c>
      <c r="B2947" t="inlineStr">
        <is>
          <t>avverkningsanmälan</t>
        </is>
      </c>
      <c r="C2947" t="inlineStr">
        <is>
          <t>Föryngringsavverkning</t>
        </is>
      </c>
      <c r="D2947" s="1" t="n">
        <v>44928</v>
      </c>
      <c r="E2947" s="1" t="n">
        <v>46316</v>
      </c>
      <c r="F2947" t="inlineStr">
        <is>
          <t>KRONOBERGS LÄN</t>
        </is>
      </c>
      <c r="G2947" t="inlineStr">
        <is>
          <t>MARKARYD</t>
        </is>
      </c>
      <c r="I2947" t="n">
        <v>7.4</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20576-2026</t>
        </is>
      </c>
      <c r="B2948" t="inlineStr">
        <is>
          <t>avverkningsanmälan</t>
        </is>
      </c>
      <c r="C2948" t="inlineStr">
        <is>
          <t>Föryngringsavverkning</t>
        </is>
      </c>
      <c r="D2948" s="1" t="n">
        <v>46140</v>
      </c>
      <c r="E2948" s="1" t="n">
        <v>46316</v>
      </c>
      <c r="F2948" t="inlineStr">
        <is>
          <t>KRONOBERGS LÄN</t>
        </is>
      </c>
      <c r="G2948" t="inlineStr">
        <is>
          <t>LJUNGBY</t>
        </is>
      </c>
      <c r="I2948" t="n">
        <v>1.5</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36817-2024</t>
        </is>
      </c>
      <c r="B2949" t="inlineStr">
        <is>
          <t>avverkningsanmälan</t>
        </is>
      </c>
      <c r="C2949" t="inlineStr">
        <is>
          <t>Föryngringsavverkning</t>
        </is>
      </c>
      <c r="D2949" s="1" t="n">
        <v>45538</v>
      </c>
      <c r="E2949" s="1" t="n">
        <v>46316</v>
      </c>
      <c r="F2949" t="inlineStr">
        <is>
          <t>KRONOBERGS LÄN</t>
        </is>
      </c>
      <c r="G2949" t="inlineStr">
        <is>
          <t>ALVESTA</t>
        </is>
      </c>
      <c r="I2949" t="n">
        <v>0.7</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49562-2023</t>
        </is>
      </c>
      <c r="B2950" t="inlineStr">
        <is>
          <t>avverkningsanmälan</t>
        </is>
      </c>
      <c r="C2950" t="inlineStr">
        <is>
          <t>Föryngringsavverkning</t>
        </is>
      </c>
      <c r="D2950" s="1" t="n">
        <v>45211</v>
      </c>
      <c r="E2950" s="1" t="n">
        <v>46316</v>
      </c>
      <c r="F2950" t="inlineStr">
        <is>
          <t>KRONOBERGS LÄN</t>
        </is>
      </c>
      <c r="G2950" t="inlineStr">
        <is>
          <t>ÄLMHULT</t>
        </is>
      </c>
      <c r="I2950" t="n">
        <v>4.1</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37091-2025</t>
        </is>
      </c>
      <c r="B2951" t="inlineStr">
        <is>
          <t>avverkningsanmälan</t>
        </is>
      </c>
      <c r="C2951" t="inlineStr">
        <is>
          <t>Föryngringsavverkning</t>
        </is>
      </c>
      <c r="D2951" s="1" t="n">
        <v>45875</v>
      </c>
      <c r="E2951" s="1" t="n">
        <v>46316</v>
      </c>
      <c r="F2951" t="inlineStr">
        <is>
          <t>KRONOBERGS LÄN</t>
        </is>
      </c>
      <c r="G2951" t="inlineStr">
        <is>
          <t>ALVESTA</t>
        </is>
      </c>
      <c r="I2951" t="n">
        <v>4.7</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34095-2025</t>
        </is>
      </c>
      <c r="B2952" t="inlineStr">
        <is>
          <t>avverkningsanmälan</t>
        </is>
      </c>
      <c r="C2952" t="inlineStr">
        <is>
          <t>Föryngringsavverkning</t>
        </is>
      </c>
      <c r="D2952" s="1" t="n">
        <v>45845</v>
      </c>
      <c r="E2952" s="1" t="n">
        <v>46316</v>
      </c>
      <c r="F2952" t="inlineStr">
        <is>
          <t>KRONOBERGS LÄN</t>
        </is>
      </c>
      <c r="G2952" t="inlineStr">
        <is>
          <t>LJUNGBY</t>
        </is>
      </c>
      <c r="I2952" t="n">
        <v>1.3</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6835-2024</t>
        </is>
      </c>
      <c r="B2953" t="inlineStr">
        <is>
          <t>avverkningsanmälan</t>
        </is>
      </c>
      <c r="C2953" t="inlineStr">
        <is>
          <t>Föryngringsavverkning</t>
        </is>
      </c>
      <c r="D2953" s="1" t="n">
        <v>45342</v>
      </c>
      <c r="E2953" s="1" t="n">
        <v>46316</v>
      </c>
      <c r="F2953" t="inlineStr">
        <is>
          <t>KRONOBERGS LÄN</t>
        </is>
      </c>
      <c r="G2953" t="inlineStr">
        <is>
          <t>ALVESTA</t>
        </is>
      </c>
      <c r="I2953" t="n">
        <v>1.2</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6837-2024</t>
        </is>
      </c>
      <c r="B2954" t="inlineStr">
        <is>
          <t>avverkningsanmälan</t>
        </is>
      </c>
      <c r="C2954" t="inlineStr">
        <is>
          <t>Föryngringsavverkning</t>
        </is>
      </c>
      <c r="D2954" s="1" t="n">
        <v>45342</v>
      </c>
      <c r="E2954" s="1" t="n">
        <v>46316</v>
      </c>
      <c r="F2954" t="inlineStr">
        <is>
          <t>KRONOBERGS LÄN</t>
        </is>
      </c>
      <c r="G2954" t="inlineStr">
        <is>
          <t>TINGSRYD</t>
        </is>
      </c>
      <c r="I2954" t="n">
        <v>1.2</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37187-2025</t>
        </is>
      </c>
      <c r="B2955" t="inlineStr">
        <is>
          <t>avverkningsanmälan</t>
        </is>
      </c>
      <c r="C2955" t="inlineStr">
        <is>
          <t>Föryngringsavverkning</t>
        </is>
      </c>
      <c r="D2955" s="1" t="n">
        <v>45875</v>
      </c>
      <c r="E2955" s="1" t="n">
        <v>46316</v>
      </c>
      <c r="F2955" t="inlineStr">
        <is>
          <t>KRONOBERGS LÄN</t>
        </is>
      </c>
      <c r="G2955" t="inlineStr">
        <is>
          <t>LJUNGBY</t>
        </is>
      </c>
      <c r="I2955" t="n">
        <v>0.4</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39307-2023</t>
        </is>
      </c>
      <c r="B2956" t="inlineStr">
        <is>
          <t>avverkningsanmälan</t>
        </is>
      </c>
      <c r="C2956" t="inlineStr">
        <is>
          <t>Föryngringsavverkning</t>
        </is>
      </c>
      <c r="D2956" s="1" t="n">
        <v>45166</v>
      </c>
      <c r="E2956" s="1" t="n">
        <v>46316</v>
      </c>
      <c r="F2956" t="inlineStr">
        <is>
          <t>KRONOBERGS LÄN</t>
        </is>
      </c>
      <c r="G2956" t="inlineStr">
        <is>
          <t>ALVESTA</t>
        </is>
      </c>
      <c r="I2956" t="n">
        <v>1.7</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39100-2024</t>
        </is>
      </c>
      <c r="B2957" t="inlineStr">
        <is>
          <t>avverkningsanmälan</t>
        </is>
      </c>
      <c r="C2957" t="inlineStr">
        <is>
          <t>Föryngringsavverkning</t>
        </is>
      </c>
      <c r="D2957" s="1" t="n">
        <v>45548</v>
      </c>
      <c r="E2957" s="1" t="n">
        <v>46316</v>
      </c>
      <c r="F2957" t="inlineStr">
        <is>
          <t>KRONOBERGS LÄN</t>
        </is>
      </c>
      <c r="G2957" t="inlineStr">
        <is>
          <t>ALVESTA</t>
        </is>
      </c>
      <c r="I2957" t="n">
        <v>1.1</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5003-2024</t>
        </is>
      </c>
      <c r="B2958" t="inlineStr">
        <is>
          <t>avverkningsanmälan</t>
        </is>
      </c>
      <c r="C2958" t="inlineStr">
        <is>
          <t>Föryngringsavverkning</t>
        </is>
      </c>
      <c r="D2958" s="1" t="n">
        <v>45329</v>
      </c>
      <c r="E2958" s="1" t="n">
        <v>46316</v>
      </c>
      <c r="F2958" t="inlineStr">
        <is>
          <t>KRONOBERGS LÄN</t>
        </is>
      </c>
      <c r="G2958" t="inlineStr">
        <is>
          <t>VÄXJÖ</t>
        </is>
      </c>
      <c r="I2958" t="n">
        <v>1.6</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4459-2025</t>
        </is>
      </c>
      <c r="B2959" t="inlineStr">
        <is>
          <t>avverkningsanmälan</t>
        </is>
      </c>
      <c r="C2959" t="inlineStr">
        <is>
          <t>Föryngringsavverkning</t>
        </is>
      </c>
      <c r="D2959" s="1" t="n">
        <v>45686</v>
      </c>
      <c r="E2959" s="1" t="n">
        <v>46316</v>
      </c>
      <c r="F2959" t="inlineStr">
        <is>
          <t>KRONOBERGS LÄN</t>
        </is>
      </c>
      <c r="G2959" t="inlineStr">
        <is>
          <t>VÄXJÖ</t>
        </is>
      </c>
      <c r="I2959" t="n">
        <v>3.8</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10849-2023</t>
        </is>
      </c>
      <c r="B2960" t="inlineStr">
        <is>
          <t>avverkningsanmälan</t>
        </is>
      </c>
      <c r="C2960" t="inlineStr">
        <is>
          <t>Föryngringsavverkning</t>
        </is>
      </c>
      <c r="D2960" s="1" t="n">
        <v>44991</v>
      </c>
      <c r="E2960" s="1" t="n">
        <v>46316</v>
      </c>
      <c r="F2960" t="inlineStr">
        <is>
          <t>KRONOBERGS LÄN</t>
        </is>
      </c>
      <c r="G2960" t="inlineStr">
        <is>
          <t>LJUNGBY</t>
        </is>
      </c>
      <c r="I2960" t="n">
        <v>0.6</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10855-2023</t>
        </is>
      </c>
      <c r="B2961" t="inlineStr">
        <is>
          <t>avverkningsanmälan</t>
        </is>
      </c>
      <c r="C2961" t="inlineStr">
        <is>
          <t>Föryngringsavverkning</t>
        </is>
      </c>
      <c r="D2961" s="1" t="n">
        <v>44991</v>
      </c>
      <c r="E2961" s="1" t="n">
        <v>46316</v>
      </c>
      <c r="F2961" t="inlineStr">
        <is>
          <t>KRONOBERGS LÄN</t>
        </is>
      </c>
      <c r="G2961" t="inlineStr">
        <is>
          <t>TINGSRYD</t>
        </is>
      </c>
      <c r="I2961" t="n">
        <v>2.4</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42188-2024</t>
        </is>
      </c>
      <c r="B2962" t="inlineStr">
        <is>
          <t>avverkningsanmälan</t>
        </is>
      </c>
      <c r="C2962" t="inlineStr">
        <is>
          <t>Föryngringsavverkning</t>
        </is>
      </c>
      <c r="D2962" s="1" t="n">
        <v>45562</v>
      </c>
      <c r="E2962" s="1" t="n">
        <v>46316</v>
      </c>
      <c r="F2962" t="inlineStr">
        <is>
          <t>KRONOBERGS LÄN</t>
        </is>
      </c>
      <c r="G2962" t="inlineStr">
        <is>
          <t>MARKARYD</t>
        </is>
      </c>
      <c r="I2962" t="n">
        <v>2.1</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10925-2023</t>
        </is>
      </c>
      <c r="B2963" t="inlineStr">
        <is>
          <t>avverkningsanmälan</t>
        </is>
      </c>
      <c r="C2963" t="inlineStr">
        <is>
          <t>Föryngringsavverkning</t>
        </is>
      </c>
      <c r="D2963" s="1" t="n">
        <v>44991</v>
      </c>
      <c r="E2963" s="1" t="n">
        <v>46316</v>
      </c>
      <c r="F2963" t="inlineStr">
        <is>
          <t>KRONOBERGS LÄN</t>
        </is>
      </c>
      <c r="G2963" t="inlineStr">
        <is>
          <t>LJUNGBY</t>
        </is>
      </c>
      <c r="I2963" t="n">
        <v>7.3</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17204-2025</t>
        </is>
      </c>
      <c r="B2964" t="inlineStr">
        <is>
          <t>avverkningsanmälan</t>
        </is>
      </c>
      <c r="C2964" t="inlineStr">
        <is>
          <t>Föryngringsavverkning</t>
        </is>
      </c>
      <c r="D2964" s="1" t="n">
        <v>45756</v>
      </c>
      <c r="E2964" s="1" t="n">
        <v>46316</v>
      </c>
      <c r="F2964" t="inlineStr">
        <is>
          <t>KRONOBERGS LÄN</t>
        </is>
      </c>
      <c r="G2964" t="inlineStr">
        <is>
          <t>LESSEBO</t>
        </is>
      </c>
      <c r="I2964" t="n">
        <v>0.6</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31126-2023</t>
        </is>
      </c>
      <c r="B2965" t="inlineStr">
        <is>
          <t>avverkningsanmälan</t>
        </is>
      </c>
      <c r="C2965" t="inlineStr">
        <is>
          <t>Föryngringsavverkning</t>
        </is>
      </c>
      <c r="D2965" s="1" t="n">
        <v>45113</v>
      </c>
      <c r="E2965" s="1" t="n">
        <v>46316</v>
      </c>
      <c r="F2965" t="inlineStr">
        <is>
          <t>KRONOBERGS LÄN</t>
        </is>
      </c>
      <c r="G2965" t="inlineStr">
        <is>
          <t>VÄXJÖ</t>
        </is>
      </c>
      <c r="I2965" t="n">
        <v>1</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16357-2024</t>
        </is>
      </c>
      <c r="B2966" t="inlineStr">
        <is>
          <t>avverkningsanmälan</t>
        </is>
      </c>
      <c r="C2966" t="inlineStr">
        <is>
          <t>Föryngringsavverkning</t>
        </is>
      </c>
      <c r="D2966" s="1" t="n">
        <v>45407</v>
      </c>
      <c r="E2966" s="1" t="n">
        <v>46316</v>
      </c>
      <c r="F2966" t="inlineStr">
        <is>
          <t>KRONOBERGS LÄN</t>
        </is>
      </c>
      <c r="G2966" t="inlineStr">
        <is>
          <t>ALVESTA</t>
        </is>
      </c>
      <c r="I2966" t="n">
        <v>1.7</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19902-2025</t>
        </is>
      </c>
      <c r="B2967" t="inlineStr">
        <is>
          <t>avverkningsanmälan</t>
        </is>
      </c>
      <c r="C2967" t="inlineStr">
        <is>
          <t>Föryngringsavverkning</t>
        </is>
      </c>
      <c r="D2967" s="1" t="n">
        <v>45771</v>
      </c>
      <c r="E2967" s="1" t="n">
        <v>46316</v>
      </c>
      <c r="F2967" t="inlineStr">
        <is>
          <t>KRONOBERGS LÄN</t>
        </is>
      </c>
      <c r="G2967" t="inlineStr">
        <is>
          <t>MARKARYD</t>
        </is>
      </c>
      <c r="I2967" t="n">
        <v>0.6</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63838-2023</t>
        </is>
      </c>
      <c r="B2968" t="inlineStr">
        <is>
          <t>avverkningsanmälan</t>
        </is>
      </c>
      <c r="C2968" t="inlineStr">
        <is>
          <t>Föryngringsavverkning</t>
        </is>
      </c>
      <c r="D2968" s="1" t="n">
        <v>45278</v>
      </c>
      <c r="E2968" s="1" t="n">
        <v>46316</v>
      </c>
      <c r="F2968" t="inlineStr">
        <is>
          <t>KRONOBERGS LÄN</t>
        </is>
      </c>
      <c r="G2968" t="inlineStr">
        <is>
          <t>TINGSRYD</t>
        </is>
      </c>
      <c r="I2968" t="n">
        <v>6.7</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10441-2024</t>
        </is>
      </c>
      <c r="B2969" t="inlineStr">
        <is>
          <t>avverkningsanmälan</t>
        </is>
      </c>
      <c r="C2969" t="inlineStr">
        <is>
          <t>Föryngringsavverkning</t>
        </is>
      </c>
      <c r="D2969" s="1" t="n">
        <v>45366</v>
      </c>
      <c r="E2969" s="1" t="n">
        <v>46316</v>
      </c>
      <c r="F2969" t="inlineStr">
        <is>
          <t>KRONOBERGS LÄN</t>
        </is>
      </c>
      <c r="G2969" t="inlineStr">
        <is>
          <t>LJUNGBY</t>
        </is>
      </c>
      <c r="I2969" t="n">
        <v>5.6</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19453-2026</t>
        </is>
      </c>
      <c r="B2970" t="inlineStr">
        <is>
          <t>avverkningsanmälan</t>
        </is>
      </c>
      <c r="C2970" t="inlineStr">
        <is>
          <t>Föryngringsavverkning</t>
        </is>
      </c>
      <c r="D2970" s="1" t="n">
        <v>46133</v>
      </c>
      <c r="E2970" s="1" t="n">
        <v>46316</v>
      </c>
      <c r="F2970" t="inlineStr">
        <is>
          <t>KRONOBERGS LÄN</t>
        </is>
      </c>
      <c r="G2970" t="inlineStr">
        <is>
          <t>UPPVIDINGE</t>
        </is>
      </c>
      <c r="I2970" t="n">
        <v>0.7</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20617-2026</t>
        </is>
      </c>
      <c r="B2971" t="inlineStr">
        <is>
          <t>avverkningsanmälan</t>
        </is>
      </c>
      <c r="C2971" t="inlineStr">
        <is>
          <t>Föryngringsavverkning</t>
        </is>
      </c>
      <c r="D2971" s="1" t="n">
        <v>46140</v>
      </c>
      <c r="E2971" s="1" t="n">
        <v>46316</v>
      </c>
      <c r="F2971" t="inlineStr">
        <is>
          <t>KRONOBERGS LÄN</t>
        </is>
      </c>
      <c r="G2971" t="inlineStr">
        <is>
          <t>ÄLMHULT</t>
        </is>
      </c>
      <c r="H2971" t="inlineStr">
        <is>
          <t>Sveaskog</t>
        </is>
      </c>
      <c r="I2971" t="n">
        <v>3</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60539-2022</t>
        </is>
      </c>
      <c r="B2972" t="inlineStr">
        <is>
          <t>avverkningsanmälan</t>
        </is>
      </c>
      <c r="C2972" t="inlineStr">
        <is>
          <t>Föryngringsavverkning</t>
        </is>
      </c>
      <c r="D2972" s="1" t="n">
        <v>44904</v>
      </c>
      <c r="E2972" s="1" t="n">
        <v>46316</v>
      </c>
      <c r="F2972" t="inlineStr">
        <is>
          <t>KRONOBERGS LÄN</t>
        </is>
      </c>
      <c r="G2972" t="inlineStr">
        <is>
          <t>TINGSRYD</t>
        </is>
      </c>
      <c r="I2972" t="n">
        <v>2.2</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12290-2025</t>
        </is>
      </c>
      <c r="B2973" t="inlineStr">
        <is>
          <t>avverkningsanmälan</t>
        </is>
      </c>
      <c r="C2973" t="inlineStr">
        <is>
          <t>Föryngringsavverkning</t>
        </is>
      </c>
      <c r="D2973" s="1" t="n">
        <v>45729</v>
      </c>
      <c r="E2973" s="1" t="n">
        <v>46316</v>
      </c>
      <c r="F2973" t="inlineStr">
        <is>
          <t>KRONOBERGS LÄN</t>
        </is>
      </c>
      <c r="G2973" t="inlineStr">
        <is>
          <t>UPPVIDINGE</t>
        </is>
      </c>
      <c r="I2973" t="n">
        <v>5.6</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45579-2024</t>
        </is>
      </c>
      <c r="B2974" t="inlineStr">
        <is>
          <t>avverkningsanmälan</t>
        </is>
      </c>
      <c r="C2974" t="inlineStr">
        <is>
          <t>Föryngringsavverkning</t>
        </is>
      </c>
      <c r="D2974" s="1" t="n">
        <v>45579</v>
      </c>
      <c r="E2974" s="1" t="n">
        <v>46316</v>
      </c>
      <c r="F2974" t="inlineStr">
        <is>
          <t>KRONOBERGS LÄN</t>
        </is>
      </c>
      <c r="G2974" t="inlineStr">
        <is>
          <t>VÄXJÖ</t>
        </is>
      </c>
      <c r="I2974" t="n">
        <v>0.7</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22153-2023</t>
        </is>
      </c>
      <c r="B2975" t="inlineStr">
        <is>
          <t>avverkningsanmälan</t>
        </is>
      </c>
      <c r="C2975" t="inlineStr">
        <is>
          <t>Föryngringsavverkning</t>
        </is>
      </c>
      <c r="D2975" s="1" t="n">
        <v>45069</v>
      </c>
      <c r="E2975" s="1" t="n">
        <v>46316</v>
      </c>
      <c r="F2975" t="inlineStr">
        <is>
          <t>KRONOBERGS LÄN</t>
        </is>
      </c>
      <c r="G2975" t="inlineStr">
        <is>
          <t>LJUNGBY</t>
        </is>
      </c>
      <c r="I2975" t="n">
        <v>1.4</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21161-2023</t>
        </is>
      </c>
      <c r="B2976" t="inlineStr">
        <is>
          <t>avverkningsanmälan</t>
        </is>
      </c>
      <c r="C2976" t="inlineStr">
        <is>
          <t>Föryngringsavverkning</t>
        </is>
      </c>
      <c r="D2976" s="1" t="n">
        <v>45062</v>
      </c>
      <c r="E2976" s="1" t="n">
        <v>46316</v>
      </c>
      <c r="F2976" t="inlineStr">
        <is>
          <t>KRONOBERGS LÄN</t>
        </is>
      </c>
      <c r="G2976" t="inlineStr">
        <is>
          <t>TINGSRYD</t>
        </is>
      </c>
      <c r="I2976" t="n">
        <v>1.1</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6144-2023</t>
        </is>
      </c>
      <c r="B2977" t="inlineStr">
        <is>
          <t>avverkningsanmälan</t>
        </is>
      </c>
      <c r="C2977" t="inlineStr">
        <is>
          <t>Föryngringsavverkning</t>
        </is>
      </c>
      <c r="D2977" s="1" t="n">
        <v>44964</v>
      </c>
      <c r="E2977" s="1" t="n">
        <v>46316</v>
      </c>
      <c r="F2977" t="inlineStr">
        <is>
          <t>KRONOBERGS LÄN</t>
        </is>
      </c>
      <c r="G2977" t="inlineStr">
        <is>
          <t>TINGSRYD</t>
        </is>
      </c>
      <c r="I2977" t="n">
        <v>3</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37522-2025</t>
        </is>
      </c>
      <c r="B2978" t="inlineStr">
        <is>
          <t>avverkningsanmälan</t>
        </is>
      </c>
      <c r="C2978" t="inlineStr">
        <is>
          <t>Föryngringsavverkning</t>
        </is>
      </c>
      <c r="D2978" s="1" t="n">
        <v>45877</v>
      </c>
      <c r="E2978" s="1" t="n">
        <v>46316</v>
      </c>
      <c r="F2978" t="inlineStr">
        <is>
          <t>KRONOBERGS LÄN</t>
        </is>
      </c>
      <c r="G2978" t="inlineStr">
        <is>
          <t>TINGSRYD</t>
        </is>
      </c>
      <c r="I2978" t="n">
        <v>2.2</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15847-2025</t>
        </is>
      </c>
      <c r="B2979" t="inlineStr">
        <is>
          <t>avverkningsanmälan</t>
        </is>
      </c>
      <c r="C2979" t="inlineStr">
        <is>
          <t>Föryngringsavverkning</t>
        </is>
      </c>
      <c r="D2979" s="1" t="n">
        <v>45748</v>
      </c>
      <c r="E2979" s="1" t="n">
        <v>46316</v>
      </c>
      <c r="F2979" t="inlineStr">
        <is>
          <t>KRONOBERGS LÄN</t>
        </is>
      </c>
      <c r="G2979" t="inlineStr">
        <is>
          <t>LJUNGBY</t>
        </is>
      </c>
      <c r="I2979" t="n">
        <v>0.8</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20575-2026</t>
        </is>
      </c>
      <c r="B2980" t="inlineStr">
        <is>
          <t>avverkningsanmälan</t>
        </is>
      </c>
      <c r="C2980" t="inlineStr">
        <is>
          <t>Föryngringsavverkning</t>
        </is>
      </c>
      <c r="D2980" s="1" t="n">
        <v>46140</v>
      </c>
      <c r="E2980" s="1" t="n">
        <v>46316</v>
      </c>
      <c r="F2980" t="inlineStr">
        <is>
          <t>KRONOBERGS LÄN</t>
        </is>
      </c>
      <c r="G2980" t="inlineStr">
        <is>
          <t>LJUNGBY</t>
        </is>
      </c>
      <c r="I2980" t="n">
        <v>1.1</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33110-2025</t>
        </is>
      </c>
      <c r="B2981" t="inlineStr">
        <is>
          <t>avverkningsanmälan</t>
        </is>
      </c>
      <c r="C2981" t="inlineStr">
        <is>
          <t>Föryngringsavverkning</t>
        </is>
      </c>
      <c r="D2981" s="1" t="n">
        <v>45840</v>
      </c>
      <c r="E2981" s="1" t="n">
        <v>46316</v>
      </c>
      <c r="F2981" t="inlineStr">
        <is>
          <t>KRONOBERGS LÄN</t>
        </is>
      </c>
      <c r="G2981" t="inlineStr">
        <is>
          <t>ALVESTA</t>
        </is>
      </c>
      <c r="I2981" t="n">
        <v>1.9</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58694-2022</t>
        </is>
      </c>
      <c r="B2982" t="inlineStr">
        <is>
          <t>avverkningsanmälan</t>
        </is>
      </c>
      <c r="C2982" t="inlineStr">
        <is>
          <t>Föryngringsavverkning</t>
        </is>
      </c>
      <c r="D2982" s="1" t="n">
        <v>44902</v>
      </c>
      <c r="E2982" s="1" t="n">
        <v>46316</v>
      </c>
      <c r="F2982" t="inlineStr">
        <is>
          <t>KRONOBERGS LÄN</t>
        </is>
      </c>
      <c r="G2982" t="inlineStr">
        <is>
          <t>MARKARYD</t>
        </is>
      </c>
      <c r="I2982" t="n">
        <v>2.6</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27191-2022</t>
        </is>
      </c>
      <c r="B2983" t="inlineStr">
        <is>
          <t>avverkningsanmälan</t>
        </is>
      </c>
      <c r="C2983" t="inlineStr">
        <is>
          <t>Föryngringsavverkning</t>
        </is>
      </c>
      <c r="D2983" s="1" t="n">
        <v>44741</v>
      </c>
      <c r="E2983" s="1" t="n">
        <v>46316</v>
      </c>
      <c r="F2983" t="inlineStr">
        <is>
          <t>KRONOBERGS LÄN</t>
        </is>
      </c>
      <c r="G2983" t="inlineStr">
        <is>
          <t>LESSEBO</t>
        </is>
      </c>
      <c r="I2983" t="n">
        <v>4.5</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15386-2022</t>
        </is>
      </c>
      <c r="B2984" t="inlineStr">
        <is>
          <t>avverkningsanmälan</t>
        </is>
      </c>
      <c r="C2984" t="inlineStr">
        <is>
          <t>Föryngringsavverkning</t>
        </is>
      </c>
      <c r="D2984" s="1" t="n">
        <v>44659</v>
      </c>
      <c r="E2984" s="1" t="n">
        <v>46316</v>
      </c>
      <c r="F2984" t="inlineStr">
        <is>
          <t>KRONOBERGS LÄN</t>
        </is>
      </c>
      <c r="G2984" t="inlineStr">
        <is>
          <t>UPPVIDINGE</t>
        </is>
      </c>
      <c r="I2984" t="n">
        <v>1.5</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32490-2024</t>
        </is>
      </c>
      <c r="B2985" t="inlineStr">
        <is>
          <t>avverkningsanmälan</t>
        </is>
      </c>
      <c r="C2985" t="inlineStr">
        <is>
          <t>Föryngringsavverkning</t>
        </is>
      </c>
      <c r="D2985" s="1" t="n">
        <v>45513</v>
      </c>
      <c r="E2985" s="1" t="n">
        <v>46316</v>
      </c>
      <c r="F2985" t="inlineStr">
        <is>
          <t>KRONOBERGS LÄN</t>
        </is>
      </c>
      <c r="G2985" t="inlineStr">
        <is>
          <t>VÄXJÖ</t>
        </is>
      </c>
      <c r="I2985" t="n">
        <v>1.7</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20572-2026</t>
        </is>
      </c>
      <c r="B2986" t="inlineStr">
        <is>
          <t>avverkningsanmälan</t>
        </is>
      </c>
      <c r="C2986" t="inlineStr">
        <is>
          <t>Föryngringsavverkning</t>
        </is>
      </c>
      <c r="D2986" s="1" t="n">
        <v>46140</v>
      </c>
      <c r="E2986" s="1" t="n">
        <v>46316</v>
      </c>
      <c r="F2986" t="inlineStr">
        <is>
          <t>KRONOBERGS LÄN</t>
        </is>
      </c>
      <c r="G2986" t="inlineStr">
        <is>
          <t>LJUNGBY</t>
        </is>
      </c>
      <c r="I2986" t="n">
        <v>1.3</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14636-2023</t>
        </is>
      </c>
      <c r="B2987" t="inlineStr">
        <is>
          <t>avverkningsanmälan</t>
        </is>
      </c>
      <c r="C2987" t="inlineStr">
        <is>
          <t>Föryngringsavverkning</t>
        </is>
      </c>
      <c r="D2987" s="1" t="n">
        <v>45012</v>
      </c>
      <c r="E2987" s="1" t="n">
        <v>46316</v>
      </c>
      <c r="F2987" t="inlineStr">
        <is>
          <t>KRONOBERGS LÄN</t>
        </is>
      </c>
      <c r="G2987" t="inlineStr">
        <is>
          <t>TINGSRYD</t>
        </is>
      </c>
      <c r="I2987" t="n">
        <v>1.3</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14640-2023</t>
        </is>
      </c>
      <c r="B2988" t="inlineStr">
        <is>
          <t>avverkningsanmälan</t>
        </is>
      </c>
      <c r="C2988" t="inlineStr">
        <is>
          <t>Föryngringsavverkning</t>
        </is>
      </c>
      <c r="D2988" s="1" t="n">
        <v>45013</v>
      </c>
      <c r="E2988" s="1" t="n">
        <v>46316</v>
      </c>
      <c r="F2988" t="inlineStr">
        <is>
          <t>KRONOBERGS LÄN</t>
        </is>
      </c>
      <c r="G2988" t="inlineStr">
        <is>
          <t>UPPVIDINGE</t>
        </is>
      </c>
      <c r="I2988" t="n">
        <v>1.4</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49934-2023</t>
        </is>
      </c>
      <c r="B2989" t="inlineStr">
        <is>
          <t>avverkningsanmälan</t>
        </is>
      </c>
      <c r="C2989" t="inlineStr">
        <is>
          <t>Föryngringsavverkning</t>
        </is>
      </c>
      <c r="D2989" s="1" t="n">
        <v>45215</v>
      </c>
      <c r="E2989" s="1" t="n">
        <v>46316</v>
      </c>
      <c r="F2989" t="inlineStr">
        <is>
          <t>KRONOBERGS LÄN</t>
        </is>
      </c>
      <c r="G2989" t="inlineStr">
        <is>
          <t>ÄLMHULT</t>
        </is>
      </c>
      <c r="I2989" t="n">
        <v>1.8</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49961-2023</t>
        </is>
      </c>
      <c r="B2990" t="inlineStr">
        <is>
          <t>avverkningsanmälan</t>
        </is>
      </c>
      <c r="C2990" t="inlineStr">
        <is>
          <t>Föryngringsavverkning</t>
        </is>
      </c>
      <c r="D2990" s="1" t="n">
        <v>45215</v>
      </c>
      <c r="E2990" s="1" t="n">
        <v>46316</v>
      </c>
      <c r="F2990" t="inlineStr">
        <is>
          <t>KRONOBERGS LÄN</t>
        </is>
      </c>
      <c r="G2990" t="inlineStr">
        <is>
          <t>VÄXJÖ</t>
        </is>
      </c>
      <c r="I2990" t="n">
        <v>0.5</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45918-2023</t>
        </is>
      </c>
      <c r="B2991" t="inlineStr">
        <is>
          <t>avverkningsanmälan</t>
        </is>
      </c>
      <c r="C2991" t="inlineStr">
        <is>
          <t>Föryngringsavverkning</t>
        </is>
      </c>
      <c r="D2991" s="1" t="n">
        <v>45195</v>
      </c>
      <c r="E2991" s="1" t="n">
        <v>46316</v>
      </c>
      <c r="F2991" t="inlineStr">
        <is>
          <t>KRONOBERGS LÄN</t>
        </is>
      </c>
      <c r="G2991" t="inlineStr">
        <is>
          <t>LJUNGBY</t>
        </is>
      </c>
      <c r="I2991" t="n">
        <v>1.7</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69752-2021</t>
        </is>
      </c>
      <c r="B2992" t="inlineStr">
        <is>
          <t>avverkningsanmälan</t>
        </is>
      </c>
      <c r="C2992" t="inlineStr">
        <is>
          <t>Föryngringsavverkning</t>
        </is>
      </c>
      <c r="D2992" s="1" t="n">
        <v>44532</v>
      </c>
      <c r="E2992" s="1" t="n">
        <v>46316</v>
      </c>
      <c r="F2992" t="inlineStr">
        <is>
          <t>KRONOBERGS LÄN</t>
        </is>
      </c>
      <c r="G2992" t="inlineStr">
        <is>
          <t>VÄXJÖ</t>
        </is>
      </c>
      <c r="I2992" t="n">
        <v>2.7</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49121-2024</t>
        </is>
      </c>
      <c r="B2993" t="inlineStr">
        <is>
          <t>avverkningsanmälan</t>
        </is>
      </c>
      <c r="C2993" t="inlineStr">
        <is>
          <t>Föryngringsavverkning</t>
        </is>
      </c>
      <c r="D2993" s="1" t="n">
        <v>45594</v>
      </c>
      <c r="E2993" s="1" t="n">
        <v>46316</v>
      </c>
      <c r="F2993" t="inlineStr">
        <is>
          <t>KRONOBERGS LÄN</t>
        </is>
      </c>
      <c r="G2993" t="inlineStr">
        <is>
          <t>LESSEBO</t>
        </is>
      </c>
      <c r="I2993" t="n">
        <v>0.5</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11938-2024</t>
        </is>
      </c>
      <c r="B2994" t="inlineStr">
        <is>
          <t>avverkningsanmälan</t>
        </is>
      </c>
      <c r="C2994" t="inlineStr">
        <is>
          <t>Föryngringsavverkning</t>
        </is>
      </c>
      <c r="D2994" s="1" t="n">
        <v>45376</v>
      </c>
      <c r="E2994" s="1" t="n">
        <v>46316</v>
      </c>
      <c r="F2994" t="inlineStr">
        <is>
          <t>KRONOBERGS LÄN</t>
        </is>
      </c>
      <c r="G2994" t="inlineStr">
        <is>
          <t>ÄLMHULT</t>
        </is>
      </c>
      <c r="I2994" t="n">
        <v>5</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65581-2021</t>
        </is>
      </c>
      <c r="B2995" t="inlineStr">
        <is>
          <t>avverkningsanmälan</t>
        </is>
      </c>
      <c r="C2995" t="inlineStr">
        <is>
          <t>Föryngringsavverkning</t>
        </is>
      </c>
      <c r="D2995" s="1" t="n">
        <v>44516</v>
      </c>
      <c r="E2995" s="1" t="n">
        <v>46316</v>
      </c>
      <c r="F2995" t="inlineStr">
        <is>
          <t>KRONOBERGS LÄN</t>
        </is>
      </c>
      <c r="G2995" t="inlineStr">
        <is>
          <t>MARKARYD</t>
        </is>
      </c>
      <c r="I2995" t="n">
        <v>4</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38476-2023</t>
        </is>
      </c>
      <c r="B2996" t="inlineStr">
        <is>
          <t>avverkningsanmälan</t>
        </is>
      </c>
      <c r="C2996" t="inlineStr">
        <is>
          <t>Föryngringsavverkning</t>
        </is>
      </c>
      <c r="D2996" s="1" t="n">
        <v>45162</v>
      </c>
      <c r="E2996" s="1" t="n">
        <v>46316</v>
      </c>
      <c r="F2996" t="inlineStr">
        <is>
          <t>KRONOBERGS LÄN</t>
        </is>
      </c>
      <c r="G2996" t="inlineStr">
        <is>
          <t>TINGSRYD</t>
        </is>
      </c>
      <c r="I2996" t="n">
        <v>3.7</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33944-2023</t>
        </is>
      </c>
      <c r="B2997" t="inlineStr">
        <is>
          <t>avverkningsanmälan</t>
        </is>
      </c>
      <c r="C2997" t="inlineStr">
        <is>
          <t>Avverkning för annat ändamål</t>
        </is>
      </c>
      <c r="D2997" s="1" t="n">
        <v>45134</v>
      </c>
      <c r="E2997" s="1" t="n">
        <v>46316</v>
      </c>
      <c r="F2997" t="inlineStr">
        <is>
          <t>KRONOBERGS LÄN</t>
        </is>
      </c>
      <c r="G2997" t="inlineStr">
        <is>
          <t>ÄLMHULT</t>
        </is>
      </c>
      <c r="I2997" t="n">
        <v>0.2</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17136-2022</t>
        </is>
      </c>
      <c r="B2998" t="inlineStr">
        <is>
          <t>avverkningsanmälan</t>
        </is>
      </c>
      <c r="C2998" t="inlineStr">
        <is>
          <t>Föryngringsavverkning</t>
        </is>
      </c>
      <c r="D2998" s="1" t="n">
        <v>44677</v>
      </c>
      <c r="E2998" s="1" t="n">
        <v>46316</v>
      </c>
      <c r="F2998" t="inlineStr">
        <is>
          <t>KRONOBERGS LÄN</t>
        </is>
      </c>
      <c r="G2998" t="inlineStr">
        <is>
          <t>MARKARYD</t>
        </is>
      </c>
      <c r="I2998" t="n">
        <v>1.1</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2096-2022</t>
        </is>
      </c>
      <c r="B2999" t="inlineStr">
        <is>
          <t>avverkningsanmälan</t>
        </is>
      </c>
      <c r="C2999" t="inlineStr">
        <is>
          <t>Föryngringsavverkning</t>
        </is>
      </c>
      <c r="D2999" s="1" t="n">
        <v>44577</v>
      </c>
      <c r="E2999" s="1" t="n">
        <v>46316</v>
      </c>
      <c r="F2999" t="inlineStr">
        <is>
          <t>KRONOBERGS LÄN</t>
        </is>
      </c>
      <c r="G2999" t="inlineStr">
        <is>
          <t>VÄXJÖ</t>
        </is>
      </c>
      <c r="I2999" t="n">
        <v>2.5</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17934-2024</t>
        </is>
      </c>
      <c r="B3000" t="inlineStr">
        <is>
          <t>avverkningsanmälan</t>
        </is>
      </c>
      <c r="C3000" t="inlineStr">
        <is>
          <t>Föryngringsavverkning</t>
        </is>
      </c>
      <c r="D3000" s="1" t="n">
        <v>45419</v>
      </c>
      <c r="E3000" s="1" t="n">
        <v>46316</v>
      </c>
      <c r="F3000" t="inlineStr">
        <is>
          <t>KRONOBERGS LÄN</t>
        </is>
      </c>
      <c r="G3000" t="inlineStr">
        <is>
          <t>VÄXJÖ</t>
        </is>
      </c>
      <c r="I3000" t="n">
        <v>6.1</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9395-2024</t>
        </is>
      </c>
      <c r="B3001" t="inlineStr">
        <is>
          <t>avverkningsanmälan</t>
        </is>
      </c>
      <c r="C3001" t="inlineStr">
        <is>
          <t>Föryngringsavverkning</t>
        </is>
      </c>
      <c r="D3001" s="1" t="n">
        <v>45359</v>
      </c>
      <c r="E3001" s="1" t="n">
        <v>46316</v>
      </c>
      <c r="F3001" t="inlineStr">
        <is>
          <t>KRONOBERGS LÄN</t>
        </is>
      </c>
      <c r="G3001" t="inlineStr">
        <is>
          <t>ALVESTA</t>
        </is>
      </c>
      <c r="I3001" t="n">
        <v>0.9</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16992-2024</t>
        </is>
      </c>
      <c r="B3002" t="inlineStr">
        <is>
          <t>avverkningsanmälan</t>
        </is>
      </c>
      <c r="C3002" t="inlineStr">
        <is>
          <t>Föryngringsavverkning</t>
        </is>
      </c>
      <c r="D3002" s="1" t="n">
        <v>45412</v>
      </c>
      <c r="E3002" s="1" t="n">
        <v>46316</v>
      </c>
      <c r="F3002" t="inlineStr">
        <is>
          <t>KRONOBERGS LÄN</t>
        </is>
      </c>
      <c r="G3002" t="inlineStr">
        <is>
          <t>TINGSRYD</t>
        </is>
      </c>
      <c r="I3002" t="n">
        <v>1.7</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17694-2025</t>
        </is>
      </c>
      <c r="B3003" t="inlineStr">
        <is>
          <t>avverkningsanmälan</t>
        </is>
      </c>
      <c r="C3003" t="inlineStr">
        <is>
          <t>Föryngringsavverkning</t>
        </is>
      </c>
      <c r="D3003" s="1" t="n">
        <v>45758</v>
      </c>
      <c r="E3003" s="1" t="n">
        <v>46316</v>
      </c>
      <c r="F3003" t="inlineStr">
        <is>
          <t>KRONOBERGS LÄN</t>
        </is>
      </c>
      <c r="G3003" t="inlineStr">
        <is>
          <t>TINGSRYD</t>
        </is>
      </c>
      <c r="H3003" t="inlineStr">
        <is>
          <t>Övriga Aktiebolag</t>
        </is>
      </c>
      <c r="I3003" t="n">
        <v>1.9</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60069-2022</t>
        </is>
      </c>
      <c r="B3004" t="inlineStr">
        <is>
          <t>avverkningsanmälan</t>
        </is>
      </c>
      <c r="C3004" t="inlineStr">
        <is>
          <t>Föryngringsavverkning</t>
        </is>
      </c>
      <c r="D3004" s="1" t="n">
        <v>44909</v>
      </c>
      <c r="E3004" s="1" t="n">
        <v>46316</v>
      </c>
      <c r="F3004" t="inlineStr">
        <is>
          <t>KRONOBERGS LÄN</t>
        </is>
      </c>
      <c r="G3004" t="inlineStr">
        <is>
          <t>TINGSRYD</t>
        </is>
      </c>
      <c r="I3004" t="n">
        <v>0.6</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41-2023</t>
        </is>
      </c>
      <c r="B3005" t="inlineStr">
        <is>
          <t>avverkningsanmälan</t>
        </is>
      </c>
      <c r="C3005" t="inlineStr">
        <is>
          <t>Föryngringsavverkning</t>
        </is>
      </c>
      <c r="D3005" s="1" t="n">
        <v>44928</v>
      </c>
      <c r="E3005" s="1" t="n">
        <v>46316</v>
      </c>
      <c r="F3005" t="inlineStr">
        <is>
          <t>KRONOBERGS LÄN</t>
        </is>
      </c>
      <c r="G3005" t="inlineStr">
        <is>
          <t>TINGSRYD</t>
        </is>
      </c>
      <c r="I3005" t="n">
        <v>2.3</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7504-2023</t>
        </is>
      </c>
      <c r="B3006" t="inlineStr">
        <is>
          <t>avverkningsanmälan</t>
        </is>
      </c>
      <c r="C3006" t="inlineStr">
        <is>
          <t>Föryngringsavverkning</t>
        </is>
      </c>
      <c r="D3006" s="1" t="n">
        <v>44971</v>
      </c>
      <c r="E3006" s="1" t="n">
        <v>46316</v>
      </c>
      <c r="F3006" t="inlineStr">
        <is>
          <t>KRONOBERGS LÄN</t>
        </is>
      </c>
      <c r="G3006" t="inlineStr">
        <is>
          <t>UPPVIDINGE</t>
        </is>
      </c>
      <c r="I3006" t="n">
        <v>1.6</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11784-2022</t>
        </is>
      </c>
      <c r="B3007" t="inlineStr">
        <is>
          <t>avverkningsanmälan</t>
        </is>
      </c>
      <c r="C3007" t="inlineStr">
        <is>
          <t>Föryngringsavverkning</t>
        </is>
      </c>
      <c r="D3007" s="1" t="n">
        <v>44634</v>
      </c>
      <c r="E3007" s="1" t="n">
        <v>46316</v>
      </c>
      <c r="F3007" t="inlineStr">
        <is>
          <t>KRONOBERGS LÄN</t>
        </is>
      </c>
      <c r="G3007" t="inlineStr">
        <is>
          <t>LJUNGBY</t>
        </is>
      </c>
      <c r="I3007" t="n">
        <v>1.7</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53844-2023</t>
        </is>
      </c>
      <c r="B3008" t="inlineStr">
        <is>
          <t>avverkningsanmälan</t>
        </is>
      </c>
      <c r="C3008" t="inlineStr">
        <is>
          <t>Föryngringsavverkning</t>
        </is>
      </c>
      <c r="D3008" s="1" t="n">
        <v>45224</v>
      </c>
      <c r="E3008" s="1" t="n">
        <v>46316</v>
      </c>
      <c r="F3008" t="inlineStr">
        <is>
          <t>KRONOBERGS LÄN</t>
        </is>
      </c>
      <c r="G3008" t="inlineStr">
        <is>
          <t>VÄXJÖ</t>
        </is>
      </c>
      <c r="H3008" t="inlineStr">
        <is>
          <t>Kyrkan</t>
        </is>
      </c>
      <c r="I3008" t="n">
        <v>3.3</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7500-2023</t>
        </is>
      </c>
      <c r="B3009" t="inlineStr">
        <is>
          <t>avverkningsanmälan</t>
        </is>
      </c>
      <c r="C3009" t="inlineStr">
        <is>
          <t>Föryngringsavverkning</t>
        </is>
      </c>
      <c r="D3009" s="1" t="n">
        <v>44971</v>
      </c>
      <c r="E3009" s="1" t="n">
        <v>46316</v>
      </c>
      <c r="F3009" t="inlineStr">
        <is>
          <t>KRONOBERGS LÄN</t>
        </is>
      </c>
      <c r="G3009" t="inlineStr">
        <is>
          <t>UPPVIDINGE</t>
        </is>
      </c>
      <c r="I3009" t="n">
        <v>1.2</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49352-2023</t>
        </is>
      </c>
      <c r="B3010" t="inlineStr">
        <is>
          <t>avverkningsanmälan</t>
        </is>
      </c>
      <c r="C3010" t="inlineStr">
        <is>
          <t>Föryngringsavverkning</t>
        </is>
      </c>
      <c r="D3010" s="1" t="n">
        <v>45211</v>
      </c>
      <c r="E3010" s="1" t="n">
        <v>46316</v>
      </c>
      <c r="F3010" t="inlineStr">
        <is>
          <t>KRONOBERGS LÄN</t>
        </is>
      </c>
      <c r="G3010" t="inlineStr">
        <is>
          <t>TINGSRYD</t>
        </is>
      </c>
      <c r="I3010" t="n">
        <v>0.9</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69941-2021</t>
        </is>
      </c>
      <c r="B3011" t="inlineStr">
        <is>
          <t>avverkningsanmälan</t>
        </is>
      </c>
      <c r="C3011" t="inlineStr">
        <is>
          <t>Föryngringsavverkning</t>
        </is>
      </c>
      <c r="D3011" s="1" t="n">
        <v>44533</v>
      </c>
      <c r="E3011" s="1" t="n">
        <v>46316</v>
      </c>
      <c r="F3011" t="inlineStr">
        <is>
          <t>KRONOBERGS LÄN</t>
        </is>
      </c>
      <c r="G3011" t="inlineStr">
        <is>
          <t>UPPVIDINGE</t>
        </is>
      </c>
      <c r="I3011" t="n">
        <v>2.7</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12618-2022</t>
        </is>
      </c>
      <c r="B3012" t="inlineStr">
        <is>
          <t>avverkningsanmälan</t>
        </is>
      </c>
      <c r="C3012" t="inlineStr">
        <is>
          <t>Avverkning för annat ändamål</t>
        </is>
      </c>
      <c r="D3012" s="1" t="n">
        <v>44641</v>
      </c>
      <c r="E3012" s="1" t="n">
        <v>46316</v>
      </c>
      <c r="F3012" t="inlineStr">
        <is>
          <t>KRONOBERGS LÄN</t>
        </is>
      </c>
      <c r="G3012" t="inlineStr">
        <is>
          <t>VÄXJÖ</t>
        </is>
      </c>
      <c r="I3012" t="n">
        <v>0.5</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29133-2023</t>
        </is>
      </c>
      <c r="B3013" t="inlineStr">
        <is>
          <t>avverkningsanmälan</t>
        </is>
      </c>
      <c r="C3013" t="inlineStr">
        <is>
          <t>Föryngringsavverkning</t>
        </is>
      </c>
      <c r="D3013" s="1" t="n">
        <v>45105</v>
      </c>
      <c r="E3013" s="1" t="n">
        <v>46316</v>
      </c>
      <c r="F3013" t="inlineStr">
        <is>
          <t>KRONOBERGS LÄN</t>
        </is>
      </c>
      <c r="G3013" t="inlineStr">
        <is>
          <t>ALVESTA</t>
        </is>
      </c>
      <c r="I3013" t="n">
        <v>4.2</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10927-2023</t>
        </is>
      </c>
      <c r="B3014" t="inlineStr">
        <is>
          <t>avverkningsanmälan</t>
        </is>
      </c>
      <c r="C3014" t="inlineStr">
        <is>
          <t>Föryngringsavverkning</t>
        </is>
      </c>
      <c r="D3014" s="1" t="n">
        <v>44991</v>
      </c>
      <c r="E3014" s="1" t="n">
        <v>46316</v>
      </c>
      <c r="F3014" t="inlineStr">
        <is>
          <t>KRONOBERGS LÄN</t>
        </is>
      </c>
      <c r="G3014" t="inlineStr">
        <is>
          <t>LJUNGBY</t>
        </is>
      </c>
      <c r="I3014" t="n">
        <v>2.8</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10929-2023</t>
        </is>
      </c>
      <c r="B3015" t="inlineStr">
        <is>
          <t>avverkningsanmälan</t>
        </is>
      </c>
      <c r="C3015" t="inlineStr">
        <is>
          <t>Föryngringsavverkning</t>
        </is>
      </c>
      <c r="D3015" s="1" t="n">
        <v>44991</v>
      </c>
      <c r="E3015" s="1" t="n">
        <v>46316</v>
      </c>
      <c r="F3015" t="inlineStr">
        <is>
          <t>KRONOBERGS LÄN</t>
        </is>
      </c>
      <c r="G3015" t="inlineStr">
        <is>
          <t>LJUNGBY</t>
        </is>
      </c>
      <c r="I3015" t="n">
        <v>2.3</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6322-2023</t>
        </is>
      </c>
      <c r="B3016" t="inlineStr">
        <is>
          <t>avverkningsanmälan</t>
        </is>
      </c>
      <c r="C3016" t="inlineStr">
        <is>
          <t>Föryngringsavverkning</t>
        </is>
      </c>
      <c r="D3016" s="1" t="n">
        <v>44965</v>
      </c>
      <c r="E3016" s="1" t="n">
        <v>46316</v>
      </c>
      <c r="F3016" t="inlineStr">
        <is>
          <t>KRONOBERGS LÄN</t>
        </is>
      </c>
      <c r="G3016" t="inlineStr">
        <is>
          <t>TINGSRYD</t>
        </is>
      </c>
      <c r="H3016" t="inlineStr">
        <is>
          <t>Kommuner</t>
        </is>
      </c>
      <c r="I3016" t="n">
        <v>2.6</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37603-2025</t>
        </is>
      </c>
      <c r="B3017" t="inlineStr">
        <is>
          <t>avverkningsanmälan</t>
        </is>
      </c>
      <c r="C3017" t="inlineStr">
        <is>
          <t>Föryngringsavverkning</t>
        </is>
      </c>
      <c r="D3017" s="1" t="n">
        <v>45880</v>
      </c>
      <c r="E3017" s="1" t="n">
        <v>46316</v>
      </c>
      <c r="F3017" t="inlineStr">
        <is>
          <t>KRONOBERGS LÄN</t>
        </is>
      </c>
      <c r="G3017" t="inlineStr">
        <is>
          <t>MARKARYD</t>
        </is>
      </c>
      <c r="I3017" t="n">
        <v>0.8</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22241-2023</t>
        </is>
      </c>
      <c r="B3018" t="inlineStr">
        <is>
          <t>avverkningsanmälan</t>
        </is>
      </c>
      <c r="C3018" t="inlineStr">
        <is>
          <t>Föryngringsavverkning</t>
        </is>
      </c>
      <c r="D3018" s="1" t="n">
        <v>45070</v>
      </c>
      <c r="E3018" s="1" t="n">
        <v>46316</v>
      </c>
      <c r="F3018" t="inlineStr">
        <is>
          <t>KRONOBERGS LÄN</t>
        </is>
      </c>
      <c r="G3018" t="inlineStr">
        <is>
          <t>VÄXJÖ</t>
        </is>
      </c>
      <c r="I3018" t="n">
        <v>1.4</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37415-2025</t>
        </is>
      </c>
      <c r="B3019" t="inlineStr">
        <is>
          <t>avverkningsanmälan</t>
        </is>
      </c>
      <c r="C3019" t="inlineStr">
        <is>
          <t>Föryngringsavverkning</t>
        </is>
      </c>
      <c r="D3019" s="1" t="n">
        <v>45877</v>
      </c>
      <c r="E3019" s="1" t="n">
        <v>46316</v>
      </c>
      <c r="F3019" t="inlineStr">
        <is>
          <t>KRONOBERGS LÄN</t>
        </is>
      </c>
      <c r="G3019" t="inlineStr">
        <is>
          <t>VÄXJÖ</t>
        </is>
      </c>
      <c r="I3019" t="n">
        <v>1.4</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23784-2024</t>
        </is>
      </c>
      <c r="B3020" t="inlineStr">
        <is>
          <t>avverkningsanmälan</t>
        </is>
      </c>
      <c r="C3020" t="inlineStr">
        <is>
          <t>Föryngringsavverkning</t>
        </is>
      </c>
      <c r="D3020" s="1" t="n">
        <v>45455</v>
      </c>
      <c r="E3020" s="1" t="n">
        <v>46316</v>
      </c>
      <c r="F3020" t="inlineStr">
        <is>
          <t>KRONOBERGS LÄN</t>
        </is>
      </c>
      <c r="G3020" t="inlineStr">
        <is>
          <t>UPPVIDINGE</t>
        </is>
      </c>
      <c r="H3020" t="inlineStr">
        <is>
          <t>Kyrkan</t>
        </is>
      </c>
      <c r="I3020" t="n">
        <v>2.1</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26204-2023</t>
        </is>
      </c>
      <c r="B3021" t="inlineStr">
        <is>
          <t>avverkningsanmälan</t>
        </is>
      </c>
      <c r="C3021" t="inlineStr">
        <is>
          <t>Föryngringsavverkning</t>
        </is>
      </c>
      <c r="D3021" s="1" t="n">
        <v>45091</v>
      </c>
      <c r="E3021" s="1" t="n">
        <v>46316</v>
      </c>
      <c r="F3021" t="inlineStr">
        <is>
          <t>KRONOBERGS LÄN</t>
        </is>
      </c>
      <c r="G3021" t="inlineStr">
        <is>
          <t>UPPVIDINGE</t>
        </is>
      </c>
      <c r="H3021" t="inlineStr">
        <is>
          <t>Sveaskog</t>
        </is>
      </c>
      <c r="I3021" t="n">
        <v>6.8</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42167-2025</t>
        </is>
      </c>
      <c r="B3022" t="inlineStr">
        <is>
          <t>avverkningsanmälan</t>
        </is>
      </c>
      <c r="C3022" t="inlineStr">
        <is>
          <t>Föryngringsavverkning</t>
        </is>
      </c>
      <c r="D3022" s="1" t="n">
        <v>45904</v>
      </c>
      <c r="E3022" s="1" t="n">
        <v>46316</v>
      </c>
      <c r="F3022" t="inlineStr">
        <is>
          <t>KRONOBERGS LÄN</t>
        </is>
      </c>
      <c r="G3022" t="inlineStr">
        <is>
          <t>TINGSRYD</t>
        </is>
      </c>
      <c r="I3022" t="n">
        <v>2.5</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5401-2023</t>
        </is>
      </c>
      <c r="B3023" t="inlineStr">
        <is>
          <t>avverkningsanmälan</t>
        </is>
      </c>
      <c r="C3023" t="inlineStr">
        <is>
          <t>Föryngringsavverkning</t>
        </is>
      </c>
      <c r="D3023" s="1" t="n">
        <v>44959</v>
      </c>
      <c r="E3023" s="1" t="n">
        <v>46316</v>
      </c>
      <c r="F3023" t="inlineStr">
        <is>
          <t>KRONOBERGS LÄN</t>
        </is>
      </c>
      <c r="G3023" t="inlineStr">
        <is>
          <t>LJUNGBY</t>
        </is>
      </c>
      <c r="I3023" t="n">
        <v>1</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5405-2023</t>
        </is>
      </c>
      <c r="B3024" t="inlineStr">
        <is>
          <t>avverkningsanmälan</t>
        </is>
      </c>
      <c r="C3024" t="inlineStr">
        <is>
          <t>Föryngringsavverkning</t>
        </is>
      </c>
      <c r="D3024" s="1" t="n">
        <v>44959</v>
      </c>
      <c r="E3024" s="1" t="n">
        <v>46316</v>
      </c>
      <c r="F3024" t="inlineStr">
        <is>
          <t>KRONOBERGS LÄN</t>
        </is>
      </c>
      <c r="G3024" t="inlineStr">
        <is>
          <t>LJUNGBY</t>
        </is>
      </c>
      <c r="I3024" t="n">
        <v>0.5</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43844-2023</t>
        </is>
      </c>
      <c r="B3025" t="inlineStr">
        <is>
          <t>avverkningsanmälan</t>
        </is>
      </c>
      <c r="C3025" t="inlineStr">
        <is>
          <t>Föryngringsavverkning</t>
        </is>
      </c>
      <c r="D3025" s="1" t="n">
        <v>45187</v>
      </c>
      <c r="E3025" s="1" t="n">
        <v>46316</v>
      </c>
      <c r="F3025" t="inlineStr">
        <is>
          <t>KRONOBERGS LÄN</t>
        </is>
      </c>
      <c r="G3025" t="inlineStr">
        <is>
          <t>LJUNGBY</t>
        </is>
      </c>
      <c r="I3025" t="n">
        <v>1.9</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28026-2024</t>
        </is>
      </c>
      <c r="B3026" t="inlineStr">
        <is>
          <t>avverkningsanmälan</t>
        </is>
      </c>
      <c r="C3026" t="inlineStr">
        <is>
          <t>Avverkning för annat ändamål</t>
        </is>
      </c>
      <c r="D3026" s="1" t="n">
        <v>45476</v>
      </c>
      <c r="E3026" s="1" t="n">
        <v>46316</v>
      </c>
      <c r="F3026" t="inlineStr">
        <is>
          <t>KRONOBERGS LÄN</t>
        </is>
      </c>
      <c r="G3026" t="inlineStr">
        <is>
          <t>ÄLMHULT</t>
        </is>
      </c>
      <c r="I3026" t="n">
        <v>11.8</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37793-2025</t>
        </is>
      </c>
      <c r="B3027" t="inlineStr">
        <is>
          <t>avverkningsanmälan</t>
        </is>
      </c>
      <c r="C3027" t="inlineStr">
        <is>
          <t>Föryngringsavverkning</t>
        </is>
      </c>
      <c r="D3027" s="1" t="n">
        <v>45881</v>
      </c>
      <c r="E3027" s="1" t="n">
        <v>46316</v>
      </c>
      <c r="F3027" t="inlineStr">
        <is>
          <t>KRONOBERGS LÄN</t>
        </is>
      </c>
      <c r="G3027" t="inlineStr">
        <is>
          <t>LJUNGBY</t>
        </is>
      </c>
      <c r="I3027" t="n">
        <v>1.6</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42592-2023</t>
        </is>
      </c>
      <c r="B3028" t="inlineStr">
        <is>
          <t>avverkningsanmälan</t>
        </is>
      </c>
      <c r="C3028" t="inlineStr">
        <is>
          <t>Föryngringsavverkning</t>
        </is>
      </c>
      <c r="D3028" s="1" t="n">
        <v>45176</v>
      </c>
      <c r="E3028" s="1" t="n">
        <v>46316</v>
      </c>
      <c r="F3028" t="inlineStr">
        <is>
          <t>KRONOBERGS LÄN</t>
        </is>
      </c>
      <c r="G3028" t="inlineStr">
        <is>
          <t>LJUNGBY</t>
        </is>
      </c>
      <c r="H3028" t="inlineStr">
        <is>
          <t>Kyrkan</t>
        </is>
      </c>
      <c r="I3028" t="n">
        <v>4</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37867-2025</t>
        </is>
      </c>
      <c r="B3029" t="inlineStr">
        <is>
          <t>avverkningsanmälan</t>
        </is>
      </c>
      <c r="C3029" t="inlineStr">
        <is>
          <t>Föryngringsavverkning</t>
        </is>
      </c>
      <c r="D3029" s="1" t="n">
        <v>45881</v>
      </c>
      <c r="E3029" s="1" t="n">
        <v>46316</v>
      </c>
      <c r="F3029" t="inlineStr">
        <is>
          <t>KRONOBERGS LÄN</t>
        </is>
      </c>
      <c r="G3029" t="inlineStr">
        <is>
          <t>TINGSRYD</t>
        </is>
      </c>
      <c r="I3029" t="n">
        <v>5.7</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37871-2025</t>
        </is>
      </c>
      <c r="B3030" t="inlineStr">
        <is>
          <t>avverkningsanmälan</t>
        </is>
      </c>
      <c r="C3030" t="inlineStr">
        <is>
          <t>Föryngringsavverkning</t>
        </is>
      </c>
      <c r="D3030" s="1" t="n">
        <v>45881</v>
      </c>
      <c r="E3030" s="1" t="n">
        <v>46316</v>
      </c>
      <c r="F3030" t="inlineStr">
        <is>
          <t>KRONOBERGS LÄN</t>
        </is>
      </c>
      <c r="G3030" t="inlineStr">
        <is>
          <t>TINGSRYD</t>
        </is>
      </c>
      <c r="I3030" t="n">
        <v>2.5</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42611-2023</t>
        </is>
      </c>
      <c r="B3031" t="inlineStr">
        <is>
          <t>avverkningsanmälan</t>
        </is>
      </c>
      <c r="C3031" t="inlineStr">
        <is>
          <t>Föryngringsavverkning</t>
        </is>
      </c>
      <c r="D3031" s="1" t="n">
        <v>45181</v>
      </c>
      <c r="E3031" s="1" t="n">
        <v>46316</v>
      </c>
      <c r="F3031" t="inlineStr">
        <is>
          <t>KRONOBERGS LÄN</t>
        </is>
      </c>
      <c r="G3031" t="inlineStr">
        <is>
          <t>LJUNGBY</t>
        </is>
      </c>
      <c r="I3031" t="n">
        <v>0.4</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2139-2022</t>
        </is>
      </c>
      <c r="B3032" t="inlineStr">
        <is>
          <t>avverkningsanmälan</t>
        </is>
      </c>
      <c r="C3032" t="inlineStr">
        <is>
          <t>Föryngringsavverkning</t>
        </is>
      </c>
      <c r="D3032" s="1" t="n">
        <v>44578</v>
      </c>
      <c r="E3032" s="1" t="n">
        <v>46316</v>
      </c>
      <c r="F3032" t="inlineStr">
        <is>
          <t>KRONOBERGS LÄN</t>
        </is>
      </c>
      <c r="G3032" t="inlineStr">
        <is>
          <t>MARKARYD</t>
        </is>
      </c>
      <c r="H3032" t="inlineStr">
        <is>
          <t>Övriga Aktiebolag</t>
        </is>
      </c>
      <c r="I3032" t="n">
        <v>2.8</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47396-2024</t>
        </is>
      </c>
      <c r="B3033" t="inlineStr">
        <is>
          <t>avverkningsanmälan</t>
        </is>
      </c>
      <c r="C3033" t="inlineStr">
        <is>
          <t>Föryngringsavverkning</t>
        </is>
      </c>
      <c r="D3033" s="1" t="n">
        <v>45587</v>
      </c>
      <c r="E3033" s="1" t="n">
        <v>46316</v>
      </c>
      <c r="F3033" t="inlineStr">
        <is>
          <t>KRONOBERGS LÄN</t>
        </is>
      </c>
      <c r="G3033" t="inlineStr">
        <is>
          <t>LESSEBO</t>
        </is>
      </c>
      <c r="I3033" t="n">
        <v>0.6</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37610-2025</t>
        </is>
      </c>
      <c r="B3034" t="inlineStr">
        <is>
          <t>avverkningsanmälan</t>
        </is>
      </c>
      <c r="C3034" t="inlineStr">
        <is>
          <t>Föryngringsavverkning</t>
        </is>
      </c>
      <c r="D3034" s="1" t="n">
        <v>45880</v>
      </c>
      <c r="E3034" s="1" t="n">
        <v>46316</v>
      </c>
      <c r="F3034" t="inlineStr">
        <is>
          <t>KRONOBERGS LÄN</t>
        </is>
      </c>
      <c r="G3034" t="inlineStr">
        <is>
          <t>MARKARYD</t>
        </is>
      </c>
      <c r="I3034" t="n">
        <v>0.5</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37688-2025</t>
        </is>
      </c>
      <c r="B3035" t="inlineStr">
        <is>
          <t>avverkningsanmälan</t>
        </is>
      </c>
      <c r="C3035" t="inlineStr">
        <is>
          <t>Föryngringsavverkning</t>
        </is>
      </c>
      <c r="D3035" s="1" t="n">
        <v>45880</v>
      </c>
      <c r="E3035" s="1" t="n">
        <v>46316</v>
      </c>
      <c r="F3035" t="inlineStr">
        <is>
          <t>KRONOBERGS LÄN</t>
        </is>
      </c>
      <c r="G3035" t="inlineStr">
        <is>
          <t>LJUNGBY</t>
        </is>
      </c>
      <c r="I3035" t="n">
        <v>8.800000000000001</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9334-2025</t>
        </is>
      </c>
      <c r="B3036" t="inlineStr">
        <is>
          <t>avverkningsanmälan</t>
        </is>
      </c>
      <c r="C3036" t="inlineStr">
        <is>
          <t>Föryngringsavverkning</t>
        </is>
      </c>
      <c r="D3036" s="1" t="n">
        <v>45714</v>
      </c>
      <c r="E3036" s="1" t="n">
        <v>46316</v>
      </c>
      <c r="F3036" t="inlineStr">
        <is>
          <t>KRONOBERGS LÄN</t>
        </is>
      </c>
      <c r="G3036" t="inlineStr">
        <is>
          <t>LJUNGBY</t>
        </is>
      </c>
      <c r="I3036" t="n">
        <v>0.4</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33393-2023</t>
        </is>
      </c>
      <c r="B3037" t="inlineStr">
        <is>
          <t>avverkningsanmälan</t>
        </is>
      </c>
      <c r="C3037" t="inlineStr">
        <is>
          <t>Föryngringsavverkning</t>
        </is>
      </c>
      <c r="D3037" s="1" t="n">
        <v>45128</v>
      </c>
      <c r="E3037" s="1" t="n">
        <v>46316</v>
      </c>
      <c r="F3037" t="inlineStr">
        <is>
          <t>KRONOBERGS LÄN</t>
        </is>
      </c>
      <c r="G3037" t="inlineStr">
        <is>
          <t>VÄXJÖ</t>
        </is>
      </c>
      <c r="I3037" t="n">
        <v>2.8</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67204-2021</t>
        </is>
      </c>
      <c r="B3038" t="inlineStr">
        <is>
          <t>avverkningsanmälan</t>
        </is>
      </c>
      <c r="C3038" t="inlineStr">
        <is>
          <t>Föryngringsavverkning</t>
        </is>
      </c>
      <c r="D3038" s="1" t="n">
        <v>44523</v>
      </c>
      <c r="E3038" s="1" t="n">
        <v>46316</v>
      </c>
      <c r="F3038" t="inlineStr">
        <is>
          <t>KRONOBERGS LÄN</t>
        </is>
      </c>
      <c r="G3038" t="inlineStr">
        <is>
          <t>LJUNGBY</t>
        </is>
      </c>
      <c r="I3038" t="n">
        <v>5</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39835-2023</t>
        </is>
      </c>
      <c r="B3039" t="inlineStr">
        <is>
          <t>avverkningsanmälan</t>
        </is>
      </c>
      <c r="C3039" t="inlineStr">
        <is>
          <t>Föryngringsavverkning</t>
        </is>
      </c>
      <c r="D3039" s="1" t="n">
        <v>45168</v>
      </c>
      <c r="E3039" s="1" t="n">
        <v>46316</v>
      </c>
      <c r="F3039" t="inlineStr">
        <is>
          <t>KRONOBERGS LÄN</t>
        </is>
      </c>
      <c r="G3039" t="inlineStr">
        <is>
          <t>LJUNGBY</t>
        </is>
      </c>
      <c r="I3039" t="n">
        <v>1.4</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60411-2023</t>
        </is>
      </c>
      <c r="B3040" t="inlineStr">
        <is>
          <t>avverkningsanmälan</t>
        </is>
      </c>
      <c r="C3040" t="inlineStr">
        <is>
          <t>Föryngringsavverkning</t>
        </is>
      </c>
      <c r="D3040" s="1" t="n">
        <v>45259</v>
      </c>
      <c r="E3040" s="1" t="n">
        <v>46316</v>
      </c>
      <c r="F3040" t="inlineStr">
        <is>
          <t>KRONOBERGS LÄN</t>
        </is>
      </c>
      <c r="G3040" t="inlineStr">
        <is>
          <t>VÄXJÖ</t>
        </is>
      </c>
      <c r="I3040" t="n">
        <v>2.2</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52363-2023</t>
        </is>
      </c>
      <c r="B3041" t="inlineStr">
        <is>
          <t>avverkningsanmälan</t>
        </is>
      </c>
      <c r="C3041" t="inlineStr">
        <is>
          <t>Föryngringsavverkning</t>
        </is>
      </c>
      <c r="D3041" s="1" t="n">
        <v>45224</v>
      </c>
      <c r="E3041" s="1" t="n">
        <v>46316</v>
      </c>
      <c r="F3041" t="inlineStr">
        <is>
          <t>KRONOBERGS LÄN</t>
        </is>
      </c>
      <c r="G3041" t="inlineStr">
        <is>
          <t>LJUNGBY</t>
        </is>
      </c>
      <c r="I3041" t="n">
        <v>0.3</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27626-2023</t>
        </is>
      </c>
      <c r="B3042" t="inlineStr">
        <is>
          <t>avverkningsanmälan</t>
        </is>
      </c>
      <c r="C3042" t="inlineStr">
        <is>
          <t>Föryngringsavverkning</t>
        </is>
      </c>
      <c r="D3042" s="1" t="n">
        <v>45097</v>
      </c>
      <c r="E3042" s="1" t="n">
        <v>46316</v>
      </c>
      <c r="F3042" t="inlineStr">
        <is>
          <t>KRONOBERGS LÄN</t>
        </is>
      </c>
      <c r="G3042" t="inlineStr">
        <is>
          <t>LJUNGBY</t>
        </is>
      </c>
      <c r="I3042" t="n">
        <v>1</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37779-2025</t>
        </is>
      </c>
      <c r="B3043" t="inlineStr">
        <is>
          <t>avverkningsanmälan</t>
        </is>
      </c>
      <c r="C3043" t="inlineStr">
        <is>
          <t>Föryngringsavverkning</t>
        </is>
      </c>
      <c r="D3043" s="1" t="n">
        <v>45880</v>
      </c>
      <c r="E3043" s="1" t="n">
        <v>46316</v>
      </c>
      <c r="F3043" t="inlineStr">
        <is>
          <t>KRONOBERGS LÄN</t>
        </is>
      </c>
      <c r="G3043" t="inlineStr">
        <is>
          <t>LJUNGBY</t>
        </is>
      </c>
      <c r="I3043" t="n">
        <v>9.5</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2107-2024</t>
        </is>
      </c>
      <c r="B3044" t="inlineStr">
        <is>
          <t>avverkningsanmälan</t>
        </is>
      </c>
      <c r="C3044" t="inlineStr">
        <is>
          <t>Föryngringsavverkning</t>
        </is>
      </c>
      <c r="D3044" s="1" t="n">
        <v>45309</v>
      </c>
      <c r="E3044" s="1" t="n">
        <v>46316</v>
      </c>
      <c r="F3044" t="inlineStr">
        <is>
          <t>KRONOBERGS LÄN</t>
        </is>
      </c>
      <c r="G3044" t="inlineStr">
        <is>
          <t>VÄXJÖ</t>
        </is>
      </c>
      <c r="I3044" t="n">
        <v>1.4</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2115-2024</t>
        </is>
      </c>
      <c r="B3045" t="inlineStr">
        <is>
          <t>avverkningsanmälan</t>
        </is>
      </c>
      <c r="C3045" t="inlineStr">
        <is>
          <t>Föryngringsavverkning</t>
        </is>
      </c>
      <c r="D3045" s="1" t="n">
        <v>45309</v>
      </c>
      <c r="E3045" s="1" t="n">
        <v>46316</v>
      </c>
      <c r="F3045" t="inlineStr">
        <is>
          <t>KRONOBERGS LÄN</t>
        </is>
      </c>
      <c r="G3045" t="inlineStr">
        <is>
          <t>VÄXJÖ</t>
        </is>
      </c>
      <c r="I3045" t="n">
        <v>1.6</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33817-2022</t>
        </is>
      </c>
      <c r="B3046" t="inlineStr">
        <is>
          <t>avverkningsanmälan</t>
        </is>
      </c>
      <c r="C3046" t="inlineStr">
        <is>
          <t>Föryngringsavverkning</t>
        </is>
      </c>
      <c r="D3046" s="1" t="n">
        <v>44790</v>
      </c>
      <c r="E3046" s="1" t="n">
        <v>46316</v>
      </c>
      <c r="F3046" t="inlineStr">
        <is>
          <t>KRONOBERGS LÄN</t>
        </is>
      </c>
      <c r="G3046" t="inlineStr">
        <is>
          <t>TINGSRYD</t>
        </is>
      </c>
      <c r="I3046" t="n">
        <v>1</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37805-2025</t>
        </is>
      </c>
      <c r="B3047" t="inlineStr">
        <is>
          <t>avverkningsanmälan</t>
        </is>
      </c>
      <c r="C3047" t="inlineStr">
        <is>
          <t>Föryngringsavverkning</t>
        </is>
      </c>
      <c r="D3047" s="1" t="n">
        <v>45881</v>
      </c>
      <c r="E3047" s="1" t="n">
        <v>46316</v>
      </c>
      <c r="F3047" t="inlineStr">
        <is>
          <t>KRONOBERGS LÄN</t>
        </is>
      </c>
      <c r="G3047" t="inlineStr">
        <is>
          <t>LJUNGBY</t>
        </is>
      </c>
      <c r="I3047" t="n">
        <v>3</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29923-2024</t>
        </is>
      </c>
      <c r="B3048" t="inlineStr">
        <is>
          <t>avverkningsanmälan</t>
        </is>
      </c>
      <c r="C3048" t="inlineStr">
        <is>
          <t>Föryngringsavverkning</t>
        </is>
      </c>
      <c r="D3048" s="1" t="n">
        <v>45488</v>
      </c>
      <c r="E3048" s="1" t="n">
        <v>46316</v>
      </c>
      <c r="F3048" t="inlineStr">
        <is>
          <t>KRONOBERGS LÄN</t>
        </is>
      </c>
      <c r="G3048" t="inlineStr">
        <is>
          <t>VÄXJÖ</t>
        </is>
      </c>
      <c r="I3048" t="n">
        <v>0.5</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1897-2025</t>
        </is>
      </c>
      <c r="B3049" t="inlineStr">
        <is>
          <t>avverkningsanmälan</t>
        </is>
      </c>
      <c r="C3049" t="inlineStr">
        <is>
          <t>Föryngringsavverkning</t>
        </is>
      </c>
      <c r="D3049" s="1" t="n">
        <v>45671</v>
      </c>
      <c r="E3049" s="1" t="n">
        <v>46316</v>
      </c>
      <c r="F3049" t="inlineStr">
        <is>
          <t>KRONOBERGS LÄN</t>
        </is>
      </c>
      <c r="G3049" t="inlineStr">
        <is>
          <t>LESSEBO</t>
        </is>
      </c>
      <c r="I3049" t="n">
        <v>1.6</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1384-2022</t>
        </is>
      </c>
      <c r="B3050" t="inlineStr">
        <is>
          <t>avverkningsanmälan</t>
        </is>
      </c>
      <c r="C3050" t="inlineStr">
        <is>
          <t>Avverkning för annat ändamål</t>
        </is>
      </c>
      <c r="D3050" s="1" t="n">
        <v>44573</v>
      </c>
      <c r="E3050" s="1" t="n">
        <v>46316</v>
      </c>
      <c r="F3050" t="inlineStr">
        <is>
          <t>KRONOBERGS LÄN</t>
        </is>
      </c>
      <c r="G3050" t="inlineStr">
        <is>
          <t>LJUNGBY</t>
        </is>
      </c>
      <c r="H3050" t="inlineStr">
        <is>
          <t>Kommuner</t>
        </is>
      </c>
      <c r="I3050" t="n">
        <v>5.1</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14427-2023</t>
        </is>
      </c>
      <c r="B3051" t="inlineStr">
        <is>
          <t>avverkningsanmälan</t>
        </is>
      </c>
      <c r="C3051" t="inlineStr">
        <is>
          <t>Föryngringsavverkning</t>
        </is>
      </c>
      <c r="D3051" s="1" t="n">
        <v>45009</v>
      </c>
      <c r="E3051" s="1" t="n">
        <v>46316</v>
      </c>
      <c r="F3051" t="inlineStr">
        <is>
          <t>KRONOBERGS LÄN</t>
        </is>
      </c>
      <c r="G3051" t="inlineStr">
        <is>
          <t>VÄXJÖ</t>
        </is>
      </c>
      <c r="H3051" t="inlineStr">
        <is>
          <t>Kyrkan</t>
        </is>
      </c>
      <c r="I3051" t="n">
        <v>3.4</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25439-2024</t>
        </is>
      </c>
      <c r="B3052" t="inlineStr">
        <is>
          <t>avverkningsanmälan</t>
        </is>
      </c>
      <c r="C3052" t="inlineStr">
        <is>
          <t>Föryngringsavverkning</t>
        </is>
      </c>
      <c r="D3052" s="1" t="n">
        <v>45463</v>
      </c>
      <c r="E3052" s="1" t="n">
        <v>46316</v>
      </c>
      <c r="F3052" t="inlineStr">
        <is>
          <t>KRONOBERGS LÄN</t>
        </is>
      </c>
      <c r="G3052" t="inlineStr">
        <is>
          <t>LJUNGBY</t>
        </is>
      </c>
      <c r="I3052" t="n">
        <v>0.4</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33002-2022</t>
        </is>
      </c>
      <c r="B3053" t="inlineStr">
        <is>
          <t>avverkningsanmälan</t>
        </is>
      </c>
      <c r="C3053" t="inlineStr">
        <is>
          <t>Föryngringsavverkning</t>
        </is>
      </c>
      <c r="D3053" s="1" t="n">
        <v>44784</v>
      </c>
      <c r="E3053" s="1" t="n">
        <v>46316</v>
      </c>
      <c r="F3053" t="inlineStr">
        <is>
          <t>KRONOBERGS LÄN</t>
        </is>
      </c>
      <c r="G3053" t="inlineStr">
        <is>
          <t>ÄLMHULT</t>
        </is>
      </c>
      <c r="H3053" t="inlineStr">
        <is>
          <t>Kyrkan</t>
        </is>
      </c>
      <c r="I3053" t="n">
        <v>1.6</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35797-2024</t>
        </is>
      </c>
      <c r="B3054" t="inlineStr">
        <is>
          <t>avverkningsanmälan</t>
        </is>
      </c>
      <c r="C3054" t="inlineStr">
        <is>
          <t>Föryngringsavverkning</t>
        </is>
      </c>
      <c r="D3054" s="1" t="n">
        <v>45532</v>
      </c>
      <c r="E3054" s="1" t="n">
        <v>46316</v>
      </c>
      <c r="F3054" t="inlineStr">
        <is>
          <t>KRONOBERGS LÄN</t>
        </is>
      </c>
      <c r="G3054" t="inlineStr">
        <is>
          <t>MARKARYD</t>
        </is>
      </c>
      <c r="I3054" t="n">
        <v>4.9</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7010-2026</t>
        </is>
      </c>
      <c r="B3055" t="inlineStr">
        <is>
          <t>avverkningsanmälan</t>
        </is>
      </c>
      <c r="C3055" t="inlineStr">
        <is>
          <t>Föryngringsavverkning</t>
        </is>
      </c>
      <c r="D3055" s="1" t="n">
        <v>46057</v>
      </c>
      <c r="E3055" s="1" t="n">
        <v>46316</v>
      </c>
      <c r="F3055" t="inlineStr">
        <is>
          <t>KRONOBERGS LÄN</t>
        </is>
      </c>
      <c r="G3055" t="inlineStr">
        <is>
          <t>LJUNGBY</t>
        </is>
      </c>
      <c r="I3055" t="n">
        <v>4.5</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54094-2022</t>
        </is>
      </c>
      <c r="B3056" t="inlineStr">
        <is>
          <t>avverkningsanmälan</t>
        </is>
      </c>
      <c r="C3056" t="inlineStr">
        <is>
          <t>Föryngringsavverkning</t>
        </is>
      </c>
      <c r="D3056" s="1" t="n">
        <v>44881</v>
      </c>
      <c r="E3056" s="1" t="n">
        <v>46316</v>
      </c>
      <c r="F3056" t="inlineStr">
        <is>
          <t>KRONOBERGS LÄN</t>
        </is>
      </c>
      <c r="G3056" t="inlineStr">
        <is>
          <t>UPPVIDINGE</t>
        </is>
      </c>
      <c r="I3056" t="n">
        <v>1.5</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62235-2023</t>
        </is>
      </c>
      <c r="B3057" t="inlineStr">
        <is>
          <t>avverkningsanmälan</t>
        </is>
      </c>
      <c r="C3057" t="inlineStr">
        <is>
          <t>Föryngringsavverkning</t>
        </is>
      </c>
      <c r="D3057" s="1" t="n">
        <v>45267</v>
      </c>
      <c r="E3057" s="1" t="n">
        <v>46316</v>
      </c>
      <c r="F3057" t="inlineStr">
        <is>
          <t>KRONOBERGS LÄN</t>
        </is>
      </c>
      <c r="G3057" t="inlineStr">
        <is>
          <t>ALVESTA</t>
        </is>
      </c>
      <c r="I3057" t="n">
        <v>0.5</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38346-2025</t>
        </is>
      </c>
      <c r="B3058" t="inlineStr">
        <is>
          <t>avverkningsanmälan</t>
        </is>
      </c>
      <c r="C3058" t="inlineStr">
        <is>
          <t>Föryngringsavverkning</t>
        </is>
      </c>
      <c r="D3058" s="1" t="n">
        <v>45883</v>
      </c>
      <c r="E3058" s="1" t="n">
        <v>46316</v>
      </c>
      <c r="F3058" t="inlineStr">
        <is>
          <t>KRONOBERGS LÄN</t>
        </is>
      </c>
      <c r="G3058" t="inlineStr">
        <is>
          <t>VÄXJÖ</t>
        </is>
      </c>
      <c r="I3058" t="n">
        <v>2.6</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7405-2026</t>
        </is>
      </c>
      <c r="B3059" t="inlineStr">
        <is>
          <t>avverkningsanmälan</t>
        </is>
      </c>
      <c r="C3059" t="inlineStr">
        <is>
          <t>Föryngringsavverkning</t>
        </is>
      </c>
      <c r="D3059" s="1" t="n">
        <v>46059</v>
      </c>
      <c r="E3059" s="1" t="n">
        <v>46316</v>
      </c>
      <c r="F3059" t="inlineStr">
        <is>
          <t>KRONOBERGS LÄN</t>
        </is>
      </c>
      <c r="G3059" t="inlineStr">
        <is>
          <t>LJUNGBY</t>
        </is>
      </c>
      <c r="I3059" t="n">
        <v>2</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50927-2023</t>
        </is>
      </c>
      <c r="B3060" t="inlineStr">
        <is>
          <t>avverkningsanmälan</t>
        </is>
      </c>
      <c r="C3060" t="inlineStr">
        <is>
          <t>Föryngringsavverkning</t>
        </is>
      </c>
      <c r="D3060" s="1" t="n">
        <v>45218</v>
      </c>
      <c r="E3060" s="1" t="n">
        <v>46316</v>
      </c>
      <c r="F3060" t="inlineStr">
        <is>
          <t>KRONOBERGS LÄN</t>
        </is>
      </c>
      <c r="G3060" t="inlineStr">
        <is>
          <t>MARKARYD</t>
        </is>
      </c>
      <c r="I3060" t="n">
        <v>1</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4362-2025</t>
        </is>
      </c>
      <c r="B3061" t="inlineStr">
        <is>
          <t>avverkningsanmälan</t>
        </is>
      </c>
      <c r="C3061" t="inlineStr">
        <is>
          <t>Föryngringsavverkning</t>
        </is>
      </c>
      <c r="D3061" s="1" t="n">
        <v>45686</v>
      </c>
      <c r="E3061" s="1" t="n">
        <v>46316</v>
      </c>
      <c r="F3061" t="inlineStr">
        <is>
          <t>KRONOBERGS LÄN</t>
        </is>
      </c>
      <c r="G3061" t="inlineStr">
        <is>
          <t>VÄXJÖ</t>
        </is>
      </c>
      <c r="I3061" t="n">
        <v>5.7</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37624-2023</t>
        </is>
      </c>
      <c r="B3062" t="inlineStr">
        <is>
          <t>avverkningsanmälan</t>
        </is>
      </c>
      <c r="C3062" t="inlineStr">
        <is>
          <t>Föryngringsavverkning</t>
        </is>
      </c>
      <c r="D3062" s="1" t="n">
        <v>45159</v>
      </c>
      <c r="E3062" s="1" t="n">
        <v>46316</v>
      </c>
      <c r="F3062" t="inlineStr">
        <is>
          <t>KRONOBERGS LÄN</t>
        </is>
      </c>
      <c r="G3062" t="inlineStr">
        <is>
          <t>ALVESTA</t>
        </is>
      </c>
      <c r="I3062" t="n">
        <v>1.8</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11594-2024</t>
        </is>
      </c>
      <c r="B3063" t="inlineStr">
        <is>
          <t>avverkningsanmälan</t>
        </is>
      </c>
      <c r="C3063" t="inlineStr">
        <is>
          <t>Föryngringsavverkning</t>
        </is>
      </c>
      <c r="D3063" s="1" t="n">
        <v>45373</v>
      </c>
      <c r="E3063" s="1" t="n">
        <v>46316</v>
      </c>
      <c r="F3063" t="inlineStr">
        <is>
          <t>KRONOBERGS LÄN</t>
        </is>
      </c>
      <c r="G3063" t="inlineStr">
        <is>
          <t>ÄLMHULT</t>
        </is>
      </c>
      <c r="H3063" t="inlineStr">
        <is>
          <t>Sveaskog</t>
        </is>
      </c>
      <c r="I3063" t="n">
        <v>3</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11597-2024</t>
        </is>
      </c>
      <c r="B3064" t="inlineStr">
        <is>
          <t>avverkningsanmälan</t>
        </is>
      </c>
      <c r="C3064" t="inlineStr">
        <is>
          <t>Föryngringsavverkning</t>
        </is>
      </c>
      <c r="D3064" s="1" t="n">
        <v>45373</v>
      </c>
      <c r="E3064" s="1" t="n">
        <v>46316</v>
      </c>
      <c r="F3064" t="inlineStr">
        <is>
          <t>KRONOBERGS LÄN</t>
        </is>
      </c>
      <c r="G3064" t="inlineStr">
        <is>
          <t>ÄLMHULT</t>
        </is>
      </c>
      <c r="H3064" t="inlineStr">
        <is>
          <t>Sveaskog</t>
        </is>
      </c>
      <c r="I3064" t="n">
        <v>1.6</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51175-2023</t>
        </is>
      </c>
      <c r="B3065" t="inlineStr">
        <is>
          <t>avverkningsanmälan</t>
        </is>
      </c>
      <c r="C3065" t="inlineStr">
        <is>
          <t>Föryngringsavverkning</t>
        </is>
      </c>
      <c r="D3065" s="1" t="n">
        <v>45219</v>
      </c>
      <c r="E3065" s="1" t="n">
        <v>46316</v>
      </c>
      <c r="F3065" t="inlineStr">
        <is>
          <t>KRONOBERGS LÄN</t>
        </is>
      </c>
      <c r="G3065" t="inlineStr">
        <is>
          <t>LESSEBO</t>
        </is>
      </c>
      <c r="I3065" t="n">
        <v>2</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61194-2023</t>
        </is>
      </c>
      <c r="B3066" t="inlineStr">
        <is>
          <t>avverkningsanmälan</t>
        </is>
      </c>
      <c r="C3066" t="inlineStr">
        <is>
          <t>Föryngringsavverkning</t>
        </is>
      </c>
      <c r="D3066" s="1" t="n">
        <v>45264</v>
      </c>
      <c r="E3066" s="1" t="n">
        <v>46316</v>
      </c>
      <c r="F3066" t="inlineStr">
        <is>
          <t>KRONOBERGS LÄN</t>
        </is>
      </c>
      <c r="G3066" t="inlineStr">
        <is>
          <t>TINGSRYD</t>
        </is>
      </c>
      <c r="I3066" t="n">
        <v>0.9</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28570-2023</t>
        </is>
      </c>
      <c r="B3067" t="inlineStr">
        <is>
          <t>avverkningsanmälan</t>
        </is>
      </c>
      <c r="C3067" t="inlineStr">
        <is>
          <t>Föryngringsavverkning</t>
        </is>
      </c>
      <c r="D3067" s="1" t="n">
        <v>45103</v>
      </c>
      <c r="E3067" s="1" t="n">
        <v>46316</v>
      </c>
      <c r="F3067" t="inlineStr">
        <is>
          <t>KRONOBERGS LÄN</t>
        </is>
      </c>
      <c r="G3067" t="inlineStr">
        <is>
          <t>VÄXJÖ</t>
        </is>
      </c>
      <c r="I3067" t="n">
        <v>0.8</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55652-2022</t>
        </is>
      </c>
      <c r="B3068" t="inlineStr">
        <is>
          <t>avverkningsanmälan</t>
        </is>
      </c>
      <c r="C3068" t="inlineStr">
        <is>
          <t>Föryngringsavverkning</t>
        </is>
      </c>
      <c r="D3068" s="1" t="n">
        <v>44888</v>
      </c>
      <c r="E3068" s="1" t="n">
        <v>46316</v>
      </c>
      <c r="F3068" t="inlineStr">
        <is>
          <t>KRONOBERGS LÄN</t>
        </is>
      </c>
      <c r="G3068" t="inlineStr">
        <is>
          <t>TINGSRYD</t>
        </is>
      </c>
      <c r="I3068" t="n">
        <v>0.5</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27115-2023</t>
        </is>
      </c>
      <c r="B3069" t="inlineStr">
        <is>
          <t>avverkningsanmälan</t>
        </is>
      </c>
      <c r="C3069" t="inlineStr">
        <is>
          <t>Föryngringsavverkning</t>
        </is>
      </c>
      <c r="D3069" s="1" t="n">
        <v>45093</v>
      </c>
      <c r="E3069" s="1" t="n">
        <v>46316</v>
      </c>
      <c r="F3069" t="inlineStr">
        <is>
          <t>KRONOBERGS LÄN</t>
        </is>
      </c>
      <c r="G3069" t="inlineStr">
        <is>
          <t>TINGSRYD</t>
        </is>
      </c>
      <c r="I3069" t="n">
        <v>1.7</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15838-2025</t>
        </is>
      </c>
      <c r="B3070" t="inlineStr">
        <is>
          <t>avverkningsanmälan</t>
        </is>
      </c>
      <c r="C3070" t="inlineStr">
        <is>
          <t>Föryngringsavverkning</t>
        </is>
      </c>
      <c r="D3070" s="1" t="n">
        <v>45748</v>
      </c>
      <c r="E3070" s="1" t="n">
        <v>46316</v>
      </c>
      <c r="F3070" t="inlineStr">
        <is>
          <t>KRONOBERGS LÄN</t>
        </is>
      </c>
      <c r="G3070" t="inlineStr">
        <is>
          <t>LJUNGBY</t>
        </is>
      </c>
      <c r="I3070" t="n">
        <v>1.1</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20926-2026</t>
        </is>
      </c>
      <c r="B3071" t="inlineStr">
        <is>
          <t>avverkningsanmälan</t>
        </is>
      </c>
      <c r="C3071" t="inlineStr">
        <is>
          <t>Föryngringsavverkning</t>
        </is>
      </c>
      <c r="D3071" s="1" t="n">
        <v>46142</v>
      </c>
      <c r="E3071" s="1" t="n">
        <v>46316</v>
      </c>
      <c r="F3071" t="inlineStr">
        <is>
          <t>KRONOBERGS LÄN</t>
        </is>
      </c>
      <c r="G3071" t="inlineStr">
        <is>
          <t>ALVESTA</t>
        </is>
      </c>
      <c r="I3071" t="n">
        <v>0.8</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15175-2025</t>
        </is>
      </c>
      <c r="B3072" t="inlineStr">
        <is>
          <t>avverkningsanmälan</t>
        </is>
      </c>
      <c r="C3072" t="inlineStr">
        <is>
          <t>Föryngringsavverkning</t>
        </is>
      </c>
      <c r="D3072" s="1" t="n">
        <v>45744</v>
      </c>
      <c r="E3072" s="1" t="n">
        <v>46316</v>
      </c>
      <c r="F3072" t="inlineStr">
        <is>
          <t>KRONOBERGS LÄN</t>
        </is>
      </c>
      <c r="G3072" t="inlineStr">
        <is>
          <t>ALVESTA</t>
        </is>
      </c>
      <c r="I3072" t="n">
        <v>2.1</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47088-2023</t>
        </is>
      </c>
      <c r="B3073" t="inlineStr">
        <is>
          <t>avverkningsanmälan</t>
        </is>
      </c>
      <c r="C3073" t="inlineStr">
        <is>
          <t>Föryngringsavverkning</t>
        </is>
      </c>
      <c r="D3073" s="1" t="n">
        <v>45201</v>
      </c>
      <c r="E3073" s="1" t="n">
        <v>46316</v>
      </c>
      <c r="F3073" t="inlineStr">
        <is>
          <t>KRONOBERGS LÄN</t>
        </is>
      </c>
      <c r="G3073" t="inlineStr">
        <is>
          <t>VÄXJÖ</t>
        </is>
      </c>
      <c r="I3073" t="n">
        <v>1.5</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53260-2023</t>
        </is>
      </c>
      <c r="B3074" t="inlineStr">
        <is>
          <t>avverkningsanmälan</t>
        </is>
      </c>
      <c r="C3074" t="inlineStr">
        <is>
          <t>Föryngringsavverkning</t>
        </is>
      </c>
      <c r="D3074" s="1" t="n">
        <v>45229</v>
      </c>
      <c r="E3074" s="1" t="n">
        <v>46316</v>
      </c>
      <c r="F3074" t="inlineStr">
        <is>
          <t>KRONOBERGS LÄN</t>
        </is>
      </c>
      <c r="G3074" t="inlineStr">
        <is>
          <t>UPPVIDINGE</t>
        </is>
      </c>
      <c r="I3074" t="n">
        <v>2.2</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48236-2022</t>
        </is>
      </c>
      <c r="B3075" t="inlineStr">
        <is>
          <t>avverkningsanmälan</t>
        </is>
      </c>
      <c r="C3075" t="inlineStr">
        <is>
          <t>Föryngringsavverkning</t>
        </is>
      </c>
      <c r="D3075" s="1" t="n">
        <v>44858</v>
      </c>
      <c r="E3075" s="1" t="n">
        <v>46316</v>
      </c>
      <c r="F3075" t="inlineStr">
        <is>
          <t>KRONOBERGS LÄN</t>
        </is>
      </c>
      <c r="G3075" t="inlineStr">
        <is>
          <t>VÄXJÖ</t>
        </is>
      </c>
      <c r="I3075" t="n">
        <v>4.1</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64072-2023</t>
        </is>
      </c>
      <c r="B3076" t="inlineStr">
        <is>
          <t>avverkningsanmälan</t>
        </is>
      </c>
      <c r="C3076" t="inlineStr">
        <is>
          <t>Föryngringsavverkning</t>
        </is>
      </c>
      <c r="D3076" s="1" t="n">
        <v>45279</v>
      </c>
      <c r="E3076" s="1" t="n">
        <v>46316</v>
      </c>
      <c r="F3076" t="inlineStr">
        <is>
          <t>KRONOBERGS LÄN</t>
        </is>
      </c>
      <c r="G3076" t="inlineStr">
        <is>
          <t>UPPVIDINGE</t>
        </is>
      </c>
      <c r="I3076" t="n">
        <v>2.9</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7893-2024</t>
        </is>
      </c>
      <c r="B3077" t="inlineStr">
        <is>
          <t>avverkningsanmälan</t>
        </is>
      </c>
      <c r="C3077" t="inlineStr">
        <is>
          <t>Föryngringsavverkning</t>
        </is>
      </c>
      <c r="D3077" s="1" t="n">
        <v>45349</v>
      </c>
      <c r="E3077" s="1" t="n">
        <v>46316</v>
      </c>
      <c r="F3077" t="inlineStr">
        <is>
          <t>KRONOBERGS LÄN</t>
        </is>
      </c>
      <c r="G3077" t="inlineStr">
        <is>
          <t>UPPVIDINGE</t>
        </is>
      </c>
      <c r="I3077" t="n">
        <v>3.5</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58859-2022</t>
        </is>
      </c>
      <c r="B3078" t="inlineStr">
        <is>
          <t>avverkningsanmälan</t>
        </is>
      </c>
      <c r="C3078" t="inlineStr">
        <is>
          <t>Föryngringsavverkning</t>
        </is>
      </c>
      <c r="D3078" s="1" t="n">
        <v>44895</v>
      </c>
      <c r="E3078" s="1" t="n">
        <v>46316</v>
      </c>
      <c r="F3078" t="inlineStr">
        <is>
          <t>KRONOBERGS LÄN</t>
        </is>
      </c>
      <c r="G3078" t="inlineStr">
        <is>
          <t>TINGSRYD</t>
        </is>
      </c>
      <c r="I3078" t="n">
        <v>0.7</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59298-2023</t>
        </is>
      </c>
      <c r="B3079" t="inlineStr">
        <is>
          <t>avverkningsanmälan</t>
        </is>
      </c>
      <c r="C3079" t="inlineStr">
        <is>
          <t>Föryngringsavverkning</t>
        </is>
      </c>
      <c r="D3079" s="1" t="n">
        <v>45253</v>
      </c>
      <c r="E3079" s="1" t="n">
        <v>46316</v>
      </c>
      <c r="F3079" t="inlineStr">
        <is>
          <t>KRONOBERGS LÄN</t>
        </is>
      </c>
      <c r="G3079" t="inlineStr">
        <is>
          <t>VÄXJÖ</t>
        </is>
      </c>
      <c r="I3079" t="n">
        <v>2.1</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24808-2023</t>
        </is>
      </c>
      <c r="B3080" t="inlineStr">
        <is>
          <t>avverkningsanmälan</t>
        </is>
      </c>
      <c r="C3080" t="inlineStr">
        <is>
          <t>Föryngringsavverkning</t>
        </is>
      </c>
      <c r="D3080" s="1" t="n">
        <v>45084</v>
      </c>
      <c r="E3080" s="1" t="n">
        <v>46316</v>
      </c>
      <c r="F3080" t="inlineStr">
        <is>
          <t>KRONOBERGS LÄN</t>
        </is>
      </c>
      <c r="G3080" t="inlineStr">
        <is>
          <t>ÄLMHULT</t>
        </is>
      </c>
      <c r="I3080" t="n">
        <v>7.9</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64999-2023</t>
        </is>
      </c>
      <c r="B3081" t="inlineStr">
        <is>
          <t>avverkningsanmälan</t>
        </is>
      </c>
      <c r="C3081" t="inlineStr">
        <is>
          <t>Föryngringsavverkning</t>
        </is>
      </c>
      <c r="D3081" s="1" t="n">
        <v>45286</v>
      </c>
      <c r="E3081" s="1" t="n">
        <v>46316</v>
      </c>
      <c r="F3081" t="inlineStr">
        <is>
          <t>KRONOBERGS LÄN</t>
        </is>
      </c>
      <c r="G3081" t="inlineStr">
        <is>
          <t>ÄLMHULT</t>
        </is>
      </c>
      <c r="I3081" t="n">
        <v>1.3</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14280-2023</t>
        </is>
      </c>
      <c r="B3082" t="inlineStr">
        <is>
          <t>avverkningsanmälan</t>
        </is>
      </c>
      <c r="C3082" t="inlineStr">
        <is>
          <t>Föryngringsavverkning</t>
        </is>
      </c>
      <c r="D3082" s="1" t="n">
        <v>45010</v>
      </c>
      <c r="E3082" s="1" t="n">
        <v>46316</v>
      </c>
      <c r="F3082" t="inlineStr">
        <is>
          <t>KRONOBERGS LÄN</t>
        </is>
      </c>
      <c r="G3082" t="inlineStr">
        <is>
          <t>ÄLMHULT</t>
        </is>
      </c>
      <c r="I3082" t="n">
        <v>2</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1461-2025</t>
        </is>
      </c>
      <c r="B3083" t="inlineStr">
        <is>
          <t>avverkningsanmälan</t>
        </is>
      </c>
      <c r="C3083" t="inlineStr">
        <is>
          <t>Föryngringsavverkning</t>
        </is>
      </c>
      <c r="D3083" s="1" t="n">
        <v>45670</v>
      </c>
      <c r="E3083" s="1" t="n">
        <v>46316</v>
      </c>
      <c r="F3083" t="inlineStr">
        <is>
          <t>KRONOBERGS LÄN</t>
        </is>
      </c>
      <c r="G3083" t="inlineStr">
        <is>
          <t>MARKARYD</t>
        </is>
      </c>
      <c r="I3083" t="n">
        <v>3</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38875-2022</t>
        </is>
      </c>
      <c r="B3084" t="inlineStr">
        <is>
          <t>avverkningsanmälan</t>
        </is>
      </c>
      <c r="C3084" t="inlineStr">
        <is>
          <t>Avverkning för annat ändamål</t>
        </is>
      </c>
      <c r="D3084" s="1" t="n">
        <v>44816</v>
      </c>
      <c r="E3084" s="1" t="n">
        <v>46316</v>
      </c>
      <c r="F3084" t="inlineStr">
        <is>
          <t>KRONOBERGS LÄN</t>
        </is>
      </c>
      <c r="G3084" t="inlineStr">
        <is>
          <t>ALVESTA</t>
        </is>
      </c>
      <c r="I3084" t="n">
        <v>0.6</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3140-2025</t>
        </is>
      </c>
      <c r="B3085" t="inlineStr">
        <is>
          <t>avverkningsanmälan</t>
        </is>
      </c>
      <c r="C3085" t="inlineStr">
        <is>
          <t>Föryngringsavverkning</t>
        </is>
      </c>
      <c r="D3085" s="1" t="n">
        <v>45678</v>
      </c>
      <c r="E3085" s="1" t="n">
        <v>46316</v>
      </c>
      <c r="F3085" t="inlineStr">
        <is>
          <t>KRONOBERGS LÄN</t>
        </is>
      </c>
      <c r="G3085" t="inlineStr">
        <is>
          <t>MARKARYD</t>
        </is>
      </c>
      <c r="I3085" t="n">
        <v>9.4</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73660-2021</t>
        </is>
      </c>
      <c r="B3086" t="inlineStr">
        <is>
          <t>avverkningsanmälan</t>
        </is>
      </c>
      <c r="C3086" t="inlineStr">
        <is>
          <t>Föryngringsavverkning</t>
        </is>
      </c>
      <c r="D3086" s="1" t="n">
        <v>44552</v>
      </c>
      <c r="E3086" s="1" t="n">
        <v>46316</v>
      </c>
      <c r="F3086" t="inlineStr">
        <is>
          <t>KRONOBERGS LÄN</t>
        </is>
      </c>
      <c r="G3086" t="inlineStr">
        <is>
          <t>UPPVIDINGE</t>
        </is>
      </c>
      <c r="I3086" t="n">
        <v>2.8</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24774-2022</t>
        </is>
      </c>
      <c r="B3087" t="inlineStr">
        <is>
          <t>avverkningsanmälan</t>
        </is>
      </c>
      <c r="C3087" t="inlineStr">
        <is>
          <t>Föryngringsavverkning</t>
        </is>
      </c>
      <c r="D3087" s="1" t="n">
        <v>44728</v>
      </c>
      <c r="E3087" s="1" t="n">
        <v>46316</v>
      </c>
      <c r="F3087" t="inlineStr">
        <is>
          <t>KRONOBERGS LÄN</t>
        </is>
      </c>
      <c r="G3087" t="inlineStr">
        <is>
          <t>TINGSRYD</t>
        </is>
      </c>
      <c r="I3087" t="n">
        <v>4.3</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13580-2024</t>
        </is>
      </c>
      <c r="B3088" t="inlineStr">
        <is>
          <t>avverkningsanmälan</t>
        </is>
      </c>
      <c r="C3088" t="inlineStr">
        <is>
          <t>Föryngringsavverkning</t>
        </is>
      </c>
      <c r="D3088" s="1" t="n">
        <v>45389</v>
      </c>
      <c r="E3088" s="1" t="n">
        <v>46316</v>
      </c>
      <c r="F3088" t="inlineStr">
        <is>
          <t>KRONOBERGS LÄN</t>
        </is>
      </c>
      <c r="G3088" t="inlineStr">
        <is>
          <t>UPPVIDINGE</t>
        </is>
      </c>
      <c r="I3088" t="n">
        <v>6</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42780-2023</t>
        </is>
      </c>
      <c r="B3089" t="inlineStr">
        <is>
          <t>avverkningsanmälan</t>
        </is>
      </c>
      <c r="C3089" t="inlineStr">
        <is>
          <t>Föryngringsavverkning</t>
        </is>
      </c>
      <c r="D3089" s="1" t="n">
        <v>45181</v>
      </c>
      <c r="E3089" s="1" t="n">
        <v>46316</v>
      </c>
      <c r="F3089" t="inlineStr">
        <is>
          <t>KRONOBERGS LÄN</t>
        </is>
      </c>
      <c r="G3089" t="inlineStr">
        <is>
          <t>ÄLMHULT</t>
        </is>
      </c>
      <c r="I3089" t="n">
        <v>1.8</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30105-2022</t>
        </is>
      </c>
      <c r="B3090" t="inlineStr">
        <is>
          <t>avverkningsanmälan</t>
        </is>
      </c>
      <c r="C3090" t="inlineStr">
        <is>
          <t>Föryngringsavverkning</t>
        </is>
      </c>
      <c r="D3090" s="1" t="n">
        <v>44757</v>
      </c>
      <c r="E3090" s="1" t="n">
        <v>46316</v>
      </c>
      <c r="F3090" t="inlineStr">
        <is>
          <t>KRONOBERGS LÄN</t>
        </is>
      </c>
      <c r="G3090" t="inlineStr">
        <is>
          <t>UPPVIDINGE</t>
        </is>
      </c>
      <c r="H3090" t="inlineStr">
        <is>
          <t>Sveaskog</t>
        </is>
      </c>
      <c r="I3090" t="n">
        <v>1.7</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21108-2026</t>
        </is>
      </c>
      <c r="B3091" t="inlineStr">
        <is>
          <t>avverkningsanmälan</t>
        </is>
      </c>
      <c r="C3091" t="inlineStr">
        <is>
          <t>Föryngringsavverkning</t>
        </is>
      </c>
      <c r="D3091" s="1" t="n">
        <v>46146</v>
      </c>
      <c r="E3091" s="1" t="n">
        <v>46316</v>
      </c>
      <c r="F3091" t="inlineStr">
        <is>
          <t>KRONOBERGS LÄN</t>
        </is>
      </c>
      <c r="G3091" t="inlineStr">
        <is>
          <t>LJUNGBY</t>
        </is>
      </c>
      <c r="I3091" t="n">
        <v>1.3</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3141-2025</t>
        </is>
      </c>
      <c r="B3092" t="inlineStr">
        <is>
          <t>avverkningsanmälan</t>
        </is>
      </c>
      <c r="C3092" t="inlineStr">
        <is>
          <t>Föryngringsavverkning</t>
        </is>
      </c>
      <c r="D3092" s="1" t="n">
        <v>45678</v>
      </c>
      <c r="E3092" s="1" t="n">
        <v>46316</v>
      </c>
      <c r="F3092" t="inlineStr">
        <is>
          <t>KRONOBERGS LÄN</t>
        </is>
      </c>
      <c r="G3092" t="inlineStr">
        <is>
          <t>MARKARYD</t>
        </is>
      </c>
      <c r="I3092" t="n">
        <v>1.7</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3145-2025</t>
        </is>
      </c>
      <c r="B3093" t="inlineStr">
        <is>
          <t>avverkningsanmälan</t>
        </is>
      </c>
      <c r="C3093" t="inlineStr">
        <is>
          <t>Föryngringsavverkning</t>
        </is>
      </c>
      <c r="D3093" s="1" t="n">
        <v>45678</v>
      </c>
      <c r="E3093" s="1" t="n">
        <v>46316</v>
      </c>
      <c r="F3093" t="inlineStr">
        <is>
          <t>KRONOBERGS LÄN</t>
        </is>
      </c>
      <c r="G3093" t="inlineStr">
        <is>
          <t>MARKARYD</t>
        </is>
      </c>
      <c r="I3093" t="n">
        <v>3.4</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52449-2023</t>
        </is>
      </c>
      <c r="B3094" t="inlineStr">
        <is>
          <t>avverkningsanmälan</t>
        </is>
      </c>
      <c r="C3094" t="inlineStr">
        <is>
          <t>Föryngringsavverkning</t>
        </is>
      </c>
      <c r="D3094" s="1" t="n">
        <v>45225</v>
      </c>
      <c r="E3094" s="1" t="n">
        <v>46316</v>
      </c>
      <c r="F3094" t="inlineStr">
        <is>
          <t>KRONOBERGS LÄN</t>
        </is>
      </c>
      <c r="G3094" t="inlineStr">
        <is>
          <t>UPPVIDINGE</t>
        </is>
      </c>
      <c r="I3094" t="n">
        <v>2.6</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40092-2022</t>
        </is>
      </c>
      <c r="B3095" t="inlineStr">
        <is>
          <t>avverkningsanmälan</t>
        </is>
      </c>
      <c r="C3095" t="inlineStr">
        <is>
          <t>Föryngringsavverkning</t>
        </is>
      </c>
      <c r="D3095" s="1" t="n">
        <v>44820</v>
      </c>
      <c r="E3095" s="1" t="n">
        <v>46316</v>
      </c>
      <c r="F3095" t="inlineStr">
        <is>
          <t>KRONOBERGS LÄN</t>
        </is>
      </c>
      <c r="G3095" t="inlineStr">
        <is>
          <t>LJUNGBY</t>
        </is>
      </c>
      <c r="I3095" t="n">
        <v>1</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58134-2023</t>
        </is>
      </c>
      <c r="B3096" t="inlineStr">
        <is>
          <t>avverkningsanmälan</t>
        </is>
      </c>
      <c r="C3096" t="inlineStr">
        <is>
          <t>Föryngringsavverkning</t>
        </is>
      </c>
      <c r="D3096" s="1" t="n">
        <v>45250</v>
      </c>
      <c r="E3096" s="1" t="n">
        <v>46316</v>
      </c>
      <c r="F3096" t="inlineStr">
        <is>
          <t>KRONOBERGS LÄN</t>
        </is>
      </c>
      <c r="G3096" t="inlineStr">
        <is>
          <t>VÄXJÖ</t>
        </is>
      </c>
      <c r="I3096" t="n">
        <v>3.1</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61995-2022</t>
        </is>
      </c>
      <c r="B3097" t="inlineStr">
        <is>
          <t>avverkningsanmälan</t>
        </is>
      </c>
      <c r="C3097" t="inlineStr">
        <is>
          <t>Föryngringsavverkning</t>
        </is>
      </c>
      <c r="D3097" s="1" t="n">
        <v>44918</v>
      </c>
      <c r="E3097" s="1" t="n">
        <v>46316</v>
      </c>
      <c r="F3097" t="inlineStr">
        <is>
          <t>KRONOBERGS LÄN</t>
        </is>
      </c>
      <c r="G3097" t="inlineStr">
        <is>
          <t>LESSEBO</t>
        </is>
      </c>
      <c r="H3097" t="inlineStr">
        <is>
          <t>Kommuner</t>
        </is>
      </c>
      <c r="I3097" t="n">
        <v>1</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63539-2023</t>
        </is>
      </c>
      <c r="B3098" t="inlineStr">
        <is>
          <t>avverkningsanmälan</t>
        </is>
      </c>
      <c r="C3098" t="inlineStr">
        <is>
          <t>Föryngringsavverkning</t>
        </is>
      </c>
      <c r="D3098" s="1" t="n">
        <v>45275</v>
      </c>
      <c r="E3098" s="1" t="n">
        <v>46316</v>
      </c>
      <c r="F3098" t="inlineStr">
        <is>
          <t>KRONOBERGS LÄN</t>
        </is>
      </c>
      <c r="G3098" t="inlineStr">
        <is>
          <t>LJUNGBY</t>
        </is>
      </c>
      <c r="I3098" t="n">
        <v>1.1</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64603-2023</t>
        </is>
      </c>
      <c r="B3099" t="inlineStr">
        <is>
          <t>avverkningsanmälan</t>
        </is>
      </c>
      <c r="C3099" t="inlineStr">
        <is>
          <t>Avverkning för annat ändamål</t>
        </is>
      </c>
      <c r="D3099" s="1" t="n">
        <v>45281</v>
      </c>
      <c r="E3099" s="1" t="n">
        <v>46316</v>
      </c>
      <c r="F3099" t="inlineStr">
        <is>
          <t>KRONOBERGS LÄN</t>
        </is>
      </c>
      <c r="G3099" t="inlineStr">
        <is>
          <t>VÄXJÖ</t>
        </is>
      </c>
      <c r="I3099" t="n">
        <v>1.3</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50733-2023</t>
        </is>
      </c>
      <c r="B3100" t="inlineStr">
        <is>
          <t>avverkningsanmälan</t>
        </is>
      </c>
      <c r="C3100" t="inlineStr">
        <is>
          <t>Avverkning för annat ändamål</t>
        </is>
      </c>
      <c r="D3100" s="1" t="n">
        <v>45217</v>
      </c>
      <c r="E3100" s="1" t="n">
        <v>46316</v>
      </c>
      <c r="F3100" t="inlineStr">
        <is>
          <t>KRONOBERGS LÄN</t>
        </is>
      </c>
      <c r="G3100" t="inlineStr">
        <is>
          <t>ALVESTA</t>
        </is>
      </c>
      <c r="I3100" t="n">
        <v>1.8</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53241-2023</t>
        </is>
      </c>
      <c r="B3101" t="inlineStr">
        <is>
          <t>avverkningsanmälan</t>
        </is>
      </c>
      <c r="C3101" t="inlineStr">
        <is>
          <t>Föryngringsavverkning</t>
        </is>
      </c>
      <c r="D3101" s="1" t="n">
        <v>45229</v>
      </c>
      <c r="E3101" s="1" t="n">
        <v>46316</v>
      </c>
      <c r="F3101" t="inlineStr">
        <is>
          <t>KRONOBERGS LÄN</t>
        </is>
      </c>
      <c r="G3101" t="inlineStr">
        <is>
          <t>UPPVIDINGE</t>
        </is>
      </c>
      <c r="I3101" t="n">
        <v>1.2</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9526-2025</t>
        </is>
      </c>
      <c r="B3102" t="inlineStr">
        <is>
          <t>avverkningsanmälan</t>
        </is>
      </c>
      <c r="C3102" t="inlineStr">
        <is>
          <t>Föryngringsavverkning</t>
        </is>
      </c>
      <c r="D3102" s="1" t="n">
        <v>45715</v>
      </c>
      <c r="E3102" s="1" t="n">
        <v>46316</v>
      </c>
      <c r="F3102" t="inlineStr">
        <is>
          <t>KRONOBERGS LÄN</t>
        </is>
      </c>
      <c r="G3102" t="inlineStr">
        <is>
          <t>LJUNGBY</t>
        </is>
      </c>
      <c r="I3102" t="n">
        <v>1</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15175-2023</t>
        </is>
      </c>
      <c r="B3103" t="inlineStr">
        <is>
          <t>avverkningsanmälan</t>
        </is>
      </c>
      <c r="C3103" t="inlineStr">
        <is>
          <t>Föryngringsavverkning</t>
        </is>
      </c>
      <c r="D3103" s="1" t="n">
        <v>45016</v>
      </c>
      <c r="E3103" s="1" t="n">
        <v>46316</v>
      </c>
      <c r="F3103" t="inlineStr">
        <is>
          <t>KRONOBERGS LÄN</t>
        </is>
      </c>
      <c r="G3103" t="inlineStr">
        <is>
          <t>VÄXJÖ</t>
        </is>
      </c>
      <c r="I3103" t="n">
        <v>0.7</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38838-2025</t>
        </is>
      </c>
      <c r="B3104" t="inlineStr">
        <is>
          <t>avverkningsanmälan</t>
        </is>
      </c>
      <c r="C3104" t="inlineStr">
        <is>
          <t>Föryngringsavverkning</t>
        </is>
      </c>
      <c r="D3104" s="1" t="n">
        <v>45887</v>
      </c>
      <c r="E3104" s="1" t="n">
        <v>46316</v>
      </c>
      <c r="F3104" t="inlineStr">
        <is>
          <t>KRONOBERGS LÄN</t>
        </is>
      </c>
      <c r="G3104" t="inlineStr">
        <is>
          <t>ÄLMHULT</t>
        </is>
      </c>
      <c r="I3104" t="n">
        <v>1.3</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29661-2023</t>
        </is>
      </c>
      <c r="B3105" t="inlineStr">
        <is>
          <t>avverkningsanmälan</t>
        </is>
      </c>
      <c r="C3105" t="inlineStr">
        <is>
          <t>Föryngringsavverkning</t>
        </is>
      </c>
      <c r="D3105" s="1" t="n">
        <v>45107</v>
      </c>
      <c r="E3105" s="1" t="n">
        <v>46316</v>
      </c>
      <c r="F3105" t="inlineStr">
        <is>
          <t>KRONOBERGS LÄN</t>
        </is>
      </c>
      <c r="G3105" t="inlineStr">
        <is>
          <t>TINGSRYD</t>
        </is>
      </c>
      <c r="I3105" t="n">
        <v>3</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1704-2025</t>
        </is>
      </c>
      <c r="B3106" t="inlineStr">
        <is>
          <t>avverkningsanmälan</t>
        </is>
      </c>
      <c r="C3106" t="inlineStr">
        <is>
          <t>Föryngringsavverkning</t>
        </is>
      </c>
      <c r="D3106" s="1" t="n">
        <v>45670</v>
      </c>
      <c r="E3106" s="1" t="n">
        <v>46316</v>
      </c>
      <c r="F3106" t="inlineStr">
        <is>
          <t>KRONOBERGS LÄN</t>
        </is>
      </c>
      <c r="G3106" t="inlineStr">
        <is>
          <t>VÄXJÖ</t>
        </is>
      </c>
      <c r="I3106" t="n">
        <v>0.6</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8174-2025</t>
        </is>
      </c>
      <c r="B3107" t="inlineStr">
        <is>
          <t>avverkningsanmälan</t>
        </is>
      </c>
      <c r="C3107" t="inlineStr">
        <is>
          <t>Avverkning för annat ändamål</t>
        </is>
      </c>
      <c r="D3107" s="1" t="n">
        <v>45708</v>
      </c>
      <c r="E3107" s="1" t="n">
        <v>46316</v>
      </c>
      <c r="F3107" t="inlineStr">
        <is>
          <t>KRONOBERGS LÄN</t>
        </is>
      </c>
      <c r="G3107" t="inlineStr">
        <is>
          <t>LESSEBO</t>
        </is>
      </c>
      <c r="I3107" t="n">
        <v>4.2</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62222-2023</t>
        </is>
      </c>
      <c r="B3108" t="inlineStr">
        <is>
          <t>avverkningsanmälan</t>
        </is>
      </c>
      <c r="C3108" t="inlineStr">
        <is>
          <t>Föryngringsavverkning</t>
        </is>
      </c>
      <c r="D3108" s="1" t="n">
        <v>45267</v>
      </c>
      <c r="E3108" s="1" t="n">
        <v>46316</v>
      </c>
      <c r="F3108" t="inlineStr">
        <is>
          <t>KRONOBERGS LÄN</t>
        </is>
      </c>
      <c r="G3108" t="inlineStr">
        <is>
          <t>TINGSRYD</t>
        </is>
      </c>
      <c r="I3108" t="n">
        <v>1.1</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21231-2026</t>
        </is>
      </c>
      <c r="B3109" t="inlineStr">
        <is>
          <t>avverkningsanmälan</t>
        </is>
      </c>
      <c r="C3109" t="inlineStr">
        <is>
          <t>Föryngringsavverkning</t>
        </is>
      </c>
      <c r="D3109" s="1" t="n">
        <v>46146</v>
      </c>
      <c r="E3109" s="1" t="n">
        <v>46316</v>
      </c>
      <c r="F3109" t="inlineStr">
        <is>
          <t>KRONOBERGS LÄN</t>
        </is>
      </c>
      <c r="G3109" t="inlineStr">
        <is>
          <t>LJUNGBY</t>
        </is>
      </c>
      <c r="I3109" t="n">
        <v>1.8</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28038-2024</t>
        </is>
      </c>
      <c r="B3110" t="inlineStr">
        <is>
          <t>avverkningsanmälan</t>
        </is>
      </c>
      <c r="C3110" t="inlineStr">
        <is>
          <t>Föryngringsavverkning</t>
        </is>
      </c>
      <c r="D3110" s="1" t="n">
        <v>45476</v>
      </c>
      <c r="E3110" s="1" t="n">
        <v>46316</v>
      </c>
      <c r="F3110" t="inlineStr">
        <is>
          <t>KRONOBERGS LÄN</t>
        </is>
      </c>
      <c r="G3110" t="inlineStr">
        <is>
          <t>LJUNGBY</t>
        </is>
      </c>
      <c r="I3110" t="n">
        <v>1.4</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38172-2023</t>
        </is>
      </c>
      <c r="B3111" t="inlineStr">
        <is>
          <t>avverkningsanmälan</t>
        </is>
      </c>
      <c r="C3111" t="inlineStr">
        <is>
          <t>Föryngringsavverkning</t>
        </is>
      </c>
      <c r="D3111" s="1" t="n">
        <v>45161</v>
      </c>
      <c r="E3111" s="1" t="n">
        <v>46316</v>
      </c>
      <c r="F3111" t="inlineStr">
        <is>
          <t>KRONOBERGS LÄN</t>
        </is>
      </c>
      <c r="G3111" t="inlineStr">
        <is>
          <t>VÄXJÖ</t>
        </is>
      </c>
      <c r="I3111" t="n">
        <v>1.1</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4838-2024</t>
        </is>
      </c>
      <c r="B3112" t="inlineStr">
        <is>
          <t>avverkningsanmälan</t>
        </is>
      </c>
      <c r="C3112" t="inlineStr">
        <is>
          <t>Föryngringsavverkning</t>
        </is>
      </c>
      <c r="D3112" s="1" t="n">
        <v>45329</v>
      </c>
      <c r="E3112" s="1" t="n">
        <v>46316</v>
      </c>
      <c r="F3112" t="inlineStr">
        <is>
          <t>KRONOBERGS LÄN</t>
        </is>
      </c>
      <c r="G3112" t="inlineStr">
        <is>
          <t>TINGSRYD</t>
        </is>
      </c>
      <c r="H3112" t="inlineStr">
        <is>
          <t>Kommuner</t>
        </is>
      </c>
      <c r="I3112" t="n">
        <v>2</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30589-2023</t>
        </is>
      </c>
      <c r="B3113" t="inlineStr">
        <is>
          <t>avverkningsanmälan</t>
        </is>
      </c>
      <c r="C3113" t="inlineStr">
        <is>
          <t>Föryngringsavverkning</t>
        </is>
      </c>
      <c r="D3113" s="1" t="n">
        <v>45112</v>
      </c>
      <c r="E3113" s="1" t="n">
        <v>46316</v>
      </c>
      <c r="F3113" t="inlineStr">
        <is>
          <t>KRONOBERGS LÄN</t>
        </is>
      </c>
      <c r="G3113" t="inlineStr">
        <is>
          <t>UPPVIDINGE</t>
        </is>
      </c>
      <c r="I3113" t="n">
        <v>2.3</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4230-2025</t>
        </is>
      </c>
      <c r="B3114" t="inlineStr">
        <is>
          <t>avverkningsanmälan</t>
        </is>
      </c>
      <c r="C3114" t="inlineStr">
        <is>
          <t>Föryngringsavverkning</t>
        </is>
      </c>
      <c r="D3114" s="1" t="n">
        <v>45685</v>
      </c>
      <c r="E3114" s="1" t="n">
        <v>46316</v>
      </c>
      <c r="F3114" t="inlineStr">
        <is>
          <t>KRONOBERGS LÄN</t>
        </is>
      </c>
      <c r="G3114" t="inlineStr">
        <is>
          <t>UPPVIDINGE</t>
        </is>
      </c>
      <c r="I3114" t="n">
        <v>1.5</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56213-2023</t>
        </is>
      </c>
      <c r="B3115" t="inlineStr">
        <is>
          <t>avverkningsanmälan</t>
        </is>
      </c>
      <c r="C3115" t="inlineStr">
        <is>
          <t>Föryngringsavverkning</t>
        </is>
      </c>
      <c r="D3115" s="1" t="n">
        <v>45240</v>
      </c>
      <c r="E3115" s="1" t="n">
        <v>46316</v>
      </c>
      <c r="F3115" t="inlineStr">
        <is>
          <t>KRONOBERGS LÄN</t>
        </is>
      </c>
      <c r="G3115" t="inlineStr">
        <is>
          <t>VÄXJÖ</t>
        </is>
      </c>
      <c r="I3115" t="n">
        <v>1.6</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48676-2023</t>
        </is>
      </c>
      <c r="B3116" t="inlineStr">
        <is>
          <t>avverkningsanmälan</t>
        </is>
      </c>
      <c r="C3116" t="inlineStr">
        <is>
          <t>Föryngringsavverkning</t>
        </is>
      </c>
      <c r="D3116" s="1" t="n">
        <v>45208</v>
      </c>
      <c r="E3116" s="1" t="n">
        <v>46316</v>
      </c>
      <c r="F3116" t="inlineStr">
        <is>
          <t>KRONOBERGS LÄN</t>
        </is>
      </c>
      <c r="G3116" t="inlineStr">
        <is>
          <t>UPPVIDINGE</t>
        </is>
      </c>
      <c r="I3116" t="n">
        <v>2.2</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21191-2026</t>
        </is>
      </c>
      <c r="B3117" t="inlineStr">
        <is>
          <t>avverkningsanmälan</t>
        </is>
      </c>
      <c r="C3117" t="inlineStr">
        <is>
          <t>Föryngringsavverkning</t>
        </is>
      </c>
      <c r="D3117" s="1" t="n">
        <v>46146</v>
      </c>
      <c r="E3117" s="1" t="n">
        <v>46316</v>
      </c>
      <c r="F3117" t="inlineStr">
        <is>
          <t>KRONOBERGS LÄN</t>
        </is>
      </c>
      <c r="G3117" t="inlineStr">
        <is>
          <t>VÄXJÖ</t>
        </is>
      </c>
      <c r="I3117" t="n">
        <v>1</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21197-2026</t>
        </is>
      </c>
      <c r="B3118" t="inlineStr">
        <is>
          <t>avverkningsanmälan</t>
        </is>
      </c>
      <c r="C3118" t="inlineStr">
        <is>
          <t>Föryngringsavverkning</t>
        </is>
      </c>
      <c r="D3118" s="1" t="n">
        <v>46146</v>
      </c>
      <c r="E3118" s="1" t="n">
        <v>46316</v>
      </c>
      <c r="F3118" t="inlineStr">
        <is>
          <t>KRONOBERGS LÄN</t>
        </is>
      </c>
      <c r="G3118" t="inlineStr">
        <is>
          <t>VÄXJÖ</t>
        </is>
      </c>
      <c r="I3118" t="n">
        <v>0.4</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3370-2024</t>
        </is>
      </c>
      <c r="B3119" t="inlineStr">
        <is>
          <t>avverkningsanmälan</t>
        </is>
      </c>
      <c r="C3119" t="inlineStr">
        <is>
          <t>Avverkning för annat ändamål</t>
        </is>
      </c>
      <c r="D3119" s="1" t="n">
        <v>45317</v>
      </c>
      <c r="E3119" s="1" t="n">
        <v>46316</v>
      </c>
      <c r="F3119" t="inlineStr">
        <is>
          <t>KRONOBERGS LÄN</t>
        </is>
      </c>
      <c r="G3119" t="inlineStr">
        <is>
          <t>UPPVIDINGE</t>
        </is>
      </c>
      <c r="H3119" t="inlineStr">
        <is>
          <t>Sveaskog</t>
        </is>
      </c>
      <c r="I3119" t="n">
        <v>0.3</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21193-2026</t>
        </is>
      </c>
      <c r="B3120" t="inlineStr">
        <is>
          <t>avverkningsanmälan</t>
        </is>
      </c>
      <c r="C3120" t="inlineStr">
        <is>
          <t>Föryngringsavverkning</t>
        </is>
      </c>
      <c r="D3120" s="1" t="n">
        <v>46146</v>
      </c>
      <c r="E3120" s="1" t="n">
        <v>46316</v>
      </c>
      <c r="F3120" t="inlineStr">
        <is>
          <t>KRONOBERGS LÄN</t>
        </is>
      </c>
      <c r="G3120" t="inlineStr">
        <is>
          <t>VÄXJÖ</t>
        </is>
      </c>
      <c r="I3120" t="n">
        <v>0.5</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35729-2024</t>
        </is>
      </c>
      <c r="B3121" t="inlineStr">
        <is>
          <t>avverkningsanmälan</t>
        </is>
      </c>
      <c r="C3121" t="inlineStr">
        <is>
          <t>Föryngringsavverkning</t>
        </is>
      </c>
      <c r="D3121" s="1" t="n">
        <v>45532</v>
      </c>
      <c r="E3121" s="1" t="n">
        <v>46316</v>
      </c>
      <c r="F3121" t="inlineStr">
        <is>
          <t>KRONOBERGS LÄN</t>
        </is>
      </c>
      <c r="G3121" t="inlineStr">
        <is>
          <t>ALVESTA</t>
        </is>
      </c>
      <c r="I3121" t="n">
        <v>4.7</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21384-2026</t>
        </is>
      </c>
      <c r="B3122" t="inlineStr">
        <is>
          <t>avverkningsanmälan</t>
        </is>
      </c>
      <c r="C3122" t="inlineStr">
        <is>
          <t>Föryngringsavverkning</t>
        </is>
      </c>
      <c r="D3122" s="1" t="n">
        <v>46147</v>
      </c>
      <c r="E3122" s="1" t="n">
        <v>46316</v>
      </c>
      <c r="F3122" t="inlineStr">
        <is>
          <t>KRONOBERGS LÄN</t>
        </is>
      </c>
      <c r="G3122" t="inlineStr">
        <is>
          <t>ÄLMHULT</t>
        </is>
      </c>
      <c r="I3122" t="n">
        <v>3.6</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22122-2023</t>
        </is>
      </c>
      <c r="B3123" t="inlineStr">
        <is>
          <t>avverkningsanmälan</t>
        </is>
      </c>
      <c r="C3123" t="inlineStr">
        <is>
          <t>Föryngringsavverkning</t>
        </is>
      </c>
      <c r="D3123" s="1" t="n">
        <v>45069</v>
      </c>
      <c r="E3123" s="1" t="n">
        <v>46316</v>
      </c>
      <c r="F3123" t="inlineStr">
        <is>
          <t>KRONOBERGS LÄN</t>
        </is>
      </c>
      <c r="G3123" t="inlineStr">
        <is>
          <t>TINGSRYD</t>
        </is>
      </c>
      <c r="I3123" t="n">
        <v>5.5</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18304-2023</t>
        </is>
      </c>
      <c r="B3124" t="inlineStr">
        <is>
          <t>avverkningsanmälan</t>
        </is>
      </c>
      <c r="C3124" t="inlineStr">
        <is>
          <t>Föryngringsavverkning</t>
        </is>
      </c>
      <c r="D3124" s="1" t="n">
        <v>45041</v>
      </c>
      <c r="E3124" s="1" t="n">
        <v>46316</v>
      </c>
      <c r="F3124" t="inlineStr">
        <is>
          <t>KRONOBERGS LÄN</t>
        </is>
      </c>
      <c r="G3124" t="inlineStr">
        <is>
          <t>UPPVIDINGE</t>
        </is>
      </c>
      <c r="I3124" t="n">
        <v>0.6</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21336-2026</t>
        </is>
      </c>
      <c r="B3125" t="inlineStr">
        <is>
          <t>avverkningsanmälan</t>
        </is>
      </c>
      <c r="C3125" t="inlineStr">
        <is>
          <t>Föryngringsavverkning</t>
        </is>
      </c>
      <c r="D3125" s="1" t="n">
        <v>46147</v>
      </c>
      <c r="E3125" s="1" t="n">
        <v>46316</v>
      </c>
      <c r="F3125" t="inlineStr">
        <is>
          <t>KRONOBERGS LÄN</t>
        </is>
      </c>
      <c r="G3125" t="inlineStr">
        <is>
          <t>VÄXJÖ</t>
        </is>
      </c>
      <c r="I3125" t="n">
        <v>3.1</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21339-2026</t>
        </is>
      </c>
      <c r="B3126" t="inlineStr">
        <is>
          <t>avverkningsanmälan</t>
        </is>
      </c>
      <c r="C3126" t="inlineStr">
        <is>
          <t>Föryngringsavverkning</t>
        </is>
      </c>
      <c r="D3126" s="1" t="n">
        <v>46147</v>
      </c>
      <c r="E3126" s="1" t="n">
        <v>46316</v>
      </c>
      <c r="F3126" t="inlineStr">
        <is>
          <t>KRONOBERGS LÄN</t>
        </is>
      </c>
      <c r="G3126" t="inlineStr">
        <is>
          <t>VÄXJÖ</t>
        </is>
      </c>
      <c r="I3126" t="n">
        <v>0.6</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44670-2024</t>
        </is>
      </c>
      <c r="B3127" t="inlineStr">
        <is>
          <t>avverkningsanmälan</t>
        </is>
      </c>
      <c r="C3127" t="inlineStr">
        <is>
          <t>Föryngringsavverkning</t>
        </is>
      </c>
      <c r="D3127" s="1" t="n">
        <v>45574</v>
      </c>
      <c r="E3127" s="1" t="n">
        <v>46316</v>
      </c>
      <c r="F3127" t="inlineStr">
        <is>
          <t>KRONOBERGS LÄN</t>
        </is>
      </c>
      <c r="G3127" t="inlineStr">
        <is>
          <t>TINGSRYD</t>
        </is>
      </c>
      <c r="I3127" t="n">
        <v>0.5</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32664-2023</t>
        </is>
      </c>
      <c r="B3128" t="inlineStr">
        <is>
          <t>avverkningsanmälan</t>
        </is>
      </c>
      <c r="C3128" t="inlineStr">
        <is>
          <t>Avverkning för annat ändamål</t>
        </is>
      </c>
      <c r="D3128" s="1" t="n">
        <v>45111</v>
      </c>
      <c r="E3128" s="1" t="n">
        <v>46316</v>
      </c>
      <c r="F3128" t="inlineStr">
        <is>
          <t>KRONOBERGS LÄN</t>
        </is>
      </c>
      <c r="G3128" t="inlineStr">
        <is>
          <t>LJUNGBY</t>
        </is>
      </c>
      <c r="I3128" t="n">
        <v>3</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1001-2023</t>
        </is>
      </c>
      <c r="B3129" t="inlineStr">
        <is>
          <t>avverkningsanmälan</t>
        </is>
      </c>
      <c r="C3129" t="inlineStr">
        <is>
          <t>Föryngringsavverkning</t>
        </is>
      </c>
      <c r="D3129" s="1" t="n">
        <v>44935</v>
      </c>
      <c r="E3129" s="1" t="n">
        <v>46316</v>
      </c>
      <c r="F3129" t="inlineStr">
        <is>
          <t>KRONOBERGS LÄN</t>
        </is>
      </c>
      <c r="G3129" t="inlineStr">
        <is>
          <t>TINGSRYD</t>
        </is>
      </c>
      <c r="I3129" t="n">
        <v>1.4</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45857-2022</t>
        </is>
      </c>
      <c r="B3130" t="inlineStr">
        <is>
          <t>avverkningsanmälan</t>
        </is>
      </c>
      <c r="C3130" t="inlineStr">
        <is>
          <t>Föryngringsavverkning</t>
        </is>
      </c>
      <c r="D3130" s="1" t="n">
        <v>44846</v>
      </c>
      <c r="E3130" s="1" t="n">
        <v>46316</v>
      </c>
      <c r="F3130" t="inlineStr">
        <is>
          <t>KRONOBERGS LÄN</t>
        </is>
      </c>
      <c r="G3130" t="inlineStr">
        <is>
          <t>LJUNGBY</t>
        </is>
      </c>
      <c r="I3130" t="n">
        <v>7.4</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58180-2023</t>
        </is>
      </c>
      <c r="B3131" t="inlineStr">
        <is>
          <t>avverkningsanmälan</t>
        </is>
      </c>
      <c r="C3131" t="inlineStr">
        <is>
          <t>Föryngringsavverkning</t>
        </is>
      </c>
      <c r="D3131" s="1" t="n">
        <v>45250</v>
      </c>
      <c r="E3131" s="1" t="n">
        <v>46316</v>
      </c>
      <c r="F3131" t="inlineStr">
        <is>
          <t>KRONOBERGS LÄN</t>
        </is>
      </c>
      <c r="G3131" t="inlineStr">
        <is>
          <t>VÄXJÖ</t>
        </is>
      </c>
      <c r="I3131" t="n">
        <v>0.7</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39309-2023</t>
        </is>
      </c>
      <c r="B3132" t="inlineStr">
        <is>
          <t>avverkningsanmälan</t>
        </is>
      </c>
      <c r="C3132" t="inlineStr">
        <is>
          <t>Föryngringsavverkning</t>
        </is>
      </c>
      <c r="D3132" s="1" t="n">
        <v>45166</v>
      </c>
      <c r="E3132" s="1" t="n">
        <v>46316</v>
      </c>
      <c r="F3132" t="inlineStr">
        <is>
          <t>KRONOBERGS LÄN</t>
        </is>
      </c>
      <c r="G3132" t="inlineStr">
        <is>
          <t>ALVESTA</t>
        </is>
      </c>
      <c r="I3132" t="n">
        <v>2.7</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21344-2026</t>
        </is>
      </c>
      <c r="B3133" t="inlineStr">
        <is>
          <t>avverkningsanmälan</t>
        </is>
      </c>
      <c r="C3133" t="inlineStr">
        <is>
          <t>Föryngringsavverkning</t>
        </is>
      </c>
      <c r="D3133" s="1" t="n">
        <v>46147</v>
      </c>
      <c r="E3133" s="1" t="n">
        <v>46316</v>
      </c>
      <c r="F3133" t="inlineStr">
        <is>
          <t>KRONOBERGS LÄN</t>
        </is>
      </c>
      <c r="G3133" t="inlineStr">
        <is>
          <t>VÄXJÖ</t>
        </is>
      </c>
      <c r="I3133" t="n">
        <v>2.5</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57959-2024</t>
        </is>
      </c>
      <c r="B3134" t="inlineStr">
        <is>
          <t>avverkningsanmälan</t>
        </is>
      </c>
      <c r="C3134" t="inlineStr">
        <is>
          <t>Föryngringsavverkning</t>
        </is>
      </c>
      <c r="D3134" s="1" t="n">
        <v>45631</v>
      </c>
      <c r="E3134" s="1" t="n">
        <v>46316</v>
      </c>
      <c r="F3134" t="inlineStr">
        <is>
          <t>KRONOBERGS LÄN</t>
        </is>
      </c>
      <c r="G3134" t="inlineStr">
        <is>
          <t>TINGSRYD</t>
        </is>
      </c>
      <c r="I3134" t="n">
        <v>2.2</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35496-2023</t>
        </is>
      </c>
      <c r="B3135" t="inlineStr">
        <is>
          <t>avverkningsanmälan</t>
        </is>
      </c>
      <c r="C3135" t="inlineStr">
        <is>
          <t>Föryngringsavverkning</t>
        </is>
      </c>
      <c r="D3135" s="1" t="n">
        <v>45146</v>
      </c>
      <c r="E3135" s="1" t="n">
        <v>46316</v>
      </c>
      <c r="F3135" t="inlineStr">
        <is>
          <t>KRONOBERGS LÄN</t>
        </is>
      </c>
      <c r="G3135" t="inlineStr">
        <is>
          <t>UPPVIDINGE</t>
        </is>
      </c>
      <c r="I3135" t="n">
        <v>0.8</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46360-2022</t>
        </is>
      </c>
      <c r="B3136" t="inlineStr">
        <is>
          <t>avverkningsanmälan</t>
        </is>
      </c>
      <c r="C3136" t="inlineStr">
        <is>
          <t>Föryngringsavverkning</t>
        </is>
      </c>
      <c r="D3136" s="1" t="n">
        <v>44848</v>
      </c>
      <c r="E3136" s="1" t="n">
        <v>46316</v>
      </c>
      <c r="F3136" t="inlineStr">
        <is>
          <t>KRONOBERGS LÄN</t>
        </is>
      </c>
      <c r="G3136" t="inlineStr">
        <is>
          <t>LJUNGBY</t>
        </is>
      </c>
      <c r="I3136" t="n">
        <v>0.9</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21347-2026</t>
        </is>
      </c>
      <c r="B3137" t="inlineStr">
        <is>
          <t>avverkningsanmälan</t>
        </is>
      </c>
      <c r="C3137" t="inlineStr">
        <is>
          <t>Föryngringsavverkning</t>
        </is>
      </c>
      <c r="D3137" s="1" t="n">
        <v>46147</v>
      </c>
      <c r="E3137" s="1" t="n">
        <v>46316</v>
      </c>
      <c r="F3137" t="inlineStr">
        <is>
          <t>KRONOBERGS LÄN</t>
        </is>
      </c>
      <c r="G3137" t="inlineStr">
        <is>
          <t>VÄXJÖ</t>
        </is>
      </c>
      <c r="I3137" t="n">
        <v>2.4</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21324-2026</t>
        </is>
      </c>
      <c r="B3138" t="inlineStr">
        <is>
          <t>avverkningsanmälan</t>
        </is>
      </c>
      <c r="C3138" t="inlineStr">
        <is>
          <t>Föryngringsavverkning</t>
        </is>
      </c>
      <c r="D3138" s="1" t="n">
        <v>46147</v>
      </c>
      <c r="E3138" s="1" t="n">
        <v>46316</v>
      </c>
      <c r="F3138" t="inlineStr">
        <is>
          <t>KRONOBERGS LÄN</t>
        </is>
      </c>
      <c r="G3138" t="inlineStr">
        <is>
          <t>VÄXJÖ</t>
        </is>
      </c>
      <c r="I3138" t="n">
        <v>6.9</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50629-2023</t>
        </is>
      </c>
      <c r="B3139" t="inlineStr">
        <is>
          <t>avverkningsanmälan</t>
        </is>
      </c>
      <c r="C3139" t="inlineStr">
        <is>
          <t>Föryngringsavverkning</t>
        </is>
      </c>
      <c r="D3139" s="1" t="n">
        <v>45217</v>
      </c>
      <c r="E3139" s="1" t="n">
        <v>46316</v>
      </c>
      <c r="F3139" t="inlineStr">
        <is>
          <t>KRONOBERGS LÄN</t>
        </is>
      </c>
      <c r="G3139" t="inlineStr">
        <is>
          <t>ALVESTA</t>
        </is>
      </c>
      <c r="I3139" t="n">
        <v>5.4</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4107-2025</t>
        </is>
      </c>
      <c r="B3140" t="inlineStr">
        <is>
          <t>avverkningsanmälan</t>
        </is>
      </c>
      <c r="C3140" t="inlineStr">
        <is>
          <t>Föryngringsavverkning</t>
        </is>
      </c>
      <c r="D3140" s="1" t="n">
        <v>45684</v>
      </c>
      <c r="E3140" s="1" t="n">
        <v>46316</v>
      </c>
      <c r="F3140" t="inlineStr">
        <is>
          <t>KRONOBERGS LÄN</t>
        </is>
      </c>
      <c r="G3140" t="inlineStr">
        <is>
          <t>LESSEBO</t>
        </is>
      </c>
      <c r="I3140" t="n">
        <v>1.6</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36193-2023</t>
        </is>
      </c>
      <c r="B3141" t="inlineStr">
        <is>
          <t>avverkningsanmälan</t>
        </is>
      </c>
      <c r="C3141" t="inlineStr">
        <is>
          <t>Föryngringsavverkning</t>
        </is>
      </c>
      <c r="D3141" s="1" t="n">
        <v>45149</v>
      </c>
      <c r="E3141" s="1" t="n">
        <v>46316</v>
      </c>
      <c r="F3141" t="inlineStr">
        <is>
          <t>KRONOBERGS LÄN</t>
        </is>
      </c>
      <c r="G3141" t="inlineStr">
        <is>
          <t>UPPVIDINGE</t>
        </is>
      </c>
      <c r="I3141" t="n">
        <v>2.1</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8926-2024</t>
        </is>
      </c>
      <c r="B3142" t="inlineStr">
        <is>
          <t>avverkningsanmälan</t>
        </is>
      </c>
      <c r="C3142" t="inlineStr">
        <is>
          <t>Avverkning för annat ändamål</t>
        </is>
      </c>
      <c r="D3142" s="1" t="n">
        <v>45357</v>
      </c>
      <c r="E3142" s="1" t="n">
        <v>46316</v>
      </c>
      <c r="F3142" t="inlineStr">
        <is>
          <t>KRONOBERGS LÄN</t>
        </is>
      </c>
      <c r="G3142" t="inlineStr">
        <is>
          <t>UPPVIDINGE</t>
        </is>
      </c>
      <c r="I3142" t="n">
        <v>1.7</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38330-2023</t>
        </is>
      </c>
      <c r="B3143" t="inlineStr">
        <is>
          <t>avverkningsanmälan</t>
        </is>
      </c>
      <c r="C3143" t="inlineStr">
        <is>
          <t>Föryngringsavverkning</t>
        </is>
      </c>
      <c r="D3143" s="1" t="n">
        <v>45161</v>
      </c>
      <c r="E3143" s="1" t="n">
        <v>46316</v>
      </c>
      <c r="F3143" t="inlineStr">
        <is>
          <t>KRONOBERGS LÄN</t>
        </is>
      </c>
      <c r="G3143" t="inlineStr">
        <is>
          <t>MARKARYD</t>
        </is>
      </c>
      <c r="I3143" t="n">
        <v>2.7</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5982-2024</t>
        </is>
      </c>
      <c r="B3144" t="inlineStr">
        <is>
          <t>avverkningsanmälan</t>
        </is>
      </c>
      <c r="C3144" t="inlineStr">
        <is>
          <t>Föryngringsavverkning</t>
        </is>
      </c>
      <c r="D3144" s="1" t="n">
        <v>45336</v>
      </c>
      <c r="E3144" s="1" t="n">
        <v>46316</v>
      </c>
      <c r="F3144" t="inlineStr">
        <is>
          <t>KRONOBERGS LÄN</t>
        </is>
      </c>
      <c r="G3144" t="inlineStr">
        <is>
          <t>ALVESTA</t>
        </is>
      </c>
      <c r="I3144" t="n">
        <v>0.8</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25391-2023</t>
        </is>
      </c>
      <c r="B3145" t="inlineStr">
        <is>
          <t>avverkningsanmälan</t>
        </is>
      </c>
      <c r="C3145" t="inlineStr">
        <is>
          <t>Föryngringsavverkning</t>
        </is>
      </c>
      <c r="D3145" s="1" t="n">
        <v>45089</v>
      </c>
      <c r="E3145" s="1" t="n">
        <v>46316</v>
      </c>
      <c r="F3145" t="inlineStr">
        <is>
          <t>KRONOBERGS LÄN</t>
        </is>
      </c>
      <c r="G3145" t="inlineStr">
        <is>
          <t>LJUNGBY</t>
        </is>
      </c>
      <c r="I3145" t="n">
        <v>2.4</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343-2022</t>
        </is>
      </c>
      <c r="B3146" t="inlineStr">
        <is>
          <t>avverkningsanmälan</t>
        </is>
      </c>
      <c r="C3146" t="inlineStr">
        <is>
          <t>Föryngringsavverkning</t>
        </is>
      </c>
      <c r="D3146" s="1" t="n">
        <v>44565</v>
      </c>
      <c r="E3146" s="1" t="n">
        <v>46316</v>
      </c>
      <c r="F3146" t="inlineStr">
        <is>
          <t>KRONOBERGS LÄN</t>
        </is>
      </c>
      <c r="G3146" t="inlineStr">
        <is>
          <t>LJUNGBY</t>
        </is>
      </c>
      <c r="I3146" t="n">
        <v>1.1</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346-2022</t>
        </is>
      </c>
      <c r="B3147" t="inlineStr">
        <is>
          <t>avverkningsanmälan</t>
        </is>
      </c>
      <c r="C3147" t="inlineStr">
        <is>
          <t>Föryngringsavverkning</t>
        </is>
      </c>
      <c r="D3147" s="1" t="n">
        <v>44565</v>
      </c>
      <c r="E3147" s="1" t="n">
        <v>46316</v>
      </c>
      <c r="F3147" t="inlineStr">
        <is>
          <t>KRONOBERGS LÄN</t>
        </is>
      </c>
      <c r="G3147" t="inlineStr">
        <is>
          <t>LJUNGBY</t>
        </is>
      </c>
      <c r="I3147" t="n">
        <v>2.6</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10246-2023</t>
        </is>
      </c>
      <c r="B3148" t="inlineStr">
        <is>
          <t>avverkningsanmälan</t>
        </is>
      </c>
      <c r="C3148" t="inlineStr">
        <is>
          <t>Föryngringsavverkning</t>
        </is>
      </c>
      <c r="D3148" s="1" t="n">
        <v>44986</v>
      </c>
      <c r="E3148" s="1" t="n">
        <v>46316</v>
      </c>
      <c r="F3148" t="inlineStr">
        <is>
          <t>KRONOBERGS LÄN</t>
        </is>
      </c>
      <c r="G3148" t="inlineStr">
        <is>
          <t>VÄXJÖ</t>
        </is>
      </c>
      <c r="I3148" t="n">
        <v>0</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58047-2024</t>
        </is>
      </c>
      <c r="B3149" t="inlineStr">
        <is>
          <t>avverkningsanmälan</t>
        </is>
      </c>
      <c r="C3149" t="inlineStr">
        <is>
          <t>Föryngringsavverkning</t>
        </is>
      </c>
      <c r="D3149" s="1" t="n">
        <v>45631</v>
      </c>
      <c r="E3149" s="1" t="n">
        <v>46316</v>
      </c>
      <c r="F3149" t="inlineStr">
        <is>
          <t>KRONOBERGS LÄN</t>
        </is>
      </c>
      <c r="G3149" t="inlineStr">
        <is>
          <t>ÄLMHULT</t>
        </is>
      </c>
      <c r="I3149" t="n">
        <v>1.3</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8490-2024</t>
        </is>
      </c>
      <c r="B3150" t="inlineStr">
        <is>
          <t>avverkningsanmälan</t>
        </is>
      </c>
      <c r="C3150" t="inlineStr">
        <is>
          <t>Föryngringsavverkning</t>
        </is>
      </c>
      <c r="D3150" s="1" t="n">
        <v>45355</v>
      </c>
      <c r="E3150" s="1" t="n">
        <v>46316</v>
      </c>
      <c r="F3150" t="inlineStr">
        <is>
          <t>KRONOBERGS LÄN</t>
        </is>
      </c>
      <c r="G3150" t="inlineStr">
        <is>
          <t>ÄLMHULT</t>
        </is>
      </c>
      <c r="I3150" t="n">
        <v>0.4</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8492-2024</t>
        </is>
      </c>
      <c r="B3151" t="inlineStr">
        <is>
          <t>avverkningsanmälan</t>
        </is>
      </c>
      <c r="C3151" t="inlineStr">
        <is>
          <t>Föryngringsavverkning</t>
        </is>
      </c>
      <c r="D3151" s="1" t="n">
        <v>45355</v>
      </c>
      <c r="E3151" s="1" t="n">
        <v>46316</v>
      </c>
      <c r="F3151" t="inlineStr">
        <is>
          <t>KRONOBERGS LÄN</t>
        </is>
      </c>
      <c r="G3151" t="inlineStr">
        <is>
          <t>ÄLMHULT</t>
        </is>
      </c>
      <c r="H3151" t="inlineStr">
        <is>
          <t>Sveaskog</t>
        </is>
      </c>
      <c r="I3151" t="n">
        <v>0.6</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13193-2023</t>
        </is>
      </c>
      <c r="B3152" t="inlineStr">
        <is>
          <t>avverkningsanmälan</t>
        </is>
      </c>
      <c r="C3152" t="inlineStr">
        <is>
          <t>Föryngringsavverkning</t>
        </is>
      </c>
      <c r="D3152" s="1" t="n">
        <v>45002</v>
      </c>
      <c r="E3152" s="1" t="n">
        <v>46316</v>
      </c>
      <c r="F3152" t="inlineStr">
        <is>
          <t>KRONOBERGS LÄN</t>
        </is>
      </c>
      <c r="G3152" t="inlineStr">
        <is>
          <t>TINGSRYD</t>
        </is>
      </c>
      <c r="I3152" t="n">
        <v>1</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35102-2024</t>
        </is>
      </c>
      <c r="B3153" t="inlineStr">
        <is>
          <t>avverkningsanmälan</t>
        </is>
      </c>
      <c r="C3153" t="inlineStr">
        <is>
          <t>Föryngringsavverkning</t>
        </is>
      </c>
      <c r="D3153" s="1" t="n">
        <v>45529</v>
      </c>
      <c r="E3153" s="1" t="n">
        <v>46316</v>
      </c>
      <c r="F3153" t="inlineStr">
        <is>
          <t>KRONOBERGS LÄN</t>
        </is>
      </c>
      <c r="G3153" t="inlineStr">
        <is>
          <t>ÄLMHULT</t>
        </is>
      </c>
      <c r="I3153" t="n">
        <v>1.1</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36862-2022</t>
        </is>
      </c>
      <c r="B3154" t="inlineStr">
        <is>
          <t>avverkningsanmälan</t>
        </is>
      </c>
      <c r="C3154" t="inlineStr">
        <is>
          <t>Föryngringsavverkning</t>
        </is>
      </c>
      <c r="D3154" s="1" t="n">
        <v>44805</v>
      </c>
      <c r="E3154" s="1" t="n">
        <v>46316</v>
      </c>
      <c r="F3154" t="inlineStr">
        <is>
          <t>KRONOBERGS LÄN</t>
        </is>
      </c>
      <c r="G3154" t="inlineStr">
        <is>
          <t>ALVESTA</t>
        </is>
      </c>
      <c r="I3154" t="n">
        <v>1.3</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60369-2024</t>
        </is>
      </c>
      <c r="B3155" t="inlineStr">
        <is>
          <t>avverkningsanmälan</t>
        </is>
      </c>
      <c r="C3155" t="inlineStr">
        <is>
          <t>Föryngringsavverkning</t>
        </is>
      </c>
      <c r="D3155" s="1" t="n">
        <v>45643</v>
      </c>
      <c r="E3155" s="1" t="n">
        <v>46316</v>
      </c>
      <c r="F3155" t="inlineStr">
        <is>
          <t>KRONOBERGS LÄN</t>
        </is>
      </c>
      <c r="G3155" t="inlineStr">
        <is>
          <t>MARKARYD</t>
        </is>
      </c>
      <c r="I3155" t="n">
        <v>1.9</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16487-2024</t>
        </is>
      </c>
      <c r="B3156" t="inlineStr">
        <is>
          <t>avverkningsanmälan</t>
        </is>
      </c>
      <c r="C3156" t="inlineStr">
        <is>
          <t>Föryngringsavverkning</t>
        </is>
      </c>
      <c r="D3156" s="1" t="n">
        <v>45408</v>
      </c>
      <c r="E3156" s="1" t="n">
        <v>46316</v>
      </c>
      <c r="F3156" t="inlineStr">
        <is>
          <t>KRONOBERGS LÄN</t>
        </is>
      </c>
      <c r="G3156" t="inlineStr">
        <is>
          <t>TINGSRYD</t>
        </is>
      </c>
      <c r="I3156" t="n">
        <v>0.8</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21750-2026</t>
        </is>
      </c>
      <c r="B3157" t="inlineStr">
        <is>
          <t>avverkningsanmälan</t>
        </is>
      </c>
      <c r="C3157" t="inlineStr">
        <is>
          <t>Föryngringsavverkning</t>
        </is>
      </c>
      <c r="D3157" s="1" t="n">
        <v>46149</v>
      </c>
      <c r="E3157" s="1" t="n">
        <v>46316</v>
      </c>
      <c r="F3157" t="inlineStr">
        <is>
          <t>KRONOBERGS LÄN</t>
        </is>
      </c>
      <c r="G3157" t="inlineStr">
        <is>
          <t>VÄXJÖ</t>
        </is>
      </c>
      <c r="I3157" t="n">
        <v>1.1</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9674-2025</t>
        </is>
      </c>
      <c r="B3158" t="inlineStr">
        <is>
          <t>avverkningsanmälan</t>
        </is>
      </c>
      <c r="C3158" t="inlineStr">
        <is>
          <t>Föryngringsavverkning</t>
        </is>
      </c>
      <c r="D3158" s="1" t="n">
        <v>45716</v>
      </c>
      <c r="E3158" s="1" t="n">
        <v>46316</v>
      </c>
      <c r="F3158" t="inlineStr">
        <is>
          <t>KRONOBERGS LÄN</t>
        </is>
      </c>
      <c r="G3158" t="inlineStr">
        <is>
          <t>UPPVIDINGE</t>
        </is>
      </c>
      <c r="H3158" t="inlineStr">
        <is>
          <t>Sveaskog</t>
        </is>
      </c>
      <c r="I3158" t="n">
        <v>1.2</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9685-2025</t>
        </is>
      </c>
      <c r="B3159" t="inlineStr">
        <is>
          <t>avverkningsanmälan</t>
        </is>
      </c>
      <c r="C3159" t="inlineStr">
        <is>
          <t>Föryngringsavverkning</t>
        </is>
      </c>
      <c r="D3159" s="1" t="n">
        <v>45716</v>
      </c>
      <c r="E3159" s="1" t="n">
        <v>46316</v>
      </c>
      <c r="F3159" t="inlineStr">
        <is>
          <t>KRONOBERGS LÄN</t>
        </is>
      </c>
      <c r="G3159" t="inlineStr">
        <is>
          <t>UPPVIDINGE</t>
        </is>
      </c>
      <c r="H3159" t="inlineStr">
        <is>
          <t>Sveaskog</t>
        </is>
      </c>
      <c r="I3159" t="n">
        <v>3.1</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12513-2025</t>
        </is>
      </c>
      <c r="B3160" t="inlineStr">
        <is>
          <t>avverkningsanmälan</t>
        </is>
      </c>
      <c r="C3160" t="inlineStr">
        <is>
          <t>Föryngringsavverkning</t>
        </is>
      </c>
      <c r="D3160" s="1" t="n">
        <v>45730</v>
      </c>
      <c r="E3160" s="1" t="n">
        <v>46316</v>
      </c>
      <c r="F3160" t="inlineStr">
        <is>
          <t>KRONOBERGS LÄN</t>
        </is>
      </c>
      <c r="G3160" t="inlineStr">
        <is>
          <t>LJUNGBY</t>
        </is>
      </c>
      <c r="I3160" t="n">
        <v>3.2</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21863-2023</t>
        </is>
      </c>
      <c r="B3161" t="inlineStr">
        <is>
          <t>avverkningsanmälan</t>
        </is>
      </c>
      <c r="C3161" t="inlineStr">
        <is>
          <t>Föryngringsavverkning</t>
        </is>
      </c>
      <c r="D3161" s="1" t="n">
        <v>45068</v>
      </c>
      <c r="E3161" s="1" t="n">
        <v>46316</v>
      </c>
      <c r="F3161" t="inlineStr">
        <is>
          <t>KRONOBERGS LÄN</t>
        </is>
      </c>
      <c r="G3161" t="inlineStr">
        <is>
          <t>LJUNGBY</t>
        </is>
      </c>
      <c r="I3161" t="n">
        <v>0.8</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54722-2023</t>
        </is>
      </c>
      <c r="B3162" t="inlineStr">
        <is>
          <t>avverkningsanmälan</t>
        </is>
      </c>
      <c r="C3162" t="inlineStr">
        <is>
          <t>Föryngringsavverkning</t>
        </is>
      </c>
      <c r="D3162" s="1" t="n">
        <v>45229</v>
      </c>
      <c r="E3162" s="1" t="n">
        <v>46316</v>
      </c>
      <c r="F3162" t="inlineStr">
        <is>
          <t>KRONOBERGS LÄN</t>
        </is>
      </c>
      <c r="G3162" t="inlineStr">
        <is>
          <t>TINGSRYD</t>
        </is>
      </c>
      <c r="I3162" t="n">
        <v>1.9</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7395-2022</t>
        </is>
      </c>
      <c r="B3163" t="inlineStr">
        <is>
          <t>avverkningsanmälan</t>
        </is>
      </c>
      <c r="C3163" t="inlineStr">
        <is>
          <t>Föryngringsavverkning</t>
        </is>
      </c>
      <c r="D3163" s="1" t="n">
        <v>44606</v>
      </c>
      <c r="E3163" s="1" t="n">
        <v>46316</v>
      </c>
      <c r="F3163" t="inlineStr">
        <is>
          <t>KRONOBERGS LÄN</t>
        </is>
      </c>
      <c r="G3163" t="inlineStr">
        <is>
          <t>MARKARYD</t>
        </is>
      </c>
      <c r="I3163" t="n">
        <v>1.1</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29155-2024</t>
        </is>
      </c>
      <c r="B3164" t="inlineStr">
        <is>
          <t>avverkningsanmälan</t>
        </is>
      </c>
      <c r="C3164" t="inlineStr">
        <is>
          <t>Föryngringsavverkning</t>
        </is>
      </c>
      <c r="D3164" s="1" t="n">
        <v>45482</v>
      </c>
      <c r="E3164" s="1" t="n">
        <v>46316</v>
      </c>
      <c r="F3164" t="inlineStr">
        <is>
          <t>KRONOBERGS LÄN</t>
        </is>
      </c>
      <c r="G3164" t="inlineStr">
        <is>
          <t>ALVESTA</t>
        </is>
      </c>
      <c r="I3164" t="n">
        <v>2.4</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21670-2026</t>
        </is>
      </c>
      <c r="B3165" t="inlineStr">
        <is>
          <t>avverkningsanmälan</t>
        </is>
      </c>
      <c r="C3165" t="inlineStr">
        <is>
          <t>Föryngringsavverkning</t>
        </is>
      </c>
      <c r="D3165" s="1" t="n">
        <v>46149</v>
      </c>
      <c r="E3165" s="1" t="n">
        <v>46316</v>
      </c>
      <c r="F3165" t="inlineStr">
        <is>
          <t>KRONOBERGS LÄN</t>
        </is>
      </c>
      <c r="G3165" t="inlineStr">
        <is>
          <t>MARKARYD</t>
        </is>
      </c>
      <c r="I3165" t="n">
        <v>9.800000000000001</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21446-2026</t>
        </is>
      </c>
      <c r="B3166" t="inlineStr">
        <is>
          <t>avverkningsanmälan</t>
        </is>
      </c>
      <c r="C3166" t="inlineStr">
        <is>
          <t>Föryngringsavverkning</t>
        </is>
      </c>
      <c r="D3166" s="1" t="n">
        <v>46148</v>
      </c>
      <c r="E3166" s="1" t="n">
        <v>46316</v>
      </c>
      <c r="F3166" t="inlineStr">
        <is>
          <t>KRONOBERGS LÄN</t>
        </is>
      </c>
      <c r="G3166" t="inlineStr">
        <is>
          <t>TINGSRYD</t>
        </is>
      </c>
      <c r="I3166" t="n">
        <v>1.8</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14743-2024</t>
        </is>
      </c>
      <c r="B3167" t="inlineStr">
        <is>
          <t>avverkningsanmälan</t>
        </is>
      </c>
      <c r="C3167" t="inlineStr">
        <is>
          <t>Föryngringsavverkning</t>
        </is>
      </c>
      <c r="D3167" s="1" t="n">
        <v>45397</v>
      </c>
      <c r="E3167" s="1" t="n">
        <v>46316</v>
      </c>
      <c r="F3167" t="inlineStr">
        <is>
          <t>KRONOBERGS LÄN</t>
        </is>
      </c>
      <c r="G3167" t="inlineStr">
        <is>
          <t>VÄXJÖ</t>
        </is>
      </c>
      <c r="I3167" t="n">
        <v>2.9</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3875-2024</t>
        </is>
      </c>
      <c r="B3168" t="inlineStr">
        <is>
          <t>avverkningsanmälan</t>
        </is>
      </c>
      <c r="C3168" t="inlineStr">
        <is>
          <t>Föryngringsavverkning</t>
        </is>
      </c>
      <c r="D3168" s="1" t="n">
        <v>45322</v>
      </c>
      <c r="E3168" s="1" t="n">
        <v>46316</v>
      </c>
      <c r="F3168" t="inlineStr">
        <is>
          <t>KRONOBERGS LÄN</t>
        </is>
      </c>
      <c r="G3168" t="inlineStr">
        <is>
          <t>LESSEBO</t>
        </is>
      </c>
      <c r="I3168" t="n">
        <v>3.2</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7703-2024</t>
        </is>
      </c>
      <c r="B3169" t="inlineStr">
        <is>
          <t>avverkningsanmälan</t>
        </is>
      </c>
      <c r="C3169" t="inlineStr">
        <is>
          <t>Föryngringsavverkning</t>
        </is>
      </c>
      <c r="D3169" s="1" t="n">
        <v>45349</v>
      </c>
      <c r="E3169" s="1" t="n">
        <v>46316</v>
      </c>
      <c r="F3169" t="inlineStr">
        <is>
          <t>KRONOBERGS LÄN</t>
        </is>
      </c>
      <c r="G3169" t="inlineStr">
        <is>
          <t>ALVESTA</t>
        </is>
      </c>
      <c r="I3169" t="n">
        <v>1.3</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21426-2026</t>
        </is>
      </c>
      <c r="B3170" t="inlineStr">
        <is>
          <t>avverkningsanmälan</t>
        </is>
      </c>
      <c r="C3170" t="inlineStr">
        <is>
          <t>Föryngringsavverkning</t>
        </is>
      </c>
      <c r="D3170" s="1" t="n">
        <v>46148</v>
      </c>
      <c r="E3170" s="1" t="n">
        <v>46316</v>
      </c>
      <c r="F3170" t="inlineStr">
        <is>
          <t>KRONOBERGS LÄN</t>
        </is>
      </c>
      <c r="G3170" t="inlineStr">
        <is>
          <t>VÄXJÖ</t>
        </is>
      </c>
      <c r="I3170" t="n">
        <v>1.5</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21706-2026</t>
        </is>
      </c>
      <c r="B3171" t="inlineStr">
        <is>
          <t>avverkningsanmälan</t>
        </is>
      </c>
      <c r="C3171" t="inlineStr">
        <is>
          <t>Föryngringsavverkning</t>
        </is>
      </c>
      <c r="D3171" s="1" t="n">
        <v>46149</v>
      </c>
      <c r="E3171" s="1" t="n">
        <v>46316</v>
      </c>
      <c r="F3171" t="inlineStr">
        <is>
          <t>KRONOBERGS LÄN</t>
        </is>
      </c>
      <c r="G3171" t="inlineStr">
        <is>
          <t>TINGSRYD</t>
        </is>
      </c>
      <c r="I3171" t="n">
        <v>2.2</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64120-2025</t>
        </is>
      </c>
      <c r="B3172" t="inlineStr">
        <is>
          <t>avverkningsanmälan</t>
        </is>
      </c>
      <c r="C3172" t="inlineStr">
        <is>
          <t>Föryngringsavverkning</t>
        </is>
      </c>
      <c r="D3172" s="1" t="n">
        <v>46021</v>
      </c>
      <c r="E3172" s="1" t="n">
        <v>46316</v>
      </c>
      <c r="F3172" t="inlineStr">
        <is>
          <t>KRONOBERGS LÄN</t>
        </is>
      </c>
      <c r="G3172" t="inlineStr">
        <is>
          <t>VÄXJÖ</t>
        </is>
      </c>
      <c r="I3172" t="n">
        <v>0.4</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45040-2023</t>
        </is>
      </c>
      <c r="B3173" t="inlineStr">
        <is>
          <t>avverkningsanmälan</t>
        </is>
      </c>
      <c r="C3173" t="inlineStr">
        <is>
          <t>Föryngringsavverkning</t>
        </is>
      </c>
      <c r="D3173" s="1" t="n">
        <v>45191</v>
      </c>
      <c r="E3173" s="1" t="n">
        <v>46316</v>
      </c>
      <c r="F3173" t="inlineStr">
        <is>
          <t>KRONOBERGS LÄN</t>
        </is>
      </c>
      <c r="G3173" t="inlineStr">
        <is>
          <t>TINGSRYD</t>
        </is>
      </c>
      <c r="I3173" t="n">
        <v>1.1</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6611-2024</t>
        </is>
      </c>
      <c r="B3174" t="inlineStr">
        <is>
          <t>avverkningsanmälan</t>
        </is>
      </c>
      <c r="C3174" t="inlineStr">
        <is>
          <t>Föryngringsavverkning</t>
        </is>
      </c>
      <c r="D3174" s="1" t="n">
        <v>45341</v>
      </c>
      <c r="E3174" s="1" t="n">
        <v>46316</v>
      </c>
      <c r="F3174" t="inlineStr">
        <is>
          <t>KRONOBERGS LÄN</t>
        </is>
      </c>
      <c r="G3174" t="inlineStr">
        <is>
          <t>UPPVIDINGE</t>
        </is>
      </c>
      <c r="H3174" t="inlineStr">
        <is>
          <t>Sveaskog</t>
        </is>
      </c>
      <c r="I3174" t="n">
        <v>1.5</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60457-2022</t>
        </is>
      </c>
      <c r="B3175" t="inlineStr">
        <is>
          <t>avverkningsanmälan</t>
        </is>
      </c>
      <c r="C3175" t="inlineStr">
        <is>
          <t>Föryngringsavverkning</t>
        </is>
      </c>
      <c r="D3175" s="1" t="n">
        <v>44911</v>
      </c>
      <c r="E3175" s="1" t="n">
        <v>46316</v>
      </c>
      <c r="F3175" t="inlineStr">
        <is>
          <t>KRONOBERGS LÄN</t>
        </is>
      </c>
      <c r="G3175" t="inlineStr">
        <is>
          <t>MARKARYD</t>
        </is>
      </c>
      <c r="I3175" t="n">
        <v>1.4</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2961-2024</t>
        </is>
      </c>
      <c r="B3176" t="inlineStr">
        <is>
          <t>avverkningsanmälan</t>
        </is>
      </c>
      <c r="C3176" t="inlineStr">
        <is>
          <t>Föryngringsavverkning</t>
        </is>
      </c>
      <c r="D3176" s="1" t="n">
        <v>45315</v>
      </c>
      <c r="E3176" s="1" t="n">
        <v>46316</v>
      </c>
      <c r="F3176" t="inlineStr">
        <is>
          <t>KRONOBERGS LÄN</t>
        </is>
      </c>
      <c r="G3176" t="inlineStr">
        <is>
          <t>LJUNGBY</t>
        </is>
      </c>
      <c r="I3176" t="n">
        <v>1.6</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6559-2023</t>
        </is>
      </c>
      <c r="B3177" t="inlineStr">
        <is>
          <t>avverkningsanmälan</t>
        </is>
      </c>
      <c r="C3177" t="inlineStr">
        <is>
          <t>Föryngringsavverkning</t>
        </is>
      </c>
      <c r="D3177" s="1" t="n">
        <v>44966</v>
      </c>
      <c r="E3177" s="1" t="n">
        <v>46316</v>
      </c>
      <c r="F3177" t="inlineStr">
        <is>
          <t>KRONOBERGS LÄN</t>
        </is>
      </c>
      <c r="G3177" t="inlineStr">
        <is>
          <t>ALVESTA</t>
        </is>
      </c>
      <c r="I3177" t="n">
        <v>0.9</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22143-2026</t>
        </is>
      </c>
      <c r="B3178" t="inlineStr">
        <is>
          <t>avverkningsanmälan</t>
        </is>
      </c>
      <c r="C3178" t="inlineStr">
        <is>
          <t>Föryngringsavverkning</t>
        </is>
      </c>
      <c r="D3178" s="1" t="n">
        <v>46153</v>
      </c>
      <c r="E3178" s="1" t="n">
        <v>46316</v>
      </c>
      <c r="F3178" t="inlineStr">
        <is>
          <t>KRONOBERGS LÄN</t>
        </is>
      </c>
      <c r="G3178" t="inlineStr">
        <is>
          <t>VÄXJÖ</t>
        </is>
      </c>
      <c r="I3178" t="n">
        <v>0.6</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20747-2026</t>
        </is>
      </c>
      <c r="B3179" t="inlineStr">
        <is>
          <t>avverkningsanmälan</t>
        </is>
      </c>
      <c r="C3179" t="inlineStr">
        <is>
          <t>Föryngringsavverkning</t>
        </is>
      </c>
      <c r="D3179" s="1" t="n">
        <v>46141</v>
      </c>
      <c r="E3179" s="1" t="n">
        <v>46316</v>
      </c>
      <c r="F3179" t="inlineStr">
        <is>
          <t>KRONOBERGS LÄN</t>
        </is>
      </c>
      <c r="G3179" t="inlineStr">
        <is>
          <t>ÄLMHULT</t>
        </is>
      </c>
      <c r="I3179" t="n">
        <v>2</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21865-2026</t>
        </is>
      </c>
      <c r="B3180" t="inlineStr">
        <is>
          <t>avverkningsanmälan</t>
        </is>
      </c>
      <c r="C3180" t="inlineStr">
        <is>
          <t>Föryngringsavverkning</t>
        </is>
      </c>
      <c r="D3180" s="1" t="n">
        <v>46150</v>
      </c>
      <c r="E3180" s="1" t="n">
        <v>46316</v>
      </c>
      <c r="F3180" t="inlineStr">
        <is>
          <t>KRONOBERGS LÄN</t>
        </is>
      </c>
      <c r="G3180" t="inlineStr">
        <is>
          <t>LJUNGBY</t>
        </is>
      </c>
      <c r="I3180" t="n">
        <v>0.4</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21870-2026</t>
        </is>
      </c>
      <c r="B3181" t="inlineStr">
        <is>
          <t>avverkningsanmälan</t>
        </is>
      </c>
      <c r="C3181" t="inlineStr">
        <is>
          <t>Föryngringsavverkning</t>
        </is>
      </c>
      <c r="D3181" s="1" t="n">
        <v>46150</v>
      </c>
      <c r="E3181" s="1" t="n">
        <v>46316</v>
      </c>
      <c r="F3181" t="inlineStr">
        <is>
          <t>KRONOBERGS LÄN</t>
        </is>
      </c>
      <c r="G3181" t="inlineStr">
        <is>
          <t>LJUNGBY</t>
        </is>
      </c>
      <c r="I3181" t="n">
        <v>0.6</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12854-2023</t>
        </is>
      </c>
      <c r="B3182" t="inlineStr">
        <is>
          <t>avverkningsanmälan</t>
        </is>
      </c>
      <c r="C3182" t="inlineStr">
        <is>
          <t>Föryngringsavverkning</t>
        </is>
      </c>
      <c r="D3182" s="1" t="n">
        <v>45000</v>
      </c>
      <c r="E3182" s="1" t="n">
        <v>46316</v>
      </c>
      <c r="F3182" t="inlineStr">
        <is>
          <t>KRONOBERGS LÄN</t>
        </is>
      </c>
      <c r="G3182" t="inlineStr">
        <is>
          <t>MARKARYD</t>
        </is>
      </c>
      <c r="H3182" t="inlineStr">
        <is>
          <t>Kyrkan</t>
        </is>
      </c>
      <c r="I3182" t="n">
        <v>2.3</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11596-2026</t>
        </is>
      </c>
      <c r="B3183" t="inlineStr">
        <is>
          <t>avverkningsanmälan</t>
        </is>
      </c>
      <c r="C3183" t="inlineStr">
        <is>
          <t>Föryngringsavverkning</t>
        </is>
      </c>
      <c r="D3183" s="1" t="n">
        <v>46084</v>
      </c>
      <c r="E3183" s="1" t="n">
        <v>46316</v>
      </c>
      <c r="F3183" t="inlineStr">
        <is>
          <t>KRONOBERGS LÄN</t>
        </is>
      </c>
      <c r="G3183" t="inlineStr">
        <is>
          <t>ALVESTA</t>
        </is>
      </c>
      <c r="I3183" t="n">
        <v>1.5</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1052-2023</t>
        </is>
      </c>
      <c r="B3184" t="inlineStr">
        <is>
          <t>avverkningsanmälan</t>
        </is>
      </c>
      <c r="C3184" t="inlineStr">
        <is>
          <t>Föryngringsavverkning</t>
        </is>
      </c>
      <c r="D3184" s="1" t="n">
        <v>44935</v>
      </c>
      <c r="E3184" s="1" t="n">
        <v>46316</v>
      </c>
      <c r="F3184" t="inlineStr">
        <is>
          <t>KRONOBERGS LÄN</t>
        </is>
      </c>
      <c r="G3184" t="inlineStr">
        <is>
          <t>MARKARYD</t>
        </is>
      </c>
      <c r="I3184" t="n">
        <v>1.5</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1055-2023</t>
        </is>
      </c>
      <c r="B3185" t="inlineStr">
        <is>
          <t>avverkningsanmälan</t>
        </is>
      </c>
      <c r="C3185" t="inlineStr">
        <is>
          <t>Föryngringsavverkning</t>
        </is>
      </c>
      <c r="D3185" s="1" t="n">
        <v>44935</v>
      </c>
      <c r="E3185" s="1" t="n">
        <v>46316</v>
      </c>
      <c r="F3185" t="inlineStr">
        <is>
          <t>KRONOBERGS LÄN</t>
        </is>
      </c>
      <c r="G3185" t="inlineStr">
        <is>
          <t>ALVESTA</t>
        </is>
      </c>
      <c r="I3185" t="n">
        <v>0.5</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1080-2023</t>
        </is>
      </c>
      <c r="B3186" t="inlineStr">
        <is>
          <t>avverkningsanmälan</t>
        </is>
      </c>
      <c r="C3186" t="inlineStr">
        <is>
          <t>Föryngringsavverkning</t>
        </is>
      </c>
      <c r="D3186" s="1" t="n">
        <v>44935</v>
      </c>
      <c r="E3186" s="1" t="n">
        <v>46316</v>
      </c>
      <c r="F3186" t="inlineStr">
        <is>
          <t>KRONOBERGS LÄN</t>
        </is>
      </c>
      <c r="G3186" t="inlineStr">
        <is>
          <t>MARKARYD</t>
        </is>
      </c>
      <c r="I3186" t="n">
        <v>1.2</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2088-2025</t>
        </is>
      </c>
      <c r="B3187" t="inlineStr">
        <is>
          <t>avverkningsanmälan</t>
        </is>
      </c>
      <c r="C3187" t="inlineStr">
        <is>
          <t>Föryngringsavverkning</t>
        </is>
      </c>
      <c r="D3187" s="1" t="n">
        <v>45672</v>
      </c>
      <c r="E3187" s="1" t="n">
        <v>46316</v>
      </c>
      <c r="F3187" t="inlineStr">
        <is>
          <t>KRONOBERGS LÄN</t>
        </is>
      </c>
      <c r="G3187" t="inlineStr">
        <is>
          <t>LJUNGBY</t>
        </is>
      </c>
      <c r="I3187" t="n">
        <v>1</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27365-2024</t>
        </is>
      </c>
      <c r="B3188" t="inlineStr">
        <is>
          <t>avverkningsanmälan</t>
        </is>
      </c>
      <c r="C3188" t="inlineStr">
        <is>
          <t>Föryngringsavverkning</t>
        </is>
      </c>
      <c r="D3188" s="1" t="n">
        <v>45473</v>
      </c>
      <c r="E3188" s="1" t="n">
        <v>46316</v>
      </c>
      <c r="F3188" t="inlineStr">
        <is>
          <t>KRONOBERGS LÄN</t>
        </is>
      </c>
      <c r="G3188" t="inlineStr">
        <is>
          <t>MARKARYD</t>
        </is>
      </c>
      <c r="I3188" t="n">
        <v>0.5</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6669-2025</t>
        </is>
      </c>
      <c r="B3189" t="inlineStr">
        <is>
          <t>avverkningsanmälan</t>
        </is>
      </c>
      <c r="C3189" t="inlineStr">
        <is>
          <t>Föryngringsavverkning</t>
        </is>
      </c>
      <c r="D3189" s="1" t="n">
        <v>45700</v>
      </c>
      <c r="E3189" s="1" t="n">
        <v>46316</v>
      </c>
      <c r="F3189" t="inlineStr">
        <is>
          <t>KRONOBERGS LÄN</t>
        </is>
      </c>
      <c r="G3189" t="inlineStr">
        <is>
          <t>TINGSRYD</t>
        </is>
      </c>
      <c r="I3189" t="n">
        <v>1</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38853-2024</t>
        </is>
      </c>
      <c r="B3190" t="inlineStr">
        <is>
          <t>avverkningsanmälan</t>
        </is>
      </c>
      <c r="C3190" t="inlineStr">
        <is>
          <t>Avverkning för att bevara och utveckla /försöksver</t>
        </is>
      </c>
      <c r="D3190" s="1" t="n">
        <v>45547</v>
      </c>
      <c r="E3190" s="1" t="n">
        <v>46316</v>
      </c>
      <c r="F3190" t="inlineStr">
        <is>
          <t>KRONOBERGS LÄN</t>
        </is>
      </c>
      <c r="G3190" t="inlineStr">
        <is>
          <t>TINGSRYD</t>
        </is>
      </c>
      <c r="I3190" t="n">
        <v>3.7</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56047-2023</t>
        </is>
      </c>
      <c r="B3191" t="inlineStr">
        <is>
          <t>avverkningsanmälan</t>
        </is>
      </c>
      <c r="C3191" t="inlineStr">
        <is>
          <t>Föryngringsavverkning</t>
        </is>
      </c>
      <c r="D3191" s="1" t="n">
        <v>45233</v>
      </c>
      <c r="E3191" s="1" t="n">
        <v>46316</v>
      </c>
      <c r="F3191" t="inlineStr">
        <is>
          <t>KRONOBERGS LÄN</t>
        </is>
      </c>
      <c r="G3191" t="inlineStr">
        <is>
          <t>UPPVIDINGE</t>
        </is>
      </c>
      <c r="I3191" t="n">
        <v>2.1</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66182-2021</t>
        </is>
      </c>
      <c r="B3192" t="inlineStr">
        <is>
          <t>avverkningsanmälan</t>
        </is>
      </c>
      <c r="C3192" t="inlineStr">
        <is>
          <t>Föryngringsavverkning</t>
        </is>
      </c>
      <c r="D3192" s="1" t="n">
        <v>44518</v>
      </c>
      <c r="E3192" s="1" t="n">
        <v>46316</v>
      </c>
      <c r="F3192" t="inlineStr">
        <is>
          <t>KRONOBERGS LÄN</t>
        </is>
      </c>
      <c r="G3192" t="inlineStr">
        <is>
          <t>TINGSRYD</t>
        </is>
      </c>
      <c r="I3192" t="n">
        <v>1.4</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32334-2024</t>
        </is>
      </c>
      <c r="B3193" t="inlineStr">
        <is>
          <t>avverkningsanmälan</t>
        </is>
      </c>
      <c r="C3193" t="inlineStr">
        <is>
          <t>Föryngringsavverkning</t>
        </is>
      </c>
      <c r="D3193" s="1" t="n">
        <v>45512</v>
      </c>
      <c r="E3193" s="1" t="n">
        <v>46316</v>
      </c>
      <c r="F3193" t="inlineStr">
        <is>
          <t>KRONOBERGS LÄN</t>
        </is>
      </c>
      <c r="G3193" t="inlineStr">
        <is>
          <t>ALVESTA</t>
        </is>
      </c>
      <c r="I3193" t="n">
        <v>0.5</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61442-2023</t>
        </is>
      </c>
      <c r="B3194" t="inlineStr">
        <is>
          <t>avverkningsanmälan</t>
        </is>
      </c>
      <c r="C3194" t="inlineStr">
        <is>
          <t>Föryngringsavverkning</t>
        </is>
      </c>
      <c r="D3194" s="1" t="n">
        <v>45264</v>
      </c>
      <c r="E3194" s="1" t="n">
        <v>46316</v>
      </c>
      <c r="F3194" t="inlineStr">
        <is>
          <t>KRONOBERGS LÄN</t>
        </is>
      </c>
      <c r="G3194" t="inlineStr">
        <is>
          <t>TINGSRYD</t>
        </is>
      </c>
      <c r="I3194" t="n">
        <v>1.5</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61445-2023</t>
        </is>
      </c>
      <c r="B3195" t="inlineStr">
        <is>
          <t>avverkningsanmälan</t>
        </is>
      </c>
      <c r="C3195" t="inlineStr">
        <is>
          <t>Föryngringsavverkning</t>
        </is>
      </c>
      <c r="D3195" s="1" t="n">
        <v>45264</v>
      </c>
      <c r="E3195" s="1" t="n">
        <v>46316</v>
      </c>
      <c r="F3195" t="inlineStr">
        <is>
          <t>KRONOBERGS LÄN</t>
        </is>
      </c>
      <c r="G3195" t="inlineStr">
        <is>
          <t>TINGSRYD</t>
        </is>
      </c>
      <c r="I3195" t="n">
        <v>0.9</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22530-2026</t>
        </is>
      </c>
      <c r="B3196" t="inlineStr">
        <is>
          <t>avverkningsanmälan</t>
        </is>
      </c>
      <c r="C3196" t="inlineStr">
        <is>
          <t>Föryngringsavverkning</t>
        </is>
      </c>
      <c r="D3196" s="1" t="n">
        <v>46155</v>
      </c>
      <c r="E3196" s="1" t="n">
        <v>46316</v>
      </c>
      <c r="F3196" t="inlineStr">
        <is>
          <t>KRONOBERGS LÄN</t>
        </is>
      </c>
      <c r="G3196" t="inlineStr">
        <is>
          <t>ÄLMHULT</t>
        </is>
      </c>
      <c r="I3196" t="n">
        <v>1.6</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22665-2026</t>
        </is>
      </c>
      <c r="B3197" t="inlineStr">
        <is>
          <t>avverkningsanmälan</t>
        </is>
      </c>
      <c r="C3197" t="inlineStr">
        <is>
          <t>Föryngringsavverkning</t>
        </is>
      </c>
      <c r="D3197" s="1" t="n">
        <v>46155</v>
      </c>
      <c r="E3197" s="1" t="n">
        <v>46316</v>
      </c>
      <c r="F3197" t="inlineStr">
        <is>
          <t>KRONOBERGS LÄN</t>
        </is>
      </c>
      <c r="G3197" t="inlineStr">
        <is>
          <t>LJUNGBY</t>
        </is>
      </c>
      <c r="I3197" t="n">
        <v>0.8</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50892-2022</t>
        </is>
      </c>
      <c r="B3198" t="inlineStr">
        <is>
          <t>avverkningsanmälan</t>
        </is>
      </c>
      <c r="C3198" t="inlineStr">
        <is>
          <t>Föryngringsavverkning</t>
        </is>
      </c>
      <c r="D3198" s="1" t="n">
        <v>44867</v>
      </c>
      <c r="E3198" s="1" t="n">
        <v>46316</v>
      </c>
      <c r="F3198" t="inlineStr">
        <is>
          <t>KRONOBERGS LÄN</t>
        </is>
      </c>
      <c r="G3198" t="inlineStr">
        <is>
          <t>LESSEBO</t>
        </is>
      </c>
      <c r="I3198" t="n">
        <v>1.9</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43279-2023</t>
        </is>
      </c>
      <c r="B3199" t="inlineStr">
        <is>
          <t>avverkningsanmälan</t>
        </is>
      </c>
      <c r="C3199" t="inlineStr">
        <is>
          <t>Föryngringsavverkning</t>
        </is>
      </c>
      <c r="D3199" s="1" t="n">
        <v>45183</v>
      </c>
      <c r="E3199" s="1" t="n">
        <v>46316</v>
      </c>
      <c r="F3199" t="inlineStr">
        <is>
          <t>KRONOBERGS LÄN</t>
        </is>
      </c>
      <c r="G3199" t="inlineStr">
        <is>
          <t>VÄXJÖ</t>
        </is>
      </c>
      <c r="I3199" t="n">
        <v>2.4</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27012-2025</t>
        </is>
      </c>
      <c r="B3200" t="inlineStr">
        <is>
          <t>avverkningsanmälan</t>
        </is>
      </c>
      <c r="C3200" t="inlineStr">
        <is>
          <t>Föryngringsavverkning</t>
        </is>
      </c>
      <c r="D3200" s="1" t="n">
        <v>45811</v>
      </c>
      <c r="E3200" s="1" t="n">
        <v>46316</v>
      </c>
      <c r="F3200" t="inlineStr">
        <is>
          <t>KRONOBERGS LÄN</t>
        </is>
      </c>
      <c r="G3200" t="inlineStr">
        <is>
          <t>LJUNGBY</t>
        </is>
      </c>
      <c r="I3200" t="n">
        <v>3.5</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34169-2025</t>
        </is>
      </c>
      <c r="B3201" t="inlineStr">
        <is>
          <t>avverkningsanmälan</t>
        </is>
      </c>
      <c r="C3201" t="inlineStr">
        <is>
          <t>Föryngringsavverkning</t>
        </is>
      </c>
      <c r="D3201" s="1" t="n">
        <v>45845</v>
      </c>
      <c r="E3201" s="1" t="n">
        <v>46316</v>
      </c>
      <c r="F3201" t="inlineStr">
        <is>
          <t>KRONOBERGS LÄN</t>
        </is>
      </c>
      <c r="G3201" t="inlineStr">
        <is>
          <t>LJUNGBY</t>
        </is>
      </c>
      <c r="I3201" t="n">
        <v>2.6</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2419-2023</t>
        </is>
      </c>
      <c r="B3202" t="inlineStr">
        <is>
          <t>avverkningsanmälan</t>
        </is>
      </c>
      <c r="C3202" t="inlineStr">
        <is>
          <t>Föryngringsavverkning</t>
        </is>
      </c>
      <c r="D3202" s="1" t="n">
        <v>44943</v>
      </c>
      <c r="E3202" s="1" t="n">
        <v>46316</v>
      </c>
      <c r="F3202" t="inlineStr">
        <is>
          <t>KRONOBERGS LÄN</t>
        </is>
      </c>
      <c r="G3202" t="inlineStr">
        <is>
          <t>ÄLMHULT</t>
        </is>
      </c>
      <c r="I3202" t="n">
        <v>1.6</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60650-2025</t>
        </is>
      </c>
      <c r="B3203" t="inlineStr">
        <is>
          <t>avverkningsanmälan</t>
        </is>
      </c>
      <c r="C3203" t="inlineStr">
        <is>
          <t>Föryngringsavverkning</t>
        </is>
      </c>
      <c r="D3203" s="1" t="n">
        <v>45995</v>
      </c>
      <c r="E3203" s="1" t="n">
        <v>46316</v>
      </c>
      <c r="F3203" t="inlineStr">
        <is>
          <t>KRONOBERGS LÄN</t>
        </is>
      </c>
      <c r="G3203" t="inlineStr">
        <is>
          <t>VÄXJÖ</t>
        </is>
      </c>
      <c r="I3203" t="n">
        <v>0.9</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22766-2025</t>
        </is>
      </c>
      <c r="B3204" t="inlineStr">
        <is>
          <t>avverkningsanmälan</t>
        </is>
      </c>
      <c r="C3204" t="inlineStr">
        <is>
          <t>Föryngringsavverkning</t>
        </is>
      </c>
      <c r="D3204" s="1" t="n">
        <v>45789</v>
      </c>
      <c r="E3204" s="1" t="n">
        <v>46316</v>
      </c>
      <c r="F3204" t="inlineStr">
        <is>
          <t>KRONOBERGS LÄN</t>
        </is>
      </c>
      <c r="G3204" t="inlineStr">
        <is>
          <t>VÄXJÖ</t>
        </is>
      </c>
      <c r="I3204" t="n">
        <v>1.9</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29354-2023</t>
        </is>
      </c>
      <c r="B3205" t="inlineStr">
        <is>
          <t>avverkningsanmälan</t>
        </is>
      </c>
      <c r="C3205" t="inlineStr">
        <is>
          <t>Föryngringsavverkning</t>
        </is>
      </c>
      <c r="D3205" s="1" t="n">
        <v>45106</v>
      </c>
      <c r="E3205" s="1" t="n">
        <v>46316</v>
      </c>
      <c r="F3205" t="inlineStr">
        <is>
          <t>KRONOBERGS LÄN</t>
        </is>
      </c>
      <c r="G3205" t="inlineStr">
        <is>
          <t>TINGSRYD</t>
        </is>
      </c>
      <c r="I3205" t="n">
        <v>0.7</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15974-2025</t>
        </is>
      </c>
      <c r="B3206" t="inlineStr">
        <is>
          <t>avverkningsanmälan</t>
        </is>
      </c>
      <c r="C3206" t="inlineStr">
        <is>
          <t>Föryngringsavverkning</t>
        </is>
      </c>
      <c r="D3206" s="1" t="n">
        <v>45749</v>
      </c>
      <c r="E3206" s="1" t="n">
        <v>46316</v>
      </c>
      <c r="F3206" t="inlineStr">
        <is>
          <t>KRONOBERGS LÄN</t>
        </is>
      </c>
      <c r="G3206" t="inlineStr">
        <is>
          <t>LJUNGBY</t>
        </is>
      </c>
      <c r="I3206" t="n">
        <v>0.9</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22663-2026</t>
        </is>
      </c>
      <c r="B3207" t="inlineStr">
        <is>
          <t>avverkningsanmälan</t>
        </is>
      </c>
      <c r="C3207" t="inlineStr">
        <is>
          <t>Föryngringsavverkning</t>
        </is>
      </c>
      <c r="D3207" s="1" t="n">
        <v>46155</v>
      </c>
      <c r="E3207" s="1" t="n">
        <v>46316</v>
      </c>
      <c r="F3207" t="inlineStr">
        <is>
          <t>KRONOBERGS LÄN</t>
        </is>
      </c>
      <c r="G3207" t="inlineStr">
        <is>
          <t>LJUNGBY</t>
        </is>
      </c>
      <c r="I3207" t="n">
        <v>3.6</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8501-2023</t>
        </is>
      </c>
      <c r="B3208" t="inlineStr">
        <is>
          <t>avverkningsanmälan</t>
        </is>
      </c>
      <c r="C3208" t="inlineStr">
        <is>
          <t>Avverkning för annat ändamål</t>
        </is>
      </c>
      <c r="D3208" s="1" t="n">
        <v>44977</v>
      </c>
      <c r="E3208" s="1" t="n">
        <v>46316</v>
      </c>
      <c r="F3208" t="inlineStr">
        <is>
          <t>KRONOBERGS LÄN</t>
        </is>
      </c>
      <c r="G3208" t="inlineStr">
        <is>
          <t>MARKARYD</t>
        </is>
      </c>
      <c r="I3208" t="n">
        <v>20.7</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57437-2025</t>
        </is>
      </c>
      <c r="B3209" t="inlineStr">
        <is>
          <t>avverkningsanmälan</t>
        </is>
      </c>
      <c r="C3209" t="inlineStr">
        <is>
          <t>Föryngringsavverkning</t>
        </is>
      </c>
      <c r="D3209" s="1" t="n">
        <v>45980</v>
      </c>
      <c r="E3209" s="1" t="n">
        <v>46316</v>
      </c>
      <c r="F3209" t="inlineStr">
        <is>
          <t>KRONOBERGS LÄN</t>
        </is>
      </c>
      <c r="G3209" t="inlineStr">
        <is>
          <t>MARKARYD</t>
        </is>
      </c>
      <c r="I3209" t="n">
        <v>2</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48156-2024</t>
        </is>
      </c>
      <c r="B3210" t="inlineStr">
        <is>
          <t>avverkningsanmälan</t>
        </is>
      </c>
      <c r="C3210" t="inlineStr">
        <is>
          <t>Föryngringsavverkning</t>
        </is>
      </c>
      <c r="D3210" s="1" t="n">
        <v>45589</v>
      </c>
      <c r="E3210" s="1" t="n">
        <v>46316</v>
      </c>
      <c r="F3210" t="inlineStr">
        <is>
          <t>KRONOBERGS LÄN</t>
        </is>
      </c>
      <c r="G3210" t="inlineStr">
        <is>
          <t>ÄLMHULT</t>
        </is>
      </c>
      <c r="I3210" t="n">
        <v>4.4</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14282-2023</t>
        </is>
      </c>
      <c r="B3211" t="inlineStr">
        <is>
          <t>avverkningsanmälan</t>
        </is>
      </c>
      <c r="C3211" t="inlineStr">
        <is>
          <t>Föryngringsavverkning</t>
        </is>
      </c>
      <c r="D3211" s="1" t="n">
        <v>45010</v>
      </c>
      <c r="E3211" s="1" t="n">
        <v>46316</v>
      </c>
      <c r="F3211" t="inlineStr">
        <is>
          <t>KRONOBERGS LÄN</t>
        </is>
      </c>
      <c r="G3211" t="inlineStr">
        <is>
          <t>ÄLMHULT</t>
        </is>
      </c>
      <c r="I3211" t="n">
        <v>1</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26882-2024</t>
        </is>
      </c>
      <c r="B3212" t="inlineStr">
        <is>
          <t>avverkningsanmälan</t>
        </is>
      </c>
      <c r="C3212" t="inlineStr">
        <is>
          <t>Avverkning för annat ändamål</t>
        </is>
      </c>
      <c r="D3212" s="1" t="n">
        <v>45470</v>
      </c>
      <c r="E3212" s="1" t="n">
        <v>46316</v>
      </c>
      <c r="F3212" t="inlineStr">
        <is>
          <t>KRONOBERGS LÄN</t>
        </is>
      </c>
      <c r="G3212" t="inlineStr">
        <is>
          <t>LJUNGBY</t>
        </is>
      </c>
      <c r="I3212" t="n">
        <v>2.5</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8494-2023</t>
        </is>
      </c>
      <c r="B3213" t="inlineStr">
        <is>
          <t>avverkningsanmälan</t>
        </is>
      </c>
      <c r="C3213" t="inlineStr">
        <is>
          <t>Avverkning för annat ändamål</t>
        </is>
      </c>
      <c r="D3213" s="1" t="n">
        <v>44977</v>
      </c>
      <c r="E3213" s="1" t="n">
        <v>46316</v>
      </c>
      <c r="F3213" t="inlineStr">
        <is>
          <t>KRONOBERGS LÄN</t>
        </is>
      </c>
      <c r="G3213" t="inlineStr">
        <is>
          <t>MARKARYD</t>
        </is>
      </c>
      <c r="I3213" t="n">
        <v>13.6</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60813-2025</t>
        </is>
      </c>
      <c r="B3214" t="inlineStr">
        <is>
          <t>avverkningsanmälan</t>
        </is>
      </c>
      <c r="C3214" t="inlineStr">
        <is>
          <t>Föryngringsavverkning</t>
        </is>
      </c>
      <c r="D3214" s="1" t="n">
        <v>45999</v>
      </c>
      <c r="E3214" s="1" t="n">
        <v>46316</v>
      </c>
      <c r="F3214" t="inlineStr">
        <is>
          <t>KRONOBERGS LÄN</t>
        </is>
      </c>
      <c r="G3214" t="inlineStr">
        <is>
          <t>MARKARYD</t>
        </is>
      </c>
      <c r="I3214" t="n">
        <v>1.8</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8571-2023</t>
        </is>
      </c>
      <c r="B3215" t="inlineStr">
        <is>
          <t>avverkningsanmälan</t>
        </is>
      </c>
      <c r="C3215" t="inlineStr">
        <is>
          <t>Föryngringsavverkning</t>
        </is>
      </c>
      <c r="D3215" s="1" t="n">
        <v>44977</v>
      </c>
      <c r="E3215" s="1" t="n">
        <v>46316</v>
      </c>
      <c r="F3215" t="inlineStr">
        <is>
          <t>KRONOBERGS LÄN</t>
        </is>
      </c>
      <c r="G3215" t="inlineStr">
        <is>
          <t>VÄXJÖ</t>
        </is>
      </c>
      <c r="I3215" t="n">
        <v>0.7</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22666-2026</t>
        </is>
      </c>
      <c r="B3216" t="inlineStr">
        <is>
          <t>avverkningsanmälan</t>
        </is>
      </c>
      <c r="C3216" t="inlineStr">
        <is>
          <t>Föryngringsavverkning</t>
        </is>
      </c>
      <c r="D3216" s="1" t="n">
        <v>46155</v>
      </c>
      <c r="E3216" s="1" t="n">
        <v>46316</v>
      </c>
      <c r="F3216" t="inlineStr">
        <is>
          <t>KRONOBERGS LÄN</t>
        </is>
      </c>
      <c r="G3216" t="inlineStr">
        <is>
          <t>LJUNGBY</t>
        </is>
      </c>
      <c r="I3216" t="n">
        <v>3</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31363-2023</t>
        </is>
      </c>
      <c r="B3217" t="inlineStr">
        <is>
          <t>avverkningsanmälan</t>
        </is>
      </c>
      <c r="C3217" t="inlineStr">
        <is>
          <t>Föryngringsavverkning</t>
        </is>
      </c>
      <c r="D3217" s="1" t="n">
        <v>45114</v>
      </c>
      <c r="E3217" s="1" t="n">
        <v>46316</v>
      </c>
      <c r="F3217" t="inlineStr">
        <is>
          <t>KRONOBERGS LÄN</t>
        </is>
      </c>
      <c r="G3217" t="inlineStr">
        <is>
          <t>VÄXJÖ</t>
        </is>
      </c>
      <c r="I3217" t="n">
        <v>2</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31364-2023</t>
        </is>
      </c>
      <c r="B3218" t="inlineStr">
        <is>
          <t>avverkningsanmälan</t>
        </is>
      </c>
      <c r="C3218" t="inlineStr">
        <is>
          <t>Föryngringsavverkning</t>
        </is>
      </c>
      <c r="D3218" s="1" t="n">
        <v>45114</v>
      </c>
      <c r="E3218" s="1" t="n">
        <v>46316</v>
      </c>
      <c r="F3218" t="inlineStr">
        <is>
          <t>KRONOBERGS LÄN</t>
        </is>
      </c>
      <c r="G3218" t="inlineStr">
        <is>
          <t>VÄXJÖ</t>
        </is>
      </c>
      <c r="I3218" t="n">
        <v>1.9</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33075-2024</t>
        </is>
      </c>
      <c r="B3219" t="inlineStr">
        <is>
          <t>avverkningsanmälan</t>
        </is>
      </c>
      <c r="C3219" t="inlineStr">
        <is>
          <t>Föryngringsavverkning</t>
        </is>
      </c>
      <c r="D3219" s="1" t="n">
        <v>45517</v>
      </c>
      <c r="E3219" s="1" t="n">
        <v>46316</v>
      </c>
      <c r="F3219" t="inlineStr">
        <is>
          <t>KRONOBERGS LÄN</t>
        </is>
      </c>
      <c r="G3219" t="inlineStr">
        <is>
          <t>VÄXJÖ</t>
        </is>
      </c>
      <c r="I3219" t="n">
        <v>1.2</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31765-2023</t>
        </is>
      </c>
      <c r="B3220" t="inlineStr">
        <is>
          <t>avverkningsanmälan</t>
        </is>
      </c>
      <c r="C3220" t="inlineStr">
        <is>
          <t>Föryngringsavverkning</t>
        </is>
      </c>
      <c r="D3220" s="1" t="n">
        <v>45118</v>
      </c>
      <c r="E3220" s="1" t="n">
        <v>46316</v>
      </c>
      <c r="F3220" t="inlineStr">
        <is>
          <t>KRONOBERGS LÄN</t>
        </is>
      </c>
      <c r="G3220" t="inlineStr">
        <is>
          <t>UPPVIDINGE</t>
        </is>
      </c>
      <c r="I3220" t="n">
        <v>2</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50882-2024</t>
        </is>
      </c>
      <c r="B3221" t="inlineStr">
        <is>
          <t>avverkningsanmälan</t>
        </is>
      </c>
      <c r="C3221" t="inlineStr">
        <is>
          <t>Föryngringsavverkning</t>
        </is>
      </c>
      <c r="D3221" s="1" t="n">
        <v>45602</v>
      </c>
      <c r="E3221" s="1" t="n">
        <v>46316</v>
      </c>
      <c r="F3221" t="inlineStr">
        <is>
          <t>KRONOBERGS LÄN</t>
        </is>
      </c>
      <c r="G3221" t="inlineStr">
        <is>
          <t>LJUNGBY</t>
        </is>
      </c>
      <c r="I3221" t="n">
        <v>0.9</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6493-2024</t>
        </is>
      </c>
      <c r="B3222" t="inlineStr">
        <is>
          <t>avverkningsanmälan</t>
        </is>
      </c>
      <c r="C3222" t="inlineStr">
        <is>
          <t>Avverkning för annat ändamål</t>
        </is>
      </c>
      <c r="D3222" s="1" t="n">
        <v>45339</v>
      </c>
      <c r="E3222" s="1" t="n">
        <v>46316</v>
      </c>
      <c r="F3222" t="inlineStr">
        <is>
          <t>KRONOBERGS LÄN</t>
        </is>
      </c>
      <c r="G3222" t="inlineStr">
        <is>
          <t>LJUNGBY</t>
        </is>
      </c>
      <c r="I3222" t="n">
        <v>1.5</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375-2024</t>
        </is>
      </c>
      <c r="B3223" t="inlineStr">
        <is>
          <t>avverkningsanmälan</t>
        </is>
      </c>
      <c r="C3223" t="inlineStr">
        <is>
          <t>Föryngringsavverkning</t>
        </is>
      </c>
      <c r="D3223" s="1" t="n">
        <v>45296</v>
      </c>
      <c r="E3223" s="1" t="n">
        <v>46316</v>
      </c>
      <c r="F3223" t="inlineStr">
        <is>
          <t>KRONOBERGS LÄN</t>
        </is>
      </c>
      <c r="G3223" t="inlineStr">
        <is>
          <t>VÄXJÖ</t>
        </is>
      </c>
      <c r="I3223" t="n">
        <v>1.6</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42705-2023</t>
        </is>
      </c>
      <c r="B3224" t="inlineStr">
        <is>
          <t>avverkningsanmälan</t>
        </is>
      </c>
      <c r="C3224" t="inlineStr">
        <is>
          <t>Föryngringsavverkning</t>
        </is>
      </c>
      <c r="D3224" s="1" t="n">
        <v>45181</v>
      </c>
      <c r="E3224" s="1" t="n">
        <v>46316</v>
      </c>
      <c r="F3224" t="inlineStr">
        <is>
          <t>KRONOBERGS LÄN</t>
        </is>
      </c>
      <c r="G3224" t="inlineStr">
        <is>
          <t>VÄXJÖ</t>
        </is>
      </c>
      <c r="I3224" t="n">
        <v>0.8</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27562-2023</t>
        </is>
      </c>
      <c r="B3225" t="inlineStr">
        <is>
          <t>avverkningsanmälan</t>
        </is>
      </c>
      <c r="C3225" t="inlineStr">
        <is>
          <t>Föryngringsavverkning</t>
        </is>
      </c>
      <c r="D3225" s="1" t="n">
        <v>45097</v>
      </c>
      <c r="E3225" s="1" t="n">
        <v>46316</v>
      </c>
      <c r="F3225" t="inlineStr">
        <is>
          <t>KRONOBERGS LÄN</t>
        </is>
      </c>
      <c r="G3225" t="inlineStr">
        <is>
          <t>LJUNGBY</t>
        </is>
      </c>
      <c r="I3225" t="n">
        <v>0.7</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36985-2025</t>
        </is>
      </c>
      <c r="B3226" t="inlineStr">
        <is>
          <t>avverkningsanmälan</t>
        </is>
      </c>
      <c r="C3226" t="inlineStr">
        <is>
          <t>Föryngringsavverkning</t>
        </is>
      </c>
      <c r="D3226" s="1" t="n">
        <v>45874</v>
      </c>
      <c r="E3226" s="1" t="n">
        <v>46316</v>
      </c>
      <c r="F3226" t="inlineStr">
        <is>
          <t>KRONOBERGS LÄN</t>
        </is>
      </c>
      <c r="G3226" t="inlineStr">
        <is>
          <t>LJUNGBY</t>
        </is>
      </c>
      <c r="I3226" t="n">
        <v>1.5</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54702-2024</t>
        </is>
      </c>
      <c r="B3227" t="inlineStr">
        <is>
          <t>avverkningsanmälan</t>
        </is>
      </c>
      <c r="C3227" t="inlineStr">
        <is>
          <t>Föryngringsavverkning</t>
        </is>
      </c>
      <c r="D3227" s="1" t="n">
        <v>45618</v>
      </c>
      <c r="E3227" s="1" t="n">
        <v>46316</v>
      </c>
      <c r="F3227" t="inlineStr">
        <is>
          <t>KRONOBERGS LÄN</t>
        </is>
      </c>
      <c r="G3227" t="inlineStr">
        <is>
          <t>TINGSRYD</t>
        </is>
      </c>
      <c r="I3227" t="n">
        <v>1.1</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3842-2026</t>
        </is>
      </c>
      <c r="B3228" t="inlineStr">
        <is>
          <t>avverkningsanmälan</t>
        </is>
      </c>
      <c r="C3228" t="inlineStr">
        <is>
          <t>Föryngringsavverkning</t>
        </is>
      </c>
      <c r="D3228" s="1" t="n">
        <v>46043</v>
      </c>
      <c r="E3228" s="1" t="n">
        <v>46316</v>
      </c>
      <c r="F3228" t="inlineStr">
        <is>
          <t>KRONOBERGS LÄN</t>
        </is>
      </c>
      <c r="G3228" t="inlineStr">
        <is>
          <t>TINGSRYD</t>
        </is>
      </c>
      <c r="H3228" t="inlineStr">
        <is>
          <t>Kommuner</t>
        </is>
      </c>
      <c r="I3228" t="n">
        <v>1</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40164-2023</t>
        </is>
      </c>
      <c r="B3229" t="inlineStr">
        <is>
          <t>avverkningsanmälan</t>
        </is>
      </c>
      <c r="C3229" t="inlineStr">
        <is>
          <t>Föryngringsavverkning</t>
        </is>
      </c>
      <c r="D3229" s="1" t="n">
        <v>45169</v>
      </c>
      <c r="E3229" s="1" t="n">
        <v>46316</v>
      </c>
      <c r="F3229" t="inlineStr">
        <is>
          <t>KRONOBERGS LÄN</t>
        </is>
      </c>
      <c r="G3229" t="inlineStr">
        <is>
          <t>UPPVIDINGE</t>
        </is>
      </c>
      <c r="I3229" t="n">
        <v>2.2</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8803-2024</t>
        </is>
      </c>
      <c r="B3230" t="inlineStr">
        <is>
          <t>avverkningsanmälan</t>
        </is>
      </c>
      <c r="C3230" t="inlineStr">
        <is>
          <t>Föryngringsavverkning</t>
        </is>
      </c>
      <c r="D3230" s="1" t="n">
        <v>45356</v>
      </c>
      <c r="E3230" s="1" t="n">
        <v>46316</v>
      </c>
      <c r="F3230" t="inlineStr">
        <is>
          <t>KRONOBERGS LÄN</t>
        </is>
      </c>
      <c r="G3230" t="inlineStr">
        <is>
          <t>ALVESTA</t>
        </is>
      </c>
      <c r="I3230" t="n">
        <v>0.7</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25806-2023</t>
        </is>
      </c>
      <c r="B3231" t="inlineStr">
        <is>
          <t>avverkningsanmälan</t>
        </is>
      </c>
      <c r="C3231" t="inlineStr">
        <is>
          <t>Föryngringsavverkning</t>
        </is>
      </c>
      <c r="D3231" s="1" t="n">
        <v>45090</v>
      </c>
      <c r="E3231" s="1" t="n">
        <v>46316</v>
      </c>
      <c r="F3231" t="inlineStr">
        <is>
          <t>KRONOBERGS LÄN</t>
        </is>
      </c>
      <c r="G3231" t="inlineStr">
        <is>
          <t>VÄXJÖ</t>
        </is>
      </c>
      <c r="I3231" t="n">
        <v>0.7</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47402-2024</t>
        </is>
      </c>
      <c r="B3232" t="inlineStr">
        <is>
          <t>avverkningsanmälan</t>
        </is>
      </c>
      <c r="C3232" t="inlineStr">
        <is>
          <t>Föryngringsavverkning</t>
        </is>
      </c>
      <c r="D3232" s="1" t="n">
        <v>45587</v>
      </c>
      <c r="E3232" s="1" t="n">
        <v>46316</v>
      </c>
      <c r="F3232" t="inlineStr">
        <is>
          <t>KRONOBERGS LÄN</t>
        </is>
      </c>
      <c r="G3232" t="inlineStr">
        <is>
          <t>LESSEBO</t>
        </is>
      </c>
      <c r="I3232" t="n">
        <v>5.5</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50919-2022</t>
        </is>
      </c>
      <c r="B3233" t="inlineStr">
        <is>
          <t>avverkningsanmälan</t>
        </is>
      </c>
      <c r="C3233" t="inlineStr">
        <is>
          <t>Föryngringsavverkning</t>
        </is>
      </c>
      <c r="D3233" s="1" t="n">
        <v>44867</v>
      </c>
      <c r="E3233" s="1" t="n">
        <v>46316</v>
      </c>
      <c r="F3233" t="inlineStr">
        <is>
          <t>KRONOBERGS LÄN</t>
        </is>
      </c>
      <c r="G3233" t="inlineStr">
        <is>
          <t>VÄXJÖ</t>
        </is>
      </c>
      <c r="I3233" t="n">
        <v>1.5</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10289-2025</t>
        </is>
      </c>
      <c r="B3234" t="inlineStr">
        <is>
          <t>avverkningsanmälan</t>
        </is>
      </c>
      <c r="C3234" t="inlineStr">
        <is>
          <t>Föryngringsavverkning</t>
        </is>
      </c>
      <c r="D3234" s="1" t="n">
        <v>45720</v>
      </c>
      <c r="E3234" s="1" t="n">
        <v>46316</v>
      </c>
      <c r="F3234" t="inlineStr">
        <is>
          <t>KRONOBERGS LÄN</t>
        </is>
      </c>
      <c r="G3234" t="inlineStr">
        <is>
          <t>UPPVIDINGE</t>
        </is>
      </c>
      <c r="I3234" t="n">
        <v>0.5</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18836-2024</t>
        </is>
      </c>
      <c r="B3235" t="inlineStr">
        <is>
          <t>avverkningsanmälan</t>
        </is>
      </c>
      <c r="C3235" t="inlineStr">
        <is>
          <t>Föryngringsavverkning</t>
        </is>
      </c>
      <c r="D3235" s="1" t="n">
        <v>45426</v>
      </c>
      <c r="E3235" s="1" t="n">
        <v>46316</v>
      </c>
      <c r="F3235" t="inlineStr">
        <is>
          <t>KRONOBERGS LÄN</t>
        </is>
      </c>
      <c r="G3235" t="inlineStr">
        <is>
          <t>ALVESTA</t>
        </is>
      </c>
      <c r="I3235" t="n">
        <v>1.9</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62812-2023</t>
        </is>
      </c>
      <c r="B3236" t="inlineStr">
        <is>
          <t>avverkningsanmälan</t>
        </is>
      </c>
      <c r="C3236" t="inlineStr">
        <is>
          <t>Föryngringsavverkning</t>
        </is>
      </c>
      <c r="D3236" s="1" t="n">
        <v>45271</v>
      </c>
      <c r="E3236" s="1" t="n">
        <v>46316</v>
      </c>
      <c r="F3236" t="inlineStr">
        <is>
          <t>KRONOBERGS LÄN</t>
        </is>
      </c>
      <c r="G3236" t="inlineStr">
        <is>
          <t>ÄLMHULT</t>
        </is>
      </c>
      <c r="I3236" t="n">
        <v>8.4</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63204-2023</t>
        </is>
      </c>
      <c r="B3237" t="inlineStr">
        <is>
          <t>avverkningsanmälan</t>
        </is>
      </c>
      <c r="C3237" t="inlineStr">
        <is>
          <t>Föryngringsavverkning</t>
        </is>
      </c>
      <c r="D3237" s="1" t="n">
        <v>45273</v>
      </c>
      <c r="E3237" s="1" t="n">
        <v>46316</v>
      </c>
      <c r="F3237" t="inlineStr">
        <is>
          <t>KRONOBERGS LÄN</t>
        </is>
      </c>
      <c r="G3237" t="inlineStr">
        <is>
          <t>UPPVIDINGE</t>
        </is>
      </c>
      <c r="I3237" t="n">
        <v>1.8</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63211-2023</t>
        </is>
      </c>
      <c r="B3238" t="inlineStr">
        <is>
          <t>avverkningsanmälan</t>
        </is>
      </c>
      <c r="C3238" t="inlineStr">
        <is>
          <t>Föryngringsavverkning</t>
        </is>
      </c>
      <c r="D3238" s="1" t="n">
        <v>45273</v>
      </c>
      <c r="E3238" s="1" t="n">
        <v>46316</v>
      </c>
      <c r="F3238" t="inlineStr">
        <is>
          <t>KRONOBERGS LÄN</t>
        </is>
      </c>
      <c r="G3238" t="inlineStr">
        <is>
          <t>UPPVIDINGE</t>
        </is>
      </c>
      <c r="I3238" t="n">
        <v>2.1</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57834-2024</t>
        </is>
      </c>
      <c r="B3239" t="inlineStr">
        <is>
          <t>avverkningsanmälan</t>
        </is>
      </c>
      <c r="C3239" t="inlineStr">
        <is>
          <t>Föryngringsavverkning</t>
        </is>
      </c>
      <c r="D3239" s="1" t="n">
        <v>45631</v>
      </c>
      <c r="E3239" s="1" t="n">
        <v>46316</v>
      </c>
      <c r="F3239" t="inlineStr">
        <is>
          <t>KRONOBERGS LÄN</t>
        </is>
      </c>
      <c r="G3239" t="inlineStr">
        <is>
          <t>VÄXJÖ</t>
        </is>
      </c>
      <c r="I3239" t="n">
        <v>0.9</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22664-2026</t>
        </is>
      </c>
      <c r="B3240" t="inlineStr">
        <is>
          <t>avverkningsanmälan</t>
        </is>
      </c>
      <c r="C3240" t="inlineStr">
        <is>
          <t>Föryngringsavverkning</t>
        </is>
      </c>
      <c r="D3240" s="1" t="n">
        <v>46155</v>
      </c>
      <c r="E3240" s="1" t="n">
        <v>46316</v>
      </c>
      <c r="F3240" t="inlineStr">
        <is>
          <t>KRONOBERGS LÄN</t>
        </is>
      </c>
      <c r="G3240" t="inlineStr">
        <is>
          <t>LJUNGBY</t>
        </is>
      </c>
      <c r="I3240" t="n">
        <v>0.7</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40898-2023</t>
        </is>
      </c>
      <c r="B3241" t="inlineStr">
        <is>
          <t>avverkningsanmälan</t>
        </is>
      </c>
      <c r="C3241" t="inlineStr">
        <is>
          <t>Föryngringsavverkning</t>
        </is>
      </c>
      <c r="D3241" s="1" t="n">
        <v>45169</v>
      </c>
      <c r="E3241" s="1" t="n">
        <v>46316</v>
      </c>
      <c r="F3241" t="inlineStr">
        <is>
          <t>KRONOBERGS LÄN</t>
        </is>
      </c>
      <c r="G3241" t="inlineStr">
        <is>
          <t>LJUNGBY</t>
        </is>
      </c>
      <c r="I3241" t="n">
        <v>1.6</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49975-2024</t>
        </is>
      </c>
      <c r="B3242" t="inlineStr">
        <is>
          <t>avverkningsanmälan</t>
        </is>
      </c>
      <c r="C3242" t="inlineStr">
        <is>
          <t>Föryngringsavverkning</t>
        </is>
      </c>
      <c r="D3242" s="1" t="n">
        <v>45597</v>
      </c>
      <c r="E3242" s="1" t="n">
        <v>46316</v>
      </c>
      <c r="F3242" t="inlineStr">
        <is>
          <t>KRONOBERGS LÄN</t>
        </is>
      </c>
      <c r="G3242" t="inlineStr">
        <is>
          <t>VÄXJÖ</t>
        </is>
      </c>
      <c r="I3242" t="n">
        <v>0.9</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55327-2022</t>
        </is>
      </c>
      <c r="B3243" t="inlineStr">
        <is>
          <t>avverkningsanmälan</t>
        </is>
      </c>
      <c r="C3243" t="inlineStr">
        <is>
          <t>Föryngringsavverkning</t>
        </is>
      </c>
      <c r="D3243" s="1" t="n">
        <v>44887</v>
      </c>
      <c r="E3243" s="1" t="n">
        <v>46316</v>
      </c>
      <c r="F3243" t="inlineStr">
        <is>
          <t>KRONOBERGS LÄN</t>
        </is>
      </c>
      <c r="G3243" t="inlineStr">
        <is>
          <t>UPPVIDINGE</t>
        </is>
      </c>
      <c r="I3243" t="n">
        <v>1.4</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55332-2022</t>
        </is>
      </c>
      <c r="B3244" t="inlineStr">
        <is>
          <t>avverkningsanmälan</t>
        </is>
      </c>
      <c r="C3244" t="inlineStr">
        <is>
          <t>Föryngringsavverkning</t>
        </is>
      </c>
      <c r="D3244" s="1" t="n">
        <v>44887</v>
      </c>
      <c r="E3244" s="1" t="n">
        <v>46316</v>
      </c>
      <c r="F3244" t="inlineStr">
        <is>
          <t>KRONOBERGS LÄN</t>
        </is>
      </c>
      <c r="G3244" t="inlineStr">
        <is>
          <t>MARKARYD</t>
        </is>
      </c>
      <c r="I3244" t="n">
        <v>1.4</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54667-2022</t>
        </is>
      </c>
      <c r="B3245" t="inlineStr">
        <is>
          <t>avverkningsanmälan</t>
        </is>
      </c>
      <c r="C3245" t="inlineStr">
        <is>
          <t>Föryngringsavverkning</t>
        </is>
      </c>
      <c r="D3245" s="1" t="n">
        <v>44881</v>
      </c>
      <c r="E3245" s="1" t="n">
        <v>46316</v>
      </c>
      <c r="F3245" t="inlineStr">
        <is>
          <t>KRONOBERGS LÄN</t>
        </is>
      </c>
      <c r="G3245" t="inlineStr">
        <is>
          <t>ALVESTA</t>
        </is>
      </c>
      <c r="I3245" t="n">
        <v>1.7</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41835-2025</t>
        </is>
      </c>
      <c r="B3246" t="inlineStr">
        <is>
          <t>avverkningsanmälan</t>
        </is>
      </c>
      <c r="C3246" t="inlineStr">
        <is>
          <t>Föryngringsavverkning</t>
        </is>
      </c>
      <c r="D3246" s="1" t="n">
        <v>45902</v>
      </c>
      <c r="E3246" s="1" t="n">
        <v>46316</v>
      </c>
      <c r="F3246" t="inlineStr">
        <is>
          <t>KRONOBERGS LÄN</t>
        </is>
      </c>
      <c r="G3246" t="inlineStr">
        <is>
          <t>TINGSRYD</t>
        </is>
      </c>
      <c r="I3246" t="n">
        <v>1.4</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22413-2026</t>
        </is>
      </c>
      <c r="B3247" t="inlineStr">
        <is>
          <t>avverkningsanmälan</t>
        </is>
      </c>
      <c r="C3247" t="inlineStr">
        <is>
          <t>Föryngringsavverkning</t>
        </is>
      </c>
      <c r="D3247" s="1" t="n">
        <v>46154</v>
      </c>
      <c r="E3247" s="1" t="n">
        <v>46316</v>
      </c>
      <c r="F3247" t="inlineStr">
        <is>
          <t>KRONOBERGS LÄN</t>
        </is>
      </c>
      <c r="G3247" t="inlineStr">
        <is>
          <t>TINGSRYD</t>
        </is>
      </c>
      <c r="I3247" t="n">
        <v>0.7</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22423-2026</t>
        </is>
      </c>
      <c r="B3248" t="inlineStr">
        <is>
          <t>avverkningsanmälan</t>
        </is>
      </c>
      <c r="C3248" t="inlineStr">
        <is>
          <t>Avverkning för att bevara och utveckla /försöksver</t>
        </is>
      </c>
      <c r="D3248" s="1" t="n">
        <v>46154</v>
      </c>
      <c r="E3248" s="1" t="n">
        <v>46316</v>
      </c>
      <c r="F3248" t="inlineStr">
        <is>
          <t>KRONOBERGS LÄN</t>
        </is>
      </c>
      <c r="G3248" t="inlineStr">
        <is>
          <t>LESSEBO</t>
        </is>
      </c>
      <c r="I3248" t="n">
        <v>2.3</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53405-2024</t>
        </is>
      </c>
      <c r="B3249" t="inlineStr">
        <is>
          <t>avverkningsanmälan</t>
        </is>
      </c>
      <c r="C3249" t="inlineStr">
        <is>
          <t>Avverkning för annat ändamål</t>
        </is>
      </c>
      <c r="D3249" s="1" t="n">
        <v>45614</v>
      </c>
      <c r="E3249" s="1" t="n">
        <v>46316</v>
      </c>
      <c r="F3249" t="inlineStr">
        <is>
          <t>KRONOBERGS LÄN</t>
        </is>
      </c>
      <c r="G3249" t="inlineStr">
        <is>
          <t>LJUNGBY</t>
        </is>
      </c>
      <c r="H3249" t="inlineStr">
        <is>
          <t>Sveaskog</t>
        </is>
      </c>
      <c r="I3249" t="n">
        <v>0.3</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24858-2023</t>
        </is>
      </c>
      <c r="B3250" t="inlineStr">
        <is>
          <t>avverkningsanmälan</t>
        </is>
      </c>
      <c r="C3250" t="inlineStr">
        <is>
          <t>Föryngringsavverkning</t>
        </is>
      </c>
      <c r="D3250" s="1" t="n">
        <v>45085</v>
      </c>
      <c r="E3250" s="1" t="n">
        <v>46316</v>
      </c>
      <c r="F3250" t="inlineStr">
        <is>
          <t>KRONOBERGS LÄN</t>
        </is>
      </c>
      <c r="G3250" t="inlineStr">
        <is>
          <t>UPPVIDINGE</t>
        </is>
      </c>
      <c r="I3250" t="n">
        <v>0.5</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22718-2026</t>
        </is>
      </c>
      <c r="B3251" t="inlineStr">
        <is>
          <t>avverkningsanmälan</t>
        </is>
      </c>
      <c r="C3251" t="inlineStr">
        <is>
          <t>Föryngringsavverkning</t>
        </is>
      </c>
      <c r="D3251" s="1" t="n">
        <v>46157</v>
      </c>
      <c r="E3251" s="1" t="n">
        <v>46316</v>
      </c>
      <c r="F3251" t="inlineStr">
        <is>
          <t>KRONOBERGS LÄN</t>
        </is>
      </c>
      <c r="G3251" t="inlineStr">
        <is>
          <t>LESSEBO</t>
        </is>
      </c>
      <c r="H3251" t="inlineStr">
        <is>
          <t>Sveaskog</t>
        </is>
      </c>
      <c r="I3251" t="n">
        <v>4.1</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22683-2026</t>
        </is>
      </c>
      <c r="B3252" t="inlineStr">
        <is>
          <t>avverkningsanmälan</t>
        </is>
      </c>
      <c r="C3252" t="inlineStr">
        <is>
          <t>Föryngringsavverkning</t>
        </is>
      </c>
      <c r="D3252" s="1" t="n">
        <v>46156</v>
      </c>
      <c r="E3252" s="1" t="n">
        <v>46316</v>
      </c>
      <c r="F3252" t="inlineStr">
        <is>
          <t>KRONOBERGS LÄN</t>
        </is>
      </c>
      <c r="G3252" t="inlineStr">
        <is>
          <t>UPPVIDINGE</t>
        </is>
      </c>
      <c r="H3252" t="inlineStr">
        <is>
          <t>Sveaskog</t>
        </is>
      </c>
      <c r="I3252" t="n">
        <v>4</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15504-2024</t>
        </is>
      </c>
      <c r="B3253" t="inlineStr">
        <is>
          <t>avverkningsanmälan</t>
        </is>
      </c>
      <c r="C3253" t="inlineStr">
        <is>
          <t>Föryngringsavverkning</t>
        </is>
      </c>
      <c r="D3253" s="1" t="n">
        <v>45401</v>
      </c>
      <c r="E3253" s="1" t="n">
        <v>46316</v>
      </c>
      <c r="F3253" t="inlineStr">
        <is>
          <t>KRONOBERGS LÄN</t>
        </is>
      </c>
      <c r="G3253" t="inlineStr">
        <is>
          <t>VÄXJÖ</t>
        </is>
      </c>
      <c r="I3253" t="n">
        <v>0.5</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7684-2026</t>
        </is>
      </c>
      <c r="B3254" t="inlineStr">
        <is>
          <t>avverkningsanmälan</t>
        </is>
      </c>
      <c r="C3254" t="inlineStr">
        <is>
          <t>Föryngringsavverkning</t>
        </is>
      </c>
      <c r="D3254" s="1" t="n">
        <v>46059</v>
      </c>
      <c r="E3254" s="1" t="n">
        <v>46316</v>
      </c>
      <c r="F3254" t="inlineStr">
        <is>
          <t>KRONOBERGS LÄN</t>
        </is>
      </c>
      <c r="G3254" t="inlineStr">
        <is>
          <t>LJUNGBY</t>
        </is>
      </c>
      <c r="H3254" t="inlineStr">
        <is>
          <t>Kyrkan</t>
        </is>
      </c>
      <c r="I3254" t="n">
        <v>2.1</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49228-2024</t>
        </is>
      </c>
      <c r="B3255" t="inlineStr">
        <is>
          <t>avverkningsanmälan</t>
        </is>
      </c>
      <c r="C3255" t="inlineStr">
        <is>
          <t>Föryngringsavverkning</t>
        </is>
      </c>
      <c r="D3255" s="1" t="n">
        <v>45595</v>
      </c>
      <c r="E3255" s="1" t="n">
        <v>46316</v>
      </c>
      <c r="F3255" t="inlineStr">
        <is>
          <t>KRONOBERGS LÄN</t>
        </is>
      </c>
      <c r="G3255" t="inlineStr">
        <is>
          <t>LJUNGBY</t>
        </is>
      </c>
      <c r="I3255" t="n">
        <v>2.6</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22682-2026</t>
        </is>
      </c>
      <c r="B3256" t="inlineStr">
        <is>
          <t>avverkningsanmälan</t>
        </is>
      </c>
      <c r="C3256" t="inlineStr">
        <is>
          <t>Föryngringsavverkning</t>
        </is>
      </c>
      <c r="D3256" s="1" t="n">
        <v>46156</v>
      </c>
      <c r="E3256" s="1" t="n">
        <v>46316</v>
      </c>
      <c r="F3256" t="inlineStr">
        <is>
          <t>KRONOBERGS LÄN</t>
        </is>
      </c>
      <c r="G3256" t="inlineStr">
        <is>
          <t>UPPVIDINGE</t>
        </is>
      </c>
      <c r="H3256" t="inlineStr">
        <is>
          <t>Sveaskog</t>
        </is>
      </c>
      <c r="I3256" t="n">
        <v>1.4</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54366-2022</t>
        </is>
      </c>
      <c r="B3257" t="inlineStr">
        <is>
          <t>avverkningsanmälan</t>
        </is>
      </c>
      <c r="C3257" t="inlineStr">
        <is>
          <t>Föryngringsavverkning</t>
        </is>
      </c>
      <c r="D3257" s="1" t="n">
        <v>44882</v>
      </c>
      <c r="E3257" s="1" t="n">
        <v>46316</v>
      </c>
      <c r="F3257" t="inlineStr">
        <is>
          <t>KRONOBERGS LÄN</t>
        </is>
      </c>
      <c r="G3257" t="inlineStr">
        <is>
          <t>UPPVIDINGE</t>
        </is>
      </c>
      <c r="I3257" t="n">
        <v>1.4</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22756-2026</t>
        </is>
      </c>
      <c r="B3258" t="inlineStr">
        <is>
          <t>avverkningsanmälan</t>
        </is>
      </c>
      <c r="C3258" t="inlineStr">
        <is>
          <t>Föryngringsavverkning</t>
        </is>
      </c>
      <c r="D3258" s="1" t="n">
        <v>46157</v>
      </c>
      <c r="E3258" s="1" t="n">
        <v>46316</v>
      </c>
      <c r="F3258" t="inlineStr">
        <is>
          <t>KRONOBERGS LÄN</t>
        </is>
      </c>
      <c r="G3258" t="inlineStr">
        <is>
          <t>LESSEBO</t>
        </is>
      </c>
      <c r="H3258" t="inlineStr">
        <is>
          <t>Sveaskog</t>
        </is>
      </c>
      <c r="I3258" t="n">
        <v>8.699999999999999</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9393-2024</t>
        </is>
      </c>
      <c r="B3259" t="inlineStr">
        <is>
          <t>avverkningsanmälan</t>
        </is>
      </c>
      <c r="C3259" t="inlineStr">
        <is>
          <t>Föryngringsavverkning</t>
        </is>
      </c>
      <c r="D3259" s="1" t="n">
        <v>45359</v>
      </c>
      <c r="E3259" s="1" t="n">
        <v>46316</v>
      </c>
      <c r="F3259" t="inlineStr">
        <is>
          <t>KRONOBERGS LÄN</t>
        </is>
      </c>
      <c r="G3259" t="inlineStr">
        <is>
          <t>ALVESTA</t>
        </is>
      </c>
      <c r="I3259" t="n">
        <v>1.3</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16342-2024</t>
        </is>
      </c>
      <c r="B3260" t="inlineStr">
        <is>
          <t>avverkningsanmälan</t>
        </is>
      </c>
      <c r="C3260" t="inlineStr">
        <is>
          <t>Föryngringsavverkning</t>
        </is>
      </c>
      <c r="D3260" s="1" t="n">
        <v>45407</v>
      </c>
      <c r="E3260" s="1" t="n">
        <v>46316</v>
      </c>
      <c r="F3260" t="inlineStr">
        <is>
          <t>KRONOBERGS LÄN</t>
        </is>
      </c>
      <c r="G3260" t="inlineStr">
        <is>
          <t>TINGSRYD</t>
        </is>
      </c>
      <c r="I3260" t="n">
        <v>3.4</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16351-2024</t>
        </is>
      </c>
      <c r="B3261" t="inlineStr">
        <is>
          <t>avverkningsanmälan</t>
        </is>
      </c>
      <c r="C3261" t="inlineStr">
        <is>
          <t>Föryngringsavverkning</t>
        </is>
      </c>
      <c r="D3261" s="1" t="n">
        <v>45407</v>
      </c>
      <c r="E3261" s="1" t="n">
        <v>46316</v>
      </c>
      <c r="F3261" t="inlineStr">
        <is>
          <t>KRONOBERGS LÄN</t>
        </is>
      </c>
      <c r="G3261" t="inlineStr">
        <is>
          <t>UPPVIDINGE</t>
        </is>
      </c>
      <c r="I3261" t="n">
        <v>4.6</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50896-2022</t>
        </is>
      </c>
      <c r="B3262" t="inlineStr">
        <is>
          <t>avverkningsanmälan</t>
        </is>
      </c>
      <c r="C3262" t="inlineStr">
        <is>
          <t>Föryngringsavverkning</t>
        </is>
      </c>
      <c r="D3262" s="1" t="n">
        <v>44867</v>
      </c>
      <c r="E3262" s="1" t="n">
        <v>46316</v>
      </c>
      <c r="F3262" t="inlineStr">
        <is>
          <t>KRONOBERGS LÄN</t>
        </is>
      </c>
      <c r="G3262" t="inlineStr">
        <is>
          <t>LJUNGBY</t>
        </is>
      </c>
      <c r="I3262" t="n">
        <v>2.4</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22758-2026</t>
        </is>
      </c>
      <c r="B3263" t="inlineStr">
        <is>
          <t>avverkningsanmälan</t>
        </is>
      </c>
      <c r="C3263" t="inlineStr">
        <is>
          <t>Föryngringsavverkning</t>
        </is>
      </c>
      <c r="D3263" s="1" t="n">
        <v>46157</v>
      </c>
      <c r="E3263" s="1" t="n">
        <v>46316</v>
      </c>
      <c r="F3263" t="inlineStr">
        <is>
          <t>KRONOBERGS LÄN</t>
        </is>
      </c>
      <c r="G3263" t="inlineStr">
        <is>
          <t>LESSEBO</t>
        </is>
      </c>
      <c r="H3263" t="inlineStr">
        <is>
          <t>Sveaskog</t>
        </is>
      </c>
      <c r="I3263" t="n">
        <v>3.9</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22766-2026</t>
        </is>
      </c>
      <c r="B3264" t="inlineStr">
        <is>
          <t>avverkningsanmälan</t>
        </is>
      </c>
      <c r="C3264" t="inlineStr">
        <is>
          <t>Föryngringsavverkning</t>
        </is>
      </c>
      <c r="D3264" s="1" t="n">
        <v>46157</v>
      </c>
      <c r="E3264" s="1" t="n">
        <v>46316</v>
      </c>
      <c r="F3264" t="inlineStr">
        <is>
          <t>KRONOBERGS LÄN</t>
        </is>
      </c>
      <c r="G3264" t="inlineStr">
        <is>
          <t>LESSEBO</t>
        </is>
      </c>
      <c r="H3264" t="inlineStr">
        <is>
          <t>Sveaskog</t>
        </is>
      </c>
      <c r="I3264" t="n">
        <v>0.6</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22686-2026</t>
        </is>
      </c>
      <c r="B3265" t="inlineStr">
        <is>
          <t>avverkningsanmälan</t>
        </is>
      </c>
      <c r="C3265" t="inlineStr">
        <is>
          <t>Föryngringsavverkning</t>
        </is>
      </c>
      <c r="D3265" s="1" t="n">
        <v>46156</v>
      </c>
      <c r="E3265" s="1" t="n">
        <v>46316</v>
      </c>
      <c r="F3265" t="inlineStr">
        <is>
          <t>KRONOBERGS LÄN</t>
        </is>
      </c>
      <c r="G3265" t="inlineStr">
        <is>
          <t>UPPVIDINGE</t>
        </is>
      </c>
      <c r="H3265" t="inlineStr">
        <is>
          <t>Sveaskog</t>
        </is>
      </c>
      <c r="I3265" t="n">
        <v>2.8</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22684-2026</t>
        </is>
      </c>
      <c r="B3266" t="inlineStr">
        <is>
          <t>avverkningsanmälan</t>
        </is>
      </c>
      <c r="C3266" t="inlineStr">
        <is>
          <t>Föryngringsavverkning</t>
        </is>
      </c>
      <c r="D3266" s="1" t="n">
        <v>46156</v>
      </c>
      <c r="E3266" s="1" t="n">
        <v>46316</v>
      </c>
      <c r="F3266" t="inlineStr">
        <is>
          <t>KRONOBERGS LÄN</t>
        </is>
      </c>
      <c r="G3266" t="inlineStr">
        <is>
          <t>UPPVIDINGE</t>
        </is>
      </c>
      <c r="H3266" t="inlineStr">
        <is>
          <t>Sveaskog</t>
        </is>
      </c>
      <c r="I3266" t="n">
        <v>3.6</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4171-2025</t>
        </is>
      </c>
      <c r="B3267" t="inlineStr">
        <is>
          <t>avverkningsanmälan</t>
        </is>
      </c>
      <c r="C3267" t="inlineStr">
        <is>
          <t>Föryngringsavverkning</t>
        </is>
      </c>
      <c r="D3267" s="1" t="n">
        <v>45685</v>
      </c>
      <c r="E3267" s="1" t="n">
        <v>46316</v>
      </c>
      <c r="F3267" t="inlineStr">
        <is>
          <t>KRONOBERGS LÄN</t>
        </is>
      </c>
      <c r="G3267" t="inlineStr">
        <is>
          <t>VÄXJÖ</t>
        </is>
      </c>
      <c r="I3267" t="n">
        <v>1.4</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22719-2026</t>
        </is>
      </c>
      <c r="B3268" t="inlineStr">
        <is>
          <t>avverkningsanmälan</t>
        </is>
      </c>
      <c r="C3268" t="inlineStr">
        <is>
          <t>Föryngringsavverkning</t>
        </is>
      </c>
      <c r="D3268" s="1" t="n">
        <v>46157</v>
      </c>
      <c r="E3268" s="1" t="n">
        <v>46316</v>
      </c>
      <c r="F3268" t="inlineStr">
        <is>
          <t>KRONOBERGS LÄN</t>
        </is>
      </c>
      <c r="G3268" t="inlineStr">
        <is>
          <t>LESSEBO</t>
        </is>
      </c>
      <c r="H3268" t="inlineStr">
        <is>
          <t>Sveaskog</t>
        </is>
      </c>
      <c r="I3268" t="n">
        <v>1.7</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22720-2026</t>
        </is>
      </c>
      <c r="B3269" t="inlineStr">
        <is>
          <t>avverkningsanmälan</t>
        </is>
      </c>
      <c r="C3269" t="inlineStr">
        <is>
          <t>Föryngringsavverkning</t>
        </is>
      </c>
      <c r="D3269" s="1" t="n">
        <v>46157</v>
      </c>
      <c r="E3269" s="1" t="n">
        <v>46316</v>
      </c>
      <c r="F3269" t="inlineStr">
        <is>
          <t>KRONOBERGS LÄN</t>
        </is>
      </c>
      <c r="G3269" t="inlineStr">
        <is>
          <t>LESSEBO</t>
        </is>
      </c>
      <c r="H3269" t="inlineStr">
        <is>
          <t>Sveaskog</t>
        </is>
      </c>
      <c r="I3269" t="n">
        <v>3.8</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22687-2026</t>
        </is>
      </c>
      <c r="B3270" t="inlineStr">
        <is>
          <t>avverkningsanmälan</t>
        </is>
      </c>
      <c r="C3270" t="inlineStr">
        <is>
          <t>Föryngringsavverkning</t>
        </is>
      </c>
      <c r="D3270" s="1" t="n">
        <v>46156</v>
      </c>
      <c r="E3270" s="1" t="n">
        <v>46316</v>
      </c>
      <c r="F3270" t="inlineStr">
        <is>
          <t>KRONOBERGS LÄN</t>
        </is>
      </c>
      <c r="G3270" t="inlineStr">
        <is>
          <t>UPPVIDINGE</t>
        </is>
      </c>
      <c r="H3270" t="inlineStr">
        <is>
          <t>Sveaskog</t>
        </is>
      </c>
      <c r="I3270" t="n">
        <v>1.6</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37152-2024</t>
        </is>
      </c>
      <c r="B3271" t="inlineStr">
        <is>
          <t>avverkningsanmälan</t>
        </is>
      </c>
      <c r="C3271" t="inlineStr">
        <is>
          <t>Föryngringsavverkning</t>
        </is>
      </c>
      <c r="D3271" s="1" t="n">
        <v>45539</v>
      </c>
      <c r="E3271" s="1" t="n">
        <v>46316</v>
      </c>
      <c r="F3271" t="inlineStr">
        <is>
          <t>KRONOBERGS LÄN</t>
        </is>
      </c>
      <c r="G3271" t="inlineStr">
        <is>
          <t>TINGSRYD</t>
        </is>
      </c>
      <c r="I3271" t="n">
        <v>0.7</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22764-2026</t>
        </is>
      </c>
      <c r="B3272" t="inlineStr">
        <is>
          <t>avverkningsanmälan</t>
        </is>
      </c>
      <c r="C3272" t="inlineStr">
        <is>
          <t>Föryngringsavverkning</t>
        </is>
      </c>
      <c r="D3272" s="1" t="n">
        <v>46157</v>
      </c>
      <c r="E3272" s="1" t="n">
        <v>46316</v>
      </c>
      <c r="F3272" t="inlineStr">
        <is>
          <t>KRONOBERGS LÄN</t>
        </is>
      </c>
      <c r="G3272" t="inlineStr">
        <is>
          <t>LESSEBO</t>
        </is>
      </c>
      <c r="H3272" t="inlineStr">
        <is>
          <t>Sveaskog</t>
        </is>
      </c>
      <c r="I3272" t="n">
        <v>3.5</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22768-2026</t>
        </is>
      </c>
      <c r="B3273" t="inlineStr">
        <is>
          <t>avverkningsanmälan</t>
        </is>
      </c>
      <c r="C3273" t="inlineStr">
        <is>
          <t>Föryngringsavverkning</t>
        </is>
      </c>
      <c r="D3273" s="1" t="n">
        <v>46157</v>
      </c>
      <c r="E3273" s="1" t="n">
        <v>46316</v>
      </c>
      <c r="F3273" t="inlineStr">
        <is>
          <t>KRONOBERGS LÄN</t>
        </is>
      </c>
      <c r="G3273" t="inlineStr">
        <is>
          <t>LESSEBO</t>
        </is>
      </c>
      <c r="H3273" t="inlineStr">
        <is>
          <t>Sveaskog</t>
        </is>
      </c>
      <c r="I3273" t="n">
        <v>3</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22770-2026</t>
        </is>
      </c>
      <c r="B3274" t="inlineStr">
        <is>
          <t>avverkningsanmälan</t>
        </is>
      </c>
      <c r="C3274" t="inlineStr">
        <is>
          <t>Föryngringsavverkning</t>
        </is>
      </c>
      <c r="D3274" s="1" t="n">
        <v>46157</v>
      </c>
      <c r="E3274" s="1" t="n">
        <v>46316</v>
      </c>
      <c r="F3274" t="inlineStr">
        <is>
          <t>KRONOBERGS LÄN</t>
        </is>
      </c>
      <c r="G3274" t="inlineStr">
        <is>
          <t>LESSEBO</t>
        </is>
      </c>
      <c r="H3274" t="inlineStr">
        <is>
          <t>Sveaskog</t>
        </is>
      </c>
      <c r="I3274" t="n">
        <v>1.3</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22723-2026</t>
        </is>
      </c>
      <c r="B3275" t="inlineStr">
        <is>
          <t>avverkningsanmälan</t>
        </is>
      </c>
      <c r="C3275" t="inlineStr">
        <is>
          <t>Föryngringsavverkning</t>
        </is>
      </c>
      <c r="D3275" s="1" t="n">
        <v>46157</v>
      </c>
      <c r="E3275" s="1" t="n">
        <v>46316</v>
      </c>
      <c r="F3275" t="inlineStr">
        <is>
          <t>KRONOBERGS LÄN</t>
        </is>
      </c>
      <c r="G3275" t="inlineStr">
        <is>
          <t>LESSEBO</t>
        </is>
      </c>
      <c r="H3275" t="inlineStr">
        <is>
          <t>Sveaskog</t>
        </is>
      </c>
      <c r="I3275" t="n">
        <v>2.9</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36913-2023</t>
        </is>
      </c>
      <c r="B3276" t="inlineStr">
        <is>
          <t>avverkningsanmälan</t>
        </is>
      </c>
      <c r="C3276" t="inlineStr">
        <is>
          <t>Föryngringsavverkning</t>
        </is>
      </c>
      <c r="D3276" s="1" t="n">
        <v>45154</v>
      </c>
      <c r="E3276" s="1" t="n">
        <v>46316</v>
      </c>
      <c r="F3276" t="inlineStr">
        <is>
          <t>KRONOBERGS LÄN</t>
        </is>
      </c>
      <c r="G3276" t="inlineStr">
        <is>
          <t>UPPVIDINGE</t>
        </is>
      </c>
      <c r="I3276" t="n">
        <v>2.2</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40612-2025</t>
        </is>
      </c>
      <c r="B3277" t="inlineStr">
        <is>
          <t>avverkningsanmälan</t>
        </is>
      </c>
      <c r="C3277" t="inlineStr">
        <is>
          <t>Föryngringsavverkning</t>
        </is>
      </c>
      <c r="D3277" s="1" t="n">
        <v>45896</v>
      </c>
      <c r="E3277" s="1" t="n">
        <v>46316</v>
      </c>
      <c r="F3277" t="inlineStr">
        <is>
          <t>KRONOBERGS LÄN</t>
        </is>
      </c>
      <c r="G3277" t="inlineStr">
        <is>
          <t>ALVESTA</t>
        </is>
      </c>
      <c r="I3277" t="n">
        <v>2.5</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6843-2023</t>
        </is>
      </c>
      <c r="B3278" t="inlineStr">
        <is>
          <t>avverkningsanmälan</t>
        </is>
      </c>
      <c r="C3278" t="inlineStr">
        <is>
          <t>Föryngringsavverkning</t>
        </is>
      </c>
      <c r="D3278" s="1" t="n">
        <v>44967</v>
      </c>
      <c r="E3278" s="1" t="n">
        <v>46316</v>
      </c>
      <c r="F3278" t="inlineStr">
        <is>
          <t>KRONOBERGS LÄN</t>
        </is>
      </c>
      <c r="G3278" t="inlineStr">
        <is>
          <t>TINGSRYD</t>
        </is>
      </c>
      <c r="I3278" t="n">
        <v>0.1</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35147-2024</t>
        </is>
      </c>
      <c r="B3279" t="inlineStr">
        <is>
          <t>avverkningsanmälan</t>
        </is>
      </c>
      <c r="C3279" t="inlineStr">
        <is>
          <t>Föryngringsavverkning</t>
        </is>
      </c>
      <c r="D3279" s="1" t="n">
        <v>45530</v>
      </c>
      <c r="E3279" s="1" t="n">
        <v>46316</v>
      </c>
      <c r="F3279" t="inlineStr">
        <is>
          <t>KRONOBERGS LÄN</t>
        </is>
      </c>
      <c r="G3279" t="inlineStr">
        <is>
          <t>UPPVIDINGE</t>
        </is>
      </c>
      <c r="I3279" t="n">
        <v>1.4</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6881-2023</t>
        </is>
      </c>
      <c r="B3280" t="inlineStr">
        <is>
          <t>avverkningsanmälan</t>
        </is>
      </c>
      <c r="C3280" t="inlineStr">
        <is>
          <t>Föryngringsavverkning</t>
        </is>
      </c>
      <c r="D3280" s="1" t="n">
        <v>44967</v>
      </c>
      <c r="E3280" s="1" t="n">
        <v>46316</v>
      </c>
      <c r="F3280" t="inlineStr">
        <is>
          <t>KRONOBERGS LÄN</t>
        </is>
      </c>
      <c r="G3280" t="inlineStr">
        <is>
          <t>TINGSRYD</t>
        </is>
      </c>
      <c r="H3280" t="inlineStr">
        <is>
          <t>Övriga Aktiebolag</t>
        </is>
      </c>
      <c r="I3280" t="n">
        <v>3.8</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11137-2026</t>
        </is>
      </c>
      <c r="B3281" t="inlineStr">
        <is>
          <t>avverkningsanmälan</t>
        </is>
      </c>
      <c r="C3281" t="inlineStr">
        <is>
          <t>Föryngringsavverkning</t>
        </is>
      </c>
      <c r="D3281" s="1" t="n">
        <v>46079</v>
      </c>
      <c r="E3281" s="1" t="n">
        <v>46316</v>
      </c>
      <c r="F3281" t="inlineStr">
        <is>
          <t>KRONOBERGS LÄN</t>
        </is>
      </c>
      <c r="G3281" t="inlineStr">
        <is>
          <t>LJUNGBY</t>
        </is>
      </c>
      <c r="I3281" t="n">
        <v>4.1</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2884-2025</t>
        </is>
      </c>
      <c r="B3282" t="inlineStr">
        <is>
          <t>avverkningsanmälan</t>
        </is>
      </c>
      <c r="C3282" t="inlineStr">
        <is>
          <t>Föryngringsavverkning</t>
        </is>
      </c>
      <c r="D3282" s="1" t="n">
        <v>45677</v>
      </c>
      <c r="E3282" s="1" t="n">
        <v>46316</v>
      </c>
      <c r="F3282" t="inlineStr">
        <is>
          <t>KRONOBERGS LÄN</t>
        </is>
      </c>
      <c r="G3282" t="inlineStr">
        <is>
          <t>UPPVIDINGE</t>
        </is>
      </c>
      <c r="I3282" t="n">
        <v>5.3</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18911-2024</t>
        </is>
      </c>
      <c r="B3283" t="inlineStr">
        <is>
          <t>avverkningsanmälan</t>
        </is>
      </c>
      <c r="C3283" t="inlineStr">
        <is>
          <t>Föryngringsavverkning</t>
        </is>
      </c>
      <c r="D3283" s="1" t="n">
        <v>45427</v>
      </c>
      <c r="E3283" s="1" t="n">
        <v>46316</v>
      </c>
      <c r="F3283" t="inlineStr">
        <is>
          <t>KRONOBERGS LÄN</t>
        </is>
      </c>
      <c r="G3283" t="inlineStr">
        <is>
          <t>LJUNGBY</t>
        </is>
      </c>
      <c r="I3283" t="n">
        <v>9.6</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52048-2024</t>
        </is>
      </c>
      <c r="B3284" t="inlineStr">
        <is>
          <t>avverkningsanmälan</t>
        </is>
      </c>
      <c r="C3284" t="inlineStr">
        <is>
          <t>Föryngringsavverkning</t>
        </is>
      </c>
      <c r="D3284" s="1" t="n">
        <v>45608</v>
      </c>
      <c r="E3284" s="1" t="n">
        <v>46316</v>
      </c>
      <c r="F3284" t="inlineStr">
        <is>
          <t>KRONOBERGS LÄN</t>
        </is>
      </c>
      <c r="G3284" t="inlineStr">
        <is>
          <t>ALVESTA</t>
        </is>
      </c>
      <c r="I3284" t="n">
        <v>4.4</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22876-2026</t>
        </is>
      </c>
      <c r="B3285" t="inlineStr">
        <is>
          <t>avverkningsanmälan</t>
        </is>
      </c>
      <c r="C3285" t="inlineStr">
        <is>
          <t>Föryngringsavverkning</t>
        </is>
      </c>
      <c r="D3285" s="1" t="n">
        <v>46160</v>
      </c>
      <c r="E3285" s="1" t="n">
        <v>46316</v>
      </c>
      <c r="F3285" t="inlineStr">
        <is>
          <t>KRONOBERGS LÄN</t>
        </is>
      </c>
      <c r="G3285" t="inlineStr">
        <is>
          <t>TINGSRYD</t>
        </is>
      </c>
      <c r="I3285" t="n">
        <v>1</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7682-2023</t>
        </is>
      </c>
      <c r="B3286" t="inlineStr">
        <is>
          <t>avverkningsanmälan</t>
        </is>
      </c>
      <c r="C3286" t="inlineStr">
        <is>
          <t>Föryngringsavverkning</t>
        </is>
      </c>
      <c r="D3286" s="1" t="n">
        <v>44972</v>
      </c>
      <c r="E3286" s="1" t="n">
        <v>46316</v>
      </c>
      <c r="F3286" t="inlineStr">
        <is>
          <t>KRONOBERGS LÄN</t>
        </is>
      </c>
      <c r="G3286" t="inlineStr">
        <is>
          <t>VÄXJÖ</t>
        </is>
      </c>
      <c r="I3286" t="n">
        <v>4.5</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20485-2025</t>
        </is>
      </c>
      <c r="B3287" t="inlineStr">
        <is>
          <t>avverkningsanmälan</t>
        </is>
      </c>
      <c r="C3287" t="inlineStr">
        <is>
          <t>Föryngringsavverkning</t>
        </is>
      </c>
      <c r="D3287" s="1" t="n">
        <v>45775</v>
      </c>
      <c r="E3287" s="1" t="n">
        <v>46316</v>
      </c>
      <c r="F3287" t="inlineStr">
        <is>
          <t>KRONOBERGS LÄN</t>
        </is>
      </c>
      <c r="G3287" t="inlineStr">
        <is>
          <t>LESSEBO</t>
        </is>
      </c>
      <c r="H3287" t="inlineStr">
        <is>
          <t>Sveaskog</t>
        </is>
      </c>
      <c r="I3287" t="n">
        <v>1.1</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28177-2025</t>
        </is>
      </c>
      <c r="B3288" t="inlineStr">
        <is>
          <t>avverkningsanmälan</t>
        </is>
      </c>
      <c r="C3288" t="inlineStr">
        <is>
          <t>Föryngringsavverkning</t>
        </is>
      </c>
      <c r="D3288" s="1" t="n">
        <v>45818</v>
      </c>
      <c r="E3288" s="1" t="n">
        <v>46316</v>
      </c>
      <c r="F3288" t="inlineStr">
        <is>
          <t>KRONOBERGS LÄN</t>
        </is>
      </c>
      <c r="G3288" t="inlineStr">
        <is>
          <t>ÄLMHULT</t>
        </is>
      </c>
      <c r="I3288" t="n">
        <v>1.5</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7869-2023</t>
        </is>
      </c>
      <c r="B3289" t="inlineStr">
        <is>
          <t>avverkningsanmälan</t>
        </is>
      </c>
      <c r="C3289" t="inlineStr">
        <is>
          <t>Föryngringsavverkning</t>
        </is>
      </c>
      <c r="D3289" s="1" t="n">
        <v>44973</v>
      </c>
      <c r="E3289" s="1" t="n">
        <v>46316</v>
      </c>
      <c r="F3289" t="inlineStr">
        <is>
          <t>KRONOBERGS LÄN</t>
        </is>
      </c>
      <c r="G3289" t="inlineStr">
        <is>
          <t>ALVESTA</t>
        </is>
      </c>
      <c r="I3289" t="n">
        <v>0.9</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35434-2025</t>
        </is>
      </c>
      <c r="B3290" t="inlineStr">
        <is>
          <t>avverkningsanmälan</t>
        </is>
      </c>
      <c r="C3290" t="inlineStr">
        <is>
          <t>Föryngringsavverkning</t>
        </is>
      </c>
      <c r="D3290" s="1" t="n">
        <v>45854</v>
      </c>
      <c r="E3290" s="1" t="n">
        <v>46316</v>
      </c>
      <c r="F3290" t="inlineStr">
        <is>
          <t>KRONOBERGS LÄN</t>
        </is>
      </c>
      <c r="G3290" t="inlineStr">
        <is>
          <t>ALVESTA</t>
        </is>
      </c>
      <c r="I3290" t="n">
        <v>4.7</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602-2023</t>
        </is>
      </c>
      <c r="B3291" t="inlineStr">
        <is>
          <t>avverkningsanmälan</t>
        </is>
      </c>
      <c r="C3291" t="inlineStr">
        <is>
          <t>Föryngringsavverkning</t>
        </is>
      </c>
      <c r="D3291" s="1" t="n">
        <v>44930</v>
      </c>
      <c r="E3291" s="1" t="n">
        <v>46316</v>
      </c>
      <c r="F3291" t="inlineStr">
        <is>
          <t>KRONOBERGS LÄN</t>
        </is>
      </c>
      <c r="G3291" t="inlineStr">
        <is>
          <t>TINGSRYD</t>
        </is>
      </c>
      <c r="I3291" t="n">
        <v>1.8</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20774-2026</t>
        </is>
      </c>
      <c r="B3292" t="inlineStr">
        <is>
          <t>avverkningsanmälan</t>
        </is>
      </c>
      <c r="C3292" t="inlineStr">
        <is>
          <t>Föryngringsavverkning</t>
        </is>
      </c>
      <c r="D3292" s="1" t="n">
        <v>46141</v>
      </c>
      <c r="E3292" s="1" t="n">
        <v>46316</v>
      </c>
      <c r="F3292" t="inlineStr">
        <is>
          <t>KRONOBERGS LÄN</t>
        </is>
      </c>
      <c r="G3292" t="inlineStr">
        <is>
          <t>MARKARYD</t>
        </is>
      </c>
      <c r="I3292" t="n">
        <v>0.9</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188-2023</t>
        </is>
      </c>
      <c r="B3293" t="inlineStr">
        <is>
          <t>avverkningsanmälan</t>
        </is>
      </c>
      <c r="C3293" t="inlineStr">
        <is>
          <t>Föryngringsavverkning</t>
        </is>
      </c>
      <c r="D3293" s="1" t="n">
        <v>44928</v>
      </c>
      <c r="E3293" s="1" t="n">
        <v>46316</v>
      </c>
      <c r="F3293" t="inlineStr">
        <is>
          <t>KRONOBERGS LÄN</t>
        </is>
      </c>
      <c r="G3293" t="inlineStr">
        <is>
          <t>VÄXJÖ</t>
        </is>
      </c>
      <c r="I3293" t="n">
        <v>7.3</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27570-2023</t>
        </is>
      </c>
      <c r="B3294" t="inlineStr">
        <is>
          <t>avverkningsanmälan</t>
        </is>
      </c>
      <c r="C3294" t="inlineStr">
        <is>
          <t>Föryngringsavverkning</t>
        </is>
      </c>
      <c r="D3294" s="1" t="n">
        <v>45097</v>
      </c>
      <c r="E3294" s="1" t="n">
        <v>46316</v>
      </c>
      <c r="F3294" t="inlineStr">
        <is>
          <t>KRONOBERGS LÄN</t>
        </is>
      </c>
      <c r="G3294" t="inlineStr">
        <is>
          <t>TINGSRYD</t>
        </is>
      </c>
      <c r="I3294" t="n">
        <v>0.8</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20431-2025</t>
        </is>
      </c>
      <c r="B3295" t="inlineStr">
        <is>
          <t>avverkningsanmälan</t>
        </is>
      </c>
      <c r="C3295" t="inlineStr">
        <is>
          <t>Föryngringsavverkning</t>
        </is>
      </c>
      <c r="D3295" s="1" t="n">
        <v>45775</v>
      </c>
      <c r="E3295" s="1" t="n">
        <v>46316</v>
      </c>
      <c r="F3295" t="inlineStr">
        <is>
          <t>KRONOBERGS LÄN</t>
        </is>
      </c>
      <c r="G3295" t="inlineStr">
        <is>
          <t>LESSEBO</t>
        </is>
      </c>
      <c r="H3295" t="inlineStr">
        <is>
          <t>Sveaskog</t>
        </is>
      </c>
      <c r="I3295" t="n">
        <v>0.5</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53628-2024</t>
        </is>
      </c>
      <c r="B3296" t="inlineStr">
        <is>
          <t>avverkningsanmälan</t>
        </is>
      </c>
      <c r="C3296" t="inlineStr">
        <is>
          <t>Föryngringsavverkning</t>
        </is>
      </c>
      <c r="D3296" s="1" t="n">
        <v>45614</v>
      </c>
      <c r="E3296" s="1" t="n">
        <v>46316</v>
      </c>
      <c r="F3296" t="inlineStr">
        <is>
          <t>KRONOBERGS LÄN</t>
        </is>
      </c>
      <c r="G3296" t="inlineStr">
        <is>
          <t>MARKARYD</t>
        </is>
      </c>
      <c r="I3296" t="n">
        <v>3.2</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10272-2026</t>
        </is>
      </c>
      <c r="B3297" t="inlineStr">
        <is>
          <t>avverkningsanmälan</t>
        </is>
      </c>
      <c r="C3297" t="inlineStr">
        <is>
          <t>Föryngringsavverkning</t>
        </is>
      </c>
      <c r="D3297" s="1" t="n">
        <v>46076</v>
      </c>
      <c r="E3297" s="1" t="n">
        <v>46316</v>
      </c>
      <c r="F3297" t="inlineStr">
        <is>
          <t>KRONOBERGS LÄN</t>
        </is>
      </c>
      <c r="G3297" t="inlineStr">
        <is>
          <t>ÄLMHULT</t>
        </is>
      </c>
      <c r="I3297" t="n">
        <v>2.9</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43254-2024</t>
        </is>
      </c>
      <c r="B3298" t="inlineStr">
        <is>
          <t>avverkningsanmälan</t>
        </is>
      </c>
      <c r="C3298" t="inlineStr">
        <is>
          <t>Föryngringsavverkning</t>
        </is>
      </c>
      <c r="D3298" s="1" t="n">
        <v>45568</v>
      </c>
      <c r="E3298" s="1" t="n">
        <v>46316</v>
      </c>
      <c r="F3298" t="inlineStr">
        <is>
          <t>KRONOBERGS LÄN</t>
        </is>
      </c>
      <c r="G3298" t="inlineStr">
        <is>
          <t>VÄXJÖ</t>
        </is>
      </c>
      <c r="I3298" t="n">
        <v>0.5</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42074-2025</t>
        </is>
      </c>
      <c r="B3299" t="inlineStr">
        <is>
          <t>avverkningsanmälan</t>
        </is>
      </c>
      <c r="C3299" t="inlineStr">
        <is>
          <t>Föryngringsavverkning</t>
        </is>
      </c>
      <c r="D3299" s="1" t="n">
        <v>45903</v>
      </c>
      <c r="E3299" s="1" t="n">
        <v>46316</v>
      </c>
      <c r="F3299" t="inlineStr">
        <is>
          <t>KRONOBERGS LÄN</t>
        </is>
      </c>
      <c r="G3299" t="inlineStr">
        <is>
          <t>ALVESTA</t>
        </is>
      </c>
      <c r="I3299" t="n">
        <v>2.9</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23126-2023</t>
        </is>
      </c>
      <c r="B3300" t="inlineStr">
        <is>
          <t>avverkningsanmälan</t>
        </is>
      </c>
      <c r="C3300" t="inlineStr">
        <is>
          <t>Föryngringsavverkning</t>
        </is>
      </c>
      <c r="D3300" s="1" t="n">
        <v>45075</v>
      </c>
      <c r="E3300" s="1" t="n">
        <v>46316</v>
      </c>
      <c r="F3300" t="inlineStr">
        <is>
          <t>KRONOBERGS LÄN</t>
        </is>
      </c>
      <c r="G3300" t="inlineStr">
        <is>
          <t>ALVESTA</t>
        </is>
      </c>
      <c r="I3300" t="n">
        <v>2.4</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52516-2023</t>
        </is>
      </c>
      <c r="B3301" t="inlineStr">
        <is>
          <t>avverkningsanmälan</t>
        </is>
      </c>
      <c r="C3301" t="inlineStr">
        <is>
          <t>Föryngringsavverkning</t>
        </is>
      </c>
      <c r="D3301" s="1" t="n">
        <v>45225</v>
      </c>
      <c r="E3301" s="1" t="n">
        <v>46316</v>
      </c>
      <c r="F3301" t="inlineStr">
        <is>
          <t>KRONOBERGS LÄN</t>
        </is>
      </c>
      <c r="G3301" t="inlineStr">
        <is>
          <t>LJUNGBY</t>
        </is>
      </c>
      <c r="I3301" t="n">
        <v>0.9</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52636-2023</t>
        </is>
      </c>
      <c r="B3302" t="inlineStr">
        <is>
          <t>avverkningsanmälan</t>
        </is>
      </c>
      <c r="C3302" t="inlineStr">
        <is>
          <t>Föryngringsavverkning</t>
        </is>
      </c>
      <c r="D3302" s="1" t="n">
        <v>45225</v>
      </c>
      <c r="E3302" s="1" t="n">
        <v>46316</v>
      </c>
      <c r="F3302" t="inlineStr">
        <is>
          <t>KRONOBERGS LÄN</t>
        </is>
      </c>
      <c r="G3302" t="inlineStr">
        <is>
          <t>MARKARYD</t>
        </is>
      </c>
      <c r="I3302" t="n">
        <v>1.4</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31528-2023</t>
        </is>
      </c>
      <c r="B3303" t="inlineStr">
        <is>
          <t>avverkningsanmälan</t>
        </is>
      </c>
      <c r="C3303" t="inlineStr">
        <is>
          <t>Föryngringsavverkning</t>
        </is>
      </c>
      <c r="D3303" s="1" t="n">
        <v>45116</v>
      </c>
      <c r="E3303" s="1" t="n">
        <v>46316</v>
      </c>
      <c r="F3303" t="inlineStr">
        <is>
          <t>KRONOBERGS LÄN</t>
        </is>
      </c>
      <c r="G3303" t="inlineStr">
        <is>
          <t>LJUNGBY</t>
        </is>
      </c>
      <c r="I3303" t="n">
        <v>0.5</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31529-2023</t>
        </is>
      </c>
      <c r="B3304" t="inlineStr">
        <is>
          <t>avverkningsanmälan</t>
        </is>
      </c>
      <c r="C3304" t="inlineStr">
        <is>
          <t>Föryngringsavverkning</t>
        </is>
      </c>
      <c r="D3304" s="1" t="n">
        <v>45116</v>
      </c>
      <c r="E3304" s="1" t="n">
        <v>46316</v>
      </c>
      <c r="F3304" t="inlineStr">
        <is>
          <t>KRONOBERGS LÄN</t>
        </is>
      </c>
      <c r="G3304" t="inlineStr">
        <is>
          <t>LJUNGBY</t>
        </is>
      </c>
      <c r="I3304" t="n">
        <v>0.4</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32381-2025</t>
        </is>
      </c>
      <c r="B3305" t="inlineStr">
        <is>
          <t>avverkningsanmälan</t>
        </is>
      </c>
      <c r="C3305" t="inlineStr">
        <is>
          <t>Föryngringsavverkning</t>
        </is>
      </c>
      <c r="D3305" s="1" t="n">
        <v>45837</v>
      </c>
      <c r="E3305" s="1" t="n">
        <v>46316</v>
      </c>
      <c r="F3305" t="inlineStr">
        <is>
          <t>KRONOBERGS LÄN</t>
        </is>
      </c>
      <c r="G3305" t="inlineStr">
        <is>
          <t>MARKARYD</t>
        </is>
      </c>
      <c r="I3305" t="n">
        <v>1.9</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44679-2024</t>
        </is>
      </c>
      <c r="B3306" t="inlineStr">
        <is>
          <t>avverkningsanmälan</t>
        </is>
      </c>
      <c r="C3306" t="inlineStr">
        <is>
          <t>Föryngringsavverkning</t>
        </is>
      </c>
      <c r="D3306" s="1" t="n">
        <v>45574</v>
      </c>
      <c r="E3306" s="1" t="n">
        <v>46316</v>
      </c>
      <c r="F3306" t="inlineStr">
        <is>
          <t>KRONOBERGS LÄN</t>
        </is>
      </c>
      <c r="G3306" t="inlineStr">
        <is>
          <t>TINGSRYD</t>
        </is>
      </c>
      <c r="I3306" t="n">
        <v>2.3</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55958-2024</t>
        </is>
      </c>
      <c r="B3307" t="inlineStr">
        <is>
          <t>avverkningsanmälan</t>
        </is>
      </c>
      <c r="C3307" t="inlineStr">
        <is>
          <t>Föryngringsavverkning</t>
        </is>
      </c>
      <c r="D3307" s="1" t="n">
        <v>45623</v>
      </c>
      <c r="E3307" s="1" t="n">
        <v>46316</v>
      </c>
      <c r="F3307" t="inlineStr">
        <is>
          <t>KRONOBERGS LÄN</t>
        </is>
      </c>
      <c r="G3307" t="inlineStr">
        <is>
          <t>VÄXJÖ</t>
        </is>
      </c>
      <c r="I3307" t="n">
        <v>1.6</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53425-2025</t>
        </is>
      </c>
      <c r="B3308" t="inlineStr">
        <is>
          <t>avverkningsanmälan</t>
        </is>
      </c>
      <c r="C3308" t="inlineStr">
        <is>
          <t>Föryngringsavverkning</t>
        </is>
      </c>
      <c r="D3308" s="1" t="n">
        <v>45959</v>
      </c>
      <c r="E3308" s="1" t="n">
        <v>46316</v>
      </c>
      <c r="F3308" t="inlineStr">
        <is>
          <t>KRONOBERGS LÄN</t>
        </is>
      </c>
      <c r="G3308" t="inlineStr">
        <is>
          <t>ALVESTA</t>
        </is>
      </c>
      <c r="I3308" t="n">
        <v>1</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16301-2024</t>
        </is>
      </c>
      <c r="B3309" t="inlineStr">
        <is>
          <t>avverkningsanmälan</t>
        </is>
      </c>
      <c r="C3309" t="inlineStr">
        <is>
          <t>Föryngringsavverkning</t>
        </is>
      </c>
      <c r="D3309" s="1" t="n">
        <v>45407</v>
      </c>
      <c r="E3309" s="1" t="n">
        <v>46316</v>
      </c>
      <c r="F3309" t="inlineStr">
        <is>
          <t>KRONOBERGS LÄN</t>
        </is>
      </c>
      <c r="G3309" t="inlineStr">
        <is>
          <t>ALVESTA</t>
        </is>
      </c>
      <c r="I3309" t="n">
        <v>2.9</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22835-2026</t>
        </is>
      </c>
      <c r="B3310" t="inlineStr">
        <is>
          <t>avverkningsanmälan</t>
        </is>
      </c>
      <c r="C3310" t="inlineStr">
        <is>
          <t>Föryngringsavverkning</t>
        </is>
      </c>
      <c r="D3310" s="1" t="n">
        <v>46160</v>
      </c>
      <c r="E3310" s="1" t="n">
        <v>46316</v>
      </c>
      <c r="F3310" t="inlineStr">
        <is>
          <t>KRONOBERGS LÄN</t>
        </is>
      </c>
      <c r="G3310" t="inlineStr">
        <is>
          <t>LJUNGBY</t>
        </is>
      </c>
      <c r="I3310" t="n">
        <v>0.9</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52661-2024</t>
        </is>
      </c>
      <c r="B3311" t="inlineStr">
        <is>
          <t>avverkningsanmälan</t>
        </is>
      </c>
      <c r="C3311" t="inlineStr">
        <is>
          <t>Föryngringsavverkning</t>
        </is>
      </c>
      <c r="D3311" s="1" t="n">
        <v>45610</v>
      </c>
      <c r="E3311" s="1" t="n">
        <v>46316</v>
      </c>
      <c r="F3311" t="inlineStr">
        <is>
          <t>KRONOBERGS LÄN</t>
        </is>
      </c>
      <c r="G3311" t="inlineStr">
        <is>
          <t>LJUNGBY</t>
        </is>
      </c>
      <c r="I3311" t="n">
        <v>2.9</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14500-2023</t>
        </is>
      </c>
      <c r="B3312" t="inlineStr">
        <is>
          <t>avverkningsanmälan</t>
        </is>
      </c>
      <c r="C3312" t="inlineStr">
        <is>
          <t>Föryngringsavverkning</t>
        </is>
      </c>
      <c r="D3312" s="1" t="n">
        <v>45012</v>
      </c>
      <c r="E3312" s="1" t="n">
        <v>46316</v>
      </c>
      <c r="F3312" t="inlineStr">
        <is>
          <t>KRONOBERGS LÄN</t>
        </is>
      </c>
      <c r="G3312" t="inlineStr">
        <is>
          <t>UPPVIDINGE</t>
        </is>
      </c>
      <c r="I3312" t="n">
        <v>5.6</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20435-2025</t>
        </is>
      </c>
      <c r="B3313" t="inlineStr">
        <is>
          <t>avverkningsanmälan</t>
        </is>
      </c>
      <c r="C3313" t="inlineStr">
        <is>
          <t>Föryngringsavverkning</t>
        </is>
      </c>
      <c r="D3313" s="1" t="n">
        <v>45775</v>
      </c>
      <c r="E3313" s="1" t="n">
        <v>46316</v>
      </c>
      <c r="F3313" t="inlineStr">
        <is>
          <t>KRONOBERGS LÄN</t>
        </is>
      </c>
      <c r="G3313" t="inlineStr">
        <is>
          <t>LESSEBO</t>
        </is>
      </c>
      <c r="H3313" t="inlineStr">
        <is>
          <t>Sveaskog</t>
        </is>
      </c>
      <c r="I3313" t="n">
        <v>3.5</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54926-2023</t>
        </is>
      </c>
      <c r="B3314" t="inlineStr">
        <is>
          <t>avverkningsanmälan</t>
        </is>
      </c>
      <c r="C3314" t="inlineStr">
        <is>
          <t>Föryngringsavverkning</t>
        </is>
      </c>
      <c r="D3314" s="1" t="n">
        <v>45236</v>
      </c>
      <c r="E3314" s="1" t="n">
        <v>46316</v>
      </c>
      <c r="F3314" t="inlineStr">
        <is>
          <t>KRONOBERGS LÄN</t>
        </is>
      </c>
      <c r="G3314" t="inlineStr">
        <is>
          <t>MARKARYD</t>
        </is>
      </c>
      <c r="I3314" t="n">
        <v>1.2</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21046-2023</t>
        </is>
      </c>
      <c r="B3315" t="inlineStr">
        <is>
          <t>avverkningsanmälan</t>
        </is>
      </c>
      <c r="C3315" t="inlineStr">
        <is>
          <t>Föryngringsavverkning</t>
        </is>
      </c>
      <c r="D3315" s="1" t="n">
        <v>45061</v>
      </c>
      <c r="E3315" s="1" t="n">
        <v>46316</v>
      </c>
      <c r="F3315" t="inlineStr">
        <is>
          <t>KRONOBERGS LÄN</t>
        </is>
      </c>
      <c r="G3315" t="inlineStr">
        <is>
          <t>VÄXJÖ</t>
        </is>
      </c>
      <c r="I3315" t="n">
        <v>0.5</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8842-2023</t>
        </is>
      </c>
      <c r="B3316" t="inlineStr">
        <is>
          <t>avverkningsanmälan</t>
        </is>
      </c>
      <c r="C3316" t="inlineStr">
        <is>
          <t>Föryngringsavverkning</t>
        </is>
      </c>
      <c r="D3316" s="1" t="n">
        <v>44978</v>
      </c>
      <c r="E3316" s="1" t="n">
        <v>46316</v>
      </c>
      <c r="F3316" t="inlineStr">
        <is>
          <t>KRONOBERGS LÄN</t>
        </is>
      </c>
      <c r="G3316" t="inlineStr">
        <is>
          <t>ALVESTA</t>
        </is>
      </c>
      <c r="I3316" t="n">
        <v>0.9</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37320-2023</t>
        </is>
      </c>
      <c r="B3317" t="inlineStr">
        <is>
          <t>avverkningsanmälan</t>
        </is>
      </c>
      <c r="C3317" t="inlineStr">
        <is>
          <t>Föryngringsavverkning</t>
        </is>
      </c>
      <c r="D3317" s="1" t="n">
        <v>45156</v>
      </c>
      <c r="E3317" s="1" t="n">
        <v>46316</v>
      </c>
      <c r="F3317" t="inlineStr">
        <is>
          <t>KRONOBERGS LÄN</t>
        </is>
      </c>
      <c r="G3317" t="inlineStr">
        <is>
          <t>LJUNGBY</t>
        </is>
      </c>
      <c r="I3317" t="n">
        <v>0.4</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51096-2023</t>
        </is>
      </c>
      <c r="B3318" t="inlineStr">
        <is>
          <t>avverkningsanmälan</t>
        </is>
      </c>
      <c r="C3318" t="inlineStr">
        <is>
          <t>Föryngringsavverkning</t>
        </is>
      </c>
      <c r="D3318" s="1" t="n">
        <v>45218</v>
      </c>
      <c r="E3318" s="1" t="n">
        <v>46316</v>
      </c>
      <c r="F3318" t="inlineStr">
        <is>
          <t>KRONOBERGS LÄN</t>
        </is>
      </c>
      <c r="G3318" t="inlineStr">
        <is>
          <t>LJUNGBY</t>
        </is>
      </c>
      <c r="I3318" t="n">
        <v>0.5</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20681-2025</t>
        </is>
      </c>
      <c r="B3319" t="inlineStr">
        <is>
          <t>avverkningsanmälan</t>
        </is>
      </c>
      <c r="C3319" t="inlineStr">
        <is>
          <t>Föryngringsavverkning</t>
        </is>
      </c>
      <c r="D3319" s="1" t="n">
        <v>45776</v>
      </c>
      <c r="E3319" s="1" t="n">
        <v>46316</v>
      </c>
      <c r="F3319" t="inlineStr">
        <is>
          <t>KRONOBERGS LÄN</t>
        </is>
      </c>
      <c r="G3319" t="inlineStr">
        <is>
          <t>LESSEBO</t>
        </is>
      </c>
      <c r="H3319" t="inlineStr">
        <is>
          <t>Sveaskog</t>
        </is>
      </c>
      <c r="I3319" t="n">
        <v>1.3</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23358-2026</t>
        </is>
      </c>
      <c r="B3320" t="inlineStr">
        <is>
          <t>avverkningsanmälan</t>
        </is>
      </c>
      <c r="C3320" t="inlineStr">
        <is>
          <t>Föryngringsavverkning</t>
        </is>
      </c>
      <c r="D3320" s="1" t="n">
        <v>46162</v>
      </c>
      <c r="E3320" s="1" t="n">
        <v>46316</v>
      </c>
      <c r="F3320" t="inlineStr">
        <is>
          <t>KRONOBERGS LÄN</t>
        </is>
      </c>
      <c r="G3320" t="inlineStr">
        <is>
          <t>VÄXJÖ</t>
        </is>
      </c>
      <c r="I3320" t="n">
        <v>0.6</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7383-2023</t>
        </is>
      </c>
      <c r="B3321" t="inlineStr">
        <is>
          <t>avverkningsanmälan</t>
        </is>
      </c>
      <c r="C3321" t="inlineStr">
        <is>
          <t>Föryngringsavverkning</t>
        </is>
      </c>
      <c r="D3321" s="1" t="n">
        <v>44971</v>
      </c>
      <c r="E3321" s="1" t="n">
        <v>46316</v>
      </c>
      <c r="F3321" t="inlineStr">
        <is>
          <t>KRONOBERGS LÄN</t>
        </is>
      </c>
      <c r="G3321" t="inlineStr">
        <is>
          <t>LJUNGBY</t>
        </is>
      </c>
      <c r="I3321" t="n">
        <v>0.2</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5295-2024</t>
        </is>
      </c>
      <c r="B3322" t="inlineStr">
        <is>
          <t>avverkningsanmälan</t>
        </is>
      </c>
      <c r="C3322" t="inlineStr">
        <is>
          <t>Föryngringsavverkning</t>
        </is>
      </c>
      <c r="D3322" s="1" t="n">
        <v>45331</v>
      </c>
      <c r="E3322" s="1" t="n">
        <v>46316</v>
      </c>
      <c r="F3322" t="inlineStr">
        <is>
          <t>KRONOBERGS LÄN</t>
        </is>
      </c>
      <c r="G3322" t="inlineStr">
        <is>
          <t>TINGSRYD</t>
        </is>
      </c>
      <c r="I3322" t="n">
        <v>2.2</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23526-2026</t>
        </is>
      </c>
      <c r="B3323" t="inlineStr">
        <is>
          <t>avverkningsanmälan</t>
        </is>
      </c>
      <c r="C3323" t="inlineStr">
        <is>
          <t>Föryngringsavverkning</t>
        </is>
      </c>
      <c r="D3323" s="1" t="n">
        <v>46163</v>
      </c>
      <c r="E3323" s="1" t="n">
        <v>46316</v>
      </c>
      <c r="F3323" t="inlineStr">
        <is>
          <t>KRONOBERGS LÄN</t>
        </is>
      </c>
      <c r="G3323" t="inlineStr">
        <is>
          <t>VÄXJÖ</t>
        </is>
      </c>
      <c r="I3323" t="n">
        <v>0.7</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23530-2026</t>
        </is>
      </c>
      <c r="B3324" t="inlineStr">
        <is>
          <t>avverkningsanmälan</t>
        </is>
      </c>
      <c r="C3324" t="inlineStr">
        <is>
          <t>Föryngringsavverkning</t>
        </is>
      </c>
      <c r="D3324" s="1" t="n">
        <v>46163</v>
      </c>
      <c r="E3324" s="1" t="n">
        <v>46316</v>
      </c>
      <c r="F3324" t="inlineStr">
        <is>
          <t>KRONOBERGS LÄN</t>
        </is>
      </c>
      <c r="G3324" t="inlineStr">
        <is>
          <t>VÄXJÖ</t>
        </is>
      </c>
      <c r="I3324" t="n">
        <v>4</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21301-2025</t>
        </is>
      </c>
      <c r="B3325" t="inlineStr">
        <is>
          <t>avverkningsanmälan</t>
        </is>
      </c>
      <c r="C3325" t="inlineStr">
        <is>
          <t>Föryngringsavverkning</t>
        </is>
      </c>
      <c r="D3325" s="1" t="n">
        <v>45780</v>
      </c>
      <c r="E3325" s="1" t="n">
        <v>46316</v>
      </c>
      <c r="F3325" t="inlineStr">
        <is>
          <t>KRONOBERGS LÄN</t>
        </is>
      </c>
      <c r="G3325" t="inlineStr">
        <is>
          <t>VÄXJÖ</t>
        </is>
      </c>
      <c r="I3325" t="n">
        <v>1.2</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17787-2024</t>
        </is>
      </c>
      <c r="B3326" t="inlineStr">
        <is>
          <t>avverkningsanmälan</t>
        </is>
      </c>
      <c r="C3326" t="inlineStr">
        <is>
          <t>Föryngringsavverkning</t>
        </is>
      </c>
      <c r="D3326" s="1" t="n">
        <v>45418</v>
      </c>
      <c r="E3326" s="1" t="n">
        <v>46316</v>
      </c>
      <c r="F3326" t="inlineStr">
        <is>
          <t>KRONOBERGS LÄN</t>
        </is>
      </c>
      <c r="G3326" t="inlineStr">
        <is>
          <t>ALVESTA</t>
        </is>
      </c>
      <c r="I3326" t="n">
        <v>1</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17791-2024</t>
        </is>
      </c>
      <c r="B3327" t="inlineStr">
        <is>
          <t>avverkningsanmälan</t>
        </is>
      </c>
      <c r="C3327" t="inlineStr">
        <is>
          <t>Föryngringsavverkning</t>
        </is>
      </c>
      <c r="D3327" s="1" t="n">
        <v>45418</v>
      </c>
      <c r="E3327" s="1" t="n">
        <v>46316</v>
      </c>
      <c r="F3327" t="inlineStr">
        <is>
          <t>KRONOBERGS LÄN</t>
        </is>
      </c>
      <c r="G3327" t="inlineStr">
        <is>
          <t>ALVESTA</t>
        </is>
      </c>
      <c r="I3327" t="n">
        <v>0.9</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23389-2026</t>
        </is>
      </c>
      <c r="B3328" t="inlineStr">
        <is>
          <t>avverkningsanmälan</t>
        </is>
      </c>
      <c r="C3328" t="inlineStr">
        <is>
          <t>Föryngringsavverkning</t>
        </is>
      </c>
      <c r="D3328" s="1" t="n">
        <v>46162</v>
      </c>
      <c r="E3328" s="1" t="n">
        <v>46316</v>
      </c>
      <c r="F3328" t="inlineStr">
        <is>
          <t>KRONOBERGS LÄN</t>
        </is>
      </c>
      <c r="G3328" t="inlineStr">
        <is>
          <t>TINGSRYD</t>
        </is>
      </c>
      <c r="I3328" t="n">
        <v>0.8</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60730-2024</t>
        </is>
      </c>
      <c r="B3329" t="inlineStr">
        <is>
          <t>avverkningsanmälan</t>
        </is>
      </c>
      <c r="C3329" t="inlineStr">
        <is>
          <t>Föryngringsavverkning</t>
        </is>
      </c>
      <c r="D3329" s="1" t="n">
        <v>45642</v>
      </c>
      <c r="E3329" s="1" t="n">
        <v>46316</v>
      </c>
      <c r="F3329" t="inlineStr">
        <is>
          <t>KRONOBERGS LÄN</t>
        </is>
      </c>
      <c r="G3329" t="inlineStr">
        <is>
          <t>UPPVIDINGE</t>
        </is>
      </c>
      <c r="I3329" t="n">
        <v>1.5</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4217-2024</t>
        </is>
      </c>
      <c r="B3330" t="inlineStr">
        <is>
          <t>avverkningsanmälan</t>
        </is>
      </c>
      <c r="C3330" t="inlineStr">
        <is>
          <t>Föryngringsavverkning</t>
        </is>
      </c>
      <c r="D3330" s="1" t="n">
        <v>45324</v>
      </c>
      <c r="E3330" s="1" t="n">
        <v>46316</v>
      </c>
      <c r="F3330" t="inlineStr">
        <is>
          <t>KRONOBERGS LÄN</t>
        </is>
      </c>
      <c r="G3330" t="inlineStr">
        <is>
          <t>UPPVIDINGE</t>
        </is>
      </c>
      <c r="I3330" t="n">
        <v>1.3</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23522-2026</t>
        </is>
      </c>
      <c r="B3331" t="inlineStr">
        <is>
          <t>avverkningsanmälan</t>
        </is>
      </c>
      <c r="C3331" t="inlineStr">
        <is>
          <t>Föryngringsavverkning</t>
        </is>
      </c>
      <c r="D3331" s="1" t="n">
        <v>46163</v>
      </c>
      <c r="E3331" s="1" t="n">
        <v>46316</v>
      </c>
      <c r="F3331" t="inlineStr">
        <is>
          <t>KRONOBERGS LÄN</t>
        </is>
      </c>
      <c r="G3331" t="inlineStr">
        <is>
          <t>VÄXJÖ</t>
        </is>
      </c>
      <c r="I3331" t="n">
        <v>1.1</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9336-2025</t>
        </is>
      </c>
      <c r="B3332" t="inlineStr">
        <is>
          <t>avverkningsanmälan</t>
        </is>
      </c>
      <c r="C3332" t="inlineStr">
        <is>
          <t>Föryngringsavverkning</t>
        </is>
      </c>
      <c r="D3332" s="1" t="n">
        <v>45714</v>
      </c>
      <c r="E3332" s="1" t="n">
        <v>46316</v>
      </c>
      <c r="F3332" t="inlineStr">
        <is>
          <t>KRONOBERGS LÄN</t>
        </is>
      </c>
      <c r="G3332" t="inlineStr">
        <is>
          <t>LJUNGBY</t>
        </is>
      </c>
      <c r="I3332" t="n">
        <v>0.7</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23534-2026</t>
        </is>
      </c>
      <c r="B3333" t="inlineStr">
        <is>
          <t>avverkningsanmälan</t>
        </is>
      </c>
      <c r="C3333" t="inlineStr">
        <is>
          <t>Föryngringsavverkning</t>
        </is>
      </c>
      <c r="D3333" s="1" t="n">
        <v>46163</v>
      </c>
      <c r="E3333" s="1" t="n">
        <v>46316</v>
      </c>
      <c r="F3333" t="inlineStr">
        <is>
          <t>KRONOBERGS LÄN</t>
        </is>
      </c>
      <c r="G3333" t="inlineStr">
        <is>
          <t>VÄXJÖ</t>
        </is>
      </c>
      <c r="I3333" t="n">
        <v>1.7</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60121-2023</t>
        </is>
      </c>
      <c r="B3334" t="inlineStr">
        <is>
          <t>avverkningsanmälan</t>
        </is>
      </c>
      <c r="C3334" t="inlineStr">
        <is>
          <t>Föryngringsavverkning</t>
        </is>
      </c>
      <c r="D3334" s="1" t="n">
        <v>45258</v>
      </c>
      <c r="E3334" s="1" t="n">
        <v>46316</v>
      </c>
      <c r="F3334" t="inlineStr">
        <is>
          <t>KRONOBERGS LÄN</t>
        </is>
      </c>
      <c r="G3334" t="inlineStr">
        <is>
          <t>MARKARYD</t>
        </is>
      </c>
      <c r="I3334" t="n">
        <v>2.4</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3588-2023</t>
        </is>
      </c>
      <c r="B3335" t="inlineStr">
        <is>
          <t>avverkningsanmälan</t>
        </is>
      </c>
      <c r="C3335" t="inlineStr">
        <is>
          <t>Föryngringsavverkning</t>
        </is>
      </c>
      <c r="D3335" s="1" t="n">
        <v>44950</v>
      </c>
      <c r="E3335" s="1" t="n">
        <v>46316</v>
      </c>
      <c r="F3335" t="inlineStr">
        <is>
          <t>KRONOBERGS LÄN</t>
        </is>
      </c>
      <c r="G3335" t="inlineStr">
        <is>
          <t>TINGSRYD</t>
        </is>
      </c>
      <c r="I3335" t="n">
        <v>1.1</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3604-2023</t>
        </is>
      </c>
      <c r="B3336" t="inlineStr">
        <is>
          <t>avverkningsanmälan</t>
        </is>
      </c>
      <c r="C3336" t="inlineStr">
        <is>
          <t>Föryngringsavverkning</t>
        </is>
      </c>
      <c r="D3336" s="1" t="n">
        <v>44946</v>
      </c>
      <c r="E3336" s="1" t="n">
        <v>46316</v>
      </c>
      <c r="F3336" t="inlineStr">
        <is>
          <t>KRONOBERGS LÄN</t>
        </is>
      </c>
      <c r="G3336" t="inlineStr">
        <is>
          <t>UPPVIDINGE</t>
        </is>
      </c>
      <c r="I3336" t="n">
        <v>2.3</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23390-2026</t>
        </is>
      </c>
      <c r="B3337" t="inlineStr">
        <is>
          <t>avverkningsanmälan</t>
        </is>
      </c>
      <c r="C3337" t="inlineStr">
        <is>
          <t>Föryngringsavverkning</t>
        </is>
      </c>
      <c r="D3337" s="1" t="n">
        <v>46162</v>
      </c>
      <c r="E3337" s="1" t="n">
        <v>46316</v>
      </c>
      <c r="F3337" t="inlineStr">
        <is>
          <t>KRONOBERGS LÄN</t>
        </is>
      </c>
      <c r="G3337" t="inlineStr">
        <is>
          <t>TINGSRYD</t>
        </is>
      </c>
      <c r="I3337" t="n">
        <v>0.6</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7828-2024</t>
        </is>
      </c>
      <c r="B3338" t="inlineStr">
        <is>
          <t>avverkningsanmälan</t>
        </is>
      </c>
      <c r="C3338" t="inlineStr">
        <is>
          <t>Föryngringsavverkning</t>
        </is>
      </c>
      <c r="D3338" s="1" t="n">
        <v>45349</v>
      </c>
      <c r="E3338" s="1" t="n">
        <v>46316</v>
      </c>
      <c r="F3338" t="inlineStr">
        <is>
          <t>KRONOBERGS LÄN</t>
        </is>
      </c>
      <c r="G3338" t="inlineStr">
        <is>
          <t>LJUNGBY</t>
        </is>
      </c>
      <c r="I3338" t="n">
        <v>0.4</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23528-2026</t>
        </is>
      </c>
      <c r="B3339" t="inlineStr">
        <is>
          <t>avverkningsanmälan</t>
        </is>
      </c>
      <c r="C3339" t="inlineStr">
        <is>
          <t>Föryngringsavverkning</t>
        </is>
      </c>
      <c r="D3339" s="1" t="n">
        <v>46163</v>
      </c>
      <c r="E3339" s="1" t="n">
        <v>46316</v>
      </c>
      <c r="F3339" t="inlineStr">
        <is>
          <t>KRONOBERGS LÄN</t>
        </is>
      </c>
      <c r="G3339" t="inlineStr">
        <is>
          <t>VÄXJÖ</t>
        </is>
      </c>
      <c r="I3339" t="n">
        <v>1.5</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23494-2026</t>
        </is>
      </c>
      <c r="B3340" t="inlineStr">
        <is>
          <t>avverkningsanmälan</t>
        </is>
      </c>
      <c r="C3340" t="inlineStr">
        <is>
          <t>Föryngringsavverkning</t>
        </is>
      </c>
      <c r="D3340" s="1" t="n">
        <v>46163</v>
      </c>
      <c r="E3340" s="1" t="n">
        <v>46316</v>
      </c>
      <c r="F3340" t="inlineStr">
        <is>
          <t>KRONOBERGS LÄN</t>
        </is>
      </c>
      <c r="G3340" t="inlineStr">
        <is>
          <t>ALVESTA</t>
        </is>
      </c>
      <c r="I3340" t="n">
        <v>5.6</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59065-2022</t>
        </is>
      </c>
      <c r="B3341" t="inlineStr">
        <is>
          <t>avverkningsanmälan</t>
        </is>
      </c>
      <c r="C3341" t="inlineStr">
        <is>
          <t>Föryngringsavverkning</t>
        </is>
      </c>
      <c r="D3341" s="1" t="n">
        <v>44904</v>
      </c>
      <c r="E3341" s="1" t="n">
        <v>46316</v>
      </c>
      <c r="F3341" t="inlineStr">
        <is>
          <t>KRONOBERGS LÄN</t>
        </is>
      </c>
      <c r="G3341" t="inlineStr">
        <is>
          <t>VÄXJÖ</t>
        </is>
      </c>
      <c r="I3341" t="n">
        <v>1.2</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59066-2022</t>
        </is>
      </c>
      <c r="B3342" t="inlineStr">
        <is>
          <t>avverkningsanmälan</t>
        </is>
      </c>
      <c r="C3342" t="inlineStr">
        <is>
          <t>Föryngringsavverkning</t>
        </is>
      </c>
      <c r="D3342" s="1" t="n">
        <v>44904</v>
      </c>
      <c r="E3342" s="1" t="n">
        <v>46316</v>
      </c>
      <c r="F3342" t="inlineStr">
        <is>
          <t>KRONOBERGS LÄN</t>
        </is>
      </c>
      <c r="G3342" t="inlineStr">
        <is>
          <t>VÄXJÖ</t>
        </is>
      </c>
      <c r="I3342" t="n">
        <v>0.6</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6018-2022</t>
        </is>
      </c>
      <c r="B3343" t="inlineStr">
        <is>
          <t>avverkningsanmälan</t>
        </is>
      </c>
      <c r="C3343" t="inlineStr">
        <is>
          <t>Föryngringsavverkning</t>
        </is>
      </c>
      <c r="D3343" s="1" t="n">
        <v>44599</v>
      </c>
      <c r="E3343" s="1" t="n">
        <v>46316</v>
      </c>
      <c r="F3343" t="inlineStr">
        <is>
          <t>KRONOBERGS LÄN</t>
        </is>
      </c>
      <c r="G3343" t="inlineStr">
        <is>
          <t>TINGSRYD</t>
        </is>
      </c>
      <c r="I3343" t="n">
        <v>1.6</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23354-2026</t>
        </is>
      </c>
      <c r="B3344" t="inlineStr">
        <is>
          <t>avverkningsanmälan</t>
        </is>
      </c>
      <c r="C3344" t="inlineStr">
        <is>
          <t>Föryngringsavverkning</t>
        </is>
      </c>
      <c r="D3344" s="1" t="n">
        <v>46162</v>
      </c>
      <c r="E3344" s="1" t="n">
        <v>46316</v>
      </c>
      <c r="F3344" t="inlineStr">
        <is>
          <t>KRONOBERGS LÄN</t>
        </is>
      </c>
      <c r="G3344" t="inlineStr">
        <is>
          <t>VÄXJÖ</t>
        </is>
      </c>
      <c r="I3344" t="n">
        <v>0.3</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23524-2026</t>
        </is>
      </c>
      <c r="B3345" t="inlineStr">
        <is>
          <t>avverkningsanmälan</t>
        </is>
      </c>
      <c r="C3345" t="inlineStr">
        <is>
          <t>Föryngringsavverkning</t>
        </is>
      </c>
      <c r="D3345" s="1" t="n">
        <v>46163</v>
      </c>
      <c r="E3345" s="1" t="n">
        <v>46316</v>
      </c>
      <c r="F3345" t="inlineStr">
        <is>
          <t>KRONOBERGS LÄN</t>
        </is>
      </c>
      <c r="G3345" t="inlineStr">
        <is>
          <t>VÄXJÖ</t>
        </is>
      </c>
      <c r="I3345" t="n">
        <v>0.5</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18060-2024</t>
        </is>
      </c>
      <c r="B3346" t="inlineStr">
        <is>
          <t>avverkningsanmälan</t>
        </is>
      </c>
      <c r="C3346" t="inlineStr">
        <is>
          <t>Föryngringsavverkning</t>
        </is>
      </c>
      <c r="D3346" s="1" t="n">
        <v>45420</v>
      </c>
      <c r="E3346" s="1" t="n">
        <v>46316</v>
      </c>
      <c r="F3346" t="inlineStr">
        <is>
          <t>KRONOBERGS LÄN</t>
        </is>
      </c>
      <c r="G3346" t="inlineStr">
        <is>
          <t>VÄXJÖ</t>
        </is>
      </c>
      <c r="I3346" t="n">
        <v>1.2</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4465-2024</t>
        </is>
      </c>
      <c r="B3347" t="inlineStr">
        <is>
          <t>avverkningsanmälan</t>
        </is>
      </c>
      <c r="C3347" t="inlineStr">
        <is>
          <t>Föryngringsavverkning</t>
        </is>
      </c>
      <c r="D3347" s="1" t="n">
        <v>45327</v>
      </c>
      <c r="E3347" s="1" t="n">
        <v>46316</v>
      </c>
      <c r="F3347" t="inlineStr">
        <is>
          <t>KRONOBERGS LÄN</t>
        </is>
      </c>
      <c r="G3347" t="inlineStr">
        <is>
          <t>LESSEBO</t>
        </is>
      </c>
      <c r="I3347" t="n">
        <v>1.1</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23620-2026</t>
        </is>
      </c>
      <c r="B3348" t="inlineStr">
        <is>
          <t>avverkningsanmälan</t>
        </is>
      </c>
      <c r="C3348" t="inlineStr">
        <is>
          <t>Föryngringsavverkning</t>
        </is>
      </c>
      <c r="D3348" s="1" t="n">
        <v>46163</v>
      </c>
      <c r="E3348" s="1" t="n">
        <v>46316</v>
      </c>
      <c r="F3348" t="inlineStr">
        <is>
          <t>KRONOBERGS LÄN</t>
        </is>
      </c>
      <c r="G3348" t="inlineStr">
        <is>
          <t>UPPVIDINGE</t>
        </is>
      </c>
      <c r="H3348" t="inlineStr">
        <is>
          <t>Sveaskog</t>
        </is>
      </c>
      <c r="I3348" t="n">
        <v>1</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1618-2023</t>
        </is>
      </c>
      <c r="B3349" t="inlineStr">
        <is>
          <t>avverkningsanmälan</t>
        </is>
      </c>
      <c r="C3349" t="inlineStr">
        <is>
          <t>Föryngringsavverkning</t>
        </is>
      </c>
      <c r="D3349" s="1" t="n">
        <v>44937</v>
      </c>
      <c r="E3349" s="1" t="n">
        <v>46316</v>
      </c>
      <c r="F3349" t="inlineStr">
        <is>
          <t>KRONOBERGS LÄN</t>
        </is>
      </c>
      <c r="G3349" t="inlineStr">
        <is>
          <t>LJUNGBY</t>
        </is>
      </c>
      <c r="I3349" t="n">
        <v>4.6</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57336-2024</t>
        </is>
      </c>
      <c r="B3350" t="inlineStr">
        <is>
          <t>avverkningsanmälan</t>
        </is>
      </c>
      <c r="C3350" t="inlineStr">
        <is>
          <t>Föryngringsavverkning</t>
        </is>
      </c>
      <c r="D3350" s="1" t="n">
        <v>45629</v>
      </c>
      <c r="E3350" s="1" t="n">
        <v>46316</v>
      </c>
      <c r="F3350" t="inlineStr">
        <is>
          <t>KRONOBERGS LÄN</t>
        </is>
      </c>
      <c r="G3350" t="inlineStr">
        <is>
          <t>LJUNGBY</t>
        </is>
      </c>
      <c r="I3350" t="n">
        <v>0.6</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20955-2024</t>
        </is>
      </c>
      <c r="B3351" t="inlineStr">
        <is>
          <t>avverkningsanmälan</t>
        </is>
      </c>
      <c r="C3351" t="inlineStr">
        <is>
          <t>Föryngringsavverkning</t>
        </is>
      </c>
      <c r="D3351" s="1" t="n">
        <v>45439</v>
      </c>
      <c r="E3351" s="1" t="n">
        <v>46316</v>
      </c>
      <c r="F3351" t="inlineStr">
        <is>
          <t>KRONOBERGS LÄN</t>
        </is>
      </c>
      <c r="G3351" t="inlineStr">
        <is>
          <t>TINGSRYD</t>
        </is>
      </c>
      <c r="I3351" t="n">
        <v>0.5</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24857-2023</t>
        </is>
      </c>
      <c r="B3352" t="inlineStr">
        <is>
          <t>avverkningsanmälan</t>
        </is>
      </c>
      <c r="C3352" t="inlineStr">
        <is>
          <t>Föryngringsavverkning</t>
        </is>
      </c>
      <c r="D3352" s="1" t="n">
        <v>45085</v>
      </c>
      <c r="E3352" s="1" t="n">
        <v>46316</v>
      </c>
      <c r="F3352" t="inlineStr">
        <is>
          <t>KRONOBERGS LÄN</t>
        </is>
      </c>
      <c r="G3352" t="inlineStr">
        <is>
          <t>UPPVIDINGE</t>
        </is>
      </c>
      <c r="I3352" t="n">
        <v>0.7</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24928-2023</t>
        </is>
      </c>
      <c r="B3353" t="inlineStr">
        <is>
          <t>avverkningsanmälan</t>
        </is>
      </c>
      <c r="C3353" t="inlineStr">
        <is>
          <t>Föryngringsavverkning</t>
        </is>
      </c>
      <c r="D3353" s="1" t="n">
        <v>45085</v>
      </c>
      <c r="E3353" s="1" t="n">
        <v>46316</v>
      </c>
      <c r="F3353" t="inlineStr">
        <is>
          <t>KRONOBERGS LÄN</t>
        </is>
      </c>
      <c r="G3353" t="inlineStr">
        <is>
          <t>ÄLMHULT</t>
        </is>
      </c>
      <c r="I3353" t="n">
        <v>0.5</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52844-2024</t>
        </is>
      </c>
      <c r="B3354" t="inlineStr">
        <is>
          <t>avverkningsanmälan</t>
        </is>
      </c>
      <c r="C3354" t="inlineStr">
        <is>
          <t>Föryngringsavverkning</t>
        </is>
      </c>
      <c r="D3354" s="1" t="n">
        <v>45610</v>
      </c>
      <c r="E3354" s="1" t="n">
        <v>46316</v>
      </c>
      <c r="F3354" t="inlineStr">
        <is>
          <t>KRONOBERGS LÄN</t>
        </is>
      </c>
      <c r="G3354" t="inlineStr">
        <is>
          <t>LJUNGBY</t>
        </is>
      </c>
      <c r="I3354" t="n">
        <v>1.6</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10070-2025</t>
        </is>
      </c>
      <c r="B3355" t="inlineStr">
        <is>
          <t>avverkningsanmälan</t>
        </is>
      </c>
      <c r="C3355" t="inlineStr">
        <is>
          <t>Föryngringsavverkning</t>
        </is>
      </c>
      <c r="D3355" s="1" t="n">
        <v>45719</v>
      </c>
      <c r="E3355" s="1" t="n">
        <v>46316</v>
      </c>
      <c r="F3355" t="inlineStr">
        <is>
          <t>KRONOBERGS LÄN</t>
        </is>
      </c>
      <c r="G3355" t="inlineStr">
        <is>
          <t>VÄXJÖ</t>
        </is>
      </c>
      <c r="I3355" t="n">
        <v>1.2</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306-2022</t>
        </is>
      </c>
      <c r="B3356" t="inlineStr">
        <is>
          <t>avverkningsanmälan</t>
        </is>
      </c>
      <c r="C3356" t="inlineStr">
        <is>
          <t>Föryngringsavverkning</t>
        </is>
      </c>
      <c r="D3356" s="1" t="n">
        <v>44565</v>
      </c>
      <c r="E3356" s="1" t="n">
        <v>46316</v>
      </c>
      <c r="F3356" t="inlineStr">
        <is>
          <t>KRONOBERGS LÄN</t>
        </is>
      </c>
      <c r="G3356" t="inlineStr">
        <is>
          <t>MARKARYD</t>
        </is>
      </c>
      <c r="I3356" t="n">
        <v>8.199999999999999</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9825-2022</t>
        </is>
      </c>
      <c r="B3357" t="inlineStr">
        <is>
          <t>avverkningsanmälan</t>
        </is>
      </c>
      <c r="C3357" t="inlineStr">
        <is>
          <t>Föryngringsavverkning</t>
        </is>
      </c>
      <c r="D3357" s="1" t="n">
        <v>44620</v>
      </c>
      <c r="E3357" s="1" t="n">
        <v>46316</v>
      </c>
      <c r="F3357" t="inlineStr">
        <is>
          <t>KRONOBERGS LÄN</t>
        </is>
      </c>
      <c r="G3357" t="inlineStr">
        <is>
          <t>LJUNGBY</t>
        </is>
      </c>
      <c r="I3357" t="n">
        <v>1.9</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10595-2023</t>
        </is>
      </c>
      <c r="B3358" t="inlineStr">
        <is>
          <t>avverkningsanmälan</t>
        </is>
      </c>
      <c r="C3358" t="inlineStr">
        <is>
          <t>Föryngringsavverkning</t>
        </is>
      </c>
      <c r="D3358" s="1" t="n">
        <v>44988</v>
      </c>
      <c r="E3358" s="1" t="n">
        <v>46316</v>
      </c>
      <c r="F3358" t="inlineStr">
        <is>
          <t>KRONOBERGS LÄN</t>
        </is>
      </c>
      <c r="G3358" t="inlineStr">
        <is>
          <t>TINGSRYD</t>
        </is>
      </c>
      <c r="I3358" t="n">
        <v>3.3</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4730-2025</t>
        </is>
      </c>
      <c r="B3359" t="inlineStr">
        <is>
          <t>avverkningsanmälan</t>
        </is>
      </c>
      <c r="C3359" t="inlineStr">
        <is>
          <t>Föryngringsavverkning</t>
        </is>
      </c>
      <c r="D3359" s="1" t="n">
        <v>45688</v>
      </c>
      <c r="E3359" s="1" t="n">
        <v>46316</v>
      </c>
      <c r="F3359" t="inlineStr">
        <is>
          <t>KRONOBERGS LÄN</t>
        </is>
      </c>
      <c r="G3359" t="inlineStr">
        <is>
          <t>TINGSRYD</t>
        </is>
      </c>
      <c r="I3359" t="n">
        <v>0.8</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19639-2024</t>
        </is>
      </c>
      <c r="B3360" t="inlineStr">
        <is>
          <t>avverkningsanmälan</t>
        </is>
      </c>
      <c r="C3360" t="inlineStr">
        <is>
          <t>Föryngringsavverkning</t>
        </is>
      </c>
      <c r="D3360" s="1" t="n">
        <v>45432</v>
      </c>
      <c r="E3360" s="1" t="n">
        <v>46316</v>
      </c>
      <c r="F3360" t="inlineStr">
        <is>
          <t>KRONOBERGS LÄN</t>
        </is>
      </c>
      <c r="G3360" t="inlineStr">
        <is>
          <t>TINGSRYD</t>
        </is>
      </c>
      <c r="I3360" t="n">
        <v>3.3</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71802-2021</t>
        </is>
      </c>
      <c r="B3361" t="inlineStr">
        <is>
          <t>avverkningsanmälan</t>
        </is>
      </c>
      <c r="C3361" t="inlineStr">
        <is>
          <t>Föryngringsavverkning</t>
        </is>
      </c>
      <c r="D3361" s="1" t="n">
        <v>44543</v>
      </c>
      <c r="E3361" s="1" t="n">
        <v>46316</v>
      </c>
      <c r="F3361" t="inlineStr">
        <is>
          <t>KRONOBERGS LÄN</t>
        </is>
      </c>
      <c r="G3361" t="inlineStr">
        <is>
          <t>ÄLMHULT</t>
        </is>
      </c>
      <c r="I3361" t="n">
        <v>0.9</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23201-2026</t>
        </is>
      </c>
      <c r="B3362" t="inlineStr">
        <is>
          <t>avverkningsanmälan</t>
        </is>
      </c>
      <c r="C3362" t="inlineStr">
        <is>
          <t>Föryngringsavverkning</t>
        </is>
      </c>
      <c r="D3362" s="1" t="n">
        <v>46161</v>
      </c>
      <c r="E3362" s="1" t="n">
        <v>46316</v>
      </c>
      <c r="F3362" t="inlineStr">
        <is>
          <t>KRONOBERGS LÄN</t>
        </is>
      </c>
      <c r="G3362" t="inlineStr">
        <is>
          <t>LJUNGBY</t>
        </is>
      </c>
      <c r="I3362" t="n">
        <v>0.9</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23618-2026</t>
        </is>
      </c>
      <c r="B3363" t="inlineStr">
        <is>
          <t>avverkningsanmälan</t>
        </is>
      </c>
      <c r="C3363" t="inlineStr">
        <is>
          <t>Föryngringsavverkning</t>
        </is>
      </c>
      <c r="D3363" s="1" t="n">
        <v>46163</v>
      </c>
      <c r="E3363" s="1" t="n">
        <v>46316</v>
      </c>
      <c r="F3363" t="inlineStr">
        <is>
          <t>KRONOBERGS LÄN</t>
        </is>
      </c>
      <c r="G3363" t="inlineStr">
        <is>
          <t>UPPVIDINGE</t>
        </is>
      </c>
      <c r="H3363" t="inlineStr">
        <is>
          <t>Sveaskog</t>
        </is>
      </c>
      <c r="I3363" t="n">
        <v>3.3</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23622-2026</t>
        </is>
      </c>
      <c r="B3364" t="inlineStr">
        <is>
          <t>avverkningsanmälan</t>
        </is>
      </c>
      <c r="C3364" t="inlineStr">
        <is>
          <t>Föryngringsavverkning</t>
        </is>
      </c>
      <c r="D3364" s="1" t="n">
        <v>46163</v>
      </c>
      <c r="E3364" s="1" t="n">
        <v>46316</v>
      </c>
      <c r="F3364" t="inlineStr">
        <is>
          <t>KRONOBERGS LÄN</t>
        </is>
      </c>
      <c r="G3364" t="inlineStr">
        <is>
          <t>ALVESTA</t>
        </is>
      </c>
      <c r="I3364" t="n">
        <v>10.2</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11600-2025</t>
        </is>
      </c>
      <c r="B3365" t="inlineStr">
        <is>
          <t>avverkningsanmälan</t>
        </is>
      </c>
      <c r="C3365" t="inlineStr">
        <is>
          <t>Föryngringsavverkning</t>
        </is>
      </c>
      <c r="D3365" s="1" t="n">
        <v>45727</v>
      </c>
      <c r="E3365" s="1" t="n">
        <v>46316</v>
      </c>
      <c r="F3365" t="inlineStr">
        <is>
          <t>KRONOBERGS LÄN</t>
        </is>
      </c>
      <c r="G3365" t="inlineStr">
        <is>
          <t>TINGSRYD</t>
        </is>
      </c>
      <c r="I3365" t="n">
        <v>0.5</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23346-2026</t>
        </is>
      </c>
      <c r="B3366" t="inlineStr">
        <is>
          <t>avverkningsanmälan</t>
        </is>
      </c>
      <c r="C3366" t="inlineStr">
        <is>
          <t>Föryngringsavverkning</t>
        </is>
      </c>
      <c r="D3366" s="1" t="n">
        <v>46162</v>
      </c>
      <c r="E3366" s="1" t="n">
        <v>46316</v>
      </c>
      <c r="F3366" t="inlineStr">
        <is>
          <t>KRONOBERGS LÄN</t>
        </is>
      </c>
      <c r="G3366" t="inlineStr">
        <is>
          <t>VÄXJÖ</t>
        </is>
      </c>
      <c r="I3366" t="n">
        <v>1.2</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31309-2024</t>
        </is>
      </c>
      <c r="B3367" t="inlineStr">
        <is>
          <t>avverkningsanmälan</t>
        </is>
      </c>
      <c r="C3367" t="inlineStr">
        <is>
          <t>Föryngringsavverkning</t>
        </is>
      </c>
      <c r="D3367" s="1" t="n">
        <v>45504</v>
      </c>
      <c r="E3367" s="1" t="n">
        <v>46316</v>
      </c>
      <c r="F3367" t="inlineStr">
        <is>
          <t>KRONOBERGS LÄN</t>
        </is>
      </c>
      <c r="G3367" t="inlineStr">
        <is>
          <t>VÄXJÖ</t>
        </is>
      </c>
      <c r="I3367" t="n">
        <v>3.5</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50031-2022</t>
        </is>
      </c>
      <c r="B3368" t="inlineStr">
        <is>
          <t>avverkningsanmälan</t>
        </is>
      </c>
      <c r="C3368" t="inlineStr">
        <is>
          <t>Föryngringsavverkning</t>
        </is>
      </c>
      <c r="D3368" s="1" t="n">
        <v>44865</v>
      </c>
      <c r="E3368" s="1" t="n">
        <v>46316</v>
      </c>
      <c r="F3368" t="inlineStr">
        <is>
          <t>KRONOBERGS LÄN</t>
        </is>
      </c>
      <c r="G3368" t="inlineStr">
        <is>
          <t>ÄLMHULT</t>
        </is>
      </c>
      <c r="I3368" t="n">
        <v>0.6</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4453-2024</t>
        </is>
      </c>
      <c r="B3369" t="inlineStr">
        <is>
          <t>avverkningsanmälan</t>
        </is>
      </c>
      <c r="C3369" t="inlineStr">
        <is>
          <t>Föryngringsavverkning</t>
        </is>
      </c>
      <c r="D3369" s="1" t="n">
        <v>45327</v>
      </c>
      <c r="E3369" s="1" t="n">
        <v>46316</v>
      </c>
      <c r="F3369" t="inlineStr">
        <is>
          <t>KRONOBERGS LÄN</t>
        </is>
      </c>
      <c r="G3369" t="inlineStr">
        <is>
          <t>LESSEBO</t>
        </is>
      </c>
      <c r="H3369" t="inlineStr">
        <is>
          <t>Kommuner</t>
        </is>
      </c>
      <c r="I3369" t="n">
        <v>1.6</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10713-2024</t>
        </is>
      </c>
      <c r="B3370" t="inlineStr">
        <is>
          <t>avverkningsanmälan</t>
        </is>
      </c>
      <c r="C3370" t="inlineStr">
        <is>
          <t>Föryngringsavverkning</t>
        </is>
      </c>
      <c r="D3370" s="1" t="n">
        <v>45369</v>
      </c>
      <c r="E3370" s="1" t="n">
        <v>46316</v>
      </c>
      <c r="F3370" t="inlineStr">
        <is>
          <t>KRONOBERGS LÄN</t>
        </is>
      </c>
      <c r="G3370" t="inlineStr">
        <is>
          <t>UPPVIDINGE</t>
        </is>
      </c>
      <c r="I3370" t="n">
        <v>5.5</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50162-2023</t>
        </is>
      </c>
      <c r="B3371" t="inlineStr">
        <is>
          <t>avverkningsanmälan</t>
        </is>
      </c>
      <c r="C3371" t="inlineStr">
        <is>
          <t>Avverkning för annat ändamål</t>
        </is>
      </c>
      <c r="D3371" s="1" t="n">
        <v>45215</v>
      </c>
      <c r="E3371" s="1" t="n">
        <v>46316</v>
      </c>
      <c r="F3371" t="inlineStr">
        <is>
          <t>KRONOBERGS LÄN</t>
        </is>
      </c>
      <c r="G3371" t="inlineStr">
        <is>
          <t>LESSEBO</t>
        </is>
      </c>
      <c r="H3371" t="inlineStr">
        <is>
          <t>Sveaskog</t>
        </is>
      </c>
      <c r="I3371" t="n">
        <v>0.2</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413-2024</t>
        </is>
      </c>
      <c r="B3372" t="inlineStr">
        <is>
          <t>avverkningsanmälan</t>
        </is>
      </c>
      <c r="C3372" t="inlineStr">
        <is>
          <t>Föryngringsavverkning</t>
        </is>
      </c>
      <c r="D3372" s="1" t="n">
        <v>45296</v>
      </c>
      <c r="E3372" s="1" t="n">
        <v>46316</v>
      </c>
      <c r="F3372" t="inlineStr">
        <is>
          <t>KRONOBERGS LÄN</t>
        </is>
      </c>
      <c r="G3372" t="inlineStr">
        <is>
          <t>ALVESTA</t>
        </is>
      </c>
      <c r="I3372" t="n">
        <v>1.1</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23936-2026</t>
        </is>
      </c>
      <c r="B3373" t="inlineStr">
        <is>
          <t>avverkningsanmälan</t>
        </is>
      </c>
      <c r="C3373" t="inlineStr">
        <is>
          <t>Föryngringsavverkning</t>
        </is>
      </c>
      <c r="D3373" s="1" t="n">
        <v>46167</v>
      </c>
      <c r="E3373" s="1" t="n">
        <v>46316</v>
      </c>
      <c r="F3373" t="inlineStr">
        <is>
          <t>KRONOBERGS LÄN</t>
        </is>
      </c>
      <c r="G3373" t="inlineStr">
        <is>
          <t>TINGSRYD</t>
        </is>
      </c>
      <c r="I3373" t="n">
        <v>0.5</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23905-2026</t>
        </is>
      </c>
      <c r="B3374" t="inlineStr">
        <is>
          <t>avverkningsanmälan</t>
        </is>
      </c>
      <c r="C3374" t="inlineStr">
        <is>
          <t>Föryngringsavverkning</t>
        </is>
      </c>
      <c r="D3374" s="1" t="n">
        <v>46167</v>
      </c>
      <c r="E3374" s="1" t="n">
        <v>46316</v>
      </c>
      <c r="F3374" t="inlineStr">
        <is>
          <t>KRONOBERGS LÄN</t>
        </is>
      </c>
      <c r="G3374" t="inlineStr">
        <is>
          <t>ALVESTA</t>
        </is>
      </c>
      <c r="I3374" t="n">
        <v>1.6</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46963-2024</t>
        </is>
      </c>
      <c r="B3375" t="inlineStr">
        <is>
          <t>avverkningsanmälan</t>
        </is>
      </c>
      <c r="C3375" t="inlineStr">
        <is>
          <t>Föryngringsavverkning</t>
        </is>
      </c>
      <c r="D3375" s="1" t="n">
        <v>45583</v>
      </c>
      <c r="E3375" s="1" t="n">
        <v>46316</v>
      </c>
      <c r="F3375" t="inlineStr">
        <is>
          <t>KRONOBERGS LÄN</t>
        </is>
      </c>
      <c r="G3375" t="inlineStr">
        <is>
          <t>VÄXJÖ</t>
        </is>
      </c>
      <c r="H3375" t="inlineStr">
        <is>
          <t>Kyrkan</t>
        </is>
      </c>
      <c r="I3375" t="n">
        <v>2.7</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56826-2024</t>
        </is>
      </c>
      <c r="B3376" t="inlineStr">
        <is>
          <t>avverkningsanmälan</t>
        </is>
      </c>
      <c r="C3376" t="inlineStr">
        <is>
          <t>Föryngringsavverkning</t>
        </is>
      </c>
      <c r="D3376" s="1" t="n">
        <v>45628</v>
      </c>
      <c r="E3376" s="1" t="n">
        <v>46316</v>
      </c>
      <c r="F3376" t="inlineStr">
        <is>
          <t>KRONOBERGS LÄN</t>
        </is>
      </c>
      <c r="G3376" t="inlineStr">
        <is>
          <t>LJUNGBY</t>
        </is>
      </c>
      <c r="I3376" t="n">
        <v>9.6</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12298-2023</t>
        </is>
      </c>
      <c r="B3377" t="inlineStr">
        <is>
          <t>avverkningsanmälan</t>
        </is>
      </c>
      <c r="C3377" t="inlineStr">
        <is>
          <t>Föryngringsavverkning</t>
        </is>
      </c>
      <c r="D3377" s="1" t="n">
        <v>44998</v>
      </c>
      <c r="E3377" s="1" t="n">
        <v>46316</v>
      </c>
      <c r="F3377" t="inlineStr">
        <is>
          <t>KRONOBERGS LÄN</t>
        </is>
      </c>
      <c r="G3377" t="inlineStr">
        <is>
          <t>ALVESTA</t>
        </is>
      </c>
      <c r="I3377" t="n">
        <v>1.5</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20624-2024</t>
        </is>
      </c>
      <c r="B3378" t="inlineStr">
        <is>
          <t>avverkningsanmälan</t>
        </is>
      </c>
      <c r="C3378" t="inlineStr">
        <is>
          <t>Föryngringsavverkning</t>
        </is>
      </c>
      <c r="D3378" s="1" t="n">
        <v>45436</v>
      </c>
      <c r="E3378" s="1" t="n">
        <v>46316</v>
      </c>
      <c r="F3378" t="inlineStr">
        <is>
          <t>KRONOBERGS LÄN</t>
        </is>
      </c>
      <c r="G3378" t="inlineStr">
        <is>
          <t>ALVESTA</t>
        </is>
      </c>
      <c r="I3378" t="n">
        <v>1.4</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16994-2024</t>
        </is>
      </c>
      <c r="B3379" t="inlineStr">
        <is>
          <t>avverkningsanmälan</t>
        </is>
      </c>
      <c r="C3379" t="inlineStr">
        <is>
          <t>Föryngringsavverkning</t>
        </is>
      </c>
      <c r="D3379" s="1" t="n">
        <v>45412</v>
      </c>
      <c r="E3379" s="1" t="n">
        <v>46316</v>
      </c>
      <c r="F3379" t="inlineStr">
        <is>
          <t>KRONOBERGS LÄN</t>
        </is>
      </c>
      <c r="G3379" t="inlineStr">
        <is>
          <t>TINGSRYD</t>
        </is>
      </c>
      <c r="I3379" t="n">
        <v>2.2</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51537-2024</t>
        </is>
      </c>
      <c r="B3380" t="inlineStr">
        <is>
          <t>avverkningsanmälan</t>
        </is>
      </c>
      <c r="C3380" t="inlineStr">
        <is>
          <t>Föryngringsavverkning</t>
        </is>
      </c>
      <c r="D3380" s="1" t="n">
        <v>45603</v>
      </c>
      <c r="E3380" s="1" t="n">
        <v>46316</v>
      </c>
      <c r="F3380" t="inlineStr">
        <is>
          <t>KRONOBERGS LÄN</t>
        </is>
      </c>
      <c r="G3380" t="inlineStr">
        <is>
          <t>LJUNGBY</t>
        </is>
      </c>
      <c r="H3380" t="inlineStr">
        <is>
          <t>Kyrkan</t>
        </is>
      </c>
      <c r="I3380" t="n">
        <v>13.5</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14043-2025</t>
        </is>
      </c>
      <c r="B3381" t="inlineStr">
        <is>
          <t>avverkningsanmälan</t>
        </is>
      </c>
      <c r="C3381" t="inlineStr">
        <is>
          <t>Föryngringsavverkning</t>
        </is>
      </c>
      <c r="D3381" s="1" t="n">
        <v>45740</v>
      </c>
      <c r="E3381" s="1" t="n">
        <v>46316</v>
      </c>
      <c r="F3381" t="inlineStr">
        <is>
          <t>KRONOBERGS LÄN</t>
        </is>
      </c>
      <c r="G3381" t="inlineStr">
        <is>
          <t>ALVESTA</t>
        </is>
      </c>
      <c r="I3381" t="n">
        <v>0.5</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11175-2023</t>
        </is>
      </c>
      <c r="B3382" t="inlineStr">
        <is>
          <t>avverkningsanmälan</t>
        </is>
      </c>
      <c r="C3382" t="inlineStr">
        <is>
          <t>Föryngringsavverkning</t>
        </is>
      </c>
      <c r="D3382" s="1" t="n">
        <v>44992</v>
      </c>
      <c r="E3382" s="1" t="n">
        <v>46316</v>
      </c>
      <c r="F3382" t="inlineStr">
        <is>
          <t>KRONOBERGS LÄN</t>
        </is>
      </c>
      <c r="G3382" t="inlineStr">
        <is>
          <t>MARKARYD</t>
        </is>
      </c>
      <c r="I3382" t="n">
        <v>1.1</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16593-2025</t>
        </is>
      </c>
      <c r="B3383" t="inlineStr">
        <is>
          <t>avverkningsanmälan</t>
        </is>
      </c>
      <c r="C3383" t="inlineStr">
        <is>
          <t>Föryngringsavverkning</t>
        </is>
      </c>
      <c r="D3383" s="1" t="n">
        <v>45753</v>
      </c>
      <c r="E3383" s="1" t="n">
        <v>46316</v>
      </c>
      <c r="F3383" t="inlineStr">
        <is>
          <t>KRONOBERGS LÄN</t>
        </is>
      </c>
      <c r="G3383" t="inlineStr">
        <is>
          <t>VÄXJÖ</t>
        </is>
      </c>
      <c r="I3383" t="n">
        <v>0.3</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23932-2026</t>
        </is>
      </c>
      <c r="B3384" t="inlineStr">
        <is>
          <t>avverkningsanmälan</t>
        </is>
      </c>
      <c r="C3384" t="inlineStr">
        <is>
          <t>Föryngringsavverkning</t>
        </is>
      </c>
      <c r="D3384" s="1" t="n">
        <v>46167</v>
      </c>
      <c r="E3384" s="1" t="n">
        <v>46316</v>
      </c>
      <c r="F3384" t="inlineStr">
        <is>
          <t>KRONOBERGS LÄN</t>
        </is>
      </c>
      <c r="G3384" t="inlineStr">
        <is>
          <t>TINGSRYD</t>
        </is>
      </c>
      <c r="I3384" t="n">
        <v>4.1</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24006-2026</t>
        </is>
      </c>
      <c r="B3385" t="inlineStr">
        <is>
          <t>avverkningsanmälan</t>
        </is>
      </c>
      <c r="C3385" t="inlineStr">
        <is>
          <t>Föryngringsavverkning</t>
        </is>
      </c>
      <c r="D3385" s="1" t="n">
        <v>46167</v>
      </c>
      <c r="E3385" s="1" t="n">
        <v>46316</v>
      </c>
      <c r="F3385" t="inlineStr">
        <is>
          <t>KRONOBERGS LÄN</t>
        </is>
      </c>
      <c r="G3385" t="inlineStr">
        <is>
          <t>UPPVIDINGE</t>
        </is>
      </c>
      <c r="H3385" t="inlineStr">
        <is>
          <t>Sveaskog</t>
        </is>
      </c>
      <c r="I3385" t="n">
        <v>1.3</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62309-2023</t>
        </is>
      </c>
      <c r="B3386" t="inlineStr">
        <is>
          <t>avverkningsanmälan</t>
        </is>
      </c>
      <c r="C3386" t="inlineStr">
        <is>
          <t>Föryngringsavverkning</t>
        </is>
      </c>
      <c r="D3386" s="1" t="n">
        <v>45267</v>
      </c>
      <c r="E3386" s="1" t="n">
        <v>46316</v>
      </c>
      <c r="F3386" t="inlineStr">
        <is>
          <t>KRONOBERGS LÄN</t>
        </is>
      </c>
      <c r="G3386" t="inlineStr">
        <is>
          <t>MARKARYD</t>
        </is>
      </c>
      <c r="I3386" t="n">
        <v>13</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23849-2026</t>
        </is>
      </c>
      <c r="B3387" t="inlineStr">
        <is>
          <t>avverkningsanmälan</t>
        </is>
      </c>
      <c r="C3387" t="inlineStr">
        <is>
          <t>Föryngringsavverkning</t>
        </is>
      </c>
      <c r="D3387" s="1" t="n">
        <v>46167</v>
      </c>
      <c r="E3387" s="1" t="n">
        <v>46316</v>
      </c>
      <c r="F3387" t="inlineStr">
        <is>
          <t>KRONOBERGS LÄN</t>
        </is>
      </c>
      <c r="G3387" t="inlineStr">
        <is>
          <t>VÄXJÖ</t>
        </is>
      </c>
      <c r="I3387" t="n">
        <v>8.800000000000001</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17782-2024</t>
        </is>
      </c>
      <c r="B3388" t="inlineStr">
        <is>
          <t>avverkningsanmälan</t>
        </is>
      </c>
      <c r="C3388" t="inlineStr">
        <is>
          <t>Föryngringsavverkning</t>
        </is>
      </c>
      <c r="D3388" s="1" t="n">
        <v>45418</v>
      </c>
      <c r="E3388" s="1" t="n">
        <v>46316</v>
      </c>
      <c r="F3388" t="inlineStr">
        <is>
          <t>KRONOBERGS LÄN</t>
        </is>
      </c>
      <c r="G3388" t="inlineStr">
        <is>
          <t>ALVESTA</t>
        </is>
      </c>
      <c r="I3388" t="n">
        <v>2.4</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29916-2022</t>
        </is>
      </c>
      <c r="B3389" t="inlineStr">
        <is>
          <t>avverkningsanmälan</t>
        </is>
      </c>
      <c r="C3389" t="inlineStr">
        <is>
          <t>Föryngringsavverkning</t>
        </is>
      </c>
      <c r="D3389" s="1" t="n">
        <v>44756</v>
      </c>
      <c r="E3389" s="1" t="n">
        <v>46316</v>
      </c>
      <c r="F3389" t="inlineStr">
        <is>
          <t>KRONOBERGS LÄN</t>
        </is>
      </c>
      <c r="G3389" t="inlineStr">
        <is>
          <t>TINGSRYD</t>
        </is>
      </c>
      <c r="I3389" t="n">
        <v>0.6</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4636-2023</t>
        </is>
      </c>
      <c r="B3390" t="inlineStr">
        <is>
          <t>avverkningsanmälan</t>
        </is>
      </c>
      <c r="C3390" t="inlineStr">
        <is>
          <t>Föryngringsavverkning</t>
        </is>
      </c>
      <c r="D3390" s="1" t="n">
        <v>44953</v>
      </c>
      <c r="E3390" s="1" t="n">
        <v>46316</v>
      </c>
      <c r="F3390" t="inlineStr">
        <is>
          <t>KRONOBERGS LÄN</t>
        </is>
      </c>
      <c r="G3390" t="inlineStr">
        <is>
          <t>TINGSRYD</t>
        </is>
      </c>
      <c r="I3390" t="n">
        <v>0.8</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54616-2024</t>
        </is>
      </c>
      <c r="B3391" t="inlineStr">
        <is>
          <t>avverkningsanmälan</t>
        </is>
      </c>
      <c r="C3391" t="inlineStr">
        <is>
          <t>Föryngringsavverkning</t>
        </is>
      </c>
      <c r="D3391" s="1" t="n">
        <v>45617</v>
      </c>
      <c r="E3391" s="1" t="n">
        <v>46316</v>
      </c>
      <c r="F3391" t="inlineStr">
        <is>
          <t>KRONOBERGS LÄN</t>
        </is>
      </c>
      <c r="G3391" t="inlineStr">
        <is>
          <t>VÄXJÖ</t>
        </is>
      </c>
      <c r="I3391" t="n">
        <v>1.8</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12093-2025</t>
        </is>
      </c>
      <c r="B3392" t="inlineStr">
        <is>
          <t>avverkningsanmälan</t>
        </is>
      </c>
      <c r="C3392" t="inlineStr">
        <is>
          <t>Föryngringsavverkning</t>
        </is>
      </c>
      <c r="D3392" s="1" t="n">
        <v>45728</v>
      </c>
      <c r="E3392" s="1" t="n">
        <v>46316</v>
      </c>
      <c r="F3392" t="inlineStr">
        <is>
          <t>KRONOBERGS LÄN</t>
        </is>
      </c>
      <c r="G3392" t="inlineStr">
        <is>
          <t>ÄLMHULT</t>
        </is>
      </c>
      <c r="I3392" t="n">
        <v>2.1</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6119-2022</t>
        </is>
      </c>
      <c r="B3393" t="inlineStr">
        <is>
          <t>avverkningsanmälan</t>
        </is>
      </c>
      <c r="C3393" t="inlineStr">
        <is>
          <t>Föryngringsavverkning</t>
        </is>
      </c>
      <c r="D3393" s="1" t="n">
        <v>44599</v>
      </c>
      <c r="E3393" s="1" t="n">
        <v>46316</v>
      </c>
      <c r="F3393" t="inlineStr">
        <is>
          <t>KRONOBERGS LÄN</t>
        </is>
      </c>
      <c r="G3393" t="inlineStr">
        <is>
          <t>UPPVIDINGE</t>
        </is>
      </c>
      <c r="I3393" t="n">
        <v>2.6</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6139-2022</t>
        </is>
      </c>
      <c r="B3394" t="inlineStr">
        <is>
          <t>avverkningsanmälan</t>
        </is>
      </c>
      <c r="C3394" t="inlineStr">
        <is>
          <t>Föryngringsavverkning</t>
        </is>
      </c>
      <c r="D3394" s="1" t="n">
        <v>44599</v>
      </c>
      <c r="E3394" s="1" t="n">
        <v>46316</v>
      </c>
      <c r="F3394" t="inlineStr">
        <is>
          <t>KRONOBERGS LÄN</t>
        </is>
      </c>
      <c r="G3394" t="inlineStr">
        <is>
          <t>TINGSRYD</t>
        </is>
      </c>
      <c r="I3394" t="n">
        <v>0.6</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39389-2024</t>
        </is>
      </c>
      <c r="B3395" t="inlineStr">
        <is>
          <t>avverkningsanmälan</t>
        </is>
      </c>
      <c r="C3395" t="inlineStr">
        <is>
          <t>Föryngringsavverkning</t>
        </is>
      </c>
      <c r="D3395" s="1" t="n">
        <v>45551</v>
      </c>
      <c r="E3395" s="1" t="n">
        <v>46316</v>
      </c>
      <c r="F3395" t="inlineStr">
        <is>
          <t>KRONOBERGS LÄN</t>
        </is>
      </c>
      <c r="G3395" t="inlineStr">
        <is>
          <t>LESSEBO</t>
        </is>
      </c>
      <c r="I3395" t="n">
        <v>2.5</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7887-2025</t>
        </is>
      </c>
      <c r="B3396" t="inlineStr">
        <is>
          <t>avverkningsanmälan</t>
        </is>
      </c>
      <c r="C3396" t="inlineStr">
        <is>
          <t>Föryngringsavverkning</t>
        </is>
      </c>
      <c r="D3396" s="1" t="n">
        <v>45706</v>
      </c>
      <c r="E3396" s="1" t="n">
        <v>46316</v>
      </c>
      <c r="F3396" t="inlineStr">
        <is>
          <t>KRONOBERGS LÄN</t>
        </is>
      </c>
      <c r="G3396" t="inlineStr">
        <is>
          <t>ALVESTA</t>
        </is>
      </c>
      <c r="I3396" t="n">
        <v>0.9</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23948-2026</t>
        </is>
      </c>
      <c r="B3397" t="inlineStr">
        <is>
          <t>avverkningsanmälan</t>
        </is>
      </c>
      <c r="C3397" t="inlineStr">
        <is>
          <t>Avverkning för annat ändamål</t>
        </is>
      </c>
      <c r="D3397" s="1" t="n">
        <v>46167</v>
      </c>
      <c r="E3397" s="1" t="n">
        <v>46316</v>
      </c>
      <c r="F3397" t="inlineStr">
        <is>
          <t>KRONOBERGS LÄN</t>
        </is>
      </c>
      <c r="G3397" t="inlineStr">
        <is>
          <t>TINGSRYD</t>
        </is>
      </c>
      <c r="I3397" t="n">
        <v>0.5</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23950-2026</t>
        </is>
      </c>
      <c r="B3398" t="inlineStr">
        <is>
          <t>avverkningsanmälan</t>
        </is>
      </c>
      <c r="C3398" t="inlineStr">
        <is>
          <t>Föryngringsavverkning</t>
        </is>
      </c>
      <c r="D3398" s="1" t="n">
        <v>46167</v>
      </c>
      <c r="E3398" s="1" t="n">
        <v>46316</v>
      </c>
      <c r="F3398" t="inlineStr">
        <is>
          <t>KRONOBERGS LÄN</t>
        </is>
      </c>
      <c r="G3398" t="inlineStr">
        <is>
          <t>TINGSRYD</t>
        </is>
      </c>
      <c r="I3398" t="n">
        <v>3.5</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2038-2023</t>
        </is>
      </c>
      <c r="B3399" t="inlineStr">
        <is>
          <t>avverkningsanmälan</t>
        </is>
      </c>
      <c r="C3399" t="inlineStr">
        <is>
          <t>Föryngringsavverkning</t>
        </is>
      </c>
      <c r="D3399" s="1" t="n">
        <v>44938</v>
      </c>
      <c r="E3399" s="1" t="n">
        <v>46316</v>
      </c>
      <c r="F3399" t="inlineStr">
        <is>
          <t>KRONOBERGS LÄN</t>
        </is>
      </c>
      <c r="G3399" t="inlineStr">
        <is>
          <t>ALVESTA</t>
        </is>
      </c>
      <c r="I3399" t="n">
        <v>4</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27266-2025</t>
        </is>
      </c>
      <c r="B3400" t="inlineStr">
        <is>
          <t>avverkningsanmälan</t>
        </is>
      </c>
      <c r="C3400" t="inlineStr">
        <is>
          <t>Föryngringsavverkning</t>
        </is>
      </c>
      <c r="D3400" s="1" t="n">
        <v>45812</v>
      </c>
      <c r="E3400" s="1" t="n">
        <v>46316</v>
      </c>
      <c r="F3400" t="inlineStr">
        <is>
          <t>KRONOBERGS LÄN</t>
        </is>
      </c>
      <c r="G3400" t="inlineStr">
        <is>
          <t>VÄXJÖ</t>
        </is>
      </c>
      <c r="I3400" t="n">
        <v>2.3</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13191-2023</t>
        </is>
      </c>
      <c r="B3401" t="inlineStr">
        <is>
          <t>avverkningsanmälan</t>
        </is>
      </c>
      <c r="C3401" t="inlineStr">
        <is>
          <t>Föryngringsavverkning</t>
        </is>
      </c>
      <c r="D3401" s="1" t="n">
        <v>45002</v>
      </c>
      <c r="E3401" s="1" t="n">
        <v>46316</v>
      </c>
      <c r="F3401" t="inlineStr">
        <is>
          <t>KRONOBERGS LÄN</t>
        </is>
      </c>
      <c r="G3401" t="inlineStr">
        <is>
          <t>TINGSRYD</t>
        </is>
      </c>
      <c r="I3401" t="n">
        <v>0.7</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16214-2022</t>
        </is>
      </c>
      <c r="B3402" t="inlineStr">
        <is>
          <t>avverkningsanmälan</t>
        </is>
      </c>
      <c r="C3402" t="inlineStr">
        <is>
          <t>Föryngringsavverkning</t>
        </is>
      </c>
      <c r="D3402" s="1" t="n">
        <v>44670</v>
      </c>
      <c r="E3402" s="1" t="n">
        <v>46316</v>
      </c>
      <c r="F3402" t="inlineStr">
        <is>
          <t>KRONOBERGS LÄN</t>
        </is>
      </c>
      <c r="G3402" t="inlineStr">
        <is>
          <t>VÄXJÖ</t>
        </is>
      </c>
      <c r="I3402" t="n">
        <v>1.3</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24100-2026</t>
        </is>
      </c>
      <c r="B3403" t="inlineStr">
        <is>
          <t>avverkningsanmälan</t>
        </is>
      </c>
      <c r="C3403" t="inlineStr">
        <is>
          <t>Föryngringsavverkning</t>
        </is>
      </c>
      <c r="D3403" s="1" t="n">
        <v>46168</v>
      </c>
      <c r="E3403" s="1" t="n">
        <v>46316</v>
      </c>
      <c r="F3403" t="inlineStr">
        <is>
          <t>KRONOBERGS LÄN</t>
        </is>
      </c>
      <c r="G3403" t="inlineStr">
        <is>
          <t>VÄXJÖ</t>
        </is>
      </c>
      <c r="I3403" t="n">
        <v>1.2</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19063-2023</t>
        </is>
      </c>
      <c r="B3404" t="inlineStr">
        <is>
          <t>avverkningsanmälan</t>
        </is>
      </c>
      <c r="C3404" t="inlineStr">
        <is>
          <t>Föryngringsavverkning</t>
        </is>
      </c>
      <c r="D3404" s="1" t="n">
        <v>45048</v>
      </c>
      <c r="E3404" s="1" t="n">
        <v>46316</v>
      </c>
      <c r="F3404" t="inlineStr">
        <is>
          <t>KRONOBERGS LÄN</t>
        </is>
      </c>
      <c r="G3404" t="inlineStr">
        <is>
          <t>ÄLMHULT</t>
        </is>
      </c>
      <c r="I3404" t="n">
        <v>1.9</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4318-2024</t>
        </is>
      </c>
      <c r="B3405" t="inlineStr">
        <is>
          <t>avverkningsanmälan</t>
        </is>
      </c>
      <c r="C3405" t="inlineStr">
        <is>
          <t>Föryngringsavverkning</t>
        </is>
      </c>
      <c r="D3405" s="1" t="n">
        <v>45324</v>
      </c>
      <c r="E3405" s="1" t="n">
        <v>46316</v>
      </c>
      <c r="F3405" t="inlineStr">
        <is>
          <t>KRONOBERGS LÄN</t>
        </is>
      </c>
      <c r="G3405" t="inlineStr">
        <is>
          <t>VÄXJÖ</t>
        </is>
      </c>
      <c r="I3405" t="n">
        <v>0.6</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4336-2024</t>
        </is>
      </c>
      <c r="B3406" t="inlineStr">
        <is>
          <t>avverkningsanmälan</t>
        </is>
      </c>
      <c r="C3406" t="inlineStr">
        <is>
          <t>Föryngringsavverkning</t>
        </is>
      </c>
      <c r="D3406" s="1" t="n">
        <v>45324</v>
      </c>
      <c r="E3406" s="1" t="n">
        <v>46316</v>
      </c>
      <c r="F3406" t="inlineStr">
        <is>
          <t>KRONOBERGS LÄN</t>
        </is>
      </c>
      <c r="G3406" t="inlineStr">
        <is>
          <t>LJUNGBY</t>
        </is>
      </c>
      <c r="I3406" t="n">
        <v>3.1</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61626-2023</t>
        </is>
      </c>
      <c r="B3407" t="inlineStr">
        <is>
          <t>avverkningsanmälan</t>
        </is>
      </c>
      <c r="C3407" t="inlineStr">
        <is>
          <t>Föryngringsavverkning</t>
        </is>
      </c>
      <c r="D3407" s="1" t="n">
        <v>45265</v>
      </c>
      <c r="E3407" s="1" t="n">
        <v>46316</v>
      </c>
      <c r="F3407" t="inlineStr">
        <is>
          <t>KRONOBERGS LÄN</t>
        </is>
      </c>
      <c r="G3407" t="inlineStr">
        <is>
          <t>MARKARYD</t>
        </is>
      </c>
      <c r="I3407" t="n">
        <v>0.8</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30100-2022</t>
        </is>
      </c>
      <c r="B3408" t="inlineStr">
        <is>
          <t>avverkningsanmälan</t>
        </is>
      </c>
      <c r="C3408" t="inlineStr">
        <is>
          <t>Föryngringsavverkning</t>
        </is>
      </c>
      <c r="D3408" s="1" t="n">
        <v>44757</v>
      </c>
      <c r="E3408" s="1" t="n">
        <v>46316</v>
      </c>
      <c r="F3408" t="inlineStr">
        <is>
          <t>KRONOBERGS LÄN</t>
        </is>
      </c>
      <c r="G3408" t="inlineStr">
        <is>
          <t>UPPVIDINGE</t>
        </is>
      </c>
      <c r="H3408" t="inlineStr">
        <is>
          <t>Sveaskog</t>
        </is>
      </c>
      <c r="I3408" t="n">
        <v>0.9</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30107-2022</t>
        </is>
      </c>
      <c r="B3409" t="inlineStr">
        <is>
          <t>avverkningsanmälan</t>
        </is>
      </c>
      <c r="C3409" t="inlineStr">
        <is>
          <t>Föryngringsavverkning</t>
        </is>
      </c>
      <c r="D3409" s="1" t="n">
        <v>44757</v>
      </c>
      <c r="E3409" s="1" t="n">
        <v>46316</v>
      </c>
      <c r="F3409" t="inlineStr">
        <is>
          <t>KRONOBERGS LÄN</t>
        </is>
      </c>
      <c r="G3409" t="inlineStr">
        <is>
          <t>UPPVIDINGE</t>
        </is>
      </c>
      <c r="H3409" t="inlineStr">
        <is>
          <t>Sveaskog</t>
        </is>
      </c>
      <c r="I3409" t="n">
        <v>3.3</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16449-2023</t>
        </is>
      </c>
      <c r="B3410" t="inlineStr">
        <is>
          <t>avverkningsanmälan</t>
        </is>
      </c>
      <c r="C3410" t="inlineStr">
        <is>
          <t>Föryngringsavverkning</t>
        </is>
      </c>
      <c r="D3410" s="1" t="n">
        <v>45029</v>
      </c>
      <c r="E3410" s="1" t="n">
        <v>46316</v>
      </c>
      <c r="F3410" t="inlineStr">
        <is>
          <t>KRONOBERGS LÄN</t>
        </is>
      </c>
      <c r="G3410" t="inlineStr">
        <is>
          <t>VÄXJÖ</t>
        </is>
      </c>
      <c r="I3410" t="n">
        <v>1.9</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20616-2024</t>
        </is>
      </c>
      <c r="B3411" t="inlineStr">
        <is>
          <t>avverkningsanmälan</t>
        </is>
      </c>
      <c r="C3411" t="inlineStr">
        <is>
          <t>Föryngringsavverkning</t>
        </is>
      </c>
      <c r="D3411" s="1" t="n">
        <v>45436</v>
      </c>
      <c r="E3411" s="1" t="n">
        <v>46316</v>
      </c>
      <c r="F3411" t="inlineStr">
        <is>
          <t>KRONOBERGS LÄN</t>
        </is>
      </c>
      <c r="G3411" t="inlineStr">
        <is>
          <t>ALVESTA</t>
        </is>
      </c>
      <c r="I3411" t="n">
        <v>3.5</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35997-2024</t>
        </is>
      </c>
      <c r="B3412" t="inlineStr">
        <is>
          <t>avverkningsanmälan</t>
        </is>
      </c>
      <c r="C3412" t="inlineStr">
        <is>
          <t>Föryngringsavverkning</t>
        </is>
      </c>
      <c r="D3412" s="1" t="n">
        <v>45533</v>
      </c>
      <c r="E3412" s="1" t="n">
        <v>46316</v>
      </c>
      <c r="F3412" t="inlineStr">
        <is>
          <t>KRONOBERGS LÄN</t>
        </is>
      </c>
      <c r="G3412" t="inlineStr">
        <is>
          <t>TINGSRYD</t>
        </is>
      </c>
      <c r="I3412" t="n">
        <v>4.4</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36000-2024</t>
        </is>
      </c>
      <c r="B3413" t="inlineStr">
        <is>
          <t>avverkningsanmälan</t>
        </is>
      </c>
      <c r="C3413" t="inlineStr">
        <is>
          <t>Föryngringsavverkning</t>
        </is>
      </c>
      <c r="D3413" s="1" t="n">
        <v>45533</v>
      </c>
      <c r="E3413" s="1" t="n">
        <v>46316</v>
      </c>
      <c r="F3413" t="inlineStr">
        <is>
          <t>KRONOBERGS LÄN</t>
        </is>
      </c>
      <c r="G3413" t="inlineStr">
        <is>
          <t>ÄLMHULT</t>
        </is>
      </c>
      <c r="I3413" t="n">
        <v>0.7</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14263-2022</t>
        </is>
      </c>
      <c r="B3414" t="inlineStr">
        <is>
          <t>avverkningsanmälan</t>
        </is>
      </c>
      <c r="C3414" t="inlineStr">
        <is>
          <t>Föryngringsavverkning</t>
        </is>
      </c>
      <c r="D3414" s="1" t="n">
        <v>44651</v>
      </c>
      <c r="E3414" s="1" t="n">
        <v>46316</v>
      </c>
      <c r="F3414" t="inlineStr">
        <is>
          <t>KRONOBERGS LÄN</t>
        </is>
      </c>
      <c r="G3414" t="inlineStr">
        <is>
          <t>VÄXJÖ</t>
        </is>
      </c>
      <c r="I3414" t="n">
        <v>3.3</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12893-2023</t>
        </is>
      </c>
      <c r="B3415" t="inlineStr">
        <is>
          <t>avverkningsanmälan</t>
        </is>
      </c>
      <c r="C3415" t="inlineStr">
        <is>
          <t>Föryngringsavverkning</t>
        </is>
      </c>
      <c r="D3415" s="1" t="n">
        <v>45001</v>
      </c>
      <c r="E3415" s="1" t="n">
        <v>46316</v>
      </c>
      <c r="F3415" t="inlineStr">
        <is>
          <t>KRONOBERGS LÄN</t>
        </is>
      </c>
      <c r="G3415" t="inlineStr">
        <is>
          <t>ÄLMHULT</t>
        </is>
      </c>
      <c r="I3415" t="n">
        <v>4.3</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12894-2023</t>
        </is>
      </c>
      <c r="B3416" t="inlineStr">
        <is>
          <t>avverkningsanmälan</t>
        </is>
      </c>
      <c r="C3416" t="inlineStr">
        <is>
          <t>Föryngringsavverkning</t>
        </is>
      </c>
      <c r="D3416" s="1" t="n">
        <v>45001</v>
      </c>
      <c r="E3416" s="1" t="n">
        <v>46316</v>
      </c>
      <c r="F3416" t="inlineStr">
        <is>
          <t>KRONOBERGS LÄN</t>
        </is>
      </c>
      <c r="G3416" t="inlineStr">
        <is>
          <t>UPPVIDINGE</t>
        </is>
      </c>
      <c r="I3416" t="n">
        <v>3.2</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24275-2026</t>
        </is>
      </c>
      <c r="B3417" t="inlineStr">
        <is>
          <t>avverkningsanmälan</t>
        </is>
      </c>
      <c r="C3417" t="inlineStr">
        <is>
          <t>Föryngringsavverkning</t>
        </is>
      </c>
      <c r="D3417" s="1" t="n">
        <v>46169</v>
      </c>
      <c r="E3417" s="1" t="n">
        <v>46316</v>
      </c>
      <c r="F3417" t="inlineStr">
        <is>
          <t>KRONOBERGS LÄN</t>
        </is>
      </c>
      <c r="G3417" t="inlineStr">
        <is>
          <t>LESSEBO</t>
        </is>
      </c>
      <c r="I3417" t="n">
        <v>3.6</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24419-2026</t>
        </is>
      </c>
      <c r="B3418" t="inlineStr">
        <is>
          <t>avverkningsanmälan</t>
        </is>
      </c>
      <c r="C3418" t="inlineStr">
        <is>
          <t>Avverkning för annat ändamål</t>
        </is>
      </c>
      <c r="D3418" s="1" t="n">
        <v>46169</v>
      </c>
      <c r="E3418" s="1" t="n">
        <v>46316</v>
      </c>
      <c r="F3418" t="inlineStr">
        <is>
          <t>KRONOBERGS LÄN</t>
        </is>
      </c>
      <c r="G3418" t="inlineStr">
        <is>
          <t>ALVESTA</t>
        </is>
      </c>
      <c r="I3418" t="n">
        <v>0.5</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24064-2026</t>
        </is>
      </c>
      <c r="B3419" t="inlineStr">
        <is>
          <t>avverkningsanmälan</t>
        </is>
      </c>
      <c r="C3419" t="inlineStr">
        <is>
          <t>Föryngringsavverkning</t>
        </is>
      </c>
      <c r="D3419" s="1" t="n">
        <v>46168</v>
      </c>
      <c r="E3419" s="1" t="n">
        <v>46316</v>
      </c>
      <c r="F3419" t="inlineStr">
        <is>
          <t>KRONOBERGS LÄN</t>
        </is>
      </c>
      <c r="G3419" t="inlineStr">
        <is>
          <t>TINGSRYD</t>
        </is>
      </c>
      <c r="I3419" t="n">
        <v>0.5</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35934-2024</t>
        </is>
      </c>
      <c r="B3420" t="inlineStr">
        <is>
          <t>avverkningsanmälan</t>
        </is>
      </c>
      <c r="C3420" t="inlineStr">
        <is>
          <t>Föryngringsavverkning</t>
        </is>
      </c>
      <c r="D3420" s="1" t="n">
        <v>45533</v>
      </c>
      <c r="E3420" s="1" t="n">
        <v>46316</v>
      </c>
      <c r="F3420" t="inlineStr">
        <is>
          <t>KRONOBERGS LÄN</t>
        </is>
      </c>
      <c r="G3420" t="inlineStr">
        <is>
          <t>VÄXJÖ</t>
        </is>
      </c>
      <c r="I3420" t="n">
        <v>5.6</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35963-2024</t>
        </is>
      </c>
      <c r="B3421" t="inlineStr">
        <is>
          <t>avverkningsanmälan</t>
        </is>
      </c>
      <c r="C3421" t="inlineStr">
        <is>
          <t>Avverkning för annat ändamål</t>
        </is>
      </c>
      <c r="D3421" s="1" t="n">
        <v>45533</v>
      </c>
      <c r="E3421" s="1" t="n">
        <v>46316</v>
      </c>
      <c r="F3421" t="inlineStr">
        <is>
          <t>KRONOBERGS LÄN</t>
        </is>
      </c>
      <c r="G3421" t="inlineStr">
        <is>
          <t>LJUNGBY</t>
        </is>
      </c>
      <c r="H3421" t="inlineStr">
        <is>
          <t>Kyrkan</t>
        </is>
      </c>
      <c r="I3421" t="n">
        <v>0.6</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24271-2026</t>
        </is>
      </c>
      <c r="B3422" t="inlineStr">
        <is>
          <t>avverkningsanmälan</t>
        </is>
      </c>
      <c r="C3422" t="inlineStr">
        <is>
          <t>Föryngringsavverkning</t>
        </is>
      </c>
      <c r="D3422" s="1" t="n">
        <v>46169</v>
      </c>
      <c r="E3422" s="1" t="n">
        <v>46316</v>
      </c>
      <c r="F3422" t="inlineStr">
        <is>
          <t>KRONOBERGS LÄN</t>
        </is>
      </c>
      <c r="G3422" t="inlineStr">
        <is>
          <t>LESSEBO</t>
        </is>
      </c>
      <c r="I3422" t="n">
        <v>1.9</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24272-2026</t>
        </is>
      </c>
      <c r="B3423" t="inlineStr">
        <is>
          <t>avverkningsanmälan</t>
        </is>
      </c>
      <c r="C3423" t="inlineStr">
        <is>
          <t>Föryngringsavverkning</t>
        </is>
      </c>
      <c r="D3423" s="1" t="n">
        <v>46169</v>
      </c>
      <c r="E3423" s="1" t="n">
        <v>46316</v>
      </c>
      <c r="F3423" t="inlineStr">
        <is>
          <t>KRONOBERGS LÄN</t>
        </is>
      </c>
      <c r="G3423" t="inlineStr">
        <is>
          <t>LESSEBO</t>
        </is>
      </c>
      <c r="I3423" t="n">
        <v>2.6</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64773-2023</t>
        </is>
      </c>
      <c r="B3424" t="inlineStr">
        <is>
          <t>avverkningsanmälan</t>
        </is>
      </c>
      <c r="C3424" t="inlineStr">
        <is>
          <t>Föryngringsavverkning</t>
        </is>
      </c>
      <c r="D3424" s="1" t="n">
        <v>45282</v>
      </c>
      <c r="E3424" s="1" t="n">
        <v>46316</v>
      </c>
      <c r="F3424" t="inlineStr">
        <is>
          <t>KRONOBERGS LÄN</t>
        </is>
      </c>
      <c r="G3424" t="inlineStr">
        <is>
          <t>ÄLMHULT</t>
        </is>
      </c>
      <c r="I3424" t="n">
        <v>1.9</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24057-2026</t>
        </is>
      </c>
      <c r="B3425" t="inlineStr">
        <is>
          <t>avverkningsanmälan</t>
        </is>
      </c>
      <c r="C3425" t="inlineStr">
        <is>
          <t>Föryngringsavverkning</t>
        </is>
      </c>
      <c r="D3425" s="1" t="n">
        <v>46168</v>
      </c>
      <c r="E3425" s="1" t="n">
        <v>46316</v>
      </c>
      <c r="F3425" t="inlineStr">
        <is>
          <t>KRONOBERGS LÄN</t>
        </is>
      </c>
      <c r="G3425" t="inlineStr">
        <is>
          <t>TINGSRYD</t>
        </is>
      </c>
      <c r="I3425" t="n">
        <v>3.2</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24061-2026</t>
        </is>
      </c>
      <c r="B3426" t="inlineStr">
        <is>
          <t>avverkningsanmälan</t>
        </is>
      </c>
      <c r="C3426" t="inlineStr">
        <is>
          <t>Föryngringsavverkning</t>
        </is>
      </c>
      <c r="D3426" s="1" t="n">
        <v>46168</v>
      </c>
      <c r="E3426" s="1" t="n">
        <v>46316</v>
      </c>
      <c r="F3426" t="inlineStr">
        <is>
          <t>KRONOBERGS LÄN</t>
        </is>
      </c>
      <c r="G3426" t="inlineStr">
        <is>
          <t>TINGSRYD</t>
        </is>
      </c>
      <c r="I3426" t="n">
        <v>1.5</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61632-2023</t>
        </is>
      </c>
      <c r="B3427" t="inlineStr">
        <is>
          <t>avverkningsanmälan</t>
        </is>
      </c>
      <c r="C3427" t="inlineStr">
        <is>
          <t>Föryngringsavverkning</t>
        </is>
      </c>
      <c r="D3427" s="1" t="n">
        <v>45265</v>
      </c>
      <c r="E3427" s="1" t="n">
        <v>46316</v>
      </c>
      <c r="F3427" t="inlineStr">
        <is>
          <t>KRONOBERGS LÄN</t>
        </is>
      </c>
      <c r="G3427" t="inlineStr">
        <is>
          <t>MARKARYD</t>
        </is>
      </c>
      <c r="I3427" t="n">
        <v>1.9</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24407-2026</t>
        </is>
      </c>
      <c r="B3428" t="inlineStr">
        <is>
          <t>avverkningsanmälan</t>
        </is>
      </c>
      <c r="C3428" t="inlineStr">
        <is>
          <t>Föryngringsavverkning</t>
        </is>
      </c>
      <c r="D3428" s="1" t="n">
        <v>46169</v>
      </c>
      <c r="E3428" s="1" t="n">
        <v>46316</v>
      </c>
      <c r="F3428" t="inlineStr">
        <is>
          <t>KRONOBERGS LÄN</t>
        </is>
      </c>
      <c r="G3428" t="inlineStr">
        <is>
          <t>UPPVIDINGE</t>
        </is>
      </c>
      <c r="I3428" t="n">
        <v>6</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32045-2024</t>
        </is>
      </c>
      <c r="B3429" t="inlineStr">
        <is>
          <t>avverkningsanmälan</t>
        </is>
      </c>
      <c r="C3429" t="inlineStr">
        <is>
          <t>Föryngringsavverkning</t>
        </is>
      </c>
      <c r="D3429" s="1" t="n">
        <v>45510</v>
      </c>
      <c r="E3429" s="1" t="n">
        <v>46316</v>
      </c>
      <c r="F3429" t="inlineStr">
        <is>
          <t>KRONOBERGS LÄN</t>
        </is>
      </c>
      <c r="G3429" t="inlineStr">
        <is>
          <t>LJUNGBY</t>
        </is>
      </c>
      <c r="I3429" t="n">
        <v>0.9</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24269-2026</t>
        </is>
      </c>
      <c r="B3430" t="inlineStr">
        <is>
          <t>avverkningsanmälan</t>
        </is>
      </c>
      <c r="C3430" t="inlineStr">
        <is>
          <t>Föryngringsavverkning</t>
        </is>
      </c>
      <c r="D3430" s="1" t="n">
        <v>46169</v>
      </c>
      <c r="E3430" s="1" t="n">
        <v>46316</v>
      </c>
      <c r="F3430" t="inlineStr">
        <is>
          <t>KRONOBERGS LÄN</t>
        </is>
      </c>
      <c r="G3430" t="inlineStr">
        <is>
          <t>LESSEBO</t>
        </is>
      </c>
      <c r="I3430" t="n">
        <v>3.7</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61398-2023</t>
        </is>
      </c>
      <c r="B3431" t="inlineStr">
        <is>
          <t>avverkningsanmälan</t>
        </is>
      </c>
      <c r="C3431" t="inlineStr">
        <is>
          <t>Föryngringsavverkning</t>
        </is>
      </c>
      <c r="D3431" s="1" t="n">
        <v>45264</v>
      </c>
      <c r="E3431" s="1" t="n">
        <v>46316</v>
      </c>
      <c r="F3431" t="inlineStr">
        <is>
          <t>KRONOBERGS LÄN</t>
        </is>
      </c>
      <c r="G3431" t="inlineStr">
        <is>
          <t>UPPVIDINGE</t>
        </is>
      </c>
      <c r="I3431" t="n">
        <v>2.8</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11352-2023</t>
        </is>
      </c>
      <c r="B3432" t="inlineStr">
        <is>
          <t>avverkningsanmälan</t>
        </is>
      </c>
      <c r="C3432" t="inlineStr">
        <is>
          <t>Föryngringsavverkning</t>
        </is>
      </c>
      <c r="D3432" s="1" t="n">
        <v>44993</v>
      </c>
      <c r="E3432" s="1" t="n">
        <v>46316</v>
      </c>
      <c r="F3432" t="inlineStr">
        <is>
          <t>KRONOBERGS LÄN</t>
        </is>
      </c>
      <c r="G3432" t="inlineStr">
        <is>
          <t>TINGSRYD</t>
        </is>
      </c>
      <c r="I3432" t="n">
        <v>1.2</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41810-2024</t>
        </is>
      </c>
      <c r="B3433" t="inlineStr">
        <is>
          <t>avverkningsanmälan</t>
        </is>
      </c>
      <c r="C3433" t="inlineStr">
        <is>
          <t>Föryngringsavverkning</t>
        </is>
      </c>
      <c r="D3433" s="1" t="n">
        <v>45561</v>
      </c>
      <c r="E3433" s="1" t="n">
        <v>46316</v>
      </c>
      <c r="F3433" t="inlineStr">
        <is>
          <t>KRONOBERGS LÄN</t>
        </is>
      </c>
      <c r="G3433" t="inlineStr">
        <is>
          <t>UPPVIDINGE</t>
        </is>
      </c>
      <c r="I3433" t="n">
        <v>1.8</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24101-2026</t>
        </is>
      </c>
      <c r="B3434" t="inlineStr">
        <is>
          <t>avverkningsanmälan</t>
        </is>
      </c>
      <c r="C3434" t="inlineStr">
        <is>
          <t>Föryngringsavverkning</t>
        </is>
      </c>
      <c r="D3434" s="1" t="n">
        <v>46168</v>
      </c>
      <c r="E3434" s="1" t="n">
        <v>46316</v>
      </c>
      <c r="F3434" t="inlineStr">
        <is>
          <t>KRONOBERGS LÄN</t>
        </is>
      </c>
      <c r="G3434" t="inlineStr">
        <is>
          <t>VÄXJÖ</t>
        </is>
      </c>
      <c r="I3434" t="n">
        <v>1.4</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51512-2024</t>
        </is>
      </c>
      <c r="B3435" t="inlineStr">
        <is>
          <t>avverkningsanmälan</t>
        </is>
      </c>
      <c r="C3435" t="inlineStr">
        <is>
          <t>Föryngringsavverkning</t>
        </is>
      </c>
      <c r="D3435" s="1" t="n">
        <v>45604</v>
      </c>
      <c r="E3435" s="1" t="n">
        <v>46316</v>
      </c>
      <c r="F3435" t="inlineStr">
        <is>
          <t>KRONOBERGS LÄN</t>
        </is>
      </c>
      <c r="G3435" t="inlineStr">
        <is>
          <t>UPPVIDINGE</t>
        </is>
      </c>
      <c r="H3435" t="inlineStr">
        <is>
          <t>Sveaskog</t>
        </is>
      </c>
      <c r="I3435" t="n">
        <v>1.6</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51518-2024</t>
        </is>
      </c>
      <c r="B3436" t="inlineStr">
        <is>
          <t>avverkningsanmälan</t>
        </is>
      </c>
      <c r="C3436" t="inlineStr">
        <is>
          <t>Föryngringsavverkning</t>
        </is>
      </c>
      <c r="D3436" s="1" t="n">
        <v>45604</v>
      </c>
      <c r="E3436" s="1" t="n">
        <v>46316</v>
      </c>
      <c r="F3436" t="inlineStr">
        <is>
          <t>KRONOBERGS LÄN</t>
        </is>
      </c>
      <c r="G3436" t="inlineStr">
        <is>
          <t>UPPVIDINGE</t>
        </is>
      </c>
      <c r="H3436" t="inlineStr">
        <is>
          <t>Sveaskog</t>
        </is>
      </c>
      <c r="I3436" t="n">
        <v>1.4</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48159-2025</t>
        </is>
      </c>
      <c r="B3437" t="inlineStr">
        <is>
          <t>avverkningsanmälan</t>
        </is>
      </c>
      <c r="C3437" t="inlineStr">
        <is>
          <t>Föryngringsavverkning</t>
        </is>
      </c>
      <c r="D3437" s="1" t="n">
        <v>45933</v>
      </c>
      <c r="E3437" s="1" t="n">
        <v>46316</v>
      </c>
      <c r="F3437" t="inlineStr">
        <is>
          <t>KRONOBERGS LÄN</t>
        </is>
      </c>
      <c r="G3437" t="inlineStr">
        <is>
          <t>VÄXJÖ</t>
        </is>
      </c>
      <c r="I3437" t="n">
        <v>1.5</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13400-2025</t>
        </is>
      </c>
      <c r="B3438" t="inlineStr">
        <is>
          <t>avverkningsanmälan</t>
        </is>
      </c>
      <c r="C3438" t="inlineStr">
        <is>
          <t>Föryngringsavverkning</t>
        </is>
      </c>
      <c r="D3438" s="1" t="n">
        <v>45735</v>
      </c>
      <c r="E3438" s="1" t="n">
        <v>46316</v>
      </c>
      <c r="F3438" t="inlineStr">
        <is>
          <t>KRONOBERGS LÄN</t>
        </is>
      </c>
      <c r="G3438" t="inlineStr">
        <is>
          <t>TINGSRYD</t>
        </is>
      </c>
      <c r="I3438" t="n">
        <v>0.2</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13401-2025</t>
        </is>
      </c>
      <c r="B3439" t="inlineStr">
        <is>
          <t>avverkningsanmälan</t>
        </is>
      </c>
      <c r="C3439" t="inlineStr">
        <is>
          <t>Föryngringsavverkning</t>
        </is>
      </c>
      <c r="D3439" s="1" t="n">
        <v>45735</v>
      </c>
      <c r="E3439" s="1" t="n">
        <v>46316</v>
      </c>
      <c r="F3439" t="inlineStr">
        <is>
          <t>KRONOBERGS LÄN</t>
        </is>
      </c>
      <c r="G3439" t="inlineStr">
        <is>
          <t>TINGSRYD</t>
        </is>
      </c>
      <c r="I3439" t="n">
        <v>0.1</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17552-2023</t>
        </is>
      </c>
      <c r="B3440" t="inlineStr">
        <is>
          <t>avverkningsanmälan</t>
        </is>
      </c>
      <c r="C3440" t="inlineStr">
        <is>
          <t>Föryngringsavverkning</t>
        </is>
      </c>
      <c r="D3440" s="1" t="n">
        <v>45036</v>
      </c>
      <c r="E3440" s="1" t="n">
        <v>46316</v>
      </c>
      <c r="F3440" t="inlineStr">
        <is>
          <t>KRONOBERGS LÄN</t>
        </is>
      </c>
      <c r="G3440" t="inlineStr">
        <is>
          <t>LESSEBO</t>
        </is>
      </c>
      <c r="I3440" t="n">
        <v>1.3</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35543-2023</t>
        </is>
      </c>
      <c r="B3441" t="inlineStr">
        <is>
          <t>avverkningsanmälan</t>
        </is>
      </c>
      <c r="C3441" t="inlineStr">
        <is>
          <t>Föryngringsavverkning</t>
        </is>
      </c>
      <c r="D3441" s="1" t="n">
        <v>45147</v>
      </c>
      <c r="E3441" s="1" t="n">
        <v>46316</v>
      </c>
      <c r="F3441" t="inlineStr">
        <is>
          <t>KRONOBERGS LÄN</t>
        </is>
      </c>
      <c r="G3441" t="inlineStr">
        <is>
          <t>VÄXJÖ</t>
        </is>
      </c>
      <c r="I3441" t="n">
        <v>1.1</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24191-2026</t>
        </is>
      </c>
      <c r="B3442" t="inlineStr">
        <is>
          <t>avverkningsanmälan</t>
        </is>
      </c>
      <c r="C3442" t="inlineStr">
        <is>
          <t>Föryngringsavverkning</t>
        </is>
      </c>
      <c r="D3442" s="1" t="n">
        <v>46168</v>
      </c>
      <c r="E3442" s="1" t="n">
        <v>46316</v>
      </c>
      <c r="F3442" t="inlineStr">
        <is>
          <t>KRONOBERGS LÄN</t>
        </is>
      </c>
      <c r="G3442" t="inlineStr">
        <is>
          <t>MARKARYD</t>
        </is>
      </c>
      <c r="I3442" t="n">
        <v>0.7</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24420-2026</t>
        </is>
      </c>
      <c r="B3443" t="inlineStr">
        <is>
          <t>avverkningsanmälan</t>
        </is>
      </c>
      <c r="C3443" t="inlineStr">
        <is>
          <t>Avverkning för annat ändamål</t>
        </is>
      </c>
      <c r="D3443" s="1" t="n">
        <v>46169</v>
      </c>
      <c r="E3443" s="1" t="n">
        <v>46316</v>
      </c>
      <c r="F3443" t="inlineStr">
        <is>
          <t>KRONOBERGS LÄN</t>
        </is>
      </c>
      <c r="G3443" t="inlineStr">
        <is>
          <t>ALVESTA</t>
        </is>
      </c>
      <c r="I3443" t="n">
        <v>0.5</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65092-2023</t>
        </is>
      </c>
      <c r="B3444" t="inlineStr">
        <is>
          <t>avverkningsanmälan</t>
        </is>
      </c>
      <c r="C3444" t="inlineStr">
        <is>
          <t>Föryngringsavverkning</t>
        </is>
      </c>
      <c r="D3444" s="1" t="n">
        <v>45288</v>
      </c>
      <c r="E3444" s="1" t="n">
        <v>46316</v>
      </c>
      <c r="F3444" t="inlineStr">
        <is>
          <t>KRONOBERGS LÄN</t>
        </is>
      </c>
      <c r="G3444" t="inlineStr">
        <is>
          <t>ALVESTA</t>
        </is>
      </c>
      <c r="I3444" t="n">
        <v>0.8</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15481-2026</t>
        </is>
      </c>
      <c r="B3445" t="inlineStr">
        <is>
          <t>avverkningsanmälan</t>
        </is>
      </c>
      <c r="C3445" t="inlineStr">
        <is>
          <t>Föryngringsavverkning</t>
        </is>
      </c>
      <c r="D3445" s="1" t="n">
        <v>46106</v>
      </c>
      <c r="E3445" s="1" t="n">
        <v>46316</v>
      </c>
      <c r="F3445" t="inlineStr">
        <is>
          <t>KRONOBERGS LÄN</t>
        </is>
      </c>
      <c r="G3445" t="inlineStr">
        <is>
          <t>UPPVIDINGE</t>
        </is>
      </c>
      <c r="H3445" t="inlineStr">
        <is>
          <t>Sveaskog</t>
        </is>
      </c>
      <c r="I3445" t="n">
        <v>1</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24444-2026</t>
        </is>
      </c>
      <c r="B3446" t="inlineStr">
        <is>
          <t>avverkningsanmälan</t>
        </is>
      </c>
      <c r="C3446" t="inlineStr">
        <is>
          <t>Föryngringsavverkning</t>
        </is>
      </c>
      <c r="D3446" s="1" t="n">
        <v>46170</v>
      </c>
      <c r="E3446" s="1" t="n">
        <v>46316</v>
      </c>
      <c r="F3446" t="inlineStr">
        <is>
          <t>KRONOBERGS LÄN</t>
        </is>
      </c>
      <c r="G3446" t="inlineStr">
        <is>
          <t>ALVESTA</t>
        </is>
      </c>
      <c r="I3446" t="n">
        <v>0.6</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24446-2026</t>
        </is>
      </c>
      <c r="B3447" t="inlineStr">
        <is>
          <t>avverkningsanmälan</t>
        </is>
      </c>
      <c r="C3447" t="inlineStr">
        <is>
          <t>Föryngringsavverkning</t>
        </is>
      </c>
      <c r="D3447" s="1" t="n">
        <v>46170</v>
      </c>
      <c r="E3447" s="1" t="n">
        <v>46316</v>
      </c>
      <c r="F3447" t="inlineStr">
        <is>
          <t>KRONOBERGS LÄN</t>
        </is>
      </c>
      <c r="G3447" t="inlineStr">
        <is>
          <t>ALVESTA</t>
        </is>
      </c>
      <c r="I3447" t="n">
        <v>0.7</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43466-2024</t>
        </is>
      </c>
      <c r="B3448" t="inlineStr">
        <is>
          <t>avverkningsanmälan</t>
        </is>
      </c>
      <c r="C3448" t="inlineStr">
        <is>
          <t>Föryngringsavverkning</t>
        </is>
      </c>
      <c r="D3448" s="1" t="n">
        <v>45568</v>
      </c>
      <c r="E3448" s="1" t="n">
        <v>46316</v>
      </c>
      <c r="F3448" t="inlineStr">
        <is>
          <t>KRONOBERGS LÄN</t>
        </is>
      </c>
      <c r="G3448" t="inlineStr">
        <is>
          <t>TINGSRYD</t>
        </is>
      </c>
      <c r="I3448" t="n">
        <v>4.5</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15072-2026</t>
        </is>
      </c>
      <c r="B3449" t="inlineStr">
        <is>
          <t>avverkningsanmälan</t>
        </is>
      </c>
      <c r="C3449" t="inlineStr">
        <is>
          <t>Föryngringsavverkning</t>
        </is>
      </c>
      <c r="D3449" s="1" t="n">
        <v>46104</v>
      </c>
      <c r="E3449" s="1" t="n">
        <v>46316</v>
      </c>
      <c r="F3449" t="inlineStr">
        <is>
          <t>KRONOBERGS LÄN</t>
        </is>
      </c>
      <c r="G3449" t="inlineStr">
        <is>
          <t>LJUNGBY</t>
        </is>
      </c>
      <c r="I3449" t="n">
        <v>0.5</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24443-2026</t>
        </is>
      </c>
      <c r="B3450" t="inlineStr">
        <is>
          <t>avverkningsanmälan</t>
        </is>
      </c>
      <c r="C3450" t="inlineStr">
        <is>
          <t>Föryngringsavverkning</t>
        </is>
      </c>
      <c r="D3450" s="1" t="n">
        <v>46170</v>
      </c>
      <c r="E3450" s="1" t="n">
        <v>46316</v>
      </c>
      <c r="F3450" t="inlineStr">
        <is>
          <t>KRONOBERGS LÄN</t>
        </is>
      </c>
      <c r="G3450" t="inlineStr">
        <is>
          <t>ALVESTA</t>
        </is>
      </c>
      <c r="I3450" t="n">
        <v>0.8</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19034-2025</t>
        </is>
      </c>
      <c r="B3451" t="inlineStr">
        <is>
          <t>avverkningsanmälan</t>
        </is>
      </c>
      <c r="C3451" t="inlineStr">
        <is>
          <t>Föryngringsavverkning</t>
        </is>
      </c>
      <c r="D3451" s="1" t="n">
        <v>45764</v>
      </c>
      <c r="E3451" s="1" t="n">
        <v>46316</v>
      </c>
      <c r="F3451" t="inlineStr">
        <is>
          <t>KRONOBERGS LÄN</t>
        </is>
      </c>
      <c r="G3451" t="inlineStr">
        <is>
          <t>UPPVIDINGE</t>
        </is>
      </c>
      <c r="I3451" t="n">
        <v>0.6</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24473-2026</t>
        </is>
      </c>
      <c r="B3452" t="inlineStr">
        <is>
          <t>avverkningsanmälan</t>
        </is>
      </c>
      <c r="C3452" t="inlineStr">
        <is>
          <t>Föryngringsavverkning</t>
        </is>
      </c>
      <c r="D3452" s="1" t="n">
        <v>46170</v>
      </c>
      <c r="E3452" s="1" t="n">
        <v>46316</v>
      </c>
      <c r="F3452" t="inlineStr">
        <is>
          <t>KRONOBERGS LÄN</t>
        </is>
      </c>
      <c r="G3452" t="inlineStr">
        <is>
          <t>LJUNGBY</t>
        </is>
      </c>
      <c r="I3452" t="n">
        <v>2.6</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4357-2024</t>
        </is>
      </c>
      <c r="B3453" t="inlineStr">
        <is>
          <t>avverkningsanmälan</t>
        </is>
      </c>
      <c r="C3453" t="inlineStr">
        <is>
          <t>Föryngringsavverkning</t>
        </is>
      </c>
      <c r="D3453" s="1" t="n">
        <v>45325</v>
      </c>
      <c r="E3453" s="1" t="n">
        <v>46316</v>
      </c>
      <c r="F3453" t="inlineStr">
        <is>
          <t>KRONOBERGS LÄN</t>
        </is>
      </c>
      <c r="G3453" t="inlineStr">
        <is>
          <t>TINGSRYD</t>
        </is>
      </c>
      <c r="I3453" t="n">
        <v>2.4</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24458-2026</t>
        </is>
      </c>
      <c r="B3454" t="inlineStr">
        <is>
          <t>avverkningsanmälan</t>
        </is>
      </c>
      <c r="C3454" t="inlineStr">
        <is>
          <t>Föryngringsavverkning</t>
        </is>
      </c>
      <c r="D3454" s="1" t="n">
        <v>46170</v>
      </c>
      <c r="E3454" s="1" t="n">
        <v>46316</v>
      </c>
      <c r="F3454" t="inlineStr">
        <is>
          <t>KRONOBERGS LÄN</t>
        </is>
      </c>
      <c r="G3454" t="inlineStr">
        <is>
          <t>LJUNGBY</t>
        </is>
      </c>
      <c r="I3454" t="n">
        <v>1</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24459-2026</t>
        </is>
      </c>
      <c r="B3455" t="inlineStr">
        <is>
          <t>avverkningsanmälan</t>
        </is>
      </c>
      <c r="C3455" t="inlineStr">
        <is>
          <t>Föryngringsavverkning</t>
        </is>
      </c>
      <c r="D3455" s="1" t="n">
        <v>46170</v>
      </c>
      <c r="E3455" s="1" t="n">
        <v>46316</v>
      </c>
      <c r="F3455" t="inlineStr">
        <is>
          <t>KRONOBERGS LÄN</t>
        </is>
      </c>
      <c r="G3455" t="inlineStr">
        <is>
          <t>LJUNGBY</t>
        </is>
      </c>
      <c r="I3455" t="n">
        <v>0.4</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14347-2026</t>
        </is>
      </c>
      <c r="B3456" t="inlineStr">
        <is>
          <t>avverkningsanmälan</t>
        </is>
      </c>
      <c r="C3456" t="inlineStr">
        <is>
          <t>Föryngringsavverkning</t>
        </is>
      </c>
      <c r="D3456" s="1" t="n">
        <v>46100</v>
      </c>
      <c r="E3456" s="1" t="n">
        <v>46316</v>
      </c>
      <c r="F3456" t="inlineStr">
        <is>
          <t>KRONOBERGS LÄN</t>
        </is>
      </c>
      <c r="G3456" t="inlineStr">
        <is>
          <t>VÄXJÖ</t>
        </is>
      </c>
      <c r="I3456" t="n">
        <v>1.6</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47775-2023</t>
        </is>
      </c>
      <c r="B3457" t="inlineStr">
        <is>
          <t>avverkningsanmälan</t>
        </is>
      </c>
      <c r="C3457" t="inlineStr">
        <is>
          <t>Föryngringsavverkning</t>
        </is>
      </c>
      <c r="D3457" s="1" t="n">
        <v>45203</v>
      </c>
      <c r="E3457" s="1" t="n">
        <v>46316</v>
      </c>
      <c r="F3457" t="inlineStr">
        <is>
          <t>KRONOBERGS LÄN</t>
        </is>
      </c>
      <c r="G3457" t="inlineStr">
        <is>
          <t>MARKARYD</t>
        </is>
      </c>
      <c r="I3457" t="n">
        <v>0.5</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47885-2023</t>
        </is>
      </c>
      <c r="B3458" t="inlineStr">
        <is>
          <t>avverkningsanmälan</t>
        </is>
      </c>
      <c r="C3458" t="inlineStr">
        <is>
          <t>Föryngringsavverkning</t>
        </is>
      </c>
      <c r="D3458" s="1" t="n">
        <v>45198</v>
      </c>
      <c r="E3458" s="1" t="n">
        <v>46316</v>
      </c>
      <c r="F3458" t="inlineStr">
        <is>
          <t>KRONOBERGS LÄN</t>
        </is>
      </c>
      <c r="G3458" t="inlineStr">
        <is>
          <t>ALVESTA</t>
        </is>
      </c>
      <c r="I3458" t="n">
        <v>2.2</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24515-2026</t>
        </is>
      </c>
      <c r="B3459" t="inlineStr">
        <is>
          <t>avverkningsanmälan</t>
        </is>
      </c>
      <c r="C3459" t="inlineStr">
        <is>
          <t>Föryngringsavverkning</t>
        </is>
      </c>
      <c r="D3459" s="1" t="n">
        <v>46170</v>
      </c>
      <c r="E3459" s="1" t="n">
        <v>46316</v>
      </c>
      <c r="F3459" t="inlineStr">
        <is>
          <t>KRONOBERGS LÄN</t>
        </is>
      </c>
      <c r="G3459" t="inlineStr">
        <is>
          <t>VÄXJÖ</t>
        </is>
      </c>
      <c r="I3459" t="n">
        <v>1.1</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63116-2023</t>
        </is>
      </c>
      <c r="B3460" t="inlineStr">
        <is>
          <t>avverkningsanmälan</t>
        </is>
      </c>
      <c r="C3460" t="inlineStr">
        <is>
          <t>Föryngringsavverkning</t>
        </is>
      </c>
      <c r="D3460" s="1" t="n">
        <v>45273</v>
      </c>
      <c r="E3460" s="1" t="n">
        <v>46316</v>
      </c>
      <c r="F3460" t="inlineStr">
        <is>
          <t>KRONOBERGS LÄN</t>
        </is>
      </c>
      <c r="G3460" t="inlineStr">
        <is>
          <t>ÄLMHULT</t>
        </is>
      </c>
      <c r="I3460" t="n">
        <v>1.1</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63118-2023</t>
        </is>
      </c>
      <c r="B3461" t="inlineStr">
        <is>
          <t>avverkningsanmälan</t>
        </is>
      </c>
      <c r="C3461" t="inlineStr">
        <is>
          <t>Föryngringsavverkning</t>
        </is>
      </c>
      <c r="D3461" s="1" t="n">
        <v>45273</v>
      </c>
      <c r="E3461" s="1" t="n">
        <v>46316</v>
      </c>
      <c r="F3461" t="inlineStr">
        <is>
          <t>KRONOBERGS LÄN</t>
        </is>
      </c>
      <c r="G3461" t="inlineStr">
        <is>
          <t>ÄLMHULT</t>
        </is>
      </c>
      <c r="I3461" t="n">
        <v>0.5</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25001-2026</t>
        </is>
      </c>
      <c r="B3462" t="inlineStr">
        <is>
          <t>avverkningsanmälan</t>
        </is>
      </c>
      <c r="C3462" t="inlineStr">
        <is>
          <t>Föryngringsavverkning</t>
        </is>
      </c>
      <c r="D3462" s="1" t="n">
        <v>46174</v>
      </c>
      <c r="E3462" s="1" t="n">
        <v>46316</v>
      </c>
      <c r="F3462" t="inlineStr">
        <is>
          <t>KRONOBERGS LÄN</t>
        </is>
      </c>
      <c r="G3462" t="inlineStr">
        <is>
          <t>UPPVIDINGE</t>
        </is>
      </c>
      <c r="H3462" t="inlineStr">
        <is>
          <t>Sveaskog</t>
        </is>
      </c>
      <c r="I3462" t="n">
        <v>1.2</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13978-2024</t>
        </is>
      </c>
      <c r="B3463" t="inlineStr">
        <is>
          <t>avverkningsanmälan</t>
        </is>
      </c>
      <c r="C3463" t="inlineStr">
        <is>
          <t>Föryngringsavverkning</t>
        </is>
      </c>
      <c r="D3463" s="1" t="n">
        <v>45392</v>
      </c>
      <c r="E3463" s="1" t="n">
        <v>46316</v>
      </c>
      <c r="F3463" t="inlineStr">
        <is>
          <t>KRONOBERGS LÄN</t>
        </is>
      </c>
      <c r="G3463" t="inlineStr">
        <is>
          <t>VÄXJÖ</t>
        </is>
      </c>
      <c r="H3463" t="inlineStr">
        <is>
          <t>Sveaskog</t>
        </is>
      </c>
      <c r="I3463" t="n">
        <v>0.7</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24607-2026</t>
        </is>
      </c>
      <c r="B3464" t="inlineStr">
        <is>
          <t>avverkningsanmälan</t>
        </is>
      </c>
      <c r="C3464" t="inlineStr">
        <is>
          <t>Avverkning för att bevara och utveckla /försöksver</t>
        </is>
      </c>
      <c r="D3464" s="1" t="n">
        <v>46171</v>
      </c>
      <c r="E3464" s="1" t="n">
        <v>46316</v>
      </c>
      <c r="F3464" t="inlineStr">
        <is>
          <t>KRONOBERGS LÄN</t>
        </is>
      </c>
      <c r="G3464" t="inlineStr">
        <is>
          <t>VÄXJÖ</t>
        </is>
      </c>
      <c r="I3464" t="n">
        <v>1.6</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50438-2023</t>
        </is>
      </c>
      <c r="B3465" t="inlineStr">
        <is>
          <t>avverkningsanmälan</t>
        </is>
      </c>
      <c r="C3465" t="inlineStr">
        <is>
          <t>Föryngringsavverkning</t>
        </is>
      </c>
      <c r="D3465" s="1" t="n">
        <v>45216</v>
      </c>
      <c r="E3465" s="1" t="n">
        <v>46316</v>
      </c>
      <c r="F3465" t="inlineStr">
        <is>
          <t>KRONOBERGS LÄN</t>
        </is>
      </c>
      <c r="G3465" t="inlineStr">
        <is>
          <t>VÄXJÖ</t>
        </is>
      </c>
      <c r="I3465" t="n">
        <v>1</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14126-2024</t>
        </is>
      </c>
      <c r="B3466" t="inlineStr">
        <is>
          <t>avverkningsanmälan</t>
        </is>
      </c>
      <c r="C3466" t="inlineStr">
        <is>
          <t>Föryngringsavverkning</t>
        </is>
      </c>
      <c r="D3466" s="1" t="n">
        <v>45392</v>
      </c>
      <c r="E3466" s="1" t="n">
        <v>46316</v>
      </c>
      <c r="F3466" t="inlineStr">
        <is>
          <t>KRONOBERGS LÄN</t>
        </is>
      </c>
      <c r="G3466" t="inlineStr">
        <is>
          <t>VÄXJÖ</t>
        </is>
      </c>
      <c r="I3466" t="n">
        <v>0.8</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608-2023</t>
        </is>
      </c>
      <c r="B3467" t="inlineStr">
        <is>
          <t>avverkningsanmälan</t>
        </is>
      </c>
      <c r="C3467" t="inlineStr">
        <is>
          <t>Föryngringsavverkning</t>
        </is>
      </c>
      <c r="D3467" s="1" t="n">
        <v>44930</v>
      </c>
      <c r="E3467" s="1" t="n">
        <v>46316</v>
      </c>
      <c r="F3467" t="inlineStr">
        <is>
          <t>KRONOBERGS LÄN</t>
        </is>
      </c>
      <c r="G3467" t="inlineStr">
        <is>
          <t>TINGSRYD</t>
        </is>
      </c>
      <c r="I3467" t="n">
        <v>0.9</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38899-2024</t>
        </is>
      </c>
      <c r="B3468" t="inlineStr">
        <is>
          <t>avverkningsanmälan</t>
        </is>
      </c>
      <c r="C3468" t="inlineStr">
        <is>
          <t>Föryngringsavverkning</t>
        </is>
      </c>
      <c r="D3468" s="1" t="n">
        <v>45547</v>
      </c>
      <c r="E3468" s="1" t="n">
        <v>46316</v>
      </c>
      <c r="F3468" t="inlineStr">
        <is>
          <t>KRONOBERGS LÄN</t>
        </is>
      </c>
      <c r="G3468" t="inlineStr">
        <is>
          <t>ALVESTA</t>
        </is>
      </c>
      <c r="I3468" t="n">
        <v>1.2</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20111-2024</t>
        </is>
      </c>
      <c r="B3469" t="inlineStr">
        <is>
          <t>avverkningsanmälan</t>
        </is>
      </c>
      <c r="C3469" t="inlineStr">
        <is>
          <t>Föryngringsavverkning</t>
        </is>
      </c>
      <c r="D3469" s="1" t="n">
        <v>45434</v>
      </c>
      <c r="E3469" s="1" t="n">
        <v>46316</v>
      </c>
      <c r="F3469" t="inlineStr">
        <is>
          <t>KRONOBERGS LÄN</t>
        </is>
      </c>
      <c r="G3469" t="inlineStr">
        <is>
          <t>TINGSRYD</t>
        </is>
      </c>
      <c r="I3469" t="n">
        <v>1</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25009-2026</t>
        </is>
      </c>
      <c r="B3470" t="inlineStr">
        <is>
          <t>avverkningsanmälan</t>
        </is>
      </c>
      <c r="C3470" t="inlineStr">
        <is>
          <t>Föryngringsavverkning</t>
        </is>
      </c>
      <c r="D3470" s="1" t="n">
        <v>46174</v>
      </c>
      <c r="E3470" s="1" t="n">
        <v>46316</v>
      </c>
      <c r="F3470" t="inlineStr">
        <is>
          <t>KRONOBERGS LÄN</t>
        </is>
      </c>
      <c r="G3470" t="inlineStr">
        <is>
          <t>UPPVIDINGE</t>
        </is>
      </c>
      <c r="H3470" t="inlineStr">
        <is>
          <t>Sveaskog</t>
        </is>
      </c>
      <c r="I3470" t="n">
        <v>3</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15526-2025</t>
        </is>
      </c>
      <c r="B3471" t="inlineStr">
        <is>
          <t>avverkningsanmälan</t>
        </is>
      </c>
      <c r="C3471" t="inlineStr">
        <is>
          <t>Avverkning för annat ändamål</t>
        </is>
      </c>
      <c r="D3471" s="1" t="n">
        <v>45747</v>
      </c>
      <c r="E3471" s="1" t="n">
        <v>46316</v>
      </c>
      <c r="F3471" t="inlineStr">
        <is>
          <t>KRONOBERGS LÄN</t>
        </is>
      </c>
      <c r="G3471" t="inlineStr">
        <is>
          <t>UPPVIDINGE</t>
        </is>
      </c>
      <c r="I3471" t="n">
        <v>0.5</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24707-2026</t>
        </is>
      </c>
      <c r="B3472" t="inlineStr">
        <is>
          <t>avverkningsanmälan</t>
        </is>
      </c>
      <c r="C3472" t="inlineStr">
        <is>
          <t>Föryngringsavverkning</t>
        </is>
      </c>
      <c r="D3472" s="1" t="n">
        <v>46171</v>
      </c>
      <c r="E3472" s="1" t="n">
        <v>46316</v>
      </c>
      <c r="F3472" t="inlineStr">
        <is>
          <t>KRONOBERGS LÄN</t>
        </is>
      </c>
      <c r="G3472" t="inlineStr">
        <is>
          <t>TINGSRYD</t>
        </is>
      </c>
      <c r="H3472" t="inlineStr">
        <is>
          <t>Övriga Aktiebolag</t>
        </is>
      </c>
      <c r="I3472" t="n">
        <v>1.9</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28565-2023</t>
        </is>
      </c>
      <c r="B3473" t="inlineStr">
        <is>
          <t>avverkningsanmälan</t>
        </is>
      </c>
      <c r="C3473" t="inlineStr">
        <is>
          <t>Föryngringsavverkning</t>
        </is>
      </c>
      <c r="D3473" s="1" t="n">
        <v>45103</v>
      </c>
      <c r="E3473" s="1" t="n">
        <v>46316</v>
      </c>
      <c r="F3473" t="inlineStr">
        <is>
          <t>KRONOBERGS LÄN</t>
        </is>
      </c>
      <c r="G3473" t="inlineStr">
        <is>
          <t>VÄXJÖ</t>
        </is>
      </c>
      <c r="I3473" t="n">
        <v>1.6</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28567-2023</t>
        </is>
      </c>
      <c r="B3474" t="inlineStr">
        <is>
          <t>avverkningsanmälan</t>
        </is>
      </c>
      <c r="C3474" t="inlineStr">
        <is>
          <t>Föryngringsavverkning</t>
        </is>
      </c>
      <c r="D3474" s="1" t="n">
        <v>45103</v>
      </c>
      <c r="E3474" s="1" t="n">
        <v>46316</v>
      </c>
      <c r="F3474" t="inlineStr">
        <is>
          <t>KRONOBERGS LÄN</t>
        </is>
      </c>
      <c r="G3474" t="inlineStr">
        <is>
          <t>VÄXJÖ</t>
        </is>
      </c>
      <c r="I3474" t="n">
        <v>1.6</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28576-2023</t>
        </is>
      </c>
      <c r="B3475" t="inlineStr">
        <is>
          <t>avverkningsanmälan</t>
        </is>
      </c>
      <c r="C3475" t="inlineStr">
        <is>
          <t>Föryngringsavverkning</t>
        </is>
      </c>
      <c r="D3475" s="1" t="n">
        <v>45103</v>
      </c>
      <c r="E3475" s="1" t="n">
        <v>46316</v>
      </c>
      <c r="F3475" t="inlineStr">
        <is>
          <t>KRONOBERGS LÄN</t>
        </is>
      </c>
      <c r="G3475" t="inlineStr">
        <is>
          <t>VÄXJÖ</t>
        </is>
      </c>
      <c r="I3475" t="n">
        <v>0.2</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25041-2026</t>
        </is>
      </c>
      <c r="B3476" t="inlineStr">
        <is>
          <t>avverkningsanmälan</t>
        </is>
      </c>
      <c r="C3476" t="inlineStr">
        <is>
          <t>Föryngringsavverkning</t>
        </is>
      </c>
      <c r="D3476" s="1" t="n">
        <v>46174</v>
      </c>
      <c r="E3476" s="1" t="n">
        <v>46316</v>
      </c>
      <c r="F3476" t="inlineStr">
        <is>
          <t>KRONOBERGS LÄN</t>
        </is>
      </c>
      <c r="G3476" t="inlineStr">
        <is>
          <t>LJUNGBY</t>
        </is>
      </c>
      <c r="I3476" t="n">
        <v>2</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25048-2026</t>
        </is>
      </c>
      <c r="B3477" t="inlineStr">
        <is>
          <t>avverkningsanmälan</t>
        </is>
      </c>
      <c r="C3477" t="inlineStr">
        <is>
          <t>Avverkning för annat ändamål</t>
        </is>
      </c>
      <c r="D3477" s="1" t="n">
        <v>46174</v>
      </c>
      <c r="E3477" s="1" t="n">
        <v>46316</v>
      </c>
      <c r="F3477" t="inlineStr">
        <is>
          <t>KRONOBERGS LÄN</t>
        </is>
      </c>
      <c r="G3477" t="inlineStr">
        <is>
          <t>LJUNGBY</t>
        </is>
      </c>
      <c r="I3477" t="n">
        <v>2.2</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25013-2026</t>
        </is>
      </c>
      <c r="B3478" t="inlineStr">
        <is>
          <t>avverkningsanmälan</t>
        </is>
      </c>
      <c r="C3478" t="inlineStr">
        <is>
          <t>Föryngringsavverkning</t>
        </is>
      </c>
      <c r="D3478" s="1" t="n">
        <v>46174</v>
      </c>
      <c r="E3478" s="1" t="n">
        <v>46316</v>
      </c>
      <c r="F3478" t="inlineStr">
        <is>
          <t>KRONOBERGS LÄN</t>
        </is>
      </c>
      <c r="G3478" t="inlineStr">
        <is>
          <t>UPPVIDINGE</t>
        </is>
      </c>
      <c r="H3478" t="inlineStr">
        <is>
          <t>Sveaskog</t>
        </is>
      </c>
      <c r="I3478" t="n">
        <v>2.7</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25014-2026</t>
        </is>
      </c>
      <c r="B3479" t="inlineStr">
        <is>
          <t>avverkningsanmälan</t>
        </is>
      </c>
      <c r="C3479" t="inlineStr">
        <is>
          <t>Föryngringsavverkning</t>
        </is>
      </c>
      <c r="D3479" s="1" t="n">
        <v>46174</v>
      </c>
      <c r="E3479" s="1" t="n">
        <v>46316</v>
      </c>
      <c r="F3479" t="inlineStr">
        <is>
          <t>KRONOBERGS LÄN</t>
        </is>
      </c>
      <c r="G3479" t="inlineStr">
        <is>
          <t>UPPVIDINGE</t>
        </is>
      </c>
      <c r="H3479" t="inlineStr">
        <is>
          <t>Sveaskog</t>
        </is>
      </c>
      <c r="I3479" t="n">
        <v>3.1</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25609-2026</t>
        </is>
      </c>
      <c r="B3480" t="inlineStr">
        <is>
          <t>avverkningsanmälan</t>
        </is>
      </c>
      <c r="C3480" t="inlineStr">
        <is>
          <t>Föryngringsavverkning</t>
        </is>
      </c>
      <c r="D3480" s="1" t="n">
        <v>46175</v>
      </c>
      <c r="E3480" s="1" t="n">
        <v>46316</v>
      </c>
      <c r="F3480" t="inlineStr">
        <is>
          <t>KRONOBERGS LÄN</t>
        </is>
      </c>
      <c r="G3480" t="inlineStr">
        <is>
          <t>ALVESTA</t>
        </is>
      </c>
      <c r="I3480" t="n">
        <v>1.5</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33355-2023</t>
        </is>
      </c>
      <c r="B3481" t="inlineStr">
        <is>
          <t>avverkningsanmälan</t>
        </is>
      </c>
      <c r="C3481" t="inlineStr">
        <is>
          <t>Föryngringsavverkning</t>
        </is>
      </c>
      <c r="D3481" s="1" t="n">
        <v>45117</v>
      </c>
      <c r="E3481" s="1" t="n">
        <v>46316</v>
      </c>
      <c r="F3481" t="inlineStr">
        <is>
          <t>KRONOBERGS LÄN</t>
        </is>
      </c>
      <c r="G3481" t="inlineStr">
        <is>
          <t>TINGSRYD</t>
        </is>
      </c>
      <c r="I3481" t="n">
        <v>8.800000000000001</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33365-2023</t>
        </is>
      </c>
      <c r="B3482" t="inlineStr">
        <is>
          <t>avverkningsanmälan</t>
        </is>
      </c>
      <c r="C3482" t="inlineStr">
        <is>
          <t>Föryngringsavverkning</t>
        </is>
      </c>
      <c r="D3482" s="1" t="n">
        <v>45117</v>
      </c>
      <c r="E3482" s="1" t="n">
        <v>46316</v>
      </c>
      <c r="F3482" t="inlineStr">
        <is>
          <t>KRONOBERGS LÄN</t>
        </is>
      </c>
      <c r="G3482" t="inlineStr">
        <is>
          <t>TINGSRYD</t>
        </is>
      </c>
      <c r="I3482" t="n">
        <v>5.1</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58046-2023</t>
        </is>
      </c>
      <c r="B3483" t="inlineStr">
        <is>
          <t>avverkningsanmälan</t>
        </is>
      </c>
      <c r="C3483" t="inlineStr">
        <is>
          <t>Föryngringsavverkning</t>
        </is>
      </c>
      <c r="D3483" s="1" t="n">
        <v>45247</v>
      </c>
      <c r="E3483" s="1" t="n">
        <v>46316</v>
      </c>
      <c r="F3483" t="inlineStr">
        <is>
          <t>KRONOBERGS LÄN</t>
        </is>
      </c>
      <c r="G3483" t="inlineStr">
        <is>
          <t>VÄXJÖ</t>
        </is>
      </c>
      <c r="I3483" t="n">
        <v>0.8</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9391-2024</t>
        </is>
      </c>
      <c r="B3484" t="inlineStr">
        <is>
          <t>avverkningsanmälan</t>
        </is>
      </c>
      <c r="C3484" t="inlineStr">
        <is>
          <t>Föryngringsavverkning</t>
        </is>
      </c>
      <c r="D3484" s="1" t="n">
        <v>45359</v>
      </c>
      <c r="E3484" s="1" t="n">
        <v>46316</v>
      </c>
      <c r="F3484" t="inlineStr">
        <is>
          <t>KRONOBERGS LÄN</t>
        </is>
      </c>
      <c r="G3484" t="inlineStr">
        <is>
          <t>ALVESTA</t>
        </is>
      </c>
      <c r="I3484" t="n">
        <v>1.4</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50805-2025</t>
        </is>
      </c>
      <c r="B3485" t="inlineStr">
        <is>
          <t>avverkningsanmälan</t>
        </is>
      </c>
      <c r="C3485" t="inlineStr">
        <is>
          <t>Föryngringsavverkning</t>
        </is>
      </c>
      <c r="D3485" s="1" t="n">
        <v>45946</v>
      </c>
      <c r="E3485" s="1" t="n">
        <v>46316</v>
      </c>
      <c r="F3485" t="inlineStr">
        <is>
          <t>KRONOBERGS LÄN</t>
        </is>
      </c>
      <c r="G3485" t="inlineStr">
        <is>
          <t>ÄLMHULT</t>
        </is>
      </c>
      <c r="I3485" t="n">
        <v>1.8</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7793-2025</t>
        </is>
      </c>
      <c r="B3486" t="inlineStr">
        <is>
          <t>avverkningsanmälan</t>
        </is>
      </c>
      <c r="C3486" t="inlineStr">
        <is>
          <t>Föryngringsavverkning</t>
        </is>
      </c>
      <c r="D3486" s="1" t="n">
        <v>45706</v>
      </c>
      <c r="E3486" s="1" t="n">
        <v>46316</v>
      </c>
      <c r="F3486" t="inlineStr">
        <is>
          <t>KRONOBERGS LÄN</t>
        </is>
      </c>
      <c r="G3486" t="inlineStr">
        <is>
          <t>ÄLMHULT</t>
        </is>
      </c>
      <c r="I3486" t="n">
        <v>3.6</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41149-2024</t>
        </is>
      </c>
      <c r="B3487" t="inlineStr">
        <is>
          <t>avverkningsanmälan</t>
        </is>
      </c>
      <c r="C3487" t="inlineStr">
        <is>
          <t>Föryngringsavverkning</t>
        </is>
      </c>
      <c r="D3487" s="1" t="n">
        <v>45559</v>
      </c>
      <c r="E3487" s="1" t="n">
        <v>46316</v>
      </c>
      <c r="F3487" t="inlineStr">
        <is>
          <t>KRONOBERGS LÄN</t>
        </is>
      </c>
      <c r="G3487" t="inlineStr">
        <is>
          <t>VÄXJÖ</t>
        </is>
      </c>
      <c r="I3487" t="n">
        <v>1.2</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45623-2024</t>
        </is>
      </c>
      <c r="B3488" t="inlineStr">
        <is>
          <t>avverkningsanmälan</t>
        </is>
      </c>
      <c r="C3488" t="inlineStr">
        <is>
          <t>Föryngringsavverkning</t>
        </is>
      </c>
      <c r="D3488" s="1" t="n">
        <v>45579</v>
      </c>
      <c r="E3488" s="1" t="n">
        <v>46316</v>
      </c>
      <c r="F3488" t="inlineStr">
        <is>
          <t>KRONOBERGS LÄN</t>
        </is>
      </c>
      <c r="G3488" t="inlineStr">
        <is>
          <t>VÄXJÖ</t>
        </is>
      </c>
      <c r="I3488" t="n">
        <v>0.6</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25015-2026</t>
        </is>
      </c>
      <c r="B3489" t="inlineStr">
        <is>
          <t>avverkningsanmälan</t>
        </is>
      </c>
      <c r="C3489" t="inlineStr">
        <is>
          <t>Föryngringsavverkning</t>
        </is>
      </c>
      <c r="D3489" s="1" t="n">
        <v>46174</v>
      </c>
      <c r="E3489" s="1" t="n">
        <v>46316</v>
      </c>
      <c r="F3489" t="inlineStr">
        <is>
          <t>KRONOBERGS LÄN</t>
        </is>
      </c>
      <c r="G3489" t="inlineStr">
        <is>
          <t>UPPVIDINGE</t>
        </is>
      </c>
      <c r="H3489" t="inlineStr">
        <is>
          <t>Sveaskog</t>
        </is>
      </c>
      <c r="I3489" t="n">
        <v>1.3</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25008-2026</t>
        </is>
      </c>
      <c r="B3490" t="inlineStr">
        <is>
          <t>avverkningsanmälan</t>
        </is>
      </c>
      <c r="C3490" t="inlineStr">
        <is>
          <t>Föryngringsavverkning</t>
        </is>
      </c>
      <c r="D3490" s="1" t="n">
        <v>46174</v>
      </c>
      <c r="E3490" s="1" t="n">
        <v>46316</v>
      </c>
      <c r="F3490" t="inlineStr">
        <is>
          <t>KRONOBERGS LÄN</t>
        </is>
      </c>
      <c r="G3490" t="inlineStr">
        <is>
          <t>UPPVIDINGE</t>
        </is>
      </c>
      <c r="H3490" t="inlineStr">
        <is>
          <t>Sveaskog</t>
        </is>
      </c>
      <c r="I3490" t="n">
        <v>2.9</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12343-2024</t>
        </is>
      </c>
      <c r="B3491" t="inlineStr">
        <is>
          <t>avverkningsanmälan</t>
        </is>
      </c>
      <c r="C3491" t="inlineStr">
        <is>
          <t>Föryngringsavverkning</t>
        </is>
      </c>
      <c r="D3491" s="1" t="n">
        <v>45378</v>
      </c>
      <c r="E3491" s="1" t="n">
        <v>46316</v>
      </c>
      <c r="F3491" t="inlineStr">
        <is>
          <t>KRONOBERGS LÄN</t>
        </is>
      </c>
      <c r="G3491" t="inlineStr">
        <is>
          <t>MARKARYD</t>
        </is>
      </c>
      <c r="I3491" t="n">
        <v>1.8</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16600-2026</t>
        </is>
      </c>
      <c r="B3492" t="inlineStr">
        <is>
          <t>avverkningsanmälan</t>
        </is>
      </c>
      <c r="C3492" t="inlineStr">
        <is>
          <t>Föryngringsavverkning</t>
        </is>
      </c>
      <c r="D3492" s="1" t="n">
        <v>46112</v>
      </c>
      <c r="E3492" s="1" t="n">
        <v>46316</v>
      </c>
      <c r="F3492" t="inlineStr">
        <is>
          <t>KRONOBERGS LÄN</t>
        </is>
      </c>
      <c r="G3492" t="inlineStr">
        <is>
          <t>VÄXJÖ</t>
        </is>
      </c>
      <c r="I3492" t="n">
        <v>3.4</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24703-2026</t>
        </is>
      </c>
      <c r="B3493" t="inlineStr">
        <is>
          <t>avverkningsanmälan</t>
        </is>
      </c>
      <c r="C3493" t="inlineStr">
        <is>
          <t>Föryngringsavverkning</t>
        </is>
      </c>
      <c r="D3493" s="1" t="n">
        <v>46171</v>
      </c>
      <c r="E3493" s="1" t="n">
        <v>46316</v>
      </c>
      <c r="F3493" t="inlineStr">
        <is>
          <t>KRONOBERGS LÄN</t>
        </is>
      </c>
      <c r="G3493" t="inlineStr">
        <is>
          <t>VÄXJÖ</t>
        </is>
      </c>
      <c r="I3493" t="n">
        <v>0.5</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18961-2025</t>
        </is>
      </c>
      <c r="B3494" t="inlineStr">
        <is>
          <t>avverkningsanmälan</t>
        </is>
      </c>
      <c r="C3494" t="inlineStr">
        <is>
          <t>Föryngringsavverkning</t>
        </is>
      </c>
      <c r="D3494" s="1" t="n">
        <v>45764</v>
      </c>
      <c r="E3494" s="1" t="n">
        <v>46316</v>
      </c>
      <c r="F3494" t="inlineStr">
        <is>
          <t>KRONOBERGS LÄN</t>
        </is>
      </c>
      <c r="G3494" t="inlineStr">
        <is>
          <t>LJUNGBY</t>
        </is>
      </c>
      <c r="I3494" t="n">
        <v>1.9</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57379-2024</t>
        </is>
      </c>
      <c r="B3495" t="inlineStr">
        <is>
          <t>avverkningsanmälan</t>
        </is>
      </c>
      <c r="C3495" t="inlineStr">
        <is>
          <t>Föryngringsavverkning</t>
        </is>
      </c>
      <c r="D3495" s="1" t="n">
        <v>45629</v>
      </c>
      <c r="E3495" s="1" t="n">
        <v>46316</v>
      </c>
      <c r="F3495" t="inlineStr">
        <is>
          <t>KRONOBERGS LÄN</t>
        </is>
      </c>
      <c r="G3495" t="inlineStr">
        <is>
          <t>TINGSRYD</t>
        </is>
      </c>
      <c r="I3495" t="n">
        <v>1.1</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14595-2024</t>
        </is>
      </c>
      <c r="B3496" t="inlineStr">
        <is>
          <t>avverkningsanmälan</t>
        </is>
      </c>
      <c r="C3496" t="inlineStr">
        <is>
          <t>Föryngringsavverkning</t>
        </is>
      </c>
      <c r="D3496" s="1" t="n">
        <v>45395</v>
      </c>
      <c r="E3496" s="1" t="n">
        <v>46316</v>
      </c>
      <c r="F3496" t="inlineStr">
        <is>
          <t>KRONOBERGS LÄN</t>
        </is>
      </c>
      <c r="G3496" t="inlineStr">
        <is>
          <t>TINGSRYD</t>
        </is>
      </c>
      <c r="I3496" t="n">
        <v>0.5</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53201-2024</t>
        </is>
      </c>
      <c r="B3497" t="inlineStr">
        <is>
          <t>avverkningsanmälan</t>
        </is>
      </c>
      <c r="C3497" t="inlineStr">
        <is>
          <t>Föryngringsavverkning</t>
        </is>
      </c>
      <c r="D3497" s="1" t="n">
        <v>45612</v>
      </c>
      <c r="E3497" s="1" t="n">
        <v>46316</v>
      </c>
      <c r="F3497" t="inlineStr">
        <is>
          <t>KRONOBERGS LÄN</t>
        </is>
      </c>
      <c r="G3497" t="inlineStr">
        <is>
          <t>ÄLMHULT</t>
        </is>
      </c>
      <c r="I3497" t="n">
        <v>1.1</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53661-2024</t>
        </is>
      </c>
      <c r="B3498" t="inlineStr">
        <is>
          <t>avverkningsanmälan</t>
        </is>
      </c>
      <c r="C3498" t="inlineStr">
        <is>
          <t>Föryngringsavverkning</t>
        </is>
      </c>
      <c r="D3498" s="1" t="n">
        <v>45615</v>
      </c>
      <c r="E3498" s="1" t="n">
        <v>46316</v>
      </c>
      <c r="F3498" t="inlineStr">
        <is>
          <t>KRONOBERGS LÄN</t>
        </is>
      </c>
      <c r="G3498" t="inlineStr">
        <is>
          <t>ÄLMHULT</t>
        </is>
      </c>
      <c r="I3498" t="n">
        <v>1</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44746-2023</t>
        </is>
      </c>
      <c r="B3499" t="inlineStr">
        <is>
          <t>avverkningsanmälan</t>
        </is>
      </c>
      <c r="C3499" t="inlineStr">
        <is>
          <t>Föryngringsavverkning</t>
        </is>
      </c>
      <c r="D3499" s="1" t="n">
        <v>45190</v>
      </c>
      <c r="E3499" s="1" t="n">
        <v>46316</v>
      </c>
      <c r="F3499" t="inlineStr">
        <is>
          <t>KRONOBERGS LÄN</t>
        </is>
      </c>
      <c r="G3499" t="inlineStr">
        <is>
          <t>UPPVIDINGE</t>
        </is>
      </c>
      <c r="I3499" t="n">
        <v>0.7</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20608-2025</t>
        </is>
      </c>
      <c r="B3500" t="inlineStr">
        <is>
          <t>avverkningsanmälan</t>
        </is>
      </c>
      <c r="C3500" t="inlineStr">
        <is>
          <t>Föryngringsavverkning</t>
        </is>
      </c>
      <c r="D3500" s="1" t="n">
        <v>45775</v>
      </c>
      <c r="E3500" s="1" t="n">
        <v>46316</v>
      </c>
      <c r="F3500" t="inlineStr">
        <is>
          <t>KRONOBERGS LÄN</t>
        </is>
      </c>
      <c r="G3500" t="inlineStr">
        <is>
          <t>LJUNGBY</t>
        </is>
      </c>
      <c r="I3500" t="n">
        <v>1.9</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58473-2023</t>
        </is>
      </c>
      <c r="B3501" t="inlineStr">
        <is>
          <t>avverkningsanmälan</t>
        </is>
      </c>
      <c r="C3501" t="inlineStr">
        <is>
          <t>Föryngringsavverkning</t>
        </is>
      </c>
      <c r="D3501" s="1" t="n">
        <v>45250</v>
      </c>
      <c r="E3501" s="1" t="n">
        <v>46316</v>
      </c>
      <c r="F3501" t="inlineStr">
        <is>
          <t>KRONOBERGS LÄN</t>
        </is>
      </c>
      <c r="G3501" t="inlineStr">
        <is>
          <t>ÄLMHULT</t>
        </is>
      </c>
      <c r="I3501" t="n">
        <v>0.5</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58474-2023</t>
        </is>
      </c>
      <c r="B3502" t="inlineStr">
        <is>
          <t>avverkningsanmälan</t>
        </is>
      </c>
      <c r="C3502" t="inlineStr">
        <is>
          <t>Föryngringsavverkning</t>
        </is>
      </c>
      <c r="D3502" s="1" t="n">
        <v>45250</v>
      </c>
      <c r="E3502" s="1" t="n">
        <v>46316</v>
      </c>
      <c r="F3502" t="inlineStr">
        <is>
          <t>KRONOBERGS LÄN</t>
        </is>
      </c>
      <c r="G3502" t="inlineStr">
        <is>
          <t>ÄLMHULT</t>
        </is>
      </c>
      <c r="I3502" t="n">
        <v>0.1</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58496-2023</t>
        </is>
      </c>
      <c r="B3503" t="inlineStr">
        <is>
          <t>avverkningsanmälan</t>
        </is>
      </c>
      <c r="C3503" t="inlineStr">
        <is>
          <t>Föryngringsavverkning</t>
        </is>
      </c>
      <c r="D3503" s="1" t="n">
        <v>45251</v>
      </c>
      <c r="E3503" s="1" t="n">
        <v>46316</v>
      </c>
      <c r="F3503" t="inlineStr">
        <is>
          <t>KRONOBERGS LÄN</t>
        </is>
      </c>
      <c r="G3503" t="inlineStr">
        <is>
          <t>ÄLMHULT</t>
        </is>
      </c>
      <c r="I3503" t="n">
        <v>2</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63226-2025</t>
        </is>
      </c>
      <c r="B3504" t="inlineStr">
        <is>
          <t>avverkningsanmälan</t>
        </is>
      </c>
      <c r="C3504" t="inlineStr">
        <is>
          <t>Föryngringsavverkning</t>
        </is>
      </c>
      <c r="D3504" s="1" t="n">
        <v>46010</v>
      </c>
      <c r="E3504" s="1" t="n">
        <v>46316</v>
      </c>
      <c r="F3504" t="inlineStr">
        <is>
          <t>KRONOBERGS LÄN</t>
        </is>
      </c>
      <c r="G3504" t="inlineStr">
        <is>
          <t>VÄXJÖ</t>
        </is>
      </c>
      <c r="I3504" t="n">
        <v>3.5</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38428-2024</t>
        </is>
      </c>
      <c r="B3505" t="inlineStr">
        <is>
          <t>avverkningsanmälan</t>
        </is>
      </c>
      <c r="C3505" t="inlineStr">
        <is>
          <t>Föryngringsavverkning</t>
        </is>
      </c>
      <c r="D3505" s="1" t="n">
        <v>45546</v>
      </c>
      <c r="E3505" s="1" t="n">
        <v>46316</v>
      </c>
      <c r="F3505" t="inlineStr">
        <is>
          <t>KRONOBERGS LÄN</t>
        </is>
      </c>
      <c r="G3505" t="inlineStr">
        <is>
          <t>ÄLMHULT</t>
        </is>
      </c>
      <c r="I3505" t="n">
        <v>0.6</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19070-2024</t>
        </is>
      </c>
      <c r="B3506" t="inlineStr">
        <is>
          <t>avverkningsanmälan</t>
        </is>
      </c>
      <c r="C3506" t="inlineStr">
        <is>
          <t>Föryngringsavverkning</t>
        </is>
      </c>
      <c r="D3506" s="1" t="n">
        <v>45427</v>
      </c>
      <c r="E3506" s="1" t="n">
        <v>46316</v>
      </c>
      <c r="F3506" t="inlineStr">
        <is>
          <t>KRONOBERGS LÄN</t>
        </is>
      </c>
      <c r="G3506" t="inlineStr">
        <is>
          <t>UPPVIDINGE</t>
        </is>
      </c>
      <c r="I3506" t="n">
        <v>0.7</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19074-2024</t>
        </is>
      </c>
      <c r="B3507" t="inlineStr">
        <is>
          <t>avverkningsanmälan</t>
        </is>
      </c>
      <c r="C3507" t="inlineStr">
        <is>
          <t>Föryngringsavverkning</t>
        </is>
      </c>
      <c r="D3507" s="1" t="n">
        <v>45427</v>
      </c>
      <c r="E3507" s="1" t="n">
        <v>46316</v>
      </c>
      <c r="F3507" t="inlineStr">
        <is>
          <t>KRONOBERGS LÄN</t>
        </is>
      </c>
      <c r="G3507" t="inlineStr">
        <is>
          <t>VÄXJÖ</t>
        </is>
      </c>
      <c r="I3507" t="n">
        <v>0.6</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43467-2025</t>
        </is>
      </c>
      <c r="B3508" t="inlineStr">
        <is>
          <t>avverkningsanmälan</t>
        </is>
      </c>
      <c r="C3508" t="inlineStr">
        <is>
          <t>Föryngringsavverkning</t>
        </is>
      </c>
      <c r="D3508" s="1" t="n">
        <v>45911</v>
      </c>
      <c r="E3508" s="1" t="n">
        <v>46316</v>
      </c>
      <c r="F3508" t="inlineStr">
        <is>
          <t>KRONOBERGS LÄN</t>
        </is>
      </c>
      <c r="G3508" t="inlineStr">
        <is>
          <t>ÄLMHULT</t>
        </is>
      </c>
      <c r="I3508" t="n">
        <v>3.7</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24692-2026</t>
        </is>
      </c>
      <c r="B3509" t="inlineStr">
        <is>
          <t>avverkningsanmälan</t>
        </is>
      </c>
      <c r="C3509" t="inlineStr">
        <is>
          <t>Avverkning för annat ändamål</t>
        </is>
      </c>
      <c r="D3509" s="1" t="n">
        <v>46171</v>
      </c>
      <c r="E3509" s="1" t="n">
        <v>46316</v>
      </c>
      <c r="F3509" t="inlineStr">
        <is>
          <t>KRONOBERGS LÄN</t>
        </is>
      </c>
      <c r="G3509" t="inlineStr">
        <is>
          <t>ALVESTA</t>
        </is>
      </c>
      <c r="I3509" t="n">
        <v>0.6</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24701-2026</t>
        </is>
      </c>
      <c r="B3510" t="inlineStr">
        <is>
          <t>avverkningsanmälan</t>
        </is>
      </c>
      <c r="C3510" t="inlineStr">
        <is>
          <t>Föryngringsavverkning</t>
        </is>
      </c>
      <c r="D3510" s="1" t="n">
        <v>46171</v>
      </c>
      <c r="E3510" s="1" t="n">
        <v>46316</v>
      </c>
      <c r="F3510" t="inlineStr">
        <is>
          <t>KRONOBERGS LÄN</t>
        </is>
      </c>
      <c r="G3510" t="inlineStr">
        <is>
          <t>VÄXJÖ</t>
        </is>
      </c>
      <c r="I3510" t="n">
        <v>1.2</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42490-2023</t>
        </is>
      </c>
      <c r="B3511" t="inlineStr">
        <is>
          <t>avverkningsanmälan</t>
        </is>
      </c>
      <c r="C3511" t="inlineStr">
        <is>
          <t>Föryngringsavverkning</t>
        </is>
      </c>
      <c r="D3511" s="1" t="n">
        <v>45180</v>
      </c>
      <c r="E3511" s="1" t="n">
        <v>46316</v>
      </c>
      <c r="F3511" t="inlineStr">
        <is>
          <t>KRONOBERGS LÄN</t>
        </is>
      </c>
      <c r="G3511" t="inlineStr">
        <is>
          <t>ÄLMHULT</t>
        </is>
      </c>
      <c r="I3511" t="n">
        <v>0.5</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42536-2023</t>
        </is>
      </c>
      <c r="B3512" t="inlineStr">
        <is>
          <t>avverkningsanmälan</t>
        </is>
      </c>
      <c r="C3512" t="inlineStr">
        <is>
          <t>Föryngringsavverkning</t>
        </is>
      </c>
      <c r="D3512" s="1" t="n">
        <v>45181</v>
      </c>
      <c r="E3512" s="1" t="n">
        <v>46316</v>
      </c>
      <c r="F3512" t="inlineStr">
        <is>
          <t>KRONOBERGS LÄN</t>
        </is>
      </c>
      <c r="G3512" t="inlineStr">
        <is>
          <t>MARKARYD</t>
        </is>
      </c>
      <c r="I3512" t="n">
        <v>0.7</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42615-2023</t>
        </is>
      </c>
      <c r="B3513" t="inlineStr">
        <is>
          <t>avverkningsanmälan</t>
        </is>
      </c>
      <c r="C3513" t="inlineStr">
        <is>
          <t>Föryngringsavverkning</t>
        </is>
      </c>
      <c r="D3513" s="1" t="n">
        <v>45181</v>
      </c>
      <c r="E3513" s="1" t="n">
        <v>46316</v>
      </c>
      <c r="F3513" t="inlineStr">
        <is>
          <t>KRONOBERGS LÄN</t>
        </is>
      </c>
      <c r="G3513" t="inlineStr">
        <is>
          <t>LJUNGBY</t>
        </is>
      </c>
      <c r="I3513" t="n">
        <v>0.8</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40882-2023</t>
        </is>
      </c>
      <c r="B3514" t="inlineStr">
        <is>
          <t>avverkningsanmälan</t>
        </is>
      </c>
      <c r="C3514" t="inlineStr">
        <is>
          <t>Föryngringsavverkning</t>
        </is>
      </c>
      <c r="D3514" s="1" t="n">
        <v>45173</v>
      </c>
      <c r="E3514" s="1" t="n">
        <v>46316</v>
      </c>
      <c r="F3514" t="inlineStr">
        <is>
          <t>KRONOBERGS LÄN</t>
        </is>
      </c>
      <c r="G3514" t="inlineStr">
        <is>
          <t>TINGSRYD</t>
        </is>
      </c>
      <c r="I3514" t="n">
        <v>2.9</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40912-2023</t>
        </is>
      </c>
      <c r="B3515" t="inlineStr">
        <is>
          <t>avverkningsanmälan</t>
        </is>
      </c>
      <c r="C3515" t="inlineStr">
        <is>
          <t>Föryngringsavverkning</t>
        </is>
      </c>
      <c r="D3515" s="1" t="n">
        <v>45173</v>
      </c>
      <c r="E3515" s="1" t="n">
        <v>46316</v>
      </c>
      <c r="F3515" t="inlineStr">
        <is>
          <t>KRONOBERGS LÄN</t>
        </is>
      </c>
      <c r="G3515" t="inlineStr">
        <is>
          <t>LESSEBO</t>
        </is>
      </c>
      <c r="I3515" t="n">
        <v>1.4</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24639-2026</t>
        </is>
      </c>
      <c r="B3516" t="inlineStr">
        <is>
          <t>avverkningsanmälan</t>
        </is>
      </c>
      <c r="C3516" t="inlineStr">
        <is>
          <t>Avverkning för annat ändamål</t>
        </is>
      </c>
      <c r="D3516" s="1" t="n">
        <v>46171</v>
      </c>
      <c r="E3516" s="1" t="n">
        <v>46316</v>
      </c>
      <c r="F3516" t="inlineStr">
        <is>
          <t>KRONOBERGS LÄN</t>
        </is>
      </c>
      <c r="G3516" t="inlineStr">
        <is>
          <t>LJUNGBY</t>
        </is>
      </c>
      <c r="I3516" t="n">
        <v>2.8</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27540-2023</t>
        </is>
      </c>
      <c r="B3517" t="inlineStr">
        <is>
          <t>avverkningsanmälan</t>
        </is>
      </c>
      <c r="C3517" t="inlineStr">
        <is>
          <t>Föryngringsavverkning</t>
        </is>
      </c>
      <c r="D3517" s="1" t="n">
        <v>45097</v>
      </c>
      <c r="E3517" s="1" t="n">
        <v>46316</v>
      </c>
      <c r="F3517" t="inlineStr">
        <is>
          <t>KRONOBERGS LÄN</t>
        </is>
      </c>
      <c r="G3517" t="inlineStr">
        <is>
          <t>LJUNGBY</t>
        </is>
      </c>
      <c r="I3517" t="n">
        <v>2.5</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58195-2023</t>
        </is>
      </c>
      <c r="B3518" t="inlineStr">
        <is>
          <t>avverkningsanmälan</t>
        </is>
      </c>
      <c r="C3518" t="inlineStr">
        <is>
          <t>Föryngringsavverkning</t>
        </is>
      </c>
      <c r="D3518" s="1" t="n">
        <v>45250</v>
      </c>
      <c r="E3518" s="1" t="n">
        <v>46316</v>
      </c>
      <c r="F3518" t="inlineStr">
        <is>
          <t>KRONOBERGS LÄN</t>
        </is>
      </c>
      <c r="G3518" t="inlineStr">
        <is>
          <t>VÄXJÖ</t>
        </is>
      </c>
      <c r="I3518" t="n">
        <v>1</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25937-2023</t>
        </is>
      </c>
      <c r="B3519" t="inlineStr">
        <is>
          <t>avverkningsanmälan</t>
        </is>
      </c>
      <c r="C3519" t="inlineStr">
        <is>
          <t>Föryngringsavverkning</t>
        </is>
      </c>
      <c r="D3519" s="1" t="n">
        <v>45090</v>
      </c>
      <c r="E3519" s="1" t="n">
        <v>46316</v>
      </c>
      <c r="F3519" t="inlineStr">
        <is>
          <t>KRONOBERGS LÄN</t>
        </is>
      </c>
      <c r="G3519" t="inlineStr">
        <is>
          <t>TINGSRYD</t>
        </is>
      </c>
      <c r="I3519" t="n">
        <v>0.5</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8834-2024</t>
        </is>
      </c>
      <c r="B3520" t="inlineStr">
        <is>
          <t>avverkningsanmälan</t>
        </is>
      </c>
      <c r="C3520" t="inlineStr">
        <is>
          <t>Föryngringsavverkning</t>
        </is>
      </c>
      <c r="D3520" s="1" t="n">
        <v>45356</v>
      </c>
      <c r="E3520" s="1" t="n">
        <v>46316</v>
      </c>
      <c r="F3520" t="inlineStr">
        <is>
          <t>KRONOBERGS LÄN</t>
        </is>
      </c>
      <c r="G3520" t="inlineStr">
        <is>
          <t>LJUNGBY</t>
        </is>
      </c>
      <c r="I3520" t="n">
        <v>1.1</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24415-2023</t>
        </is>
      </c>
      <c r="B3521" t="inlineStr">
        <is>
          <t>avverkningsanmälan</t>
        </is>
      </c>
      <c r="C3521" t="inlineStr">
        <is>
          <t>Föryngringsavverkning</t>
        </is>
      </c>
      <c r="D3521" s="1" t="n">
        <v>45082</v>
      </c>
      <c r="E3521" s="1" t="n">
        <v>46316</v>
      </c>
      <c r="F3521" t="inlineStr">
        <is>
          <t>KRONOBERGS LÄN</t>
        </is>
      </c>
      <c r="G3521" t="inlineStr">
        <is>
          <t>TINGSRYD</t>
        </is>
      </c>
      <c r="I3521" t="n">
        <v>1.5</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12916-2025</t>
        </is>
      </c>
      <c r="B3522" t="inlineStr">
        <is>
          <t>avverkningsanmälan</t>
        </is>
      </c>
      <c r="C3522" t="inlineStr">
        <is>
          <t>Föryngringsavverkning</t>
        </is>
      </c>
      <c r="D3522" s="1" t="n">
        <v>45733</v>
      </c>
      <c r="E3522" s="1" t="n">
        <v>46316</v>
      </c>
      <c r="F3522" t="inlineStr">
        <is>
          <t>KRONOBERGS LÄN</t>
        </is>
      </c>
      <c r="G3522" t="inlineStr">
        <is>
          <t>VÄXJÖ</t>
        </is>
      </c>
      <c r="I3522" t="n">
        <v>0.7</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47149-2023</t>
        </is>
      </c>
      <c r="B3523" t="inlineStr">
        <is>
          <t>avverkningsanmälan</t>
        </is>
      </c>
      <c r="C3523" t="inlineStr">
        <is>
          <t>Föryngringsavverkning</t>
        </is>
      </c>
      <c r="D3523" s="1" t="n">
        <v>45201</v>
      </c>
      <c r="E3523" s="1" t="n">
        <v>46316</v>
      </c>
      <c r="F3523" t="inlineStr">
        <is>
          <t>KRONOBERGS LÄN</t>
        </is>
      </c>
      <c r="G3523" t="inlineStr">
        <is>
          <t>TINGSRYD</t>
        </is>
      </c>
      <c r="I3523" t="n">
        <v>0.7</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35388-2023</t>
        </is>
      </c>
      <c r="B3524" t="inlineStr">
        <is>
          <t>avverkningsanmälan</t>
        </is>
      </c>
      <c r="C3524" t="inlineStr">
        <is>
          <t>Föryngringsavverkning</t>
        </is>
      </c>
      <c r="D3524" s="1" t="n">
        <v>45146</v>
      </c>
      <c r="E3524" s="1" t="n">
        <v>46316</v>
      </c>
      <c r="F3524" t="inlineStr">
        <is>
          <t>KRONOBERGS LÄN</t>
        </is>
      </c>
      <c r="G3524" t="inlineStr">
        <is>
          <t>UPPVIDINGE</t>
        </is>
      </c>
      <c r="I3524" t="n">
        <v>1.9</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67620-2021</t>
        </is>
      </c>
      <c r="B3525" t="inlineStr">
        <is>
          <t>avverkningsanmälan</t>
        </is>
      </c>
      <c r="C3525" t="inlineStr">
        <is>
          <t>Föryngringsavverkning</t>
        </is>
      </c>
      <c r="D3525" s="1" t="n">
        <v>44524</v>
      </c>
      <c r="E3525" s="1" t="n">
        <v>46316</v>
      </c>
      <c r="F3525" t="inlineStr">
        <is>
          <t>KRONOBERGS LÄN</t>
        </is>
      </c>
      <c r="G3525" t="inlineStr">
        <is>
          <t>UPPVIDINGE</t>
        </is>
      </c>
      <c r="I3525" t="n">
        <v>0.8</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25146-2026</t>
        </is>
      </c>
      <c r="B3526" t="inlineStr">
        <is>
          <t>avverkningsanmälan</t>
        </is>
      </c>
      <c r="C3526" t="inlineStr">
        <is>
          <t>Föryngringsavverkning</t>
        </is>
      </c>
      <c r="D3526" s="1" t="n">
        <v>46175</v>
      </c>
      <c r="E3526" s="1" t="n">
        <v>46316</v>
      </c>
      <c r="F3526" t="inlineStr">
        <is>
          <t>KRONOBERGS LÄN</t>
        </is>
      </c>
      <c r="G3526" t="inlineStr">
        <is>
          <t>TINGSRYD</t>
        </is>
      </c>
      <c r="I3526" t="n">
        <v>0.6</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25108-2026</t>
        </is>
      </c>
      <c r="B3527" t="inlineStr">
        <is>
          <t>avverkningsanmälan</t>
        </is>
      </c>
      <c r="C3527" t="inlineStr">
        <is>
          <t>Föryngringsavverkning</t>
        </is>
      </c>
      <c r="D3527" s="1" t="n">
        <v>46175</v>
      </c>
      <c r="E3527" s="1" t="n">
        <v>46316</v>
      </c>
      <c r="F3527" t="inlineStr">
        <is>
          <t>KRONOBERGS LÄN</t>
        </is>
      </c>
      <c r="G3527" t="inlineStr">
        <is>
          <t>ALVESTA</t>
        </is>
      </c>
      <c r="H3527" t="inlineStr">
        <is>
          <t>Kommuner</t>
        </is>
      </c>
      <c r="I3527" t="n">
        <v>0.9</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25295-2026</t>
        </is>
      </c>
      <c r="B3528" t="inlineStr">
        <is>
          <t>avverkningsanmälan</t>
        </is>
      </c>
      <c r="C3528" t="inlineStr">
        <is>
          <t>Föryngringsavverkning</t>
        </is>
      </c>
      <c r="D3528" s="1" t="n">
        <v>46176</v>
      </c>
      <c r="E3528" s="1" t="n">
        <v>46316</v>
      </c>
      <c r="F3528" t="inlineStr">
        <is>
          <t>KRONOBERGS LÄN</t>
        </is>
      </c>
      <c r="G3528" t="inlineStr">
        <is>
          <t>LJUNGBY</t>
        </is>
      </c>
      <c r="I3528" t="n">
        <v>0.6</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39747-2024</t>
        </is>
      </c>
      <c r="B3529" t="inlineStr">
        <is>
          <t>avverkningsanmälan</t>
        </is>
      </c>
      <c r="C3529" t="inlineStr">
        <is>
          <t>Föryngringsavverkning</t>
        </is>
      </c>
      <c r="D3529" s="1" t="n">
        <v>45552</v>
      </c>
      <c r="E3529" s="1" t="n">
        <v>46316</v>
      </c>
      <c r="F3529" t="inlineStr">
        <is>
          <t>KRONOBERGS LÄN</t>
        </is>
      </c>
      <c r="G3529" t="inlineStr">
        <is>
          <t>TINGSRYD</t>
        </is>
      </c>
      <c r="I3529" t="n">
        <v>4.4</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37067-2024</t>
        </is>
      </c>
      <c r="B3530" t="inlineStr">
        <is>
          <t>avverkningsanmälan</t>
        </is>
      </c>
      <c r="C3530" t="inlineStr">
        <is>
          <t>Föryngringsavverkning</t>
        </is>
      </c>
      <c r="D3530" s="1" t="n">
        <v>45539</v>
      </c>
      <c r="E3530" s="1" t="n">
        <v>46316</v>
      </c>
      <c r="F3530" t="inlineStr">
        <is>
          <t>KRONOBERGS LÄN</t>
        </is>
      </c>
      <c r="G3530" t="inlineStr">
        <is>
          <t>ÄLMHULT</t>
        </is>
      </c>
      <c r="I3530" t="n">
        <v>0.5</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61420-2023</t>
        </is>
      </c>
      <c r="B3531" t="inlineStr">
        <is>
          <t>avverkningsanmälan</t>
        </is>
      </c>
      <c r="C3531" t="inlineStr">
        <is>
          <t>Föryngringsavverkning</t>
        </is>
      </c>
      <c r="D3531" s="1" t="n">
        <v>45264</v>
      </c>
      <c r="E3531" s="1" t="n">
        <v>46316</v>
      </c>
      <c r="F3531" t="inlineStr">
        <is>
          <t>KRONOBERGS LÄN</t>
        </is>
      </c>
      <c r="G3531" t="inlineStr">
        <is>
          <t>LJUNGBY</t>
        </is>
      </c>
      <c r="I3531" t="n">
        <v>2</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19236-2024</t>
        </is>
      </c>
      <c r="B3532" t="inlineStr">
        <is>
          <t>avverkningsanmälan</t>
        </is>
      </c>
      <c r="C3532" t="inlineStr">
        <is>
          <t>Föryngringsavverkning</t>
        </is>
      </c>
      <c r="D3532" s="1" t="n">
        <v>45428</v>
      </c>
      <c r="E3532" s="1" t="n">
        <v>46316</v>
      </c>
      <c r="F3532" t="inlineStr">
        <is>
          <t>KRONOBERGS LÄN</t>
        </is>
      </c>
      <c r="G3532" t="inlineStr">
        <is>
          <t>UPPVIDINGE</t>
        </is>
      </c>
      <c r="I3532" t="n">
        <v>2</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52040-2024</t>
        </is>
      </c>
      <c r="B3533" t="inlineStr">
        <is>
          <t>avverkningsanmälan</t>
        </is>
      </c>
      <c r="C3533" t="inlineStr">
        <is>
          <t>Föryngringsavverkning</t>
        </is>
      </c>
      <c r="D3533" s="1" t="n">
        <v>45608</v>
      </c>
      <c r="E3533" s="1" t="n">
        <v>46316</v>
      </c>
      <c r="F3533" t="inlineStr">
        <is>
          <t>KRONOBERGS LÄN</t>
        </is>
      </c>
      <c r="G3533" t="inlineStr">
        <is>
          <t>ALVESTA</t>
        </is>
      </c>
      <c r="I3533" t="n">
        <v>5.1</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57133-2022</t>
        </is>
      </c>
      <c r="B3534" t="inlineStr">
        <is>
          <t>avverkningsanmälan</t>
        </is>
      </c>
      <c r="C3534" t="inlineStr">
        <is>
          <t>Föryngringsavverkning</t>
        </is>
      </c>
      <c r="D3534" s="1" t="n">
        <v>44895</v>
      </c>
      <c r="E3534" s="1" t="n">
        <v>46316</v>
      </c>
      <c r="F3534" t="inlineStr">
        <is>
          <t>KRONOBERGS LÄN</t>
        </is>
      </c>
      <c r="G3534" t="inlineStr">
        <is>
          <t>LJUNGBY</t>
        </is>
      </c>
      <c r="I3534" t="n">
        <v>1.2</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57144-2022</t>
        </is>
      </c>
      <c r="B3535" t="inlineStr">
        <is>
          <t>avverkningsanmälan</t>
        </is>
      </c>
      <c r="C3535" t="inlineStr">
        <is>
          <t>Föryngringsavverkning</t>
        </is>
      </c>
      <c r="D3535" s="1" t="n">
        <v>44895</v>
      </c>
      <c r="E3535" s="1" t="n">
        <v>46316</v>
      </c>
      <c r="F3535" t="inlineStr">
        <is>
          <t>KRONOBERGS LÄN</t>
        </is>
      </c>
      <c r="G3535" t="inlineStr">
        <is>
          <t>LJUNGBY</t>
        </is>
      </c>
      <c r="I3535" t="n">
        <v>4.4</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57157-2022</t>
        </is>
      </c>
      <c r="B3536" t="inlineStr">
        <is>
          <t>avverkningsanmälan</t>
        </is>
      </c>
      <c r="C3536" t="inlineStr">
        <is>
          <t>Föryngringsavverkning</t>
        </is>
      </c>
      <c r="D3536" s="1" t="n">
        <v>44895</v>
      </c>
      <c r="E3536" s="1" t="n">
        <v>46316</v>
      </c>
      <c r="F3536" t="inlineStr">
        <is>
          <t>KRONOBERGS LÄN</t>
        </is>
      </c>
      <c r="G3536" t="inlineStr">
        <is>
          <t>LJUNGBY</t>
        </is>
      </c>
      <c r="I3536" t="n">
        <v>2.2</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25152-2026</t>
        </is>
      </c>
      <c r="B3537" t="inlineStr">
        <is>
          <t>avverkningsanmälan</t>
        </is>
      </c>
      <c r="C3537" t="inlineStr">
        <is>
          <t>Föryngringsavverkning</t>
        </is>
      </c>
      <c r="D3537" s="1" t="n">
        <v>46175</v>
      </c>
      <c r="E3537" s="1" t="n">
        <v>46316</v>
      </c>
      <c r="F3537" t="inlineStr">
        <is>
          <t>KRONOBERGS LÄN</t>
        </is>
      </c>
      <c r="G3537" t="inlineStr">
        <is>
          <t>TINGSRYD</t>
        </is>
      </c>
      <c r="I3537" t="n">
        <v>1</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73647-2021</t>
        </is>
      </c>
      <c r="B3538" t="inlineStr">
        <is>
          <t>avverkningsanmälan</t>
        </is>
      </c>
      <c r="C3538" t="inlineStr">
        <is>
          <t>Avverkning för annat ändamål</t>
        </is>
      </c>
      <c r="D3538" s="1" t="n">
        <v>44552</v>
      </c>
      <c r="E3538" s="1" t="n">
        <v>46316</v>
      </c>
      <c r="F3538" t="inlineStr">
        <is>
          <t>KRONOBERGS LÄN</t>
        </is>
      </c>
      <c r="G3538" t="inlineStr">
        <is>
          <t>VÄXJÖ</t>
        </is>
      </c>
      <c r="I3538" t="n">
        <v>0.5</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39057-2024</t>
        </is>
      </c>
      <c r="B3539" t="inlineStr">
        <is>
          <t>avverkningsanmälan</t>
        </is>
      </c>
      <c r="C3539" t="inlineStr">
        <is>
          <t>Föryngringsavverkning</t>
        </is>
      </c>
      <c r="D3539" s="1" t="n">
        <v>45547</v>
      </c>
      <c r="E3539" s="1" t="n">
        <v>46316</v>
      </c>
      <c r="F3539" t="inlineStr">
        <is>
          <t>KRONOBERGS LÄN</t>
        </is>
      </c>
      <c r="G3539" t="inlineStr">
        <is>
          <t>MARKARYD</t>
        </is>
      </c>
      <c r="H3539" t="inlineStr">
        <is>
          <t>Kyrkan</t>
        </is>
      </c>
      <c r="I3539" t="n">
        <v>2.8</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2445-2024</t>
        </is>
      </c>
      <c r="B3540" t="inlineStr">
        <is>
          <t>avverkningsanmälan</t>
        </is>
      </c>
      <c r="C3540" t="inlineStr">
        <is>
          <t>Föryngringsavverkning</t>
        </is>
      </c>
      <c r="D3540" s="1" t="n">
        <v>45311</v>
      </c>
      <c r="E3540" s="1" t="n">
        <v>46316</v>
      </c>
      <c r="F3540" t="inlineStr">
        <is>
          <t>KRONOBERGS LÄN</t>
        </is>
      </c>
      <c r="G3540" t="inlineStr">
        <is>
          <t>ÄLMHULT</t>
        </is>
      </c>
      <c r="I3540" t="n">
        <v>0.6</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14918-2022</t>
        </is>
      </c>
      <c r="B3541" t="inlineStr">
        <is>
          <t>avverkningsanmälan</t>
        </is>
      </c>
      <c r="C3541" t="inlineStr">
        <is>
          <t>Föryngringsavverkning</t>
        </is>
      </c>
      <c r="D3541" s="1" t="n">
        <v>44657</v>
      </c>
      <c r="E3541" s="1" t="n">
        <v>46316</v>
      </c>
      <c r="F3541" t="inlineStr">
        <is>
          <t>KRONOBERGS LÄN</t>
        </is>
      </c>
      <c r="G3541" t="inlineStr">
        <is>
          <t>TINGSRYD</t>
        </is>
      </c>
      <c r="I3541" t="n">
        <v>1.2</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57382-2024</t>
        </is>
      </c>
      <c r="B3542" t="inlineStr">
        <is>
          <t>avverkningsanmälan</t>
        </is>
      </c>
      <c r="C3542" t="inlineStr">
        <is>
          <t>Föryngringsavverkning</t>
        </is>
      </c>
      <c r="D3542" s="1" t="n">
        <v>45629</v>
      </c>
      <c r="E3542" s="1" t="n">
        <v>46316</v>
      </c>
      <c r="F3542" t="inlineStr">
        <is>
          <t>KRONOBERGS LÄN</t>
        </is>
      </c>
      <c r="G3542" t="inlineStr">
        <is>
          <t>TINGSRYD</t>
        </is>
      </c>
      <c r="I3542" t="n">
        <v>1.3</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57467-2024</t>
        </is>
      </c>
      <c r="B3543" t="inlineStr">
        <is>
          <t>avverkningsanmälan</t>
        </is>
      </c>
      <c r="C3543" t="inlineStr">
        <is>
          <t>Föryngringsavverkning</t>
        </is>
      </c>
      <c r="D3543" s="1" t="n">
        <v>45630</v>
      </c>
      <c r="E3543" s="1" t="n">
        <v>46316</v>
      </c>
      <c r="F3543" t="inlineStr">
        <is>
          <t>KRONOBERGS LÄN</t>
        </is>
      </c>
      <c r="G3543" t="inlineStr">
        <is>
          <t>LJUNGBY</t>
        </is>
      </c>
      <c r="I3543" t="n">
        <v>0.9</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25169-2026</t>
        </is>
      </c>
      <c r="B3544" t="inlineStr">
        <is>
          <t>avverkningsanmälan</t>
        </is>
      </c>
      <c r="C3544" t="inlineStr">
        <is>
          <t>Föryngringsavverkning</t>
        </is>
      </c>
      <c r="D3544" s="1" t="n">
        <v>46175</v>
      </c>
      <c r="E3544" s="1" t="n">
        <v>46316</v>
      </c>
      <c r="F3544" t="inlineStr">
        <is>
          <t>KRONOBERGS LÄN</t>
        </is>
      </c>
      <c r="G3544" t="inlineStr">
        <is>
          <t>LESSEBO</t>
        </is>
      </c>
      <c r="I3544" t="n">
        <v>1.9</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21157-2023</t>
        </is>
      </c>
      <c r="B3545" t="inlineStr">
        <is>
          <t>avverkningsanmälan</t>
        </is>
      </c>
      <c r="C3545" t="inlineStr">
        <is>
          <t>Föryngringsavverkning</t>
        </is>
      </c>
      <c r="D3545" s="1" t="n">
        <v>45062</v>
      </c>
      <c r="E3545" s="1" t="n">
        <v>46316</v>
      </c>
      <c r="F3545" t="inlineStr">
        <is>
          <t>KRONOBERGS LÄN</t>
        </is>
      </c>
      <c r="G3545" t="inlineStr">
        <is>
          <t>TINGSRYD</t>
        </is>
      </c>
      <c r="I3545" t="n">
        <v>1.9</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25329-2026</t>
        </is>
      </c>
      <c r="B3546" t="inlineStr">
        <is>
          <t>avverkningsanmälan</t>
        </is>
      </c>
      <c r="C3546" t="inlineStr">
        <is>
          <t>Föryngringsavverkning</t>
        </is>
      </c>
      <c r="D3546" s="1" t="n">
        <v>46176</v>
      </c>
      <c r="E3546" s="1" t="n">
        <v>46316</v>
      </c>
      <c r="F3546" t="inlineStr">
        <is>
          <t>KRONOBERGS LÄN</t>
        </is>
      </c>
      <c r="G3546" t="inlineStr">
        <is>
          <t>TINGSRYD</t>
        </is>
      </c>
      <c r="I3546" t="n">
        <v>1</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25356-2026</t>
        </is>
      </c>
      <c r="B3547" t="inlineStr">
        <is>
          <t>avverkningsanmälan</t>
        </is>
      </c>
      <c r="C3547" t="inlineStr">
        <is>
          <t>Föryngringsavverkning</t>
        </is>
      </c>
      <c r="D3547" s="1" t="n">
        <v>46176</v>
      </c>
      <c r="E3547" s="1" t="n">
        <v>46316</v>
      </c>
      <c r="F3547" t="inlineStr">
        <is>
          <t>KRONOBERGS LÄN</t>
        </is>
      </c>
      <c r="G3547" t="inlineStr">
        <is>
          <t>LJUNGBY</t>
        </is>
      </c>
      <c r="I3547" t="n">
        <v>2.8</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38639-2024</t>
        </is>
      </c>
      <c r="B3548" t="inlineStr">
        <is>
          <t>avverkningsanmälan</t>
        </is>
      </c>
      <c r="C3548" t="inlineStr">
        <is>
          <t>Föryngringsavverkning</t>
        </is>
      </c>
      <c r="D3548" s="1" t="n">
        <v>45546</v>
      </c>
      <c r="E3548" s="1" t="n">
        <v>46316</v>
      </c>
      <c r="F3548" t="inlineStr">
        <is>
          <t>KRONOBERGS LÄN</t>
        </is>
      </c>
      <c r="G3548" t="inlineStr">
        <is>
          <t>LJUNGBY</t>
        </is>
      </c>
      <c r="H3548" t="inlineStr">
        <is>
          <t>Sveaskog</t>
        </is>
      </c>
      <c r="I3548" t="n">
        <v>0.9</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23632-2023</t>
        </is>
      </c>
      <c r="B3549" t="inlineStr">
        <is>
          <t>avverkningsanmälan</t>
        </is>
      </c>
      <c r="C3549" t="inlineStr">
        <is>
          <t>Föryngringsavverkning</t>
        </is>
      </c>
      <c r="D3549" s="1" t="n">
        <v>45077</v>
      </c>
      <c r="E3549" s="1" t="n">
        <v>46316</v>
      </c>
      <c r="F3549" t="inlineStr">
        <is>
          <t>KRONOBERGS LÄN</t>
        </is>
      </c>
      <c r="G3549" t="inlineStr">
        <is>
          <t>TINGSRYD</t>
        </is>
      </c>
      <c r="I3549" t="n">
        <v>5.8</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2015-2024</t>
        </is>
      </c>
      <c r="B3550" t="inlineStr">
        <is>
          <t>avverkningsanmälan</t>
        </is>
      </c>
      <c r="C3550" t="inlineStr">
        <is>
          <t>Föryngringsavverkning</t>
        </is>
      </c>
      <c r="D3550" s="1" t="n">
        <v>45308</v>
      </c>
      <c r="E3550" s="1" t="n">
        <v>46316</v>
      </c>
      <c r="F3550" t="inlineStr">
        <is>
          <t>KRONOBERGS LÄN</t>
        </is>
      </c>
      <c r="G3550" t="inlineStr">
        <is>
          <t>ÄLMHULT</t>
        </is>
      </c>
      <c r="I3550" t="n">
        <v>2.3</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17313-2024</t>
        </is>
      </c>
      <c r="B3551" t="inlineStr">
        <is>
          <t>avverkningsanmälan</t>
        </is>
      </c>
      <c r="C3551" t="inlineStr">
        <is>
          <t>Föryngringsavverkning</t>
        </is>
      </c>
      <c r="D3551" s="1" t="n">
        <v>45414</v>
      </c>
      <c r="E3551" s="1" t="n">
        <v>46316</v>
      </c>
      <c r="F3551" t="inlineStr">
        <is>
          <t>KRONOBERGS LÄN</t>
        </is>
      </c>
      <c r="G3551" t="inlineStr">
        <is>
          <t>ALVESTA</t>
        </is>
      </c>
      <c r="I3551" t="n">
        <v>0.5</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12851-2024</t>
        </is>
      </c>
      <c r="B3552" t="inlineStr">
        <is>
          <t>avverkningsanmälan</t>
        </is>
      </c>
      <c r="C3552" t="inlineStr">
        <is>
          <t>Föryngringsavverkning</t>
        </is>
      </c>
      <c r="D3552" s="1" t="n">
        <v>45384</v>
      </c>
      <c r="E3552" s="1" t="n">
        <v>46316</v>
      </c>
      <c r="F3552" t="inlineStr">
        <is>
          <t>KRONOBERGS LÄN</t>
        </is>
      </c>
      <c r="G3552" t="inlineStr">
        <is>
          <t>ÄLMHULT</t>
        </is>
      </c>
      <c r="I3552" t="n">
        <v>2.2</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28529-2024</t>
        </is>
      </c>
      <c r="B3553" t="inlineStr">
        <is>
          <t>avverkningsanmälan</t>
        </is>
      </c>
      <c r="C3553" t="inlineStr">
        <is>
          <t>Föryngringsavverkning</t>
        </is>
      </c>
      <c r="D3553" s="1" t="n">
        <v>45478</v>
      </c>
      <c r="E3553" s="1" t="n">
        <v>46316</v>
      </c>
      <c r="F3553" t="inlineStr">
        <is>
          <t>KRONOBERGS LÄN</t>
        </is>
      </c>
      <c r="G3553" t="inlineStr">
        <is>
          <t>ALVESTA</t>
        </is>
      </c>
      <c r="I3553" t="n">
        <v>7</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25160-2026</t>
        </is>
      </c>
      <c r="B3554" t="inlineStr">
        <is>
          <t>avverkningsanmälan</t>
        </is>
      </c>
      <c r="C3554" t="inlineStr">
        <is>
          <t>Avverkning för annat ändamål</t>
        </is>
      </c>
      <c r="D3554" s="1" t="n">
        <v>46175</v>
      </c>
      <c r="E3554" s="1" t="n">
        <v>46316</v>
      </c>
      <c r="F3554" t="inlineStr">
        <is>
          <t>KRONOBERGS LÄN</t>
        </is>
      </c>
      <c r="G3554" t="inlineStr">
        <is>
          <t>MARKARYD</t>
        </is>
      </c>
      <c r="I3554" t="n">
        <v>4</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9649-2024</t>
        </is>
      </c>
      <c r="B3555" t="inlineStr">
        <is>
          <t>avverkningsanmälan</t>
        </is>
      </c>
      <c r="C3555" t="inlineStr">
        <is>
          <t>Föryngringsavverkning</t>
        </is>
      </c>
      <c r="D3555" s="1" t="n">
        <v>45362</v>
      </c>
      <c r="E3555" s="1" t="n">
        <v>46316</v>
      </c>
      <c r="F3555" t="inlineStr">
        <is>
          <t>KRONOBERGS LÄN</t>
        </is>
      </c>
      <c r="G3555" t="inlineStr">
        <is>
          <t>ALVESTA</t>
        </is>
      </c>
      <c r="I3555" t="n">
        <v>1.4</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19120-2023</t>
        </is>
      </c>
      <c r="B3556" t="inlineStr">
        <is>
          <t>avverkningsanmälan</t>
        </is>
      </c>
      <c r="C3556" t="inlineStr">
        <is>
          <t>Föryngringsavverkning</t>
        </is>
      </c>
      <c r="D3556" s="1" t="n">
        <v>45048</v>
      </c>
      <c r="E3556" s="1" t="n">
        <v>46316</v>
      </c>
      <c r="F3556" t="inlineStr">
        <is>
          <t>KRONOBERGS LÄN</t>
        </is>
      </c>
      <c r="G3556" t="inlineStr">
        <is>
          <t>LJUNGBY</t>
        </is>
      </c>
      <c r="I3556" t="n">
        <v>3.1</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19150-2026</t>
        </is>
      </c>
      <c r="B3557" t="inlineStr">
        <is>
          <t>avverkningsanmälan</t>
        </is>
      </c>
      <c r="C3557" t="inlineStr">
        <is>
          <t>Föryngringsavverkning</t>
        </is>
      </c>
      <c r="D3557" s="1" t="n">
        <v>46132</v>
      </c>
      <c r="E3557" s="1" t="n">
        <v>46316</v>
      </c>
      <c r="F3557" t="inlineStr">
        <is>
          <t>KRONOBERGS LÄN</t>
        </is>
      </c>
      <c r="G3557" t="inlineStr">
        <is>
          <t>UPPVIDINGE</t>
        </is>
      </c>
      <c r="I3557" t="n">
        <v>1.8</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25427-2026</t>
        </is>
      </c>
      <c r="B3558" t="inlineStr">
        <is>
          <t>avverkningsanmälan</t>
        </is>
      </c>
      <c r="C3558" t="inlineStr">
        <is>
          <t>Föryngringsavverkning</t>
        </is>
      </c>
      <c r="D3558" s="1" t="n">
        <v>46177</v>
      </c>
      <c r="E3558" s="1" t="n">
        <v>46316</v>
      </c>
      <c r="F3558" t="inlineStr">
        <is>
          <t>KRONOBERGS LÄN</t>
        </is>
      </c>
      <c r="G3558" t="inlineStr">
        <is>
          <t>UPPVIDINGE</t>
        </is>
      </c>
      <c r="H3558" t="inlineStr">
        <is>
          <t>Sveaskog</t>
        </is>
      </c>
      <c r="I3558" t="n">
        <v>1.7</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25370-2026</t>
        </is>
      </c>
      <c r="B3559" t="inlineStr">
        <is>
          <t>avverkningsanmälan</t>
        </is>
      </c>
      <c r="C3559" t="inlineStr">
        <is>
          <t>Föryngringsavverkning</t>
        </is>
      </c>
      <c r="D3559" s="1" t="n">
        <v>46176</v>
      </c>
      <c r="E3559" s="1" t="n">
        <v>46316</v>
      </c>
      <c r="F3559" t="inlineStr">
        <is>
          <t>KRONOBERGS LÄN</t>
        </is>
      </c>
      <c r="G3559" t="inlineStr">
        <is>
          <t>UPPVIDINGE</t>
        </is>
      </c>
      <c r="I3559" t="n">
        <v>3.8</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25431-2026</t>
        </is>
      </c>
      <c r="B3560" t="inlineStr">
        <is>
          <t>avverkningsanmälan</t>
        </is>
      </c>
      <c r="C3560" t="inlineStr">
        <is>
          <t>Föryngringsavverkning</t>
        </is>
      </c>
      <c r="D3560" s="1" t="n">
        <v>46177</v>
      </c>
      <c r="E3560" s="1" t="n">
        <v>46316</v>
      </c>
      <c r="F3560" t="inlineStr">
        <is>
          <t>KRONOBERGS LÄN</t>
        </is>
      </c>
      <c r="G3560" t="inlineStr">
        <is>
          <t>UPPVIDINGE</t>
        </is>
      </c>
      <c r="H3560" t="inlineStr">
        <is>
          <t>Sveaskog</t>
        </is>
      </c>
      <c r="I3560" t="n">
        <v>1.8</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6176-2025</t>
        </is>
      </c>
      <c r="B3561" t="inlineStr">
        <is>
          <t>avverkningsanmälan</t>
        </is>
      </c>
      <c r="C3561" t="inlineStr">
        <is>
          <t>Föryngringsavverkning</t>
        </is>
      </c>
      <c r="D3561" s="1" t="n">
        <v>45698</v>
      </c>
      <c r="E3561" s="1" t="n">
        <v>46316</v>
      </c>
      <c r="F3561" t="inlineStr">
        <is>
          <t>KRONOBERGS LÄN</t>
        </is>
      </c>
      <c r="G3561" t="inlineStr">
        <is>
          <t>ALVESTA</t>
        </is>
      </c>
      <c r="I3561" t="n">
        <v>0.5</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14163-2023</t>
        </is>
      </c>
      <c r="B3562" t="inlineStr">
        <is>
          <t>avverkningsanmälan</t>
        </is>
      </c>
      <c r="C3562" t="inlineStr">
        <is>
          <t>Föryngringsavverkning</t>
        </is>
      </c>
      <c r="D3562" s="1" t="n">
        <v>45009</v>
      </c>
      <c r="E3562" s="1" t="n">
        <v>46316</v>
      </c>
      <c r="F3562" t="inlineStr">
        <is>
          <t>KRONOBERGS LÄN</t>
        </is>
      </c>
      <c r="G3562" t="inlineStr">
        <is>
          <t>UPPVIDINGE</t>
        </is>
      </c>
      <c r="I3562" t="n">
        <v>2</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42296-2023</t>
        </is>
      </c>
      <c r="B3563" t="inlineStr">
        <is>
          <t>avverkningsanmälan</t>
        </is>
      </c>
      <c r="C3563" t="inlineStr">
        <is>
          <t>Föryngringsavverkning</t>
        </is>
      </c>
      <c r="D3563" s="1" t="n">
        <v>45180</v>
      </c>
      <c r="E3563" s="1" t="n">
        <v>46316</v>
      </c>
      <c r="F3563" t="inlineStr">
        <is>
          <t>KRONOBERGS LÄN</t>
        </is>
      </c>
      <c r="G3563" t="inlineStr">
        <is>
          <t>VÄXJÖ</t>
        </is>
      </c>
      <c r="I3563" t="n">
        <v>2.3</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25428-2026</t>
        </is>
      </c>
      <c r="B3564" t="inlineStr">
        <is>
          <t>avverkningsanmälan</t>
        </is>
      </c>
      <c r="C3564" t="inlineStr">
        <is>
          <t>Föryngringsavverkning</t>
        </is>
      </c>
      <c r="D3564" s="1" t="n">
        <v>46177</v>
      </c>
      <c r="E3564" s="1" t="n">
        <v>46316</v>
      </c>
      <c r="F3564" t="inlineStr">
        <is>
          <t>KRONOBERGS LÄN</t>
        </is>
      </c>
      <c r="G3564" t="inlineStr">
        <is>
          <t>UPPVIDINGE</t>
        </is>
      </c>
      <c r="H3564" t="inlineStr">
        <is>
          <t>Sveaskog</t>
        </is>
      </c>
      <c r="I3564" t="n">
        <v>4.6</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25429-2026</t>
        </is>
      </c>
      <c r="B3565" t="inlineStr">
        <is>
          <t>avverkningsanmälan</t>
        </is>
      </c>
      <c r="C3565" t="inlineStr">
        <is>
          <t>Föryngringsavverkning</t>
        </is>
      </c>
      <c r="D3565" s="1" t="n">
        <v>46177</v>
      </c>
      <c r="E3565" s="1" t="n">
        <v>46316</v>
      </c>
      <c r="F3565" t="inlineStr">
        <is>
          <t>KRONOBERGS LÄN</t>
        </is>
      </c>
      <c r="G3565" t="inlineStr">
        <is>
          <t>UPPVIDINGE</t>
        </is>
      </c>
      <c r="H3565" t="inlineStr">
        <is>
          <t>Sveaskog</t>
        </is>
      </c>
      <c r="I3565" t="n">
        <v>5.6</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25432-2026</t>
        </is>
      </c>
      <c r="B3566" t="inlineStr">
        <is>
          <t>avverkningsanmälan</t>
        </is>
      </c>
      <c r="C3566" t="inlineStr">
        <is>
          <t>Föryngringsavverkning</t>
        </is>
      </c>
      <c r="D3566" s="1" t="n">
        <v>46177</v>
      </c>
      <c r="E3566" s="1" t="n">
        <v>46316</v>
      </c>
      <c r="F3566" t="inlineStr">
        <is>
          <t>KRONOBERGS LÄN</t>
        </is>
      </c>
      <c r="G3566" t="inlineStr">
        <is>
          <t>UPPVIDINGE</t>
        </is>
      </c>
      <c r="H3566" t="inlineStr">
        <is>
          <t>Sveaskog</t>
        </is>
      </c>
      <c r="I3566" t="n">
        <v>1.3</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25393-2026</t>
        </is>
      </c>
      <c r="B3567" t="inlineStr">
        <is>
          <t>avverkningsanmälan</t>
        </is>
      </c>
      <c r="C3567" t="inlineStr">
        <is>
          <t>Föryngringsavverkning</t>
        </is>
      </c>
      <c r="D3567" s="1" t="n">
        <v>46176</v>
      </c>
      <c r="E3567" s="1" t="n">
        <v>46316</v>
      </c>
      <c r="F3567" t="inlineStr">
        <is>
          <t>KRONOBERGS LÄN</t>
        </is>
      </c>
      <c r="G3567" t="inlineStr">
        <is>
          <t>UPPVIDINGE</t>
        </is>
      </c>
      <c r="I3567" t="n">
        <v>2.8</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46044-2024</t>
        </is>
      </c>
      <c r="B3568" t="inlineStr">
        <is>
          <t>avverkningsanmälan</t>
        </is>
      </c>
      <c r="C3568" t="inlineStr">
        <is>
          <t>Föryngringsavverkning</t>
        </is>
      </c>
      <c r="D3568" s="1" t="n">
        <v>45580</v>
      </c>
      <c r="E3568" s="1" t="n">
        <v>46316</v>
      </c>
      <c r="F3568" t="inlineStr">
        <is>
          <t>KRONOBERGS LÄN</t>
        </is>
      </c>
      <c r="G3568" t="inlineStr">
        <is>
          <t>VÄXJÖ</t>
        </is>
      </c>
      <c r="I3568" t="n">
        <v>0.5</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11787-2024</t>
        </is>
      </c>
      <c r="B3569" t="inlineStr">
        <is>
          <t>avverkningsanmälan</t>
        </is>
      </c>
      <c r="C3569" t="inlineStr">
        <is>
          <t>Föryngringsavverkning</t>
        </is>
      </c>
      <c r="D3569" s="1" t="n">
        <v>45374</v>
      </c>
      <c r="E3569" s="1" t="n">
        <v>46316</v>
      </c>
      <c r="F3569" t="inlineStr">
        <is>
          <t>KRONOBERGS LÄN</t>
        </is>
      </c>
      <c r="G3569" t="inlineStr">
        <is>
          <t>ÄLMHULT</t>
        </is>
      </c>
      <c r="I3569" t="n">
        <v>2.3</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20631-2024</t>
        </is>
      </c>
      <c r="B3570" t="inlineStr">
        <is>
          <t>avverkningsanmälan</t>
        </is>
      </c>
      <c r="C3570" t="inlineStr">
        <is>
          <t>Föryngringsavverkning</t>
        </is>
      </c>
      <c r="D3570" s="1" t="n">
        <v>45436</v>
      </c>
      <c r="E3570" s="1" t="n">
        <v>46316</v>
      </c>
      <c r="F3570" t="inlineStr">
        <is>
          <t>KRONOBERGS LÄN</t>
        </is>
      </c>
      <c r="G3570" t="inlineStr">
        <is>
          <t>ALVESTA</t>
        </is>
      </c>
      <c r="I3570" t="n">
        <v>2.4</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63553-2023</t>
        </is>
      </c>
      <c r="B3571" t="inlineStr">
        <is>
          <t>avverkningsanmälan</t>
        </is>
      </c>
      <c r="C3571" t="inlineStr">
        <is>
          <t>Föryngringsavverkning</t>
        </is>
      </c>
      <c r="D3571" s="1" t="n">
        <v>45275</v>
      </c>
      <c r="E3571" s="1" t="n">
        <v>46316</v>
      </c>
      <c r="F3571" t="inlineStr">
        <is>
          <t>KRONOBERGS LÄN</t>
        </is>
      </c>
      <c r="G3571" t="inlineStr">
        <is>
          <t>UPPVIDINGE</t>
        </is>
      </c>
      <c r="I3571" t="n">
        <v>1.5</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30439-2022</t>
        </is>
      </c>
      <c r="B3572" t="inlineStr">
        <is>
          <t>avverkningsanmälan</t>
        </is>
      </c>
      <c r="C3572" t="inlineStr">
        <is>
          <t>Föryngringsavverkning</t>
        </is>
      </c>
      <c r="D3572" s="1" t="n">
        <v>44761</v>
      </c>
      <c r="E3572" s="1" t="n">
        <v>46316</v>
      </c>
      <c r="F3572" t="inlineStr">
        <is>
          <t>KRONOBERGS LÄN</t>
        </is>
      </c>
      <c r="G3572" t="inlineStr">
        <is>
          <t>VÄXJÖ</t>
        </is>
      </c>
      <c r="H3572" t="inlineStr">
        <is>
          <t>Kyrkan</t>
        </is>
      </c>
      <c r="I3572" t="n">
        <v>2.2</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19609-2026</t>
        </is>
      </c>
      <c r="B3573" t="inlineStr">
        <is>
          <t>avverkningsanmälan</t>
        </is>
      </c>
      <c r="C3573" t="inlineStr">
        <is>
          <t>Föryngringsavverkning</t>
        </is>
      </c>
      <c r="D3573" s="1" t="n">
        <v>46134</v>
      </c>
      <c r="E3573" s="1" t="n">
        <v>46316</v>
      </c>
      <c r="F3573" t="inlineStr">
        <is>
          <t>KRONOBERGS LÄN</t>
        </is>
      </c>
      <c r="G3573" t="inlineStr">
        <is>
          <t>VÄXJÖ</t>
        </is>
      </c>
      <c r="I3573" t="n">
        <v>1.2</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31066-2022</t>
        </is>
      </c>
      <c r="B3574" t="inlineStr">
        <is>
          <t>avverkningsanmälan</t>
        </is>
      </c>
      <c r="C3574" t="inlineStr">
        <is>
          <t>Föryngringsavverkning</t>
        </is>
      </c>
      <c r="D3574" s="1" t="n">
        <v>44769</v>
      </c>
      <c r="E3574" s="1" t="n">
        <v>46316</v>
      </c>
      <c r="F3574" t="inlineStr">
        <is>
          <t>KRONOBERGS LÄN</t>
        </is>
      </c>
      <c r="G3574" t="inlineStr">
        <is>
          <t>TINGSRYD</t>
        </is>
      </c>
      <c r="I3574" t="n">
        <v>2.1</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19622-2026</t>
        </is>
      </c>
      <c r="B3575" t="inlineStr">
        <is>
          <t>avverkningsanmälan</t>
        </is>
      </c>
      <c r="C3575" t="inlineStr">
        <is>
          <t>Föryngringsavverkning</t>
        </is>
      </c>
      <c r="D3575" s="1" t="n">
        <v>46134</v>
      </c>
      <c r="E3575" s="1" t="n">
        <v>46316</v>
      </c>
      <c r="F3575" t="inlineStr">
        <is>
          <t>KRONOBERGS LÄN</t>
        </is>
      </c>
      <c r="G3575" t="inlineStr">
        <is>
          <t>VÄXJÖ</t>
        </is>
      </c>
      <c r="I3575" t="n">
        <v>0.7</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7879-2025</t>
        </is>
      </c>
      <c r="B3576" t="inlineStr">
        <is>
          <t>avverkningsanmälan</t>
        </is>
      </c>
      <c r="C3576" t="inlineStr">
        <is>
          <t>Föryngringsavverkning</t>
        </is>
      </c>
      <c r="D3576" s="1" t="n">
        <v>45706</v>
      </c>
      <c r="E3576" s="1" t="n">
        <v>46316</v>
      </c>
      <c r="F3576" t="inlineStr">
        <is>
          <t>KRONOBERGS LÄN</t>
        </is>
      </c>
      <c r="G3576" t="inlineStr">
        <is>
          <t>ÄLMHULT</t>
        </is>
      </c>
      <c r="I3576" t="n">
        <v>0.5</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25426-2026</t>
        </is>
      </c>
      <c r="B3577" t="inlineStr">
        <is>
          <t>avverkningsanmälan</t>
        </is>
      </c>
      <c r="C3577" t="inlineStr">
        <is>
          <t>Föryngringsavverkning</t>
        </is>
      </c>
      <c r="D3577" s="1" t="n">
        <v>46177</v>
      </c>
      <c r="E3577" s="1" t="n">
        <v>46316</v>
      </c>
      <c r="F3577" t="inlineStr">
        <is>
          <t>KRONOBERGS LÄN</t>
        </is>
      </c>
      <c r="G3577" t="inlineStr">
        <is>
          <t>UPPVIDINGE</t>
        </is>
      </c>
      <c r="H3577" t="inlineStr">
        <is>
          <t>Sveaskog</t>
        </is>
      </c>
      <c r="I3577" t="n">
        <v>1.2</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11912-2022</t>
        </is>
      </c>
      <c r="B3578" t="inlineStr">
        <is>
          <t>avverkningsanmälan</t>
        </is>
      </c>
      <c r="C3578" t="inlineStr">
        <is>
          <t>Föryngringsavverkning</t>
        </is>
      </c>
      <c r="D3578" s="1" t="n">
        <v>44635</v>
      </c>
      <c r="E3578" s="1" t="n">
        <v>46316</v>
      </c>
      <c r="F3578" t="inlineStr">
        <is>
          <t>KRONOBERGS LÄN</t>
        </is>
      </c>
      <c r="G3578" t="inlineStr">
        <is>
          <t>ALVESTA</t>
        </is>
      </c>
      <c r="I3578" t="n">
        <v>1.6</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28219-2024</t>
        </is>
      </c>
      <c r="B3579" t="inlineStr">
        <is>
          <t>avverkningsanmälan</t>
        </is>
      </c>
      <c r="C3579" t="inlineStr">
        <is>
          <t>Föryngringsavverkning</t>
        </is>
      </c>
      <c r="D3579" s="1" t="n">
        <v>45477</v>
      </c>
      <c r="E3579" s="1" t="n">
        <v>46316</v>
      </c>
      <c r="F3579" t="inlineStr">
        <is>
          <t>KRONOBERGS LÄN</t>
        </is>
      </c>
      <c r="G3579" t="inlineStr">
        <is>
          <t>VÄXJÖ</t>
        </is>
      </c>
      <c r="H3579" t="inlineStr">
        <is>
          <t>Sveaskog</t>
        </is>
      </c>
      <c r="I3579" t="n">
        <v>0.5</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6838-2024</t>
        </is>
      </c>
      <c r="B3580" t="inlineStr">
        <is>
          <t>avverkningsanmälan</t>
        </is>
      </c>
      <c r="C3580" t="inlineStr">
        <is>
          <t>Föryngringsavverkning</t>
        </is>
      </c>
      <c r="D3580" s="1" t="n">
        <v>45342</v>
      </c>
      <c r="E3580" s="1" t="n">
        <v>46316</v>
      </c>
      <c r="F3580" t="inlineStr">
        <is>
          <t>KRONOBERGS LÄN</t>
        </is>
      </c>
      <c r="G3580" t="inlineStr">
        <is>
          <t>ALVESTA</t>
        </is>
      </c>
      <c r="I3580" t="n">
        <v>0.5</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50212-2024</t>
        </is>
      </c>
      <c r="B3581" t="inlineStr">
        <is>
          <t>avverkningsanmälan</t>
        </is>
      </c>
      <c r="C3581" t="inlineStr">
        <is>
          <t>Föryngringsavverkning</t>
        </is>
      </c>
      <c r="D3581" s="1" t="n">
        <v>45600</v>
      </c>
      <c r="E3581" s="1" t="n">
        <v>46316</v>
      </c>
      <c r="F3581" t="inlineStr">
        <is>
          <t>KRONOBERGS LÄN</t>
        </is>
      </c>
      <c r="G3581" t="inlineStr">
        <is>
          <t>TINGSRYD</t>
        </is>
      </c>
      <c r="I3581" t="n">
        <v>0.6</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4575-2023</t>
        </is>
      </c>
      <c r="B3582" t="inlineStr">
        <is>
          <t>avverkningsanmälan</t>
        </is>
      </c>
      <c r="C3582" t="inlineStr">
        <is>
          <t>Föryngringsavverkning</t>
        </is>
      </c>
      <c r="D3582" s="1" t="n">
        <v>44956</v>
      </c>
      <c r="E3582" s="1" t="n">
        <v>46316</v>
      </c>
      <c r="F3582" t="inlineStr">
        <is>
          <t>KRONOBERGS LÄN</t>
        </is>
      </c>
      <c r="G3582" t="inlineStr">
        <is>
          <t>MARKARYD</t>
        </is>
      </c>
      <c r="I3582" t="n">
        <v>0.8</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25430-2026</t>
        </is>
      </c>
      <c r="B3583" t="inlineStr">
        <is>
          <t>avverkningsanmälan</t>
        </is>
      </c>
      <c r="C3583" t="inlineStr">
        <is>
          <t>Föryngringsavverkning</t>
        </is>
      </c>
      <c r="D3583" s="1" t="n">
        <v>46177</v>
      </c>
      <c r="E3583" s="1" t="n">
        <v>46316</v>
      </c>
      <c r="F3583" t="inlineStr">
        <is>
          <t>KRONOBERGS LÄN</t>
        </is>
      </c>
      <c r="G3583" t="inlineStr">
        <is>
          <t>UPPVIDINGE</t>
        </is>
      </c>
      <c r="H3583" t="inlineStr">
        <is>
          <t>Sveaskog</t>
        </is>
      </c>
      <c r="I3583" t="n">
        <v>1.8</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16754-2025</t>
        </is>
      </c>
      <c r="B3584" t="inlineStr">
        <is>
          <t>avverkningsanmälan</t>
        </is>
      </c>
      <c r="C3584" t="inlineStr">
        <is>
          <t>Föryngringsavverkning</t>
        </is>
      </c>
      <c r="D3584" s="1" t="n">
        <v>45754</v>
      </c>
      <c r="E3584" s="1" t="n">
        <v>46316</v>
      </c>
      <c r="F3584" t="inlineStr">
        <is>
          <t>KRONOBERGS LÄN</t>
        </is>
      </c>
      <c r="G3584" t="inlineStr">
        <is>
          <t>LJUNGBY</t>
        </is>
      </c>
      <c r="I3584" t="n">
        <v>0.5</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25471-2026</t>
        </is>
      </c>
      <c r="B3585" t="inlineStr">
        <is>
          <t>avverkningsanmälan</t>
        </is>
      </c>
      <c r="C3585" t="inlineStr">
        <is>
          <t>Föryngringsavverkning</t>
        </is>
      </c>
      <c r="D3585" s="1" t="n">
        <v>46177</v>
      </c>
      <c r="E3585" s="1" t="n">
        <v>46316</v>
      </c>
      <c r="F3585" t="inlineStr">
        <is>
          <t>KRONOBERGS LÄN</t>
        </is>
      </c>
      <c r="G3585" t="inlineStr">
        <is>
          <t>TINGSRYD</t>
        </is>
      </c>
      <c r="I3585" t="n">
        <v>0.8</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5380-2024</t>
        </is>
      </c>
      <c r="B3586" t="inlineStr">
        <is>
          <t>avverkningsanmälan</t>
        </is>
      </c>
      <c r="C3586" t="inlineStr">
        <is>
          <t>Föryngringsavverkning</t>
        </is>
      </c>
      <c r="D3586" s="1" t="n">
        <v>45331</v>
      </c>
      <c r="E3586" s="1" t="n">
        <v>46316</v>
      </c>
      <c r="F3586" t="inlineStr">
        <is>
          <t>KRONOBERGS LÄN</t>
        </is>
      </c>
      <c r="G3586" t="inlineStr">
        <is>
          <t>TINGSRYD</t>
        </is>
      </c>
      <c r="I3586" t="n">
        <v>0.5</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25425-2026</t>
        </is>
      </c>
      <c r="B3587" t="inlineStr">
        <is>
          <t>avverkningsanmälan</t>
        </is>
      </c>
      <c r="C3587" t="inlineStr">
        <is>
          <t>Föryngringsavverkning</t>
        </is>
      </c>
      <c r="D3587" s="1" t="n">
        <v>46177</v>
      </c>
      <c r="E3587" s="1" t="n">
        <v>46316</v>
      </c>
      <c r="F3587" t="inlineStr">
        <is>
          <t>KRONOBERGS LÄN</t>
        </is>
      </c>
      <c r="G3587" t="inlineStr">
        <is>
          <t>UPPVIDINGE</t>
        </is>
      </c>
      <c r="H3587" t="inlineStr">
        <is>
          <t>Sveaskog</t>
        </is>
      </c>
      <c r="I3587" t="n">
        <v>7.9</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8163-2025</t>
        </is>
      </c>
      <c r="B3588" t="inlineStr">
        <is>
          <t>avverkningsanmälan</t>
        </is>
      </c>
      <c r="C3588" t="inlineStr">
        <is>
          <t>Föryngringsavverkning</t>
        </is>
      </c>
      <c r="D3588" s="1" t="n">
        <v>45708</v>
      </c>
      <c r="E3588" s="1" t="n">
        <v>46316</v>
      </c>
      <c r="F3588" t="inlineStr">
        <is>
          <t>KRONOBERGS LÄN</t>
        </is>
      </c>
      <c r="G3588" t="inlineStr">
        <is>
          <t>UPPVIDINGE</t>
        </is>
      </c>
      <c r="I3588" t="n">
        <v>3.3</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59778-2024</t>
        </is>
      </c>
      <c r="B3589" t="inlineStr">
        <is>
          <t>avverkningsanmälan</t>
        </is>
      </c>
      <c r="C3589" t="inlineStr">
        <is>
          <t>Föryngringsavverkning</t>
        </is>
      </c>
      <c r="D3589" s="1" t="n">
        <v>45639</v>
      </c>
      <c r="E3589" s="1" t="n">
        <v>46316</v>
      </c>
      <c r="F3589" t="inlineStr">
        <is>
          <t>KRONOBERGS LÄN</t>
        </is>
      </c>
      <c r="G3589" t="inlineStr">
        <is>
          <t>LJUNGBY</t>
        </is>
      </c>
      <c r="I3589" t="n">
        <v>1.2</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41019-2024</t>
        </is>
      </c>
      <c r="B3590" t="inlineStr">
        <is>
          <t>avverkningsanmälan</t>
        </is>
      </c>
      <c r="C3590" t="inlineStr">
        <is>
          <t>Föryngringsavverkning</t>
        </is>
      </c>
      <c r="D3590" s="1" t="n">
        <v>45559</v>
      </c>
      <c r="E3590" s="1" t="n">
        <v>46316</v>
      </c>
      <c r="F3590" t="inlineStr">
        <is>
          <t>KRONOBERGS LÄN</t>
        </is>
      </c>
      <c r="G3590" t="inlineStr">
        <is>
          <t>VÄXJÖ</t>
        </is>
      </c>
      <c r="I3590" t="n">
        <v>0.5</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49575-2023</t>
        </is>
      </c>
      <c r="B3591" t="inlineStr">
        <is>
          <t>avverkningsanmälan</t>
        </is>
      </c>
      <c r="C3591" t="inlineStr">
        <is>
          <t>Föryngringsavverkning</t>
        </is>
      </c>
      <c r="D3591" s="1" t="n">
        <v>45211</v>
      </c>
      <c r="E3591" s="1" t="n">
        <v>46316</v>
      </c>
      <c r="F3591" t="inlineStr">
        <is>
          <t>KRONOBERGS LÄN</t>
        </is>
      </c>
      <c r="G3591" t="inlineStr">
        <is>
          <t>ÄLMHULT</t>
        </is>
      </c>
      <c r="I3591" t="n">
        <v>1.1</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34148-2023</t>
        </is>
      </c>
      <c r="B3592" t="inlineStr">
        <is>
          <t>avverkningsanmälan</t>
        </is>
      </c>
      <c r="C3592" t="inlineStr">
        <is>
          <t>Föryngringsavverkning</t>
        </is>
      </c>
      <c r="D3592" s="1" t="n">
        <v>45136</v>
      </c>
      <c r="E3592" s="1" t="n">
        <v>46316</v>
      </c>
      <c r="F3592" t="inlineStr">
        <is>
          <t>KRONOBERGS LÄN</t>
        </is>
      </c>
      <c r="G3592" t="inlineStr">
        <is>
          <t>ALVESTA</t>
        </is>
      </c>
      <c r="I3592" t="n">
        <v>4.1</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36522-2023</t>
        </is>
      </c>
      <c r="B3593" t="inlineStr">
        <is>
          <t>avverkningsanmälan</t>
        </is>
      </c>
      <c r="C3593" t="inlineStr">
        <is>
          <t>Föryngringsavverkning</t>
        </is>
      </c>
      <c r="D3593" s="1" t="n">
        <v>45153</v>
      </c>
      <c r="E3593" s="1" t="n">
        <v>46316</v>
      </c>
      <c r="F3593" t="inlineStr">
        <is>
          <t>KRONOBERGS LÄN</t>
        </is>
      </c>
      <c r="G3593" t="inlineStr">
        <is>
          <t>VÄXJÖ</t>
        </is>
      </c>
      <c r="I3593" t="n">
        <v>5</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25567-2026</t>
        </is>
      </c>
      <c r="B3594" t="inlineStr">
        <is>
          <t>avverkningsanmälan</t>
        </is>
      </c>
      <c r="C3594" t="inlineStr">
        <is>
          <t>Föryngringsavverkning</t>
        </is>
      </c>
      <c r="D3594" s="1" t="n">
        <v>46177</v>
      </c>
      <c r="E3594" s="1" t="n">
        <v>46316</v>
      </c>
      <c r="F3594" t="inlineStr">
        <is>
          <t>KRONOBERGS LÄN</t>
        </is>
      </c>
      <c r="G3594" t="inlineStr">
        <is>
          <t>ALVESTA</t>
        </is>
      </c>
      <c r="I3594" t="n">
        <v>0.9</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14425-2023</t>
        </is>
      </c>
      <c r="B3595" t="inlineStr">
        <is>
          <t>avverkningsanmälan</t>
        </is>
      </c>
      <c r="C3595" t="inlineStr">
        <is>
          <t>Föryngringsavverkning</t>
        </is>
      </c>
      <c r="D3595" s="1" t="n">
        <v>45012</v>
      </c>
      <c r="E3595" s="1" t="n">
        <v>46316</v>
      </c>
      <c r="F3595" t="inlineStr">
        <is>
          <t>KRONOBERGS LÄN</t>
        </is>
      </c>
      <c r="G3595" t="inlineStr">
        <is>
          <t>ÄLMHULT</t>
        </is>
      </c>
      <c r="I3595" t="n">
        <v>0.5</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2829-2024</t>
        </is>
      </c>
      <c r="B3596" t="inlineStr">
        <is>
          <t>avverkningsanmälan</t>
        </is>
      </c>
      <c r="C3596" t="inlineStr">
        <is>
          <t>Föryngringsavverkning</t>
        </is>
      </c>
      <c r="D3596" s="1" t="n">
        <v>45314</v>
      </c>
      <c r="E3596" s="1" t="n">
        <v>46316</v>
      </c>
      <c r="F3596" t="inlineStr">
        <is>
          <t>KRONOBERGS LÄN</t>
        </is>
      </c>
      <c r="G3596" t="inlineStr">
        <is>
          <t>ÄLMHULT</t>
        </is>
      </c>
      <c r="I3596" t="n">
        <v>2.4</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18269-2024</t>
        </is>
      </c>
      <c r="B3597" t="inlineStr">
        <is>
          <t>avverkningsanmälan</t>
        </is>
      </c>
      <c r="C3597" t="inlineStr">
        <is>
          <t>Föryngringsavverkning</t>
        </is>
      </c>
      <c r="D3597" s="1" t="n">
        <v>45421</v>
      </c>
      <c r="E3597" s="1" t="n">
        <v>46316</v>
      </c>
      <c r="F3597" t="inlineStr">
        <is>
          <t>KRONOBERGS LÄN</t>
        </is>
      </c>
      <c r="G3597" t="inlineStr">
        <is>
          <t>VÄXJÖ</t>
        </is>
      </c>
      <c r="I3597" t="n">
        <v>2.9</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19942-2022</t>
        </is>
      </c>
      <c r="B3598" t="inlineStr">
        <is>
          <t>avverkningsanmälan</t>
        </is>
      </c>
      <c r="C3598" t="inlineStr">
        <is>
          <t>Föryngringsavverkning</t>
        </is>
      </c>
      <c r="D3598" s="1" t="n">
        <v>44697</v>
      </c>
      <c r="E3598" s="1" t="n">
        <v>46316</v>
      </c>
      <c r="F3598" t="inlineStr">
        <is>
          <t>KRONOBERGS LÄN</t>
        </is>
      </c>
      <c r="G3598" t="inlineStr">
        <is>
          <t>UPPVIDINGE</t>
        </is>
      </c>
      <c r="H3598" t="inlineStr">
        <is>
          <t>Kyrkan</t>
        </is>
      </c>
      <c r="I3598" t="n">
        <v>1.5</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57651-2022</t>
        </is>
      </c>
      <c r="B3599" t="inlineStr">
        <is>
          <t>avverkningsanmälan</t>
        </is>
      </c>
      <c r="C3599" t="inlineStr">
        <is>
          <t>Föryngringsavverkning</t>
        </is>
      </c>
      <c r="D3599" s="1" t="n">
        <v>44897</v>
      </c>
      <c r="E3599" s="1" t="n">
        <v>46316</v>
      </c>
      <c r="F3599" t="inlineStr">
        <is>
          <t>KRONOBERGS LÄN</t>
        </is>
      </c>
      <c r="G3599" t="inlineStr">
        <is>
          <t>UPPVIDINGE</t>
        </is>
      </c>
      <c r="I3599" t="n">
        <v>3.6</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19619-2026</t>
        </is>
      </c>
      <c r="B3600" t="inlineStr">
        <is>
          <t>avverkningsanmälan</t>
        </is>
      </c>
      <c r="C3600" t="inlineStr">
        <is>
          <t>Föryngringsavverkning</t>
        </is>
      </c>
      <c r="D3600" s="1" t="n">
        <v>46134</v>
      </c>
      <c r="E3600" s="1" t="n">
        <v>46316</v>
      </c>
      <c r="F3600" t="inlineStr">
        <is>
          <t>KRONOBERGS LÄN</t>
        </is>
      </c>
      <c r="G3600" t="inlineStr">
        <is>
          <t>VÄXJÖ</t>
        </is>
      </c>
      <c r="I3600" t="n">
        <v>0.8</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61462-2022</t>
        </is>
      </c>
      <c r="B3601" t="inlineStr">
        <is>
          <t>avverkningsanmälan</t>
        </is>
      </c>
      <c r="C3601" t="inlineStr">
        <is>
          <t>Föryngringsavverkning</t>
        </is>
      </c>
      <c r="D3601" s="1" t="n">
        <v>44916</v>
      </c>
      <c r="E3601" s="1" t="n">
        <v>46316</v>
      </c>
      <c r="F3601" t="inlineStr">
        <is>
          <t>KRONOBERGS LÄN</t>
        </is>
      </c>
      <c r="G3601" t="inlineStr">
        <is>
          <t>TINGSRYD</t>
        </is>
      </c>
      <c r="I3601" t="n">
        <v>0.5</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26250-2026</t>
        </is>
      </c>
      <c r="B3602" t="inlineStr">
        <is>
          <t>avverkningsanmälan</t>
        </is>
      </c>
      <c r="C3602" t="inlineStr">
        <is>
          <t>Föryngringsavverkning</t>
        </is>
      </c>
      <c r="D3602" s="1" t="n">
        <v>46182</v>
      </c>
      <c r="E3602" s="1" t="n">
        <v>46316</v>
      </c>
      <c r="F3602" t="inlineStr">
        <is>
          <t>KRONOBERGS LÄN</t>
        </is>
      </c>
      <c r="G3602" t="inlineStr">
        <is>
          <t>TINGSRYD</t>
        </is>
      </c>
      <c r="I3602" t="n">
        <v>1.4</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13182-2023</t>
        </is>
      </c>
      <c r="B3603" t="inlineStr">
        <is>
          <t>avverkningsanmälan</t>
        </is>
      </c>
      <c r="C3603" t="inlineStr">
        <is>
          <t>Föryngringsavverkning</t>
        </is>
      </c>
      <c r="D3603" s="1" t="n">
        <v>45002</v>
      </c>
      <c r="E3603" s="1" t="n">
        <v>46316</v>
      </c>
      <c r="F3603" t="inlineStr">
        <is>
          <t>KRONOBERGS LÄN</t>
        </is>
      </c>
      <c r="G3603" t="inlineStr">
        <is>
          <t>TINGSRYD</t>
        </is>
      </c>
      <c r="I3603" t="n">
        <v>1.8</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13186-2023</t>
        </is>
      </c>
      <c r="B3604" t="inlineStr">
        <is>
          <t>avverkningsanmälan</t>
        </is>
      </c>
      <c r="C3604" t="inlineStr">
        <is>
          <t>Föryngringsavverkning</t>
        </is>
      </c>
      <c r="D3604" s="1" t="n">
        <v>45002</v>
      </c>
      <c r="E3604" s="1" t="n">
        <v>46316</v>
      </c>
      <c r="F3604" t="inlineStr">
        <is>
          <t>KRONOBERGS LÄN</t>
        </is>
      </c>
      <c r="G3604" t="inlineStr">
        <is>
          <t>TINGSRYD</t>
        </is>
      </c>
      <c r="I3604" t="n">
        <v>0.6</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51915-2024</t>
        </is>
      </c>
      <c r="B3605" t="inlineStr">
        <is>
          <t>avverkningsanmälan</t>
        </is>
      </c>
      <c r="C3605" t="inlineStr">
        <is>
          <t>Föryngringsavverkning</t>
        </is>
      </c>
      <c r="D3605" s="1" t="n">
        <v>45607</v>
      </c>
      <c r="E3605" s="1" t="n">
        <v>46316</v>
      </c>
      <c r="F3605" t="inlineStr">
        <is>
          <t>KRONOBERGS LÄN</t>
        </is>
      </c>
      <c r="G3605" t="inlineStr">
        <is>
          <t>UPPVIDINGE</t>
        </is>
      </c>
      <c r="I3605" t="n">
        <v>0.7</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9276-2022</t>
        </is>
      </c>
      <c r="B3606" t="inlineStr">
        <is>
          <t>avverkningsanmälan</t>
        </is>
      </c>
      <c r="C3606" t="inlineStr">
        <is>
          <t>Föryngringsavverkning</t>
        </is>
      </c>
      <c r="D3606" s="1" t="n">
        <v>44616</v>
      </c>
      <c r="E3606" s="1" t="n">
        <v>46316</v>
      </c>
      <c r="F3606" t="inlineStr">
        <is>
          <t>KRONOBERGS LÄN</t>
        </is>
      </c>
      <c r="G3606" t="inlineStr">
        <is>
          <t>MARKARYD</t>
        </is>
      </c>
      <c r="I3606" t="n">
        <v>3.4</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37924-2022</t>
        </is>
      </c>
      <c r="B3607" t="inlineStr">
        <is>
          <t>avverkningsanmälan</t>
        </is>
      </c>
      <c r="C3607" t="inlineStr">
        <is>
          <t>Föryngringsavverkning</t>
        </is>
      </c>
      <c r="D3607" s="1" t="n">
        <v>44811</v>
      </c>
      <c r="E3607" s="1" t="n">
        <v>46316</v>
      </c>
      <c r="F3607" t="inlineStr">
        <is>
          <t>KRONOBERGS LÄN</t>
        </is>
      </c>
      <c r="G3607" t="inlineStr">
        <is>
          <t>VÄXJÖ</t>
        </is>
      </c>
      <c r="I3607" t="n">
        <v>1.2</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24512-2026</t>
        </is>
      </c>
      <c r="B3608" t="inlineStr">
        <is>
          <t>avverkningsanmälan</t>
        </is>
      </c>
      <c r="C3608" t="inlineStr">
        <is>
          <t>Föryngringsavverkning</t>
        </is>
      </c>
      <c r="D3608" s="1" t="n">
        <v>46170</v>
      </c>
      <c r="E3608" s="1" t="n">
        <v>46316</v>
      </c>
      <c r="F3608" t="inlineStr">
        <is>
          <t>KRONOBERGS LÄN</t>
        </is>
      </c>
      <c r="G3608" t="inlineStr">
        <is>
          <t>VÄXJÖ</t>
        </is>
      </c>
      <c r="I3608" t="n">
        <v>4.7</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7140-2026</t>
        </is>
      </c>
      <c r="B3609" t="inlineStr">
        <is>
          <t>avverkningsanmälan</t>
        </is>
      </c>
      <c r="C3609" t="inlineStr">
        <is>
          <t>Föryngringsavverkning</t>
        </is>
      </c>
      <c r="D3609" s="1" t="n">
        <v>46058</v>
      </c>
      <c r="E3609" s="1" t="n">
        <v>46316</v>
      </c>
      <c r="F3609" t="inlineStr">
        <is>
          <t>KRONOBERGS LÄN</t>
        </is>
      </c>
      <c r="G3609" t="inlineStr">
        <is>
          <t>UPPVIDINGE</t>
        </is>
      </c>
      <c r="H3609" t="inlineStr">
        <is>
          <t>Sveaskog</t>
        </is>
      </c>
      <c r="I3609" t="n">
        <v>2.4</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31022-2023</t>
        </is>
      </c>
      <c r="B3610" t="inlineStr">
        <is>
          <t>avverkningsanmälan</t>
        </is>
      </c>
      <c r="C3610" t="inlineStr">
        <is>
          <t>Föryngringsavverkning</t>
        </is>
      </c>
      <c r="D3610" s="1" t="n">
        <v>45113</v>
      </c>
      <c r="E3610" s="1" t="n">
        <v>46316</v>
      </c>
      <c r="F3610" t="inlineStr">
        <is>
          <t>KRONOBERGS LÄN</t>
        </is>
      </c>
      <c r="G3610" t="inlineStr">
        <is>
          <t>VÄXJÖ</t>
        </is>
      </c>
      <c r="I3610" t="n">
        <v>0.9</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31029-2023</t>
        </is>
      </c>
      <c r="B3611" t="inlineStr">
        <is>
          <t>avverkningsanmälan</t>
        </is>
      </c>
      <c r="C3611" t="inlineStr">
        <is>
          <t>Föryngringsavverkning</t>
        </is>
      </c>
      <c r="D3611" s="1" t="n">
        <v>45113</v>
      </c>
      <c r="E3611" s="1" t="n">
        <v>46316</v>
      </c>
      <c r="F3611" t="inlineStr">
        <is>
          <t>KRONOBERGS LÄN</t>
        </is>
      </c>
      <c r="G3611" t="inlineStr">
        <is>
          <t>VÄXJÖ</t>
        </is>
      </c>
      <c r="I3611" t="n">
        <v>4.7</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20858-2024</t>
        </is>
      </c>
      <c r="B3612" t="inlineStr">
        <is>
          <t>avverkningsanmälan</t>
        </is>
      </c>
      <c r="C3612" t="inlineStr">
        <is>
          <t>Föryngringsavverkning</t>
        </is>
      </c>
      <c r="D3612" s="1" t="n">
        <v>45439</v>
      </c>
      <c r="E3612" s="1" t="n">
        <v>46316</v>
      </c>
      <c r="F3612" t="inlineStr">
        <is>
          <t>KRONOBERGS LÄN</t>
        </is>
      </c>
      <c r="G3612" t="inlineStr">
        <is>
          <t>TINGSRYD</t>
        </is>
      </c>
      <c r="I3612" t="n">
        <v>1.9</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26228-2026</t>
        </is>
      </c>
      <c r="B3613" t="inlineStr">
        <is>
          <t>avverkningsanmälan</t>
        </is>
      </c>
      <c r="C3613" t="inlineStr">
        <is>
          <t>Föryngringsavverkning</t>
        </is>
      </c>
      <c r="D3613" s="1" t="n">
        <v>46182</v>
      </c>
      <c r="E3613" s="1" t="n">
        <v>46316</v>
      </c>
      <c r="F3613" t="inlineStr">
        <is>
          <t>KRONOBERGS LÄN</t>
        </is>
      </c>
      <c r="G3613" t="inlineStr">
        <is>
          <t>LJUNGBY</t>
        </is>
      </c>
      <c r="I3613" t="n">
        <v>0.6</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26252-2026</t>
        </is>
      </c>
      <c r="B3614" t="inlineStr">
        <is>
          <t>avverkningsanmälan</t>
        </is>
      </c>
      <c r="C3614" t="inlineStr">
        <is>
          <t>Föryngringsavverkning</t>
        </is>
      </c>
      <c r="D3614" s="1" t="n">
        <v>46182</v>
      </c>
      <c r="E3614" s="1" t="n">
        <v>46316</v>
      </c>
      <c r="F3614" t="inlineStr">
        <is>
          <t>KRONOBERGS LÄN</t>
        </is>
      </c>
      <c r="G3614" t="inlineStr">
        <is>
          <t>TINGSRYD</t>
        </is>
      </c>
      <c r="I3614" t="n">
        <v>1</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26248-2026</t>
        </is>
      </c>
      <c r="B3615" t="inlineStr">
        <is>
          <t>avverkningsanmälan</t>
        </is>
      </c>
      <c r="C3615" t="inlineStr">
        <is>
          <t>Föryngringsavverkning</t>
        </is>
      </c>
      <c r="D3615" s="1" t="n">
        <v>46182</v>
      </c>
      <c r="E3615" s="1" t="n">
        <v>46316</v>
      </c>
      <c r="F3615" t="inlineStr">
        <is>
          <t>KRONOBERGS LÄN</t>
        </is>
      </c>
      <c r="G3615" t="inlineStr">
        <is>
          <t>TINGSRYD</t>
        </is>
      </c>
      <c r="I3615" t="n">
        <v>0.7</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10860-2025</t>
        </is>
      </c>
      <c r="B3616" t="inlineStr">
        <is>
          <t>avverkningsanmälan</t>
        </is>
      </c>
      <c r="C3616" t="inlineStr">
        <is>
          <t>Föryngringsavverkning</t>
        </is>
      </c>
      <c r="D3616" s="1" t="n">
        <v>45722</v>
      </c>
      <c r="E3616" s="1" t="n">
        <v>46316</v>
      </c>
      <c r="F3616" t="inlineStr">
        <is>
          <t>KRONOBERGS LÄN</t>
        </is>
      </c>
      <c r="G3616" t="inlineStr">
        <is>
          <t>ALVESTA</t>
        </is>
      </c>
      <c r="I3616" t="n">
        <v>1</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48828-2023</t>
        </is>
      </c>
      <c r="B3617" t="inlineStr">
        <is>
          <t>avverkningsanmälan</t>
        </is>
      </c>
      <c r="C3617" t="inlineStr">
        <is>
          <t>Föryngringsavverkning</t>
        </is>
      </c>
      <c r="D3617" s="1" t="n">
        <v>45209</v>
      </c>
      <c r="E3617" s="1" t="n">
        <v>46316</v>
      </c>
      <c r="F3617" t="inlineStr">
        <is>
          <t>KRONOBERGS LÄN</t>
        </is>
      </c>
      <c r="G3617" t="inlineStr">
        <is>
          <t>MARKARYD</t>
        </is>
      </c>
      <c r="I3617" t="n">
        <v>0.6</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26113-2026</t>
        </is>
      </c>
      <c r="B3618" t="inlineStr">
        <is>
          <t>avverkningsanmälan</t>
        </is>
      </c>
      <c r="C3618" t="inlineStr">
        <is>
          <t>Föryngringsavverkning</t>
        </is>
      </c>
      <c r="D3618" s="1" t="n">
        <v>46181</v>
      </c>
      <c r="E3618" s="1" t="n">
        <v>46316</v>
      </c>
      <c r="F3618" t="inlineStr">
        <is>
          <t>KRONOBERGS LÄN</t>
        </is>
      </c>
      <c r="G3618" t="inlineStr">
        <is>
          <t>UPPVIDINGE</t>
        </is>
      </c>
      <c r="I3618" t="n">
        <v>6.7</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26118-2026</t>
        </is>
      </c>
      <c r="B3619" t="inlineStr">
        <is>
          <t>avverkningsanmälan</t>
        </is>
      </c>
      <c r="C3619" t="inlineStr">
        <is>
          <t>Föryngringsavverkning</t>
        </is>
      </c>
      <c r="D3619" s="1" t="n">
        <v>46181</v>
      </c>
      <c r="E3619" s="1" t="n">
        <v>46316</v>
      </c>
      <c r="F3619" t="inlineStr">
        <is>
          <t>KRONOBERGS LÄN</t>
        </is>
      </c>
      <c r="G3619" t="inlineStr">
        <is>
          <t>UPPVIDINGE</t>
        </is>
      </c>
      <c r="I3619" t="n">
        <v>1.1</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26121-2026</t>
        </is>
      </c>
      <c r="B3620" t="inlineStr">
        <is>
          <t>avverkningsanmälan</t>
        </is>
      </c>
      <c r="C3620" t="inlineStr">
        <is>
          <t>Föryngringsavverkning</t>
        </is>
      </c>
      <c r="D3620" s="1" t="n">
        <v>46181</v>
      </c>
      <c r="E3620" s="1" t="n">
        <v>46316</v>
      </c>
      <c r="F3620" t="inlineStr">
        <is>
          <t>KRONOBERGS LÄN</t>
        </is>
      </c>
      <c r="G3620" t="inlineStr">
        <is>
          <t>UPPVIDINGE</t>
        </is>
      </c>
      <c r="I3620" t="n">
        <v>0.8</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64680-2023</t>
        </is>
      </c>
      <c r="B3621" t="inlineStr">
        <is>
          <t>avverkningsanmälan</t>
        </is>
      </c>
      <c r="C3621" t="inlineStr">
        <is>
          <t>Föryngringsavverkning</t>
        </is>
      </c>
      <c r="D3621" s="1" t="n">
        <v>45281</v>
      </c>
      <c r="E3621" s="1" t="n">
        <v>46316</v>
      </c>
      <c r="F3621" t="inlineStr">
        <is>
          <t>KRONOBERGS LÄN</t>
        </is>
      </c>
      <c r="G3621" t="inlineStr">
        <is>
          <t>LJUNGBY</t>
        </is>
      </c>
      <c r="I3621" t="n">
        <v>0.8</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4963-2023</t>
        </is>
      </c>
      <c r="B3622" t="inlineStr">
        <is>
          <t>avverkningsanmälan</t>
        </is>
      </c>
      <c r="C3622" t="inlineStr">
        <is>
          <t>Föryngringsavverkning</t>
        </is>
      </c>
      <c r="D3622" s="1" t="n">
        <v>44958</v>
      </c>
      <c r="E3622" s="1" t="n">
        <v>46316</v>
      </c>
      <c r="F3622" t="inlineStr">
        <is>
          <t>KRONOBERGS LÄN</t>
        </is>
      </c>
      <c r="G3622" t="inlineStr">
        <is>
          <t>MARKARYD</t>
        </is>
      </c>
      <c r="I3622" t="n">
        <v>0.9</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54910-2022</t>
        </is>
      </c>
      <c r="B3623" t="inlineStr">
        <is>
          <t>avverkningsanmälan</t>
        </is>
      </c>
      <c r="C3623" t="inlineStr">
        <is>
          <t>Avverkning för annat ändamål</t>
        </is>
      </c>
      <c r="D3623" s="1" t="n">
        <v>44886</v>
      </c>
      <c r="E3623" s="1" t="n">
        <v>46316</v>
      </c>
      <c r="F3623" t="inlineStr">
        <is>
          <t>KRONOBERGS LÄN</t>
        </is>
      </c>
      <c r="G3623" t="inlineStr">
        <is>
          <t>LJUNGBY</t>
        </is>
      </c>
      <c r="I3623" t="n">
        <v>3.3</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61592-2023</t>
        </is>
      </c>
      <c r="B3624" t="inlineStr">
        <is>
          <t>avverkningsanmälan</t>
        </is>
      </c>
      <c r="C3624" t="inlineStr">
        <is>
          <t>Föryngringsavverkning</t>
        </is>
      </c>
      <c r="D3624" s="1" t="n">
        <v>45265</v>
      </c>
      <c r="E3624" s="1" t="n">
        <v>46316</v>
      </c>
      <c r="F3624" t="inlineStr">
        <is>
          <t>KRONOBERGS LÄN</t>
        </is>
      </c>
      <c r="G3624" t="inlineStr">
        <is>
          <t>LJUNGBY</t>
        </is>
      </c>
      <c r="I3624" t="n">
        <v>0.5</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26195-2026</t>
        </is>
      </c>
      <c r="B3625" t="inlineStr">
        <is>
          <t>avverkningsanmälan</t>
        </is>
      </c>
      <c r="C3625" t="inlineStr">
        <is>
          <t>Föryngringsavverkning</t>
        </is>
      </c>
      <c r="D3625" s="1" t="n">
        <v>46182</v>
      </c>
      <c r="E3625" s="1" t="n">
        <v>46316</v>
      </c>
      <c r="F3625" t="inlineStr">
        <is>
          <t>KRONOBERGS LÄN</t>
        </is>
      </c>
      <c r="G3625" t="inlineStr">
        <is>
          <t>LJUNGBY</t>
        </is>
      </c>
      <c r="I3625" t="n">
        <v>2.1</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26795-2024</t>
        </is>
      </c>
      <c r="B3626" t="inlineStr">
        <is>
          <t>avverkningsanmälan</t>
        </is>
      </c>
      <c r="C3626" t="inlineStr">
        <is>
          <t>Föryngringsavverkning</t>
        </is>
      </c>
      <c r="D3626" s="1" t="n">
        <v>45470</v>
      </c>
      <c r="E3626" s="1" t="n">
        <v>46316</v>
      </c>
      <c r="F3626" t="inlineStr">
        <is>
          <t>KRONOBERGS LÄN</t>
        </is>
      </c>
      <c r="G3626" t="inlineStr">
        <is>
          <t>MARKARYD</t>
        </is>
      </c>
      <c r="I3626" t="n">
        <v>0.5</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42190-2023</t>
        </is>
      </c>
      <c r="B3627" t="inlineStr">
        <is>
          <t>avverkningsanmälan</t>
        </is>
      </c>
      <c r="C3627" t="inlineStr">
        <is>
          <t>Föryngringsavverkning</t>
        </is>
      </c>
      <c r="D3627" s="1" t="n">
        <v>45179</v>
      </c>
      <c r="E3627" s="1" t="n">
        <v>46316</v>
      </c>
      <c r="F3627" t="inlineStr">
        <is>
          <t>KRONOBERGS LÄN</t>
        </is>
      </c>
      <c r="G3627" t="inlineStr">
        <is>
          <t>LJUNGBY</t>
        </is>
      </c>
      <c r="I3627" t="n">
        <v>5.7</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17146-2025</t>
        </is>
      </c>
      <c r="B3628" t="inlineStr">
        <is>
          <t>avverkningsanmälan</t>
        </is>
      </c>
      <c r="C3628" t="inlineStr">
        <is>
          <t>Föryngringsavverkning</t>
        </is>
      </c>
      <c r="D3628" s="1" t="n">
        <v>45756</v>
      </c>
      <c r="E3628" s="1" t="n">
        <v>46316</v>
      </c>
      <c r="F3628" t="inlineStr">
        <is>
          <t>KRONOBERGS LÄN</t>
        </is>
      </c>
      <c r="G3628" t="inlineStr">
        <is>
          <t>LJUNGBY</t>
        </is>
      </c>
      <c r="I3628" t="n">
        <v>0.6</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17203-2025</t>
        </is>
      </c>
      <c r="B3629" t="inlineStr">
        <is>
          <t>avverkningsanmälan</t>
        </is>
      </c>
      <c r="C3629" t="inlineStr">
        <is>
          <t>Föryngringsavverkning</t>
        </is>
      </c>
      <c r="D3629" s="1" t="n">
        <v>45756</v>
      </c>
      <c r="E3629" s="1" t="n">
        <v>46316</v>
      </c>
      <c r="F3629" t="inlineStr">
        <is>
          <t>KRONOBERGS LÄN</t>
        </is>
      </c>
      <c r="G3629" t="inlineStr">
        <is>
          <t>LESSEBO</t>
        </is>
      </c>
      <c r="I3629" t="n">
        <v>2.9</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7968-2025</t>
        </is>
      </c>
      <c r="B3630" t="inlineStr">
        <is>
          <t>avverkningsanmälan</t>
        </is>
      </c>
      <c r="C3630" t="inlineStr">
        <is>
          <t>Föryngringsavverkning</t>
        </is>
      </c>
      <c r="D3630" s="1" t="n">
        <v>45707</v>
      </c>
      <c r="E3630" s="1" t="n">
        <v>46316</v>
      </c>
      <c r="F3630" t="inlineStr">
        <is>
          <t>KRONOBERGS LÄN</t>
        </is>
      </c>
      <c r="G3630" t="inlineStr">
        <is>
          <t>ÄLMHULT</t>
        </is>
      </c>
      <c r="I3630" t="n">
        <v>1.6</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25256-2026</t>
        </is>
      </c>
      <c r="B3631" t="inlineStr">
        <is>
          <t>avverkningsanmälan</t>
        </is>
      </c>
      <c r="C3631" t="inlineStr">
        <is>
          <t>Föryngringsavverkning</t>
        </is>
      </c>
      <c r="D3631" s="1" t="n">
        <v>46175</v>
      </c>
      <c r="E3631" s="1" t="n">
        <v>46316</v>
      </c>
      <c r="F3631" t="inlineStr">
        <is>
          <t>KRONOBERGS LÄN</t>
        </is>
      </c>
      <c r="G3631" t="inlineStr">
        <is>
          <t>TINGSRYD</t>
        </is>
      </c>
      <c r="I3631" t="n">
        <v>1</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25959-2026</t>
        </is>
      </c>
      <c r="B3632" t="inlineStr">
        <is>
          <t>avverkningsanmälan</t>
        </is>
      </c>
      <c r="C3632" t="inlineStr">
        <is>
          <t>Föryngringsavverkning</t>
        </is>
      </c>
      <c r="D3632" s="1" t="n">
        <v>46181</v>
      </c>
      <c r="E3632" s="1" t="n">
        <v>46316</v>
      </c>
      <c r="F3632" t="inlineStr">
        <is>
          <t>KRONOBERGS LÄN</t>
        </is>
      </c>
      <c r="G3632" t="inlineStr">
        <is>
          <t>TINGSRYD</t>
        </is>
      </c>
      <c r="I3632" t="n">
        <v>0.6</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26484-2026</t>
        </is>
      </c>
      <c r="B3633" t="inlineStr">
        <is>
          <t>avverkningsanmälan</t>
        </is>
      </c>
      <c r="C3633" t="inlineStr">
        <is>
          <t>Föryngringsavverkning</t>
        </is>
      </c>
      <c r="D3633" s="1" t="n">
        <v>46183</v>
      </c>
      <c r="E3633" s="1" t="n">
        <v>46316</v>
      </c>
      <c r="F3633" t="inlineStr">
        <is>
          <t>KRONOBERGS LÄN</t>
        </is>
      </c>
      <c r="G3633" t="inlineStr">
        <is>
          <t>VÄXJÖ</t>
        </is>
      </c>
      <c r="I3633" t="n">
        <v>1.3</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26371-2026</t>
        </is>
      </c>
      <c r="B3634" t="inlineStr">
        <is>
          <t>avverkningsanmälan</t>
        </is>
      </c>
      <c r="C3634" t="inlineStr">
        <is>
          <t>Föryngringsavverkning</t>
        </is>
      </c>
      <c r="D3634" s="1" t="n">
        <v>46183</v>
      </c>
      <c r="E3634" s="1" t="n">
        <v>46316</v>
      </c>
      <c r="F3634" t="inlineStr">
        <is>
          <t>KRONOBERGS LÄN</t>
        </is>
      </c>
      <c r="G3634" t="inlineStr">
        <is>
          <t>VÄXJÖ</t>
        </is>
      </c>
      <c r="I3634" t="n">
        <v>2.5</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26454-2026</t>
        </is>
      </c>
      <c r="B3635" t="inlineStr">
        <is>
          <t>avverkningsanmälan</t>
        </is>
      </c>
      <c r="C3635" t="inlineStr">
        <is>
          <t>Föryngringsavverkning</t>
        </is>
      </c>
      <c r="D3635" s="1" t="n">
        <v>46183</v>
      </c>
      <c r="E3635" s="1" t="n">
        <v>46316</v>
      </c>
      <c r="F3635" t="inlineStr">
        <is>
          <t>KRONOBERGS LÄN</t>
        </is>
      </c>
      <c r="G3635" t="inlineStr">
        <is>
          <t>VÄXJÖ</t>
        </is>
      </c>
      <c r="I3635" t="n">
        <v>1.1</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1365-2024</t>
        </is>
      </c>
      <c r="B3636" t="inlineStr">
        <is>
          <t>avverkningsanmälan</t>
        </is>
      </c>
      <c r="C3636" t="inlineStr">
        <is>
          <t>Föryngringsavverkning</t>
        </is>
      </c>
      <c r="D3636" s="1" t="n">
        <v>45303</v>
      </c>
      <c r="E3636" s="1" t="n">
        <v>46316</v>
      </c>
      <c r="F3636" t="inlineStr">
        <is>
          <t>KRONOBERGS LÄN</t>
        </is>
      </c>
      <c r="G3636" t="inlineStr">
        <is>
          <t>ÄLMHULT</t>
        </is>
      </c>
      <c r="I3636" t="n">
        <v>1.3</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61970-2024</t>
        </is>
      </c>
      <c r="B3637" t="inlineStr">
        <is>
          <t>avverkningsanmälan</t>
        </is>
      </c>
      <c r="C3637" t="inlineStr">
        <is>
          <t>Föryngringsavverkning</t>
        </is>
      </c>
      <c r="D3637" s="1" t="n">
        <v>45653</v>
      </c>
      <c r="E3637" s="1" t="n">
        <v>46316</v>
      </c>
      <c r="F3637" t="inlineStr">
        <is>
          <t>KRONOBERGS LÄN</t>
        </is>
      </c>
      <c r="G3637" t="inlineStr">
        <is>
          <t>ÄLMHULT</t>
        </is>
      </c>
      <c r="I3637" t="n">
        <v>0.5</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61971-2024</t>
        </is>
      </c>
      <c r="B3638" t="inlineStr">
        <is>
          <t>avverkningsanmälan</t>
        </is>
      </c>
      <c r="C3638" t="inlineStr">
        <is>
          <t>Föryngringsavverkning</t>
        </is>
      </c>
      <c r="D3638" s="1" t="n">
        <v>45653</v>
      </c>
      <c r="E3638" s="1" t="n">
        <v>46316</v>
      </c>
      <c r="F3638" t="inlineStr">
        <is>
          <t>KRONOBERGS LÄN</t>
        </is>
      </c>
      <c r="G3638" t="inlineStr">
        <is>
          <t>ÄLMHULT</t>
        </is>
      </c>
      <c r="I3638" t="n">
        <v>0.7</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43827-2023</t>
        </is>
      </c>
      <c r="B3639" t="inlineStr">
        <is>
          <t>avverkningsanmälan</t>
        </is>
      </c>
      <c r="C3639" t="inlineStr">
        <is>
          <t>Föryngringsavverkning</t>
        </is>
      </c>
      <c r="D3639" s="1" t="n">
        <v>45187</v>
      </c>
      <c r="E3639" s="1" t="n">
        <v>46316</v>
      </c>
      <c r="F3639" t="inlineStr">
        <is>
          <t>KRONOBERGS LÄN</t>
        </is>
      </c>
      <c r="G3639" t="inlineStr">
        <is>
          <t>ÄLMHULT</t>
        </is>
      </c>
      <c r="I3639" t="n">
        <v>0.6</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9883-2025</t>
        </is>
      </c>
      <c r="B3640" t="inlineStr">
        <is>
          <t>avverkningsanmälan</t>
        </is>
      </c>
      <c r="C3640" t="inlineStr">
        <is>
          <t>Föryngringsavverkning</t>
        </is>
      </c>
      <c r="D3640" s="1" t="n">
        <v>45716</v>
      </c>
      <c r="E3640" s="1" t="n">
        <v>46316</v>
      </c>
      <c r="F3640" t="inlineStr">
        <is>
          <t>KRONOBERGS LÄN</t>
        </is>
      </c>
      <c r="G3640" t="inlineStr">
        <is>
          <t>ÄLMHULT</t>
        </is>
      </c>
      <c r="H3640" t="inlineStr">
        <is>
          <t>Sveaskog</t>
        </is>
      </c>
      <c r="I3640" t="n">
        <v>0.3</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11934-2023</t>
        </is>
      </c>
      <c r="B3641" t="inlineStr">
        <is>
          <t>avverkningsanmälan</t>
        </is>
      </c>
      <c r="C3641" t="inlineStr">
        <is>
          <t>Föryngringsavverkning</t>
        </is>
      </c>
      <c r="D3641" s="1" t="n">
        <v>44995</v>
      </c>
      <c r="E3641" s="1" t="n">
        <v>46316</v>
      </c>
      <c r="F3641" t="inlineStr">
        <is>
          <t>KRONOBERGS LÄN</t>
        </is>
      </c>
      <c r="G3641" t="inlineStr">
        <is>
          <t>TINGSRYD</t>
        </is>
      </c>
      <c r="I3641" t="n">
        <v>1.5</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26492-2026</t>
        </is>
      </c>
      <c r="B3642" t="inlineStr">
        <is>
          <t>avverkningsanmälan</t>
        </is>
      </c>
      <c r="C3642" t="inlineStr">
        <is>
          <t>Föryngringsavverkning</t>
        </is>
      </c>
      <c r="D3642" s="1" t="n">
        <v>46183</v>
      </c>
      <c r="E3642" s="1" t="n">
        <v>46316</v>
      </c>
      <c r="F3642" t="inlineStr">
        <is>
          <t>KRONOBERGS LÄN</t>
        </is>
      </c>
      <c r="G3642" t="inlineStr">
        <is>
          <t>VÄXJÖ</t>
        </is>
      </c>
      <c r="I3642" t="n">
        <v>0.8</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39483-2022</t>
        </is>
      </c>
      <c r="B3643" t="inlineStr">
        <is>
          <t>avverkningsanmälan</t>
        </is>
      </c>
      <c r="C3643" t="inlineStr">
        <is>
          <t>Föryngringsavverkning</t>
        </is>
      </c>
      <c r="D3643" s="1" t="n">
        <v>44818</v>
      </c>
      <c r="E3643" s="1" t="n">
        <v>46316</v>
      </c>
      <c r="F3643" t="inlineStr">
        <is>
          <t>KRONOBERGS LÄN</t>
        </is>
      </c>
      <c r="G3643" t="inlineStr">
        <is>
          <t>MARKARYD</t>
        </is>
      </c>
      <c r="I3643" t="n">
        <v>1.3</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61112-2022</t>
        </is>
      </c>
      <c r="B3644" t="inlineStr">
        <is>
          <t>avverkningsanmälan</t>
        </is>
      </c>
      <c r="C3644" t="inlineStr">
        <is>
          <t>Föryngringsavverkning</t>
        </is>
      </c>
      <c r="D3644" s="1" t="n">
        <v>44915</v>
      </c>
      <c r="E3644" s="1" t="n">
        <v>46316</v>
      </c>
      <c r="F3644" t="inlineStr">
        <is>
          <t>KRONOBERGS LÄN</t>
        </is>
      </c>
      <c r="G3644" t="inlineStr">
        <is>
          <t>UPPVIDINGE</t>
        </is>
      </c>
      <c r="I3644" t="n">
        <v>12.5</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33949-2022</t>
        </is>
      </c>
      <c r="B3645" t="inlineStr">
        <is>
          <t>avverkningsanmälan</t>
        </is>
      </c>
      <c r="C3645" t="inlineStr">
        <is>
          <t>Föryngringsavverkning</t>
        </is>
      </c>
      <c r="D3645" s="1" t="n">
        <v>44790</v>
      </c>
      <c r="E3645" s="1" t="n">
        <v>46316</v>
      </c>
      <c r="F3645" t="inlineStr">
        <is>
          <t>KRONOBERGS LÄN</t>
        </is>
      </c>
      <c r="G3645" t="inlineStr">
        <is>
          <t>UPPVIDINGE</t>
        </is>
      </c>
      <c r="H3645" t="inlineStr">
        <is>
          <t>Kyrkan</t>
        </is>
      </c>
      <c r="I3645" t="n">
        <v>2.7</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3510-2024</t>
        </is>
      </c>
      <c r="B3646" t="inlineStr">
        <is>
          <t>avverkningsanmälan</t>
        </is>
      </c>
      <c r="C3646" t="inlineStr">
        <is>
          <t>Föryngringsavverkning</t>
        </is>
      </c>
      <c r="D3646" s="1" t="n">
        <v>45320</v>
      </c>
      <c r="E3646" s="1" t="n">
        <v>46316</v>
      </c>
      <c r="F3646" t="inlineStr">
        <is>
          <t>KRONOBERGS LÄN</t>
        </is>
      </c>
      <c r="G3646" t="inlineStr">
        <is>
          <t>ALVESTA</t>
        </is>
      </c>
      <c r="I3646" t="n">
        <v>1.4</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26520-2026</t>
        </is>
      </c>
      <c r="B3647" t="inlineStr">
        <is>
          <t>avverkningsanmälan</t>
        </is>
      </c>
      <c r="C3647" t="inlineStr">
        <is>
          <t>Föryngringsavverkning</t>
        </is>
      </c>
      <c r="D3647" s="1" t="n">
        <v>46183</v>
      </c>
      <c r="E3647" s="1" t="n">
        <v>46316</v>
      </c>
      <c r="F3647" t="inlineStr">
        <is>
          <t>KRONOBERGS LÄN</t>
        </is>
      </c>
      <c r="G3647" t="inlineStr">
        <is>
          <t>UPPVIDINGE</t>
        </is>
      </c>
      <c r="I3647" t="n">
        <v>0.7</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26789-2026</t>
        </is>
      </c>
      <c r="B3648" t="inlineStr">
        <is>
          <t>avverkningsanmälan</t>
        </is>
      </c>
      <c r="C3648" t="inlineStr">
        <is>
          <t>Föryngringsavverkning</t>
        </is>
      </c>
      <c r="D3648" s="1" t="n">
        <v>46184</v>
      </c>
      <c r="E3648" s="1" t="n">
        <v>46316</v>
      </c>
      <c r="F3648" t="inlineStr">
        <is>
          <t>KRONOBERGS LÄN</t>
        </is>
      </c>
      <c r="G3648" t="inlineStr">
        <is>
          <t>ÄLMHULT</t>
        </is>
      </c>
      <c r="I3648" t="n">
        <v>0.8</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26790-2026</t>
        </is>
      </c>
      <c r="B3649" t="inlineStr">
        <is>
          <t>avverkningsanmälan</t>
        </is>
      </c>
      <c r="C3649" t="inlineStr">
        <is>
          <t>Föryngringsavverkning</t>
        </is>
      </c>
      <c r="D3649" s="1" t="n">
        <v>46184</v>
      </c>
      <c r="E3649" s="1" t="n">
        <v>46316</v>
      </c>
      <c r="F3649" t="inlineStr">
        <is>
          <t>KRONOBERGS LÄN</t>
        </is>
      </c>
      <c r="G3649" t="inlineStr">
        <is>
          <t>ÄLMHULT</t>
        </is>
      </c>
      <c r="I3649" t="n">
        <v>4.2</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26665-2026</t>
        </is>
      </c>
      <c r="B3650" t="inlineStr">
        <is>
          <t>avverkningsanmälan</t>
        </is>
      </c>
      <c r="C3650" t="inlineStr">
        <is>
          <t>Föryngringsavverkning</t>
        </is>
      </c>
      <c r="D3650" s="1" t="n">
        <v>46184</v>
      </c>
      <c r="E3650" s="1" t="n">
        <v>46316</v>
      </c>
      <c r="F3650" t="inlineStr">
        <is>
          <t>KRONOBERGS LÄN</t>
        </is>
      </c>
      <c r="G3650" t="inlineStr">
        <is>
          <t>LJUNGBY</t>
        </is>
      </c>
      <c r="I3650" t="n">
        <v>0.9</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42021-2024</t>
        </is>
      </c>
      <c r="B3651" t="inlineStr">
        <is>
          <t>avverkningsanmälan</t>
        </is>
      </c>
      <c r="C3651" t="inlineStr">
        <is>
          <t>Föryngringsavverkning</t>
        </is>
      </c>
      <c r="D3651" s="1" t="n">
        <v>45561</v>
      </c>
      <c r="E3651" s="1" t="n">
        <v>46316</v>
      </c>
      <c r="F3651" t="inlineStr">
        <is>
          <t>KRONOBERGS LÄN</t>
        </is>
      </c>
      <c r="G3651" t="inlineStr">
        <is>
          <t>LJUNGBY</t>
        </is>
      </c>
      <c r="I3651" t="n">
        <v>2.3</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26723-2026</t>
        </is>
      </c>
      <c r="B3652" t="inlineStr">
        <is>
          <t>avverkningsanmälan</t>
        </is>
      </c>
      <c r="C3652" t="inlineStr">
        <is>
          <t>Avverkning för annat ändamål</t>
        </is>
      </c>
      <c r="D3652" s="1" t="n">
        <v>46184</v>
      </c>
      <c r="E3652" s="1" t="n">
        <v>46316</v>
      </c>
      <c r="F3652" t="inlineStr">
        <is>
          <t>KRONOBERGS LÄN</t>
        </is>
      </c>
      <c r="G3652" t="inlineStr">
        <is>
          <t>LJUNGBY</t>
        </is>
      </c>
      <c r="I3652" t="n">
        <v>0.9</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27254-2026</t>
        </is>
      </c>
      <c r="B3653" t="inlineStr">
        <is>
          <t>avverkningsanmälan</t>
        </is>
      </c>
      <c r="C3653" t="inlineStr">
        <is>
          <t>Föryngringsavverkning</t>
        </is>
      </c>
      <c r="D3653" s="1" t="n">
        <v>46184</v>
      </c>
      <c r="E3653" s="1" t="n">
        <v>46316</v>
      </c>
      <c r="F3653" t="inlineStr">
        <is>
          <t>KRONOBERGS LÄN</t>
        </is>
      </c>
      <c r="G3653" t="inlineStr">
        <is>
          <t>TINGSRYD</t>
        </is>
      </c>
      <c r="I3653" t="n">
        <v>5.2</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33354-2023</t>
        </is>
      </c>
      <c r="B3654" t="inlineStr">
        <is>
          <t>avverkningsanmälan</t>
        </is>
      </c>
      <c r="C3654" t="inlineStr">
        <is>
          <t>Föryngringsavverkning</t>
        </is>
      </c>
      <c r="D3654" s="1" t="n">
        <v>45117</v>
      </c>
      <c r="E3654" s="1" t="n">
        <v>46316</v>
      </c>
      <c r="F3654" t="inlineStr">
        <is>
          <t>KRONOBERGS LÄN</t>
        </is>
      </c>
      <c r="G3654" t="inlineStr">
        <is>
          <t>TINGSRYD</t>
        </is>
      </c>
      <c r="I3654" t="n">
        <v>0.9</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19784-2026</t>
        </is>
      </c>
      <c r="B3655" t="inlineStr">
        <is>
          <t>avverkningsanmälan</t>
        </is>
      </c>
      <c r="C3655" t="inlineStr">
        <is>
          <t>Föryngringsavverkning</t>
        </is>
      </c>
      <c r="D3655" s="1" t="n">
        <v>46135</v>
      </c>
      <c r="E3655" s="1" t="n">
        <v>46316</v>
      </c>
      <c r="F3655" t="inlineStr">
        <is>
          <t>KRONOBERGS LÄN</t>
        </is>
      </c>
      <c r="G3655" t="inlineStr">
        <is>
          <t>TINGSRYD</t>
        </is>
      </c>
      <c r="I3655" t="n">
        <v>0.6</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21115-2026</t>
        </is>
      </c>
      <c r="B3656" t="inlineStr">
        <is>
          <t>avverkningsanmälan</t>
        </is>
      </c>
      <c r="C3656" t="inlineStr">
        <is>
          <t>Föryngringsavverkning</t>
        </is>
      </c>
      <c r="D3656" s="1" t="n">
        <v>46146</v>
      </c>
      <c r="E3656" s="1" t="n">
        <v>46316</v>
      </c>
      <c r="F3656" t="inlineStr">
        <is>
          <t>KRONOBERGS LÄN</t>
        </is>
      </c>
      <c r="G3656" t="inlineStr">
        <is>
          <t>TINGSRYD</t>
        </is>
      </c>
      <c r="I3656" t="n">
        <v>0.7</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33437-2023</t>
        </is>
      </c>
      <c r="B3657" t="inlineStr">
        <is>
          <t>avverkningsanmälan</t>
        </is>
      </c>
      <c r="C3657" t="inlineStr">
        <is>
          <t>Föryngringsavverkning</t>
        </is>
      </c>
      <c r="D3657" s="1" t="n">
        <v>45129</v>
      </c>
      <c r="E3657" s="1" t="n">
        <v>46316</v>
      </c>
      <c r="F3657" t="inlineStr">
        <is>
          <t>KRONOBERGS LÄN</t>
        </is>
      </c>
      <c r="G3657" t="inlineStr">
        <is>
          <t>TINGSRYD</t>
        </is>
      </c>
      <c r="I3657" t="n">
        <v>3.4</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38925-2024</t>
        </is>
      </c>
      <c r="B3658" t="inlineStr">
        <is>
          <t>avverkningsanmälan</t>
        </is>
      </c>
      <c r="C3658" t="inlineStr">
        <is>
          <t>Föryngringsavverkning</t>
        </is>
      </c>
      <c r="D3658" s="1" t="n">
        <v>45547</v>
      </c>
      <c r="E3658" s="1" t="n">
        <v>46316</v>
      </c>
      <c r="F3658" t="inlineStr">
        <is>
          <t>KRONOBERGS LÄN</t>
        </is>
      </c>
      <c r="G3658" t="inlineStr">
        <is>
          <t>TINGSRYD</t>
        </is>
      </c>
      <c r="I3658" t="n">
        <v>0.9</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27256-2026</t>
        </is>
      </c>
      <c r="B3659" t="inlineStr">
        <is>
          <t>avverkningsanmälan</t>
        </is>
      </c>
      <c r="C3659" t="inlineStr">
        <is>
          <t>Föryngringsavverkning</t>
        </is>
      </c>
      <c r="D3659" s="1" t="n">
        <v>46184</v>
      </c>
      <c r="E3659" s="1" t="n">
        <v>46316</v>
      </c>
      <c r="F3659" t="inlineStr">
        <is>
          <t>KRONOBERGS LÄN</t>
        </is>
      </c>
      <c r="G3659" t="inlineStr">
        <is>
          <t>TINGSRYD</t>
        </is>
      </c>
      <c r="I3659" t="n">
        <v>6.8</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14969-2022</t>
        </is>
      </c>
      <c r="B3660" t="inlineStr">
        <is>
          <t>avverkningsanmälan</t>
        </is>
      </c>
      <c r="C3660" t="inlineStr">
        <is>
          <t>Föryngringsavverkning</t>
        </is>
      </c>
      <c r="D3660" s="1" t="n">
        <v>44657</v>
      </c>
      <c r="E3660" s="1" t="n">
        <v>46316</v>
      </c>
      <c r="F3660" t="inlineStr">
        <is>
          <t>KRONOBERGS LÄN</t>
        </is>
      </c>
      <c r="G3660" t="inlineStr">
        <is>
          <t>ALVESTA</t>
        </is>
      </c>
      <c r="I3660" t="n">
        <v>2</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37884-2023</t>
        </is>
      </c>
      <c r="B3661" t="inlineStr">
        <is>
          <t>avverkningsanmälan</t>
        </is>
      </c>
      <c r="C3661" t="inlineStr">
        <is>
          <t>Föryngringsavverkning</t>
        </is>
      </c>
      <c r="D3661" s="1" t="n">
        <v>45160</v>
      </c>
      <c r="E3661" s="1" t="n">
        <v>46316</v>
      </c>
      <c r="F3661" t="inlineStr">
        <is>
          <t>KRONOBERGS LÄN</t>
        </is>
      </c>
      <c r="G3661" t="inlineStr">
        <is>
          <t>MARKARYD</t>
        </is>
      </c>
      <c r="I3661" t="n">
        <v>13</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57443-2022</t>
        </is>
      </c>
      <c r="B3662" t="inlineStr">
        <is>
          <t>avverkningsanmälan</t>
        </is>
      </c>
      <c r="C3662" t="inlineStr">
        <is>
          <t>Föryngringsavverkning</t>
        </is>
      </c>
      <c r="D3662" s="1" t="n">
        <v>44896</v>
      </c>
      <c r="E3662" s="1" t="n">
        <v>46316</v>
      </c>
      <c r="F3662" t="inlineStr">
        <is>
          <t>KRONOBERGS LÄN</t>
        </is>
      </c>
      <c r="G3662" t="inlineStr">
        <is>
          <t>VÄXJÖ</t>
        </is>
      </c>
      <c r="I3662" t="n">
        <v>1.6</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60760-2022</t>
        </is>
      </c>
      <c r="B3663" t="inlineStr">
        <is>
          <t>avverkningsanmälan</t>
        </is>
      </c>
      <c r="C3663" t="inlineStr">
        <is>
          <t>Föryngringsavverkning</t>
        </is>
      </c>
      <c r="D3663" s="1" t="n">
        <v>44914</v>
      </c>
      <c r="E3663" s="1" t="n">
        <v>46316</v>
      </c>
      <c r="F3663" t="inlineStr">
        <is>
          <t>KRONOBERGS LÄN</t>
        </is>
      </c>
      <c r="G3663" t="inlineStr">
        <is>
          <t>ALVESTA</t>
        </is>
      </c>
      <c r="I3663" t="n">
        <v>3.1</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48639-2023</t>
        </is>
      </c>
      <c r="B3664" t="inlineStr">
        <is>
          <t>avverkningsanmälan</t>
        </is>
      </c>
      <c r="C3664" t="inlineStr">
        <is>
          <t>Föryngringsavverkning</t>
        </is>
      </c>
      <c r="D3664" s="1" t="n">
        <v>45202</v>
      </c>
      <c r="E3664" s="1" t="n">
        <v>46316</v>
      </c>
      <c r="F3664" t="inlineStr">
        <is>
          <t>KRONOBERGS LÄN</t>
        </is>
      </c>
      <c r="G3664" t="inlineStr">
        <is>
          <t>LESSEBO</t>
        </is>
      </c>
      <c r="I3664" t="n">
        <v>2.3</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23712-2024</t>
        </is>
      </c>
      <c r="B3665" t="inlineStr">
        <is>
          <t>avverkningsanmälan</t>
        </is>
      </c>
      <c r="C3665" t="inlineStr">
        <is>
          <t>Föryngringsavverkning</t>
        </is>
      </c>
      <c r="D3665" s="1" t="n">
        <v>45454</v>
      </c>
      <c r="E3665" s="1" t="n">
        <v>46316</v>
      </c>
      <c r="F3665" t="inlineStr">
        <is>
          <t>KRONOBERGS LÄN</t>
        </is>
      </c>
      <c r="G3665" t="inlineStr">
        <is>
          <t>UPPVIDINGE</t>
        </is>
      </c>
      <c r="I3665" t="n">
        <v>1.4</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7911-2023</t>
        </is>
      </c>
      <c r="B3666" t="inlineStr">
        <is>
          <t>avverkningsanmälan</t>
        </is>
      </c>
      <c r="C3666" t="inlineStr">
        <is>
          <t>Föryngringsavverkning</t>
        </is>
      </c>
      <c r="D3666" s="1" t="n">
        <v>44973</v>
      </c>
      <c r="E3666" s="1" t="n">
        <v>46316</v>
      </c>
      <c r="F3666" t="inlineStr">
        <is>
          <t>KRONOBERGS LÄN</t>
        </is>
      </c>
      <c r="G3666" t="inlineStr">
        <is>
          <t>ÄLMHULT</t>
        </is>
      </c>
      <c r="I3666" t="n">
        <v>1.6</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34272-2023</t>
        </is>
      </c>
      <c r="B3667" t="inlineStr">
        <is>
          <t>avverkningsanmälan</t>
        </is>
      </c>
      <c r="C3667" t="inlineStr">
        <is>
          <t>Föryngringsavverkning</t>
        </is>
      </c>
      <c r="D3667" s="1" t="n">
        <v>45128</v>
      </c>
      <c r="E3667" s="1" t="n">
        <v>46316</v>
      </c>
      <c r="F3667" t="inlineStr">
        <is>
          <t>KRONOBERGS LÄN</t>
        </is>
      </c>
      <c r="G3667" t="inlineStr">
        <is>
          <t>ALVESTA</t>
        </is>
      </c>
      <c r="I3667" t="n">
        <v>0.6</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2239-2023</t>
        </is>
      </c>
      <c r="B3668" t="inlineStr">
        <is>
          <t>avverkningsanmälan</t>
        </is>
      </c>
      <c r="C3668" t="inlineStr">
        <is>
          <t>Föryngringsavverkning</t>
        </is>
      </c>
      <c r="D3668" s="1" t="n">
        <v>44942</v>
      </c>
      <c r="E3668" s="1" t="n">
        <v>46316</v>
      </c>
      <c r="F3668" t="inlineStr">
        <is>
          <t>KRONOBERGS LÄN</t>
        </is>
      </c>
      <c r="G3668" t="inlineStr">
        <is>
          <t>ÄLMHULT</t>
        </is>
      </c>
      <c r="I3668" t="n">
        <v>0</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53452-2024</t>
        </is>
      </c>
      <c r="B3669" t="inlineStr">
        <is>
          <t>avverkningsanmälan</t>
        </is>
      </c>
      <c r="C3669" t="inlineStr">
        <is>
          <t>Föryngringsavverkning</t>
        </is>
      </c>
      <c r="D3669" s="1" t="n">
        <v>45614</v>
      </c>
      <c r="E3669" s="1" t="n">
        <v>46316</v>
      </c>
      <c r="F3669" t="inlineStr">
        <is>
          <t>KRONOBERGS LÄN</t>
        </is>
      </c>
      <c r="G3669" t="inlineStr">
        <is>
          <t>ALVESTA</t>
        </is>
      </c>
      <c r="I3669" t="n">
        <v>2.9</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32523-2023</t>
        </is>
      </c>
      <c r="B3670" t="inlineStr">
        <is>
          <t>avverkningsanmälan</t>
        </is>
      </c>
      <c r="C3670" t="inlineStr">
        <is>
          <t>Föryngringsavverkning</t>
        </is>
      </c>
      <c r="D3670" s="1" t="n">
        <v>45121</v>
      </c>
      <c r="E3670" s="1" t="n">
        <v>46316</v>
      </c>
      <c r="F3670" t="inlineStr">
        <is>
          <t>KRONOBERGS LÄN</t>
        </is>
      </c>
      <c r="G3670" t="inlineStr">
        <is>
          <t>TINGSRYD</t>
        </is>
      </c>
      <c r="I3670" t="n">
        <v>0.5</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48438-2024</t>
        </is>
      </c>
      <c r="B3671" t="inlineStr">
        <is>
          <t>avverkningsanmälan</t>
        </is>
      </c>
      <c r="C3671" t="inlineStr">
        <is>
          <t>Föryngringsavverkning</t>
        </is>
      </c>
      <c r="D3671" s="1" t="n">
        <v>45590</v>
      </c>
      <c r="E3671" s="1" t="n">
        <v>46316</v>
      </c>
      <c r="F3671" t="inlineStr">
        <is>
          <t>KRONOBERGS LÄN</t>
        </is>
      </c>
      <c r="G3671" t="inlineStr">
        <is>
          <t>UPPVIDINGE</t>
        </is>
      </c>
      <c r="I3671" t="n">
        <v>3.5</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27282-2026</t>
        </is>
      </c>
      <c r="B3672" t="inlineStr">
        <is>
          <t>avverkningsanmälan</t>
        </is>
      </c>
      <c r="C3672" t="inlineStr">
        <is>
          <t>Föryngringsavverkning</t>
        </is>
      </c>
      <c r="D3672" s="1" t="n">
        <v>46188</v>
      </c>
      <c r="E3672" s="1" t="n">
        <v>46316</v>
      </c>
      <c r="F3672" t="inlineStr">
        <is>
          <t>KRONOBERGS LÄN</t>
        </is>
      </c>
      <c r="G3672" t="inlineStr">
        <is>
          <t>ALVESTA</t>
        </is>
      </c>
      <c r="I3672" t="n">
        <v>0.9</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27077-2026</t>
        </is>
      </c>
      <c r="B3673" t="inlineStr">
        <is>
          <t>avverkningsanmälan</t>
        </is>
      </c>
      <c r="C3673" t="inlineStr">
        <is>
          <t>Avverkning för att bevara och utveckla /försöksver</t>
        </is>
      </c>
      <c r="D3673" s="1" t="n">
        <v>46186</v>
      </c>
      <c r="E3673" s="1" t="n">
        <v>46316</v>
      </c>
      <c r="F3673" t="inlineStr">
        <is>
          <t>KRONOBERGS LÄN</t>
        </is>
      </c>
      <c r="G3673" t="inlineStr">
        <is>
          <t>ALVESTA</t>
        </is>
      </c>
      <c r="I3673" t="n">
        <v>3.9</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44751-2024</t>
        </is>
      </c>
      <c r="B3674" t="inlineStr">
        <is>
          <t>avverkningsanmälan</t>
        </is>
      </c>
      <c r="C3674" t="inlineStr">
        <is>
          <t>Föryngringsavverkning</t>
        </is>
      </c>
      <c r="D3674" s="1" t="n">
        <v>45574</v>
      </c>
      <c r="E3674" s="1" t="n">
        <v>46316</v>
      </c>
      <c r="F3674" t="inlineStr">
        <is>
          <t>KRONOBERGS LÄN</t>
        </is>
      </c>
      <c r="G3674" t="inlineStr">
        <is>
          <t>TINGSRYD</t>
        </is>
      </c>
      <c r="I3674" t="n">
        <v>10.6</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36919-2024</t>
        </is>
      </c>
      <c r="B3675" t="inlineStr">
        <is>
          <t>avverkningsanmälan</t>
        </is>
      </c>
      <c r="C3675" t="inlineStr">
        <is>
          <t>Föryngringsavverkning</t>
        </is>
      </c>
      <c r="D3675" s="1" t="n">
        <v>45538</v>
      </c>
      <c r="E3675" s="1" t="n">
        <v>46316</v>
      </c>
      <c r="F3675" t="inlineStr">
        <is>
          <t>KRONOBERGS LÄN</t>
        </is>
      </c>
      <c r="G3675" t="inlineStr">
        <is>
          <t>VÄXJÖ</t>
        </is>
      </c>
      <c r="H3675" t="inlineStr">
        <is>
          <t>Kyrkan</t>
        </is>
      </c>
      <c r="I3675" t="n">
        <v>6.7</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20515-2023</t>
        </is>
      </c>
      <c r="B3676" t="inlineStr">
        <is>
          <t>avverkningsanmälan</t>
        </is>
      </c>
      <c r="C3676" t="inlineStr">
        <is>
          <t>Föryngringsavverkning</t>
        </is>
      </c>
      <c r="D3676" s="1" t="n">
        <v>45057</v>
      </c>
      <c r="E3676" s="1" t="n">
        <v>46316</v>
      </c>
      <c r="F3676" t="inlineStr">
        <is>
          <t>KRONOBERGS LÄN</t>
        </is>
      </c>
      <c r="G3676" t="inlineStr">
        <is>
          <t>UPPVIDINGE</t>
        </is>
      </c>
      <c r="I3676" t="n">
        <v>2.8</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15580-2024</t>
        </is>
      </c>
      <c r="B3677" t="inlineStr">
        <is>
          <t>avverkningsanmälan</t>
        </is>
      </c>
      <c r="C3677" t="inlineStr">
        <is>
          <t>Föryngringsavverkning</t>
        </is>
      </c>
      <c r="D3677" s="1" t="n">
        <v>45401</v>
      </c>
      <c r="E3677" s="1" t="n">
        <v>46316</v>
      </c>
      <c r="F3677" t="inlineStr">
        <is>
          <t>KRONOBERGS LÄN</t>
        </is>
      </c>
      <c r="G3677" t="inlineStr">
        <is>
          <t>LJUNGBY</t>
        </is>
      </c>
      <c r="I3677" t="n">
        <v>2.1</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6648-2025</t>
        </is>
      </c>
      <c r="B3678" t="inlineStr">
        <is>
          <t>avverkningsanmälan</t>
        </is>
      </c>
      <c r="C3678" t="inlineStr">
        <is>
          <t>Föryngringsavverkning</t>
        </is>
      </c>
      <c r="D3678" s="1" t="n">
        <v>45700</v>
      </c>
      <c r="E3678" s="1" t="n">
        <v>46316</v>
      </c>
      <c r="F3678" t="inlineStr">
        <is>
          <t>KRONOBERGS LÄN</t>
        </is>
      </c>
      <c r="G3678" t="inlineStr">
        <is>
          <t>ÄLMHULT</t>
        </is>
      </c>
      <c r="I3678" t="n">
        <v>3.3</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26549-2023</t>
        </is>
      </c>
      <c r="B3679" t="inlineStr">
        <is>
          <t>avverkningsanmälan</t>
        </is>
      </c>
      <c r="C3679" t="inlineStr">
        <is>
          <t>Föryngringsavverkning</t>
        </is>
      </c>
      <c r="D3679" s="1" t="n">
        <v>45092</v>
      </c>
      <c r="E3679" s="1" t="n">
        <v>46316</v>
      </c>
      <c r="F3679" t="inlineStr">
        <is>
          <t>KRONOBERGS LÄN</t>
        </is>
      </c>
      <c r="G3679" t="inlineStr">
        <is>
          <t>MARKARYD</t>
        </is>
      </c>
      <c r="I3679" t="n">
        <v>1.1</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27329-2026</t>
        </is>
      </c>
      <c r="B3680" t="inlineStr">
        <is>
          <t>avverkningsanmälan</t>
        </is>
      </c>
      <c r="C3680" t="inlineStr">
        <is>
          <t>Föryngringsavverkning</t>
        </is>
      </c>
      <c r="D3680" s="1" t="n">
        <v>46188</v>
      </c>
      <c r="E3680" s="1" t="n">
        <v>46316</v>
      </c>
      <c r="F3680" t="inlineStr">
        <is>
          <t>KRONOBERGS LÄN</t>
        </is>
      </c>
      <c r="G3680" t="inlineStr">
        <is>
          <t>TINGSRYD</t>
        </is>
      </c>
      <c r="I3680" t="n">
        <v>1.7</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60203-2022</t>
        </is>
      </c>
      <c r="B3681" t="inlineStr">
        <is>
          <t>avverkningsanmälan</t>
        </is>
      </c>
      <c r="C3681" t="inlineStr">
        <is>
          <t>Föryngringsavverkning</t>
        </is>
      </c>
      <c r="D3681" s="1" t="n">
        <v>44903</v>
      </c>
      <c r="E3681" s="1" t="n">
        <v>46316</v>
      </c>
      <c r="F3681" t="inlineStr">
        <is>
          <t>KRONOBERGS LÄN</t>
        </is>
      </c>
      <c r="G3681" t="inlineStr">
        <is>
          <t>VÄXJÖ</t>
        </is>
      </c>
      <c r="I3681" t="n">
        <v>1.1</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27208-2026</t>
        </is>
      </c>
      <c r="B3682" t="inlineStr">
        <is>
          <t>avverkningsanmälan</t>
        </is>
      </c>
      <c r="C3682" t="inlineStr">
        <is>
          <t>Föryngringsavverkning</t>
        </is>
      </c>
      <c r="D3682" s="1" t="n">
        <v>46188</v>
      </c>
      <c r="E3682" s="1" t="n">
        <v>46316</v>
      </c>
      <c r="F3682" t="inlineStr">
        <is>
          <t>KRONOBERGS LÄN</t>
        </is>
      </c>
      <c r="G3682" t="inlineStr">
        <is>
          <t>VÄXJÖ</t>
        </is>
      </c>
      <c r="I3682" t="n">
        <v>2.5</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61964-2021</t>
        </is>
      </c>
      <c r="B3683" t="inlineStr">
        <is>
          <t>avverkningsanmälan</t>
        </is>
      </c>
      <c r="C3683" t="inlineStr">
        <is>
          <t>Föryngringsavverkning</t>
        </is>
      </c>
      <c r="D3683" s="1" t="n">
        <v>44502</v>
      </c>
      <c r="E3683" s="1" t="n">
        <v>46316</v>
      </c>
      <c r="F3683" t="inlineStr">
        <is>
          <t>KRONOBERGS LÄN</t>
        </is>
      </c>
      <c r="G3683" t="inlineStr">
        <is>
          <t>VÄXJÖ</t>
        </is>
      </c>
      <c r="I3683" t="n">
        <v>1.6</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5298-2025</t>
        </is>
      </c>
      <c r="B3684" t="inlineStr">
        <is>
          <t>avverkningsanmälan</t>
        </is>
      </c>
      <c r="C3684" t="inlineStr">
        <is>
          <t>Föryngringsavverkning</t>
        </is>
      </c>
      <c r="D3684" s="1" t="n">
        <v>45692</v>
      </c>
      <c r="E3684" s="1" t="n">
        <v>46316</v>
      </c>
      <c r="F3684" t="inlineStr">
        <is>
          <t>KRONOBERGS LÄN</t>
        </is>
      </c>
      <c r="G3684" t="inlineStr">
        <is>
          <t>ALVESTA</t>
        </is>
      </c>
      <c r="I3684" t="n">
        <v>0.6</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20964-2023</t>
        </is>
      </c>
      <c r="B3685" t="inlineStr">
        <is>
          <t>avverkningsanmälan</t>
        </is>
      </c>
      <c r="C3685" t="inlineStr">
        <is>
          <t>Föryngringsavverkning</t>
        </is>
      </c>
      <c r="D3685" s="1" t="n">
        <v>45061</v>
      </c>
      <c r="E3685" s="1" t="n">
        <v>46316</v>
      </c>
      <c r="F3685" t="inlineStr">
        <is>
          <t>KRONOBERGS LÄN</t>
        </is>
      </c>
      <c r="G3685" t="inlineStr">
        <is>
          <t>ÄLMHULT</t>
        </is>
      </c>
      <c r="I3685" t="n">
        <v>4.5</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27024-2026</t>
        </is>
      </c>
      <c r="B3686" t="inlineStr">
        <is>
          <t>avverkningsanmälan</t>
        </is>
      </c>
      <c r="C3686" t="inlineStr">
        <is>
          <t>Föryngringsavverkning</t>
        </is>
      </c>
      <c r="D3686" s="1" t="n">
        <v>46185</v>
      </c>
      <c r="E3686" s="1" t="n">
        <v>46316</v>
      </c>
      <c r="F3686" t="inlineStr">
        <is>
          <t>KRONOBERGS LÄN</t>
        </is>
      </c>
      <c r="G3686" t="inlineStr">
        <is>
          <t>UPPVIDINGE</t>
        </is>
      </c>
      <c r="H3686" t="inlineStr">
        <is>
          <t>Sveaskog</t>
        </is>
      </c>
      <c r="I3686" t="n">
        <v>2.5</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604-2023</t>
        </is>
      </c>
      <c r="B3687" t="inlineStr">
        <is>
          <t>avverkningsanmälan</t>
        </is>
      </c>
      <c r="C3687" t="inlineStr">
        <is>
          <t>Föryngringsavverkning</t>
        </is>
      </c>
      <c r="D3687" s="1" t="n">
        <v>44930</v>
      </c>
      <c r="E3687" s="1" t="n">
        <v>46316</v>
      </c>
      <c r="F3687" t="inlineStr">
        <is>
          <t>KRONOBERGS LÄN</t>
        </is>
      </c>
      <c r="G3687" t="inlineStr">
        <is>
          <t>TINGSRYD</t>
        </is>
      </c>
      <c r="I3687" t="n">
        <v>0.8</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20441-2025</t>
        </is>
      </c>
      <c r="B3688" t="inlineStr">
        <is>
          <t>avverkningsanmälan</t>
        </is>
      </c>
      <c r="C3688" t="inlineStr">
        <is>
          <t>Föryngringsavverkning</t>
        </is>
      </c>
      <c r="D3688" s="1" t="n">
        <v>45775</v>
      </c>
      <c r="E3688" s="1" t="n">
        <v>46316</v>
      </c>
      <c r="F3688" t="inlineStr">
        <is>
          <t>KRONOBERGS LÄN</t>
        </is>
      </c>
      <c r="G3688" t="inlineStr">
        <is>
          <t>LESSEBO</t>
        </is>
      </c>
      <c r="H3688" t="inlineStr">
        <is>
          <t>Sveaskog</t>
        </is>
      </c>
      <c r="I3688" t="n">
        <v>2</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58566-2024</t>
        </is>
      </c>
      <c r="B3689" t="inlineStr">
        <is>
          <t>avverkningsanmälan</t>
        </is>
      </c>
      <c r="C3689" t="inlineStr">
        <is>
          <t>Föryngringsavverkning</t>
        </is>
      </c>
      <c r="D3689" s="1" t="n">
        <v>45635</v>
      </c>
      <c r="E3689" s="1" t="n">
        <v>46316</v>
      </c>
      <c r="F3689" t="inlineStr">
        <is>
          <t>KRONOBERGS LÄN</t>
        </is>
      </c>
      <c r="G3689" t="inlineStr">
        <is>
          <t>TINGSRYD</t>
        </is>
      </c>
      <c r="H3689" t="inlineStr">
        <is>
          <t>Övriga Aktiebolag</t>
        </is>
      </c>
      <c r="I3689" t="n">
        <v>1.9</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52657-2024</t>
        </is>
      </c>
      <c r="B3690" t="inlineStr">
        <is>
          <t>avverkningsanmälan</t>
        </is>
      </c>
      <c r="C3690" t="inlineStr">
        <is>
          <t>Föryngringsavverkning</t>
        </is>
      </c>
      <c r="D3690" s="1" t="n">
        <v>45610</v>
      </c>
      <c r="E3690" s="1" t="n">
        <v>46316</v>
      </c>
      <c r="F3690" t="inlineStr">
        <is>
          <t>KRONOBERGS LÄN</t>
        </is>
      </c>
      <c r="G3690" t="inlineStr">
        <is>
          <t>UPPVIDINGE</t>
        </is>
      </c>
      <c r="I3690" t="n">
        <v>1.5</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26887-2026</t>
        </is>
      </c>
      <c r="B3691" t="inlineStr">
        <is>
          <t>avverkningsanmälan</t>
        </is>
      </c>
      <c r="C3691" t="inlineStr">
        <is>
          <t>Föryngringsavverkning</t>
        </is>
      </c>
      <c r="D3691" s="1" t="n">
        <v>46185</v>
      </c>
      <c r="E3691" s="1" t="n">
        <v>46316</v>
      </c>
      <c r="F3691" t="inlineStr">
        <is>
          <t>KRONOBERGS LÄN</t>
        </is>
      </c>
      <c r="G3691" t="inlineStr">
        <is>
          <t>UPPVIDINGE</t>
        </is>
      </c>
      <c r="I3691" t="n">
        <v>9.1</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52711-2024</t>
        </is>
      </c>
      <c r="B3692" t="inlineStr">
        <is>
          <t>avverkningsanmälan</t>
        </is>
      </c>
      <c r="C3692" t="inlineStr">
        <is>
          <t>Föryngringsavverkning</t>
        </is>
      </c>
      <c r="D3692" s="1" t="n">
        <v>45610</v>
      </c>
      <c r="E3692" s="1" t="n">
        <v>46316</v>
      </c>
      <c r="F3692" t="inlineStr">
        <is>
          <t>KRONOBERGS LÄN</t>
        </is>
      </c>
      <c r="G3692" t="inlineStr">
        <is>
          <t>LJUNGBY</t>
        </is>
      </c>
      <c r="I3692" t="n">
        <v>0.5</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626-2023</t>
        </is>
      </c>
      <c r="B3693" t="inlineStr">
        <is>
          <t>avverkningsanmälan</t>
        </is>
      </c>
      <c r="C3693" t="inlineStr">
        <is>
          <t>Föryngringsavverkning</t>
        </is>
      </c>
      <c r="D3693" s="1" t="n">
        <v>44930</v>
      </c>
      <c r="E3693" s="1" t="n">
        <v>46316</v>
      </c>
      <c r="F3693" t="inlineStr">
        <is>
          <t>KRONOBERGS LÄN</t>
        </is>
      </c>
      <c r="G3693" t="inlineStr">
        <is>
          <t>TINGSRYD</t>
        </is>
      </c>
      <c r="I3693" t="n">
        <v>1.1</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59321-2024</t>
        </is>
      </c>
      <c r="B3694" t="inlineStr">
        <is>
          <t>avverkningsanmälan</t>
        </is>
      </c>
      <c r="C3694" t="inlineStr">
        <is>
          <t>Föryngringsavverkning</t>
        </is>
      </c>
      <c r="D3694" s="1" t="n">
        <v>45637</v>
      </c>
      <c r="E3694" s="1" t="n">
        <v>46316</v>
      </c>
      <c r="F3694" t="inlineStr">
        <is>
          <t>KRONOBERGS LÄN</t>
        </is>
      </c>
      <c r="G3694" t="inlineStr">
        <is>
          <t>LESSEBO</t>
        </is>
      </c>
      <c r="H3694" t="inlineStr">
        <is>
          <t>Sveaskog</t>
        </is>
      </c>
      <c r="I3694" t="n">
        <v>1</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14551-2025</t>
        </is>
      </c>
      <c r="B3695" t="inlineStr">
        <is>
          <t>avverkningsanmälan</t>
        </is>
      </c>
      <c r="C3695" t="inlineStr">
        <is>
          <t>Föryngringsavverkning</t>
        </is>
      </c>
      <c r="D3695" s="1" t="n">
        <v>45741</v>
      </c>
      <c r="E3695" s="1" t="n">
        <v>46316</v>
      </c>
      <c r="F3695" t="inlineStr">
        <is>
          <t>KRONOBERGS LÄN</t>
        </is>
      </c>
      <c r="G3695" t="inlineStr">
        <is>
          <t>LESSEBO</t>
        </is>
      </c>
      <c r="I3695" t="n">
        <v>0.3</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27032-2026</t>
        </is>
      </c>
      <c r="B3696" t="inlineStr">
        <is>
          <t>avverkningsanmälan</t>
        </is>
      </c>
      <c r="C3696" t="inlineStr">
        <is>
          <t>Avverkning för att bevara och utveckla /försöksver</t>
        </is>
      </c>
      <c r="D3696" s="1" t="n">
        <v>46185</v>
      </c>
      <c r="E3696" s="1" t="n">
        <v>46316</v>
      </c>
      <c r="F3696" t="inlineStr">
        <is>
          <t>KRONOBERGS LÄN</t>
        </is>
      </c>
      <c r="G3696" t="inlineStr">
        <is>
          <t>ALVESTA</t>
        </is>
      </c>
      <c r="I3696" t="n">
        <v>1.4</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36745-2024</t>
        </is>
      </c>
      <c r="B3697" t="inlineStr">
        <is>
          <t>avverkningsanmälan</t>
        </is>
      </c>
      <c r="C3697" t="inlineStr">
        <is>
          <t>Föryngringsavverkning</t>
        </is>
      </c>
      <c r="D3697" s="1" t="n">
        <v>45538</v>
      </c>
      <c r="E3697" s="1" t="n">
        <v>46316</v>
      </c>
      <c r="F3697" t="inlineStr">
        <is>
          <t>KRONOBERGS LÄN</t>
        </is>
      </c>
      <c r="G3697" t="inlineStr">
        <is>
          <t>VÄXJÖ</t>
        </is>
      </c>
      <c r="I3697" t="n">
        <v>1.2</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27610-2026</t>
        </is>
      </c>
      <c r="B3698" t="inlineStr">
        <is>
          <t>avverkningsanmälan</t>
        </is>
      </c>
      <c r="C3698" t="inlineStr">
        <is>
          <t>Föryngringsavverkning</t>
        </is>
      </c>
      <c r="D3698" s="1" t="n">
        <v>46190</v>
      </c>
      <c r="E3698" s="1" t="n">
        <v>46316</v>
      </c>
      <c r="F3698" t="inlineStr">
        <is>
          <t>KRONOBERGS LÄN</t>
        </is>
      </c>
      <c r="G3698" t="inlineStr">
        <is>
          <t>TINGSRYD</t>
        </is>
      </c>
      <c r="I3698" t="n">
        <v>1.1</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13322-2023</t>
        </is>
      </c>
      <c r="B3699" t="inlineStr">
        <is>
          <t>avverkningsanmälan</t>
        </is>
      </c>
      <c r="C3699" t="inlineStr">
        <is>
          <t>Föryngringsavverkning</t>
        </is>
      </c>
      <c r="D3699" s="1" t="n">
        <v>45005</v>
      </c>
      <c r="E3699" s="1" t="n">
        <v>46316</v>
      </c>
      <c r="F3699" t="inlineStr">
        <is>
          <t>KRONOBERGS LÄN</t>
        </is>
      </c>
      <c r="G3699" t="inlineStr">
        <is>
          <t>TINGSRYD</t>
        </is>
      </c>
      <c r="I3699" t="n">
        <v>0.7</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13340-2023</t>
        </is>
      </c>
      <c r="B3700" t="inlineStr">
        <is>
          <t>avverkningsanmälan</t>
        </is>
      </c>
      <c r="C3700" t="inlineStr">
        <is>
          <t>Föryngringsavverkning</t>
        </is>
      </c>
      <c r="D3700" s="1" t="n">
        <v>45005</v>
      </c>
      <c r="E3700" s="1" t="n">
        <v>46316</v>
      </c>
      <c r="F3700" t="inlineStr">
        <is>
          <t>KRONOBERGS LÄN</t>
        </is>
      </c>
      <c r="G3700" t="inlineStr">
        <is>
          <t>TINGSRYD</t>
        </is>
      </c>
      <c r="I3700" t="n">
        <v>4.4</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59124-2022</t>
        </is>
      </c>
      <c r="B3701" t="inlineStr">
        <is>
          <t>avverkningsanmälan</t>
        </is>
      </c>
      <c r="C3701" t="inlineStr">
        <is>
          <t>Föryngringsavverkning</t>
        </is>
      </c>
      <c r="D3701" s="1" t="n">
        <v>44897</v>
      </c>
      <c r="E3701" s="1" t="n">
        <v>46316</v>
      </c>
      <c r="F3701" t="inlineStr">
        <is>
          <t>KRONOBERGS LÄN</t>
        </is>
      </c>
      <c r="G3701" t="inlineStr">
        <is>
          <t>ÄLMHULT</t>
        </is>
      </c>
      <c r="I3701" t="n">
        <v>0.7</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57952-2022</t>
        </is>
      </c>
      <c r="B3702" t="inlineStr">
        <is>
          <t>avverkningsanmälan</t>
        </is>
      </c>
      <c r="C3702" t="inlineStr">
        <is>
          <t>Föryngringsavverkning</t>
        </is>
      </c>
      <c r="D3702" s="1" t="n">
        <v>44900</v>
      </c>
      <c r="E3702" s="1" t="n">
        <v>46316</v>
      </c>
      <c r="F3702" t="inlineStr">
        <is>
          <t>KRONOBERGS LÄN</t>
        </is>
      </c>
      <c r="G3702" t="inlineStr">
        <is>
          <t>LJUNGBY</t>
        </is>
      </c>
      <c r="I3702" t="n">
        <v>3.8</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1011-2024</t>
        </is>
      </c>
      <c r="B3703" t="inlineStr">
        <is>
          <t>avverkningsanmälan</t>
        </is>
      </c>
      <c r="C3703" t="inlineStr">
        <is>
          <t>Föryngringsavverkning</t>
        </is>
      </c>
      <c r="D3703" s="1" t="n">
        <v>45301</v>
      </c>
      <c r="E3703" s="1" t="n">
        <v>46316</v>
      </c>
      <c r="F3703" t="inlineStr">
        <is>
          <t>KRONOBERGS LÄN</t>
        </is>
      </c>
      <c r="G3703" t="inlineStr">
        <is>
          <t>VÄXJÖ</t>
        </is>
      </c>
      <c r="I3703" t="n">
        <v>1.7</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27604-2026</t>
        </is>
      </c>
      <c r="B3704" t="inlineStr">
        <is>
          <t>avverkningsanmälan</t>
        </is>
      </c>
      <c r="C3704" t="inlineStr">
        <is>
          <t>Föryngringsavverkning</t>
        </is>
      </c>
      <c r="D3704" s="1" t="n">
        <v>46190</v>
      </c>
      <c r="E3704" s="1" t="n">
        <v>46316</v>
      </c>
      <c r="F3704" t="inlineStr">
        <is>
          <t>KRONOBERGS LÄN</t>
        </is>
      </c>
      <c r="G3704" t="inlineStr">
        <is>
          <t>MARKARYD</t>
        </is>
      </c>
      <c r="I3704" t="n">
        <v>1.6</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15734-2024</t>
        </is>
      </c>
      <c r="B3705" t="inlineStr">
        <is>
          <t>avverkningsanmälan</t>
        </is>
      </c>
      <c r="C3705" t="inlineStr">
        <is>
          <t>Föryngringsavverkning</t>
        </is>
      </c>
      <c r="D3705" s="1" t="n">
        <v>45404</v>
      </c>
      <c r="E3705" s="1" t="n">
        <v>46316</v>
      </c>
      <c r="F3705" t="inlineStr">
        <is>
          <t>KRONOBERGS LÄN</t>
        </is>
      </c>
      <c r="G3705" t="inlineStr">
        <is>
          <t>UPPVIDINGE</t>
        </is>
      </c>
      <c r="I3705" t="n">
        <v>0.3</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39133-2023</t>
        </is>
      </c>
      <c r="B3706" t="inlineStr">
        <is>
          <t>avverkningsanmälan</t>
        </is>
      </c>
      <c r="C3706" t="inlineStr">
        <is>
          <t>Föryngringsavverkning</t>
        </is>
      </c>
      <c r="D3706" s="1" t="n">
        <v>45165</v>
      </c>
      <c r="E3706" s="1" t="n">
        <v>46316</v>
      </c>
      <c r="F3706" t="inlineStr">
        <is>
          <t>KRONOBERGS LÄN</t>
        </is>
      </c>
      <c r="G3706" t="inlineStr">
        <is>
          <t>UPPVIDINGE</t>
        </is>
      </c>
      <c r="I3706" t="n">
        <v>0.9</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63354-2021</t>
        </is>
      </c>
      <c r="B3707" t="inlineStr">
        <is>
          <t>avverkningsanmälan</t>
        </is>
      </c>
      <c r="C3707" t="inlineStr">
        <is>
          <t>Föryngringsavverkning</t>
        </is>
      </c>
      <c r="D3707" s="1" t="n">
        <v>44508</v>
      </c>
      <c r="E3707" s="1" t="n">
        <v>46316</v>
      </c>
      <c r="F3707" t="inlineStr">
        <is>
          <t>KRONOBERGS LÄN</t>
        </is>
      </c>
      <c r="G3707" t="inlineStr">
        <is>
          <t>LJUNGBY</t>
        </is>
      </c>
      <c r="I3707" t="n">
        <v>2</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8434-2023</t>
        </is>
      </c>
      <c r="B3708" t="inlineStr">
        <is>
          <t>avverkningsanmälan</t>
        </is>
      </c>
      <c r="C3708" t="inlineStr">
        <is>
          <t>Föryngringsavverkning</t>
        </is>
      </c>
      <c r="D3708" s="1" t="n">
        <v>44977</v>
      </c>
      <c r="E3708" s="1" t="n">
        <v>46316</v>
      </c>
      <c r="F3708" t="inlineStr">
        <is>
          <t>KRONOBERGS LÄN</t>
        </is>
      </c>
      <c r="G3708" t="inlineStr">
        <is>
          <t>ÄLMHULT</t>
        </is>
      </c>
      <c r="I3708" t="n">
        <v>2.5</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27378-2026</t>
        </is>
      </c>
      <c r="B3709" t="inlineStr">
        <is>
          <t>avverkningsanmälan</t>
        </is>
      </c>
      <c r="C3709" t="inlineStr">
        <is>
          <t>Föryngringsavverkning</t>
        </is>
      </c>
      <c r="D3709" s="1" t="n">
        <v>46189</v>
      </c>
      <c r="E3709" s="1" t="n">
        <v>46316</v>
      </c>
      <c r="F3709" t="inlineStr">
        <is>
          <t>KRONOBERGS LÄN</t>
        </is>
      </c>
      <c r="G3709" t="inlineStr">
        <is>
          <t>VÄXJÖ</t>
        </is>
      </c>
      <c r="I3709" t="n">
        <v>4.5</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5477-2022</t>
        </is>
      </c>
      <c r="B3710" t="inlineStr">
        <is>
          <t>avverkningsanmälan</t>
        </is>
      </c>
      <c r="C3710" t="inlineStr">
        <is>
          <t>Avverkning för annat ändamål</t>
        </is>
      </c>
      <c r="D3710" s="1" t="n">
        <v>44595</v>
      </c>
      <c r="E3710" s="1" t="n">
        <v>46316</v>
      </c>
      <c r="F3710" t="inlineStr">
        <is>
          <t>KRONOBERGS LÄN</t>
        </is>
      </c>
      <c r="G3710" t="inlineStr">
        <is>
          <t>VÄXJÖ</t>
        </is>
      </c>
      <c r="I3710" t="n">
        <v>2.6</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5165-2024</t>
        </is>
      </c>
      <c r="B3711" t="inlineStr">
        <is>
          <t>avverkningsanmälan</t>
        </is>
      </c>
      <c r="C3711" t="inlineStr">
        <is>
          <t>Föryngringsavverkning</t>
        </is>
      </c>
      <c r="D3711" s="1" t="n">
        <v>45330</v>
      </c>
      <c r="E3711" s="1" t="n">
        <v>46316</v>
      </c>
      <c r="F3711" t="inlineStr">
        <is>
          <t>KRONOBERGS LÄN</t>
        </is>
      </c>
      <c r="G3711" t="inlineStr">
        <is>
          <t>VÄXJÖ</t>
        </is>
      </c>
      <c r="H3711" t="inlineStr">
        <is>
          <t>Övriga Aktiebolag</t>
        </is>
      </c>
      <c r="I3711" t="n">
        <v>4.6</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5207-2024</t>
        </is>
      </c>
      <c r="B3712" t="inlineStr">
        <is>
          <t>avverkningsanmälan</t>
        </is>
      </c>
      <c r="C3712" t="inlineStr">
        <is>
          <t>Föryngringsavverkning</t>
        </is>
      </c>
      <c r="D3712" s="1" t="n">
        <v>45330</v>
      </c>
      <c r="E3712" s="1" t="n">
        <v>46316</v>
      </c>
      <c r="F3712" t="inlineStr">
        <is>
          <t>KRONOBERGS LÄN</t>
        </is>
      </c>
      <c r="G3712" t="inlineStr">
        <is>
          <t>TINGSRYD</t>
        </is>
      </c>
      <c r="I3712" t="n">
        <v>2.4</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58181-2023</t>
        </is>
      </c>
      <c r="B3713" t="inlineStr">
        <is>
          <t>avverkningsanmälan</t>
        </is>
      </c>
      <c r="C3713" t="inlineStr">
        <is>
          <t>Föryngringsavverkning</t>
        </is>
      </c>
      <c r="D3713" s="1" t="n">
        <v>45250</v>
      </c>
      <c r="E3713" s="1" t="n">
        <v>46316</v>
      </c>
      <c r="F3713" t="inlineStr">
        <is>
          <t>KRONOBERGS LÄN</t>
        </is>
      </c>
      <c r="G3713" t="inlineStr">
        <is>
          <t>VÄXJÖ</t>
        </is>
      </c>
      <c r="I3713" t="n">
        <v>0.5</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27582-2026</t>
        </is>
      </c>
      <c r="B3714" t="inlineStr">
        <is>
          <t>avverkningsanmälan</t>
        </is>
      </c>
      <c r="C3714" t="inlineStr">
        <is>
          <t>Föryngringsavverkning</t>
        </is>
      </c>
      <c r="D3714" s="1" t="n">
        <v>46190</v>
      </c>
      <c r="E3714" s="1" t="n">
        <v>46316</v>
      </c>
      <c r="F3714" t="inlineStr">
        <is>
          <t>KRONOBERGS LÄN</t>
        </is>
      </c>
      <c r="G3714" t="inlineStr">
        <is>
          <t>VÄXJÖ</t>
        </is>
      </c>
      <c r="I3714" t="n">
        <v>7.4</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6071-2024</t>
        </is>
      </c>
      <c r="B3715" t="inlineStr">
        <is>
          <t>avverkningsanmälan</t>
        </is>
      </c>
      <c r="C3715" t="inlineStr">
        <is>
          <t>Föryngringsavverkning</t>
        </is>
      </c>
      <c r="D3715" s="1" t="n">
        <v>45336</v>
      </c>
      <c r="E3715" s="1" t="n">
        <v>46316</v>
      </c>
      <c r="F3715" t="inlineStr">
        <is>
          <t>KRONOBERGS LÄN</t>
        </is>
      </c>
      <c r="G3715" t="inlineStr">
        <is>
          <t>UPPVIDINGE</t>
        </is>
      </c>
      <c r="I3715" t="n">
        <v>0.5</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4721-2022</t>
        </is>
      </c>
      <c r="B3716" t="inlineStr">
        <is>
          <t>avverkningsanmälan</t>
        </is>
      </c>
      <c r="C3716" t="inlineStr">
        <is>
          <t>Föryngringsavverkning</t>
        </is>
      </c>
      <c r="D3716" s="1" t="n">
        <v>44592</v>
      </c>
      <c r="E3716" s="1" t="n">
        <v>46316</v>
      </c>
      <c r="F3716" t="inlineStr">
        <is>
          <t>KRONOBERGS LÄN</t>
        </is>
      </c>
      <c r="G3716" t="inlineStr">
        <is>
          <t>VÄXJÖ</t>
        </is>
      </c>
      <c r="I3716" t="n">
        <v>0.8</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56955-2024</t>
        </is>
      </c>
      <c r="B3717" t="inlineStr">
        <is>
          <t>avverkningsanmälan</t>
        </is>
      </c>
      <c r="C3717" t="inlineStr">
        <is>
          <t>Avverkning för annat ändamål</t>
        </is>
      </c>
      <c r="D3717" s="1" t="n">
        <v>45628</v>
      </c>
      <c r="E3717" s="1" t="n">
        <v>46316</v>
      </c>
      <c r="F3717" t="inlineStr">
        <is>
          <t>KRONOBERGS LÄN</t>
        </is>
      </c>
      <c r="G3717" t="inlineStr">
        <is>
          <t>ÄLMHULT</t>
        </is>
      </c>
      <c r="I3717" t="n">
        <v>1.5</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3138-2025</t>
        </is>
      </c>
      <c r="B3718" t="inlineStr">
        <is>
          <t>avverkningsanmälan</t>
        </is>
      </c>
      <c r="C3718" t="inlineStr">
        <is>
          <t>Föryngringsavverkning</t>
        </is>
      </c>
      <c r="D3718" s="1" t="n">
        <v>45678</v>
      </c>
      <c r="E3718" s="1" t="n">
        <v>46316</v>
      </c>
      <c r="F3718" t="inlineStr">
        <is>
          <t>KRONOBERGS LÄN</t>
        </is>
      </c>
      <c r="G3718" t="inlineStr">
        <is>
          <t>MARKARYD</t>
        </is>
      </c>
      <c r="I3718" t="n">
        <v>7.8</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3139-2025</t>
        </is>
      </c>
      <c r="B3719" t="inlineStr">
        <is>
          <t>avverkningsanmälan</t>
        </is>
      </c>
      <c r="C3719" t="inlineStr">
        <is>
          <t>Föryngringsavverkning</t>
        </is>
      </c>
      <c r="D3719" s="1" t="n">
        <v>45678</v>
      </c>
      <c r="E3719" s="1" t="n">
        <v>46316</v>
      </c>
      <c r="F3719" t="inlineStr">
        <is>
          <t>KRONOBERGS LÄN</t>
        </is>
      </c>
      <c r="G3719" t="inlineStr">
        <is>
          <t>MARKARYD</t>
        </is>
      </c>
      <c r="I3719" t="n">
        <v>1</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3143-2025</t>
        </is>
      </c>
      <c r="B3720" t="inlineStr">
        <is>
          <t>avverkningsanmälan</t>
        </is>
      </c>
      <c r="C3720" t="inlineStr">
        <is>
          <t>Föryngringsavverkning</t>
        </is>
      </c>
      <c r="D3720" s="1" t="n">
        <v>45678</v>
      </c>
      <c r="E3720" s="1" t="n">
        <v>46316</v>
      </c>
      <c r="F3720" t="inlineStr">
        <is>
          <t>KRONOBERGS LÄN</t>
        </is>
      </c>
      <c r="G3720" t="inlineStr">
        <is>
          <t>MARKARYD</t>
        </is>
      </c>
      <c r="I3720" t="n">
        <v>3.7</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10892-2025</t>
        </is>
      </c>
      <c r="B3721" t="inlineStr">
        <is>
          <t>avverkningsanmälan</t>
        </is>
      </c>
      <c r="C3721" t="inlineStr">
        <is>
          <t>Föryngringsavverkning</t>
        </is>
      </c>
      <c r="D3721" s="1" t="n">
        <v>45722</v>
      </c>
      <c r="E3721" s="1" t="n">
        <v>46316</v>
      </c>
      <c r="F3721" t="inlineStr">
        <is>
          <t>KRONOBERGS LÄN</t>
        </is>
      </c>
      <c r="G3721" t="inlineStr">
        <is>
          <t>VÄXJÖ</t>
        </is>
      </c>
      <c r="I3721" t="n">
        <v>0.5</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10930-2025</t>
        </is>
      </c>
      <c r="B3722" t="inlineStr">
        <is>
          <t>avverkningsanmälan</t>
        </is>
      </c>
      <c r="C3722" t="inlineStr">
        <is>
          <t>Föryngringsavverkning</t>
        </is>
      </c>
      <c r="D3722" s="1" t="n">
        <v>45722</v>
      </c>
      <c r="E3722" s="1" t="n">
        <v>46316</v>
      </c>
      <c r="F3722" t="inlineStr">
        <is>
          <t>KRONOBERGS LÄN</t>
        </is>
      </c>
      <c r="G3722" t="inlineStr">
        <is>
          <t>UPPVIDINGE</t>
        </is>
      </c>
      <c r="I3722" t="n">
        <v>0.6</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73272-2021</t>
        </is>
      </c>
      <c r="B3723" t="inlineStr">
        <is>
          <t>avverkningsanmälan</t>
        </is>
      </c>
      <c r="C3723" t="inlineStr">
        <is>
          <t>Föryngringsavverkning</t>
        </is>
      </c>
      <c r="D3723" s="1" t="n">
        <v>44550</v>
      </c>
      <c r="E3723" s="1" t="n">
        <v>46316</v>
      </c>
      <c r="F3723" t="inlineStr">
        <is>
          <t>KRONOBERGS LÄN</t>
        </is>
      </c>
      <c r="G3723" t="inlineStr">
        <is>
          <t>TINGSRYD</t>
        </is>
      </c>
      <c r="I3723" t="n">
        <v>1.2</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8260-2024</t>
        </is>
      </c>
      <c r="B3724" t="inlineStr">
        <is>
          <t>avverkningsanmälan</t>
        </is>
      </c>
      <c r="C3724" t="inlineStr">
        <is>
          <t>Föryngringsavverkning</t>
        </is>
      </c>
      <c r="D3724" s="1" t="n">
        <v>45352</v>
      </c>
      <c r="E3724" s="1" t="n">
        <v>46316</v>
      </c>
      <c r="F3724" t="inlineStr">
        <is>
          <t>KRONOBERGS LÄN</t>
        </is>
      </c>
      <c r="G3724" t="inlineStr">
        <is>
          <t>ÄLMHULT</t>
        </is>
      </c>
      <c r="H3724" t="inlineStr">
        <is>
          <t>Sveaskog</t>
        </is>
      </c>
      <c r="I3724" t="n">
        <v>1.2</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40622-2024</t>
        </is>
      </c>
      <c r="B3725" t="inlineStr">
        <is>
          <t>avverkningsanmälan</t>
        </is>
      </c>
      <c r="C3725" t="inlineStr">
        <is>
          <t>Föryngringsavverkning</t>
        </is>
      </c>
      <c r="D3725" s="1" t="n">
        <v>45557</v>
      </c>
      <c r="E3725" s="1" t="n">
        <v>46316</v>
      </c>
      <c r="F3725" t="inlineStr">
        <is>
          <t>KRONOBERGS LÄN</t>
        </is>
      </c>
      <c r="G3725" t="inlineStr">
        <is>
          <t>VÄXJÖ</t>
        </is>
      </c>
      <c r="I3725" t="n">
        <v>0.9</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27755-2026</t>
        </is>
      </c>
      <c r="B3726" t="inlineStr">
        <is>
          <t>avverkningsanmälan</t>
        </is>
      </c>
      <c r="C3726" t="inlineStr">
        <is>
          <t>Föryngringsavverkning</t>
        </is>
      </c>
      <c r="D3726" s="1" t="n">
        <v>46191</v>
      </c>
      <c r="E3726" s="1" t="n">
        <v>46316</v>
      </c>
      <c r="F3726" t="inlineStr">
        <is>
          <t>KRONOBERGS LÄN</t>
        </is>
      </c>
      <c r="G3726" t="inlineStr">
        <is>
          <t>VÄXJÖ</t>
        </is>
      </c>
      <c r="I3726" t="n">
        <v>0.3</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40650-2024</t>
        </is>
      </c>
      <c r="B3727" t="inlineStr">
        <is>
          <t>avverkningsanmälan</t>
        </is>
      </c>
      <c r="C3727" t="inlineStr">
        <is>
          <t>Föryngringsavverkning</t>
        </is>
      </c>
      <c r="D3727" s="1" t="n">
        <v>45558</v>
      </c>
      <c r="E3727" s="1" t="n">
        <v>46316</v>
      </c>
      <c r="F3727" t="inlineStr">
        <is>
          <t>KRONOBERGS LÄN</t>
        </is>
      </c>
      <c r="G3727" t="inlineStr">
        <is>
          <t>MARKARYD</t>
        </is>
      </c>
      <c r="I3727" t="n">
        <v>0.5</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27397-2026</t>
        </is>
      </c>
      <c r="B3728" t="inlineStr">
        <is>
          <t>avverkningsanmälan</t>
        </is>
      </c>
      <c r="C3728" t="inlineStr">
        <is>
          <t>Avverkning för att bevara och utveckla /försöksver</t>
        </is>
      </c>
      <c r="D3728" s="1" t="n">
        <v>46189</v>
      </c>
      <c r="E3728" s="1" t="n">
        <v>46316</v>
      </c>
      <c r="F3728" t="inlineStr">
        <is>
          <t>KRONOBERGS LÄN</t>
        </is>
      </c>
      <c r="G3728" t="inlineStr">
        <is>
          <t>TINGSRYD</t>
        </is>
      </c>
      <c r="I3728" t="n">
        <v>2.9</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46169-2025</t>
        </is>
      </c>
      <c r="B3729" t="inlineStr">
        <is>
          <t>avverkningsanmälan</t>
        </is>
      </c>
      <c r="C3729" t="inlineStr">
        <is>
          <t>Föryngringsavverkning</t>
        </is>
      </c>
      <c r="D3729" s="1" t="n">
        <v>45924</v>
      </c>
      <c r="E3729" s="1" t="n">
        <v>46316</v>
      </c>
      <c r="F3729" t="inlineStr">
        <is>
          <t>KRONOBERGS LÄN</t>
        </is>
      </c>
      <c r="G3729" t="inlineStr">
        <is>
          <t>VÄXJÖ</t>
        </is>
      </c>
      <c r="I3729" t="n">
        <v>2.6</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16011-2026</t>
        </is>
      </c>
      <c r="B3730" t="inlineStr">
        <is>
          <t>avverkningsanmälan</t>
        </is>
      </c>
      <c r="C3730" t="inlineStr">
        <is>
          <t>Föryngringsavverkning</t>
        </is>
      </c>
      <c r="D3730" s="1" t="n">
        <v>46108</v>
      </c>
      <c r="E3730" s="1" t="n">
        <v>46316</v>
      </c>
      <c r="F3730" t="inlineStr">
        <is>
          <t>KRONOBERGS LÄN</t>
        </is>
      </c>
      <c r="G3730" t="inlineStr">
        <is>
          <t>VÄXJÖ</t>
        </is>
      </c>
      <c r="I3730" t="n">
        <v>0.8</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43403-2024</t>
        </is>
      </c>
      <c r="B3731" t="inlineStr">
        <is>
          <t>avverkningsanmälan</t>
        </is>
      </c>
      <c r="C3731" t="inlineStr">
        <is>
          <t>Föryngringsavverkning</t>
        </is>
      </c>
      <c r="D3731" s="1" t="n">
        <v>45568</v>
      </c>
      <c r="E3731" s="1" t="n">
        <v>46316</v>
      </c>
      <c r="F3731" t="inlineStr">
        <is>
          <t>KRONOBERGS LÄN</t>
        </is>
      </c>
      <c r="G3731" t="inlineStr">
        <is>
          <t>UPPVIDINGE</t>
        </is>
      </c>
      <c r="H3731" t="inlineStr">
        <is>
          <t>Kyrkan</t>
        </is>
      </c>
      <c r="I3731" t="n">
        <v>5.8</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43447-2022</t>
        </is>
      </c>
      <c r="B3732" t="inlineStr">
        <is>
          <t>avverkningsanmälan</t>
        </is>
      </c>
      <c r="C3732" t="inlineStr">
        <is>
          <t>Föryngringsavverkning</t>
        </is>
      </c>
      <c r="D3732" s="1" t="n">
        <v>44835</v>
      </c>
      <c r="E3732" s="1" t="n">
        <v>46316</v>
      </c>
      <c r="F3732" t="inlineStr">
        <is>
          <t>KRONOBERGS LÄN</t>
        </is>
      </c>
      <c r="G3732" t="inlineStr">
        <is>
          <t>MARKARYD</t>
        </is>
      </c>
      <c r="I3732" t="n">
        <v>4.6</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13873-2024</t>
        </is>
      </c>
      <c r="B3733" t="inlineStr">
        <is>
          <t>avverkningsanmälan</t>
        </is>
      </c>
      <c r="C3733" t="inlineStr">
        <is>
          <t>Föryngringsavverkning</t>
        </is>
      </c>
      <c r="D3733" s="1" t="n">
        <v>45391</v>
      </c>
      <c r="E3733" s="1" t="n">
        <v>46316</v>
      </c>
      <c r="F3733" t="inlineStr">
        <is>
          <t>KRONOBERGS LÄN</t>
        </is>
      </c>
      <c r="G3733" t="inlineStr">
        <is>
          <t>UPPVIDINGE</t>
        </is>
      </c>
      <c r="I3733" t="n">
        <v>0.6</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27870-2026</t>
        </is>
      </c>
      <c r="B3734" t="inlineStr">
        <is>
          <t>avverkningsanmälan</t>
        </is>
      </c>
      <c r="C3734" t="inlineStr">
        <is>
          <t>Föryngringsavverkning</t>
        </is>
      </c>
      <c r="D3734" s="1" t="n">
        <v>46191</v>
      </c>
      <c r="E3734" s="1" t="n">
        <v>46316</v>
      </c>
      <c r="F3734" t="inlineStr">
        <is>
          <t>KRONOBERGS LÄN</t>
        </is>
      </c>
      <c r="G3734" t="inlineStr">
        <is>
          <t>LESSEBO</t>
        </is>
      </c>
      <c r="I3734" t="n">
        <v>0.8</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27873-2026</t>
        </is>
      </c>
      <c r="B3735" t="inlineStr">
        <is>
          <t>avverkningsanmälan</t>
        </is>
      </c>
      <c r="C3735" t="inlineStr">
        <is>
          <t>Föryngringsavverkning</t>
        </is>
      </c>
      <c r="D3735" s="1" t="n">
        <v>46191</v>
      </c>
      <c r="E3735" s="1" t="n">
        <v>46316</v>
      </c>
      <c r="F3735" t="inlineStr">
        <is>
          <t>KRONOBERGS LÄN</t>
        </is>
      </c>
      <c r="G3735" t="inlineStr">
        <is>
          <t>LESSEBO</t>
        </is>
      </c>
      <c r="I3735" t="n">
        <v>1.8</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23538-2025</t>
        </is>
      </c>
      <c r="B3736" t="inlineStr">
        <is>
          <t>avverkningsanmälan</t>
        </is>
      </c>
      <c r="C3736" t="inlineStr">
        <is>
          <t>Föryngringsavverkning</t>
        </is>
      </c>
      <c r="D3736" s="1" t="n">
        <v>45792</v>
      </c>
      <c r="E3736" s="1" t="n">
        <v>46316</v>
      </c>
      <c r="F3736" t="inlineStr">
        <is>
          <t>KRONOBERGS LÄN</t>
        </is>
      </c>
      <c r="G3736" t="inlineStr">
        <is>
          <t>ÄLMHULT</t>
        </is>
      </c>
      <c r="I3736" t="n">
        <v>1.1</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334-2026</t>
        </is>
      </c>
      <c r="B3737" t="inlineStr">
        <is>
          <t>avverkningsanmälan</t>
        </is>
      </c>
      <c r="C3737" t="inlineStr">
        <is>
          <t>Föryngringsavverkning</t>
        </is>
      </c>
      <c r="D3737" s="1" t="n">
        <v>46027</v>
      </c>
      <c r="E3737" s="1" t="n">
        <v>46316</v>
      </c>
      <c r="F3737" t="inlineStr">
        <is>
          <t>KRONOBERGS LÄN</t>
        </is>
      </c>
      <c r="G3737" t="inlineStr">
        <is>
          <t>UPPVIDINGE</t>
        </is>
      </c>
      <c r="I3737" t="n">
        <v>2.5</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3203-2023</t>
        </is>
      </c>
      <c r="B3738" t="inlineStr">
        <is>
          <t>avverkningsanmälan</t>
        </is>
      </c>
      <c r="C3738" t="inlineStr">
        <is>
          <t>Föryngringsavverkning</t>
        </is>
      </c>
      <c r="D3738" s="1" t="n">
        <v>44946</v>
      </c>
      <c r="E3738" s="1" t="n">
        <v>46316</v>
      </c>
      <c r="F3738" t="inlineStr">
        <is>
          <t>KRONOBERGS LÄN</t>
        </is>
      </c>
      <c r="G3738" t="inlineStr">
        <is>
          <t>LJUNGBY</t>
        </is>
      </c>
      <c r="H3738" t="inlineStr">
        <is>
          <t>Kommuner</t>
        </is>
      </c>
      <c r="I3738" t="n">
        <v>2.3</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62030-2023</t>
        </is>
      </c>
      <c r="B3739" t="inlineStr">
        <is>
          <t>avverkningsanmälan</t>
        </is>
      </c>
      <c r="C3739" t="inlineStr">
        <is>
          <t>Föryngringsavverkning</t>
        </is>
      </c>
      <c r="D3739" s="1" t="n">
        <v>45266</v>
      </c>
      <c r="E3739" s="1" t="n">
        <v>46316</v>
      </c>
      <c r="F3739" t="inlineStr">
        <is>
          <t>KRONOBERGS LÄN</t>
        </is>
      </c>
      <c r="G3739" t="inlineStr">
        <is>
          <t>MARKARYD</t>
        </is>
      </c>
      <c r="I3739" t="n">
        <v>0.8</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60979-2023</t>
        </is>
      </c>
      <c r="B3740" t="inlineStr">
        <is>
          <t>avverkningsanmälan</t>
        </is>
      </c>
      <c r="C3740" t="inlineStr">
        <is>
          <t>Föryngringsavverkning</t>
        </is>
      </c>
      <c r="D3740" s="1" t="n">
        <v>45261</v>
      </c>
      <c r="E3740" s="1" t="n">
        <v>46316</v>
      </c>
      <c r="F3740" t="inlineStr">
        <is>
          <t>KRONOBERGS LÄN</t>
        </is>
      </c>
      <c r="G3740" t="inlineStr">
        <is>
          <t>TINGSRYD</t>
        </is>
      </c>
      <c r="I3740" t="n">
        <v>3.2</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32617-2024</t>
        </is>
      </c>
      <c r="B3741" t="inlineStr">
        <is>
          <t>avverkningsanmälan</t>
        </is>
      </c>
      <c r="C3741" t="inlineStr">
        <is>
          <t>Föryngringsavverkning</t>
        </is>
      </c>
      <c r="D3741" s="1" t="n">
        <v>45513</v>
      </c>
      <c r="E3741" s="1" t="n">
        <v>46316</v>
      </c>
      <c r="F3741" t="inlineStr">
        <is>
          <t>KRONOBERGS LÄN</t>
        </is>
      </c>
      <c r="G3741" t="inlineStr">
        <is>
          <t>ÄLMHULT</t>
        </is>
      </c>
      <c r="I3741" t="n">
        <v>7.6</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55752-2023</t>
        </is>
      </c>
      <c r="B3742" t="inlineStr">
        <is>
          <t>avverkningsanmälan</t>
        </is>
      </c>
      <c r="C3742" t="inlineStr">
        <is>
          <t>Föryngringsavverkning</t>
        </is>
      </c>
      <c r="D3742" s="1" t="n">
        <v>45239</v>
      </c>
      <c r="E3742" s="1" t="n">
        <v>46316</v>
      </c>
      <c r="F3742" t="inlineStr">
        <is>
          <t>KRONOBERGS LÄN</t>
        </is>
      </c>
      <c r="G3742" t="inlineStr">
        <is>
          <t>LJUNGBY</t>
        </is>
      </c>
      <c r="I3742" t="n">
        <v>2.6</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60214-2021</t>
        </is>
      </c>
      <c r="B3743" t="inlineStr">
        <is>
          <t>avverkningsanmälan</t>
        </is>
      </c>
      <c r="C3743" t="inlineStr">
        <is>
          <t>Föryngringsavverkning</t>
        </is>
      </c>
      <c r="D3743" s="1" t="n">
        <v>44495</v>
      </c>
      <c r="E3743" s="1" t="n">
        <v>46316</v>
      </c>
      <c r="F3743" t="inlineStr">
        <is>
          <t>KRONOBERGS LÄN</t>
        </is>
      </c>
      <c r="G3743" t="inlineStr">
        <is>
          <t>TINGSRYD</t>
        </is>
      </c>
      <c r="I3743" t="n">
        <v>2.3</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27837-2026</t>
        </is>
      </c>
      <c r="B3744" t="inlineStr">
        <is>
          <t>avverkningsanmälan</t>
        </is>
      </c>
      <c r="C3744" t="inlineStr">
        <is>
          <t>Föryngringsavverkning</t>
        </is>
      </c>
      <c r="D3744" s="1" t="n">
        <v>46191</v>
      </c>
      <c r="E3744" s="1" t="n">
        <v>46316</v>
      </c>
      <c r="F3744" t="inlineStr">
        <is>
          <t>KRONOBERGS LÄN</t>
        </is>
      </c>
      <c r="G3744" t="inlineStr">
        <is>
          <t>LJUNGBY</t>
        </is>
      </c>
      <c r="I3744" t="n">
        <v>0.6</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27849-2026</t>
        </is>
      </c>
      <c r="B3745" t="inlineStr">
        <is>
          <t>avverkningsanmälan</t>
        </is>
      </c>
      <c r="C3745" t="inlineStr">
        <is>
          <t>Föryngringsavverkning</t>
        </is>
      </c>
      <c r="D3745" s="1" t="n">
        <v>46191</v>
      </c>
      <c r="E3745" s="1" t="n">
        <v>46316</v>
      </c>
      <c r="F3745" t="inlineStr">
        <is>
          <t>KRONOBERGS LÄN</t>
        </is>
      </c>
      <c r="G3745" t="inlineStr">
        <is>
          <t>UPPVIDINGE</t>
        </is>
      </c>
      <c r="I3745" t="n">
        <v>5.1</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33497-2023</t>
        </is>
      </c>
      <c r="B3746" t="inlineStr">
        <is>
          <t>avverkningsanmälan</t>
        </is>
      </c>
      <c r="C3746" t="inlineStr">
        <is>
          <t>Föryngringsavverkning</t>
        </is>
      </c>
      <c r="D3746" s="1" t="n">
        <v>45131</v>
      </c>
      <c r="E3746" s="1" t="n">
        <v>46316</v>
      </c>
      <c r="F3746" t="inlineStr">
        <is>
          <t>KRONOBERGS LÄN</t>
        </is>
      </c>
      <c r="G3746" t="inlineStr">
        <is>
          <t>LJUNGBY</t>
        </is>
      </c>
      <c r="I3746" t="n">
        <v>2.9</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20480-2025</t>
        </is>
      </c>
      <c r="B3747" t="inlineStr">
        <is>
          <t>avverkningsanmälan</t>
        </is>
      </c>
      <c r="C3747" t="inlineStr">
        <is>
          <t>Föryngringsavverkning</t>
        </is>
      </c>
      <c r="D3747" s="1" t="n">
        <v>45775</v>
      </c>
      <c r="E3747" s="1" t="n">
        <v>46316</v>
      </c>
      <c r="F3747" t="inlineStr">
        <is>
          <t>KRONOBERGS LÄN</t>
        </is>
      </c>
      <c r="G3747" t="inlineStr">
        <is>
          <t>LESSEBO</t>
        </is>
      </c>
      <c r="H3747" t="inlineStr">
        <is>
          <t>Sveaskog</t>
        </is>
      </c>
      <c r="I3747" t="n">
        <v>1.4</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27750-2026</t>
        </is>
      </c>
      <c r="B3748" t="inlineStr">
        <is>
          <t>avverkningsanmälan</t>
        </is>
      </c>
      <c r="C3748" t="inlineStr">
        <is>
          <t>Föryngringsavverkning</t>
        </is>
      </c>
      <c r="D3748" s="1" t="n">
        <v>46191</v>
      </c>
      <c r="E3748" s="1" t="n">
        <v>46316</v>
      </c>
      <c r="F3748" t="inlineStr">
        <is>
          <t>KRONOBERGS LÄN</t>
        </is>
      </c>
      <c r="G3748" t="inlineStr">
        <is>
          <t>VÄXJÖ</t>
        </is>
      </c>
      <c r="I3748" t="n">
        <v>1.5</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28237-2026</t>
        </is>
      </c>
      <c r="B3749" t="inlineStr">
        <is>
          <t>avverkningsanmälan</t>
        </is>
      </c>
      <c r="C3749" t="inlineStr">
        <is>
          <t>Föryngringsavverkning</t>
        </is>
      </c>
      <c r="D3749" s="1" t="n">
        <v>46196</v>
      </c>
      <c r="E3749" s="1" t="n">
        <v>46316</v>
      </c>
      <c r="F3749" t="inlineStr">
        <is>
          <t>KRONOBERGS LÄN</t>
        </is>
      </c>
      <c r="G3749" t="inlineStr">
        <is>
          <t>ALVESTA</t>
        </is>
      </c>
      <c r="I3749" t="n">
        <v>0.6</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27887-2024</t>
        </is>
      </c>
      <c r="B3750" t="inlineStr">
        <is>
          <t>avverkningsanmälan</t>
        </is>
      </c>
      <c r="C3750" t="inlineStr">
        <is>
          <t>Föryngringsavverkning</t>
        </is>
      </c>
      <c r="D3750" s="1" t="n">
        <v>45475</v>
      </c>
      <c r="E3750" s="1" t="n">
        <v>46316</v>
      </c>
      <c r="F3750" t="inlineStr">
        <is>
          <t>KRONOBERGS LÄN</t>
        </is>
      </c>
      <c r="G3750" t="inlineStr">
        <is>
          <t>UPPVIDINGE</t>
        </is>
      </c>
      <c r="I3750" t="n">
        <v>1.1</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19712-2024</t>
        </is>
      </c>
      <c r="B3751" t="inlineStr">
        <is>
          <t>avverkningsanmälan</t>
        </is>
      </c>
      <c r="C3751" t="inlineStr">
        <is>
          <t>Föryngringsavverkning</t>
        </is>
      </c>
      <c r="D3751" s="1" t="n">
        <v>45432</v>
      </c>
      <c r="E3751" s="1" t="n">
        <v>46316</v>
      </c>
      <c r="F3751" t="inlineStr">
        <is>
          <t>KRONOBERGS LÄN</t>
        </is>
      </c>
      <c r="G3751" t="inlineStr">
        <is>
          <t>VÄXJÖ</t>
        </is>
      </c>
      <c r="I3751" t="n">
        <v>0.5</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18427-2022</t>
        </is>
      </c>
      <c r="B3752" t="inlineStr">
        <is>
          <t>avverkningsanmälan</t>
        </is>
      </c>
      <c r="C3752" t="inlineStr">
        <is>
          <t>Föryngringsavverkning</t>
        </is>
      </c>
      <c r="D3752" s="1" t="n">
        <v>44686</v>
      </c>
      <c r="E3752" s="1" t="n">
        <v>46316</v>
      </c>
      <c r="F3752" t="inlineStr">
        <is>
          <t>KRONOBERGS LÄN</t>
        </is>
      </c>
      <c r="G3752" t="inlineStr">
        <is>
          <t>VÄXJÖ</t>
        </is>
      </c>
      <c r="I3752" t="n">
        <v>0.7</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59803-2024</t>
        </is>
      </c>
      <c r="B3753" t="inlineStr">
        <is>
          <t>avverkningsanmälan</t>
        </is>
      </c>
      <c r="C3753" t="inlineStr">
        <is>
          <t>Föryngringsavverkning</t>
        </is>
      </c>
      <c r="D3753" s="1" t="n">
        <v>45639</v>
      </c>
      <c r="E3753" s="1" t="n">
        <v>46316</v>
      </c>
      <c r="F3753" t="inlineStr">
        <is>
          <t>KRONOBERGS LÄN</t>
        </is>
      </c>
      <c r="G3753" t="inlineStr">
        <is>
          <t>UPPVIDINGE</t>
        </is>
      </c>
      <c r="I3753" t="n">
        <v>0.9</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64509-2023</t>
        </is>
      </c>
      <c r="B3754" t="inlineStr">
        <is>
          <t>avverkningsanmälan</t>
        </is>
      </c>
      <c r="C3754" t="inlineStr">
        <is>
          <t>Föryngringsavverkning</t>
        </is>
      </c>
      <c r="D3754" s="1" t="n">
        <v>45281</v>
      </c>
      <c r="E3754" s="1" t="n">
        <v>46316</v>
      </c>
      <c r="F3754" t="inlineStr">
        <is>
          <t>KRONOBERGS LÄN</t>
        </is>
      </c>
      <c r="G3754" t="inlineStr">
        <is>
          <t>MARKARYD</t>
        </is>
      </c>
      <c r="I3754" t="n">
        <v>1</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28060-2026</t>
        </is>
      </c>
      <c r="B3755" t="inlineStr">
        <is>
          <t>avverkningsanmälan</t>
        </is>
      </c>
      <c r="C3755" t="inlineStr">
        <is>
          <t>Föryngringsavverkning</t>
        </is>
      </c>
      <c r="D3755" s="1" t="n">
        <v>46195</v>
      </c>
      <c r="E3755" s="1" t="n">
        <v>46316</v>
      </c>
      <c r="F3755" t="inlineStr">
        <is>
          <t>KRONOBERGS LÄN</t>
        </is>
      </c>
      <c r="G3755" t="inlineStr">
        <is>
          <t>LJUNGBY</t>
        </is>
      </c>
      <c r="I3755" t="n">
        <v>0.4</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32426-2024</t>
        </is>
      </c>
      <c r="B3756" t="inlineStr">
        <is>
          <t>avverkningsanmälan</t>
        </is>
      </c>
      <c r="C3756" t="inlineStr">
        <is>
          <t>Föryngringsavverkning</t>
        </is>
      </c>
      <c r="D3756" s="1" t="n">
        <v>45512</v>
      </c>
      <c r="E3756" s="1" t="n">
        <v>46316</v>
      </c>
      <c r="F3756" t="inlineStr">
        <is>
          <t>KRONOBERGS LÄN</t>
        </is>
      </c>
      <c r="G3756" t="inlineStr">
        <is>
          <t>MARKARYD</t>
        </is>
      </c>
      <c r="I3756" t="n">
        <v>1.6</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39360-2023</t>
        </is>
      </c>
      <c r="B3757" t="inlineStr">
        <is>
          <t>avverkningsanmälan</t>
        </is>
      </c>
      <c r="C3757" t="inlineStr">
        <is>
          <t>Föryngringsavverkning</t>
        </is>
      </c>
      <c r="D3757" s="1" t="n">
        <v>45166</v>
      </c>
      <c r="E3757" s="1" t="n">
        <v>46316</v>
      </c>
      <c r="F3757" t="inlineStr">
        <is>
          <t>KRONOBERGS LÄN</t>
        </is>
      </c>
      <c r="G3757" t="inlineStr">
        <is>
          <t>ÄLMHULT</t>
        </is>
      </c>
      <c r="I3757" t="n">
        <v>0.9</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19380-2024</t>
        </is>
      </c>
      <c r="B3758" t="inlineStr">
        <is>
          <t>avverkningsanmälan</t>
        </is>
      </c>
      <c r="C3758" t="inlineStr">
        <is>
          <t>Föryngringsavverkning</t>
        </is>
      </c>
      <c r="D3758" s="1" t="n">
        <v>45429</v>
      </c>
      <c r="E3758" s="1" t="n">
        <v>46316</v>
      </c>
      <c r="F3758" t="inlineStr">
        <is>
          <t>KRONOBERGS LÄN</t>
        </is>
      </c>
      <c r="G3758" t="inlineStr">
        <is>
          <t>TINGSRYD</t>
        </is>
      </c>
      <c r="I3758" t="n">
        <v>0.9</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19399-2024</t>
        </is>
      </c>
      <c r="B3759" t="inlineStr">
        <is>
          <t>avverkningsanmälan</t>
        </is>
      </c>
      <c r="C3759" t="inlineStr">
        <is>
          <t>Föryngringsavverkning</t>
        </is>
      </c>
      <c r="D3759" s="1" t="n">
        <v>45428</v>
      </c>
      <c r="E3759" s="1" t="n">
        <v>46316</v>
      </c>
      <c r="F3759" t="inlineStr">
        <is>
          <t>KRONOBERGS LÄN</t>
        </is>
      </c>
      <c r="G3759" t="inlineStr">
        <is>
          <t>MARKARYD</t>
        </is>
      </c>
      <c r="H3759" t="inlineStr">
        <is>
          <t>Kyrkan</t>
        </is>
      </c>
      <c r="I3759" t="n">
        <v>3.7</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72446-2021</t>
        </is>
      </c>
      <c r="B3760" t="inlineStr">
        <is>
          <t>avverkningsanmälan</t>
        </is>
      </c>
      <c r="C3760" t="inlineStr">
        <is>
          <t>Föryngringsavverkning</t>
        </is>
      </c>
      <c r="D3760" s="1" t="n">
        <v>44545</v>
      </c>
      <c r="E3760" s="1" t="n">
        <v>46316</v>
      </c>
      <c r="F3760" t="inlineStr">
        <is>
          <t>KRONOBERGS LÄN</t>
        </is>
      </c>
      <c r="G3760" t="inlineStr">
        <is>
          <t>TINGSRYD</t>
        </is>
      </c>
      <c r="I3760" t="n">
        <v>1.5</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27540-2022</t>
        </is>
      </c>
      <c r="B3761" t="inlineStr">
        <is>
          <t>avverkningsanmälan</t>
        </is>
      </c>
      <c r="C3761" t="inlineStr">
        <is>
          <t>Föryngringsavverkning</t>
        </is>
      </c>
      <c r="D3761" s="1" t="n">
        <v>44742</v>
      </c>
      <c r="E3761" s="1" t="n">
        <v>46316</v>
      </c>
      <c r="F3761" t="inlineStr">
        <is>
          <t>KRONOBERGS LÄN</t>
        </is>
      </c>
      <c r="G3761" t="inlineStr">
        <is>
          <t>LJUNGBY</t>
        </is>
      </c>
      <c r="I3761" t="n">
        <v>1.2</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5223-2025</t>
        </is>
      </c>
      <c r="B3762" t="inlineStr">
        <is>
          <t>avverkningsanmälan</t>
        </is>
      </c>
      <c r="C3762" t="inlineStr">
        <is>
          <t>Föryngringsavverkning</t>
        </is>
      </c>
      <c r="D3762" s="1" t="n">
        <v>45691</v>
      </c>
      <c r="E3762" s="1" t="n">
        <v>46316</v>
      </c>
      <c r="F3762" t="inlineStr">
        <is>
          <t>KRONOBERGS LÄN</t>
        </is>
      </c>
      <c r="G3762" t="inlineStr">
        <is>
          <t>TINGSRYD</t>
        </is>
      </c>
      <c r="H3762" t="inlineStr">
        <is>
          <t>Sveaskog</t>
        </is>
      </c>
      <c r="I3762" t="n">
        <v>0.5</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3377-2025</t>
        </is>
      </c>
      <c r="B3763" t="inlineStr">
        <is>
          <t>avverkningsanmälan</t>
        </is>
      </c>
      <c r="C3763" t="inlineStr">
        <is>
          <t>Föryngringsavverkning</t>
        </is>
      </c>
      <c r="D3763" s="1" t="n">
        <v>45680</v>
      </c>
      <c r="E3763" s="1" t="n">
        <v>46316</v>
      </c>
      <c r="F3763" t="inlineStr">
        <is>
          <t>KRONOBERGS LÄN</t>
        </is>
      </c>
      <c r="G3763" t="inlineStr">
        <is>
          <t>ÄLMHULT</t>
        </is>
      </c>
      <c r="I3763" t="n">
        <v>1.4</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4825-2025</t>
        </is>
      </c>
      <c r="B3764" t="inlineStr">
        <is>
          <t>avverkningsanmälan</t>
        </is>
      </c>
      <c r="C3764" t="inlineStr">
        <is>
          <t>Föryngringsavverkning</t>
        </is>
      </c>
      <c r="D3764" s="1" t="n">
        <v>45688</v>
      </c>
      <c r="E3764" s="1" t="n">
        <v>46316</v>
      </c>
      <c r="F3764" t="inlineStr">
        <is>
          <t>KRONOBERGS LÄN</t>
        </is>
      </c>
      <c r="G3764" t="inlineStr">
        <is>
          <t>UPPVIDINGE</t>
        </is>
      </c>
      <c r="H3764" t="inlineStr">
        <is>
          <t>Sveaskog</t>
        </is>
      </c>
      <c r="I3764" t="n">
        <v>3.3</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28170-2026</t>
        </is>
      </c>
      <c r="B3765" t="inlineStr">
        <is>
          <t>avverkningsanmälan</t>
        </is>
      </c>
      <c r="C3765" t="inlineStr">
        <is>
          <t>Föryngringsavverkning</t>
        </is>
      </c>
      <c r="D3765" s="1" t="n">
        <v>46195</v>
      </c>
      <c r="E3765" s="1" t="n">
        <v>46316</v>
      </c>
      <c r="F3765" t="inlineStr">
        <is>
          <t>KRONOBERGS LÄN</t>
        </is>
      </c>
      <c r="G3765" t="inlineStr">
        <is>
          <t>UPPVIDINGE</t>
        </is>
      </c>
      <c r="I3765" t="n">
        <v>3.2</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46472-2023</t>
        </is>
      </c>
      <c r="B3766" t="inlineStr">
        <is>
          <t>avverkningsanmälan</t>
        </is>
      </c>
      <c r="C3766" t="inlineStr">
        <is>
          <t>Föryngringsavverkning</t>
        </is>
      </c>
      <c r="D3766" s="1" t="n">
        <v>45191</v>
      </c>
      <c r="E3766" s="1" t="n">
        <v>46316</v>
      </c>
      <c r="F3766" t="inlineStr">
        <is>
          <t>KRONOBERGS LÄN</t>
        </is>
      </c>
      <c r="G3766" t="inlineStr">
        <is>
          <t>ÄLMHULT</t>
        </is>
      </c>
      <c r="I3766" t="n">
        <v>1</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26421-2024</t>
        </is>
      </c>
      <c r="B3767" t="inlineStr">
        <is>
          <t>avverkningsanmälan</t>
        </is>
      </c>
      <c r="C3767" t="inlineStr">
        <is>
          <t>Föryngringsavverkning</t>
        </is>
      </c>
      <c r="D3767" s="1" t="n">
        <v>45469</v>
      </c>
      <c r="E3767" s="1" t="n">
        <v>46316</v>
      </c>
      <c r="F3767" t="inlineStr">
        <is>
          <t>KRONOBERGS LÄN</t>
        </is>
      </c>
      <c r="G3767" t="inlineStr">
        <is>
          <t>TINGSRYD</t>
        </is>
      </c>
      <c r="I3767" t="n">
        <v>1</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8134-2023</t>
        </is>
      </c>
      <c r="B3768" t="inlineStr">
        <is>
          <t>avverkningsanmälan</t>
        </is>
      </c>
      <c r="C3768" t="inlineStr">
        <is>
          <t>Föryngringsavverkning</t>
        </is>
      </c>
      <c r="D3768" s="1" t="n">
        <v>44974</v>
      </c>
      <c r="E3768" s="1" t="n">
        <v>46316</v>
      </c>
      <c r="F3768" t="inlineStr">
        <is>
          <t>KRONOBERGS LÄN</t>
        </is>
      </c>
      <c r="G3768" t="inlineStr">
        <is>
          <t>LJUNGBY</t>
        </is>
      </c>
      <c r="I3768" t="n">
        <v>1.1</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29588-2023</t>
        </is>
      </c>
      <c r="B3769" t="inlineStr">
        <is>
          <t>avverkningsanmälan</t>
        </is>
      </c>
      <c r="C3769" t="inlineStr">
        <is>
          <t>Föryngringsavverkning</t>
        </is>
      </c>
      <c r="D3769" s="1" t="n">
        <v>45106</v>
      </c>
      <c r="E3769" s="1" t="n">
        <v>46316</v>
      </c>
      <c r="F3769" t="inlineStr">
        <is>
          <t>KRONOBERGS LÄN</t>
        </is>
      </c>
      <c r="G3769" t="inlineStr">
        <is>
          <t>TINGSRYD</t>
        </is>
      </c>
      <c r="I3769" t="n">
        <v>2</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61117-2023</t>
        </is>
      </c>
      <c r="B3770" t="inlineStr">
        <is>
          <t>avverkningsanmälan</t>
        </is>
      </c>
      <c r="C3770" t="inlineStr">
        <is>
          <t>Föryngringsavverkning</t>
        </is>
      </c>
      <c r="D3770" s="1" t="n">
        <v>45261</v>
      </c>
      <c r="E3770" s="1" t="n">
        <v>46316</v>
      </c>
      <c r="F3770" t="inlineStr">
        <is>
          <t>KRONOBERGS LÄN</t>
        </is>
      </c>
      <c r="G3770" t="inlineStr">
        <is>
          <t>TINGSRYD</t>
        </is>
      </c>
      <c r="I3770" t="n">
        <v>1.4</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47537-2022</t>
        </is>
      </c>
      <c r="B3771" t="inlineStr">
        <is>
          <t>avverkningsanmälan</t>
        </is>
      </c>
      <c r="C3771" t="inlineStr">
        <is>
          <t>Föryngringsavverkning</t>
        </is>
      </c>
      <c r="D3771" s="1" t="n">
        <v>44853</v>
      </c>
      <c r="E3771" s="1" t="n">
        <v>46316</v>
      </c>
      <c r="F3771" t="inlineStr">
        <is>
          <t>KRONOBERGS LÄN</t>
        </is>
      </c>
      <c r="G3771" t="inlineStr">
        <is>
          <t>ÄLMHULT</t>
        </is>
      </c>
      <c r="I3771" t="n">
        <v>0.7</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58494-2023</t>
        </is>
      </c>
      <c r="B3772" t="inlineStr">
        <is>
          <t>avverkningsanmälan</t>
        </is>
      </c>
      <c r="C3772" t="inlineStr">
        <is>
          <t>Föryngringsavverkning</t>
        </is>
      </c>
      <c r="D3772" s="1" t="n">
        <v>45251</v>
      </c>
      <c r="E3772" s="1" t="n">
        <v>46316</v>
      </c>
      <c r="F3772" t="inlineStr">
        <is>
          <t>KRONOBERGS LÄN</t>
        </is>
      </c>
      <c r="G3772" t="inlineStr">
        <is>
          <t>ÄLMHULT</t>
        </is>
      </c>
      <c r="I3772" t="n">
        <v>3.3</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28235-2026</t>
        </is>
      </c>
      <c r="B3773" t="inlineStr">
        <is>
          <t>avverkningsanmälan</t>
        </is>
      </c>
      <c r="C3773" t="inlineStr">
        <is>
          <t>Föryngringsavverkning</t>
        </is>
      </c>
      <c r="D3773" s="1" t="n">
        <v>46196</v>
      </c>
      <c r="E3773" s="1" t="n">
        <v>46316</v>
      </c>
      <c r="F3773" t="inlineStr">
        <is>
          <t>KRONOBERGS LÄN</t>
        </is>
      </c>
      <c r="G3773" t="inlineStr">
        <is>
          <t>ALVESTA</t>
        </is>
      </c>
      <c r="I3773" t="n">
        <v>1</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58648-2024</t>
        </is>
      </c>
      <c r="B3774" t="inlineStr">
        <is>
          <t>avverkningsanmälan</t>
        </is>
      </c>
      <c r="C3774" t="inlineStr">
        <is>
          <t>Avverkning för annat ändamål</t>
        </is>
      </c>
      <c r="D3774" s="1" t="n">
        <v>45635</v>
      </c>
      <c r="E3774" s="1" t="n">
        <v>46316</v>
      </c>
      <c r="F3774" t="inlineStr">
        <is>
          <t>KRONOBERGS LÄN</t>
        </is>
      </c>
      <c r="G3774" t="inlineStr">
        <is>
          <t>ALVESTA</t>
        </is>
      </c>
      <c r="I3774" t="n">
        <v>0.7</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67156-2021</t>
        </is>
      </c>
      <c r="B3775" t="inlineStr">
        <is>
          <t>avverkningsanmälan</t>
        </is>
      </c>
      <c r="C3775" t="inlineStr">
        <is>
          <t>Föryngringsavverkning</t>
        </is>
      </c>
      <c r="D3775" s="1" t="n">
        <v>44523</v>
      </c>
      <c r="E3775" s="1" t="n">
        <v>46316</v>
      </c>
      <c r="F3775" t="inlineStr">
        <is>
          <t>KRONOBERGS LÄN</t>
        </is>
      </c>
      <c r="G3775" t="inlineStr">
        <is>
          <t>UPPVIDINGE</t>
        </is>
      </c>
      <c r="I3775" t="n">
        <v>0.5</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3850-2022</t>
        </is>
      </c>
      <c r="B3776" t="inlineStr">
        <is>
          <t>avverkningsanmälan</t>
        </is>
      </c>
      <c r="C3776" t="inlineStr">
        <is>
          <t>Föryngringsavverkning</t>
        </is>
      </c>
      <c r="D3776" s="1" t="n">
        <v>44587</v>
      </c>
      <c r="E3776" s="1" t="n">
        <v>46316</v>
      </c>
      <c r="F3776" t="inlineStr">
        <is>
          <t>KRONOBERGS LÄN</t>
        </is>
      </c>
      <c r="G3776" t="inlineStr">
        <is>
          <t>LJUNGBY</t>
        </is>
      </c>
      <c r="I3776" t="n">
        <v>2.3</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28686-2026</t>
        </is>
      </c>
      <c r="B3777" t="inlineStr">
        <is>
          <t>avverkningsanmälan</t>
        </is>
      </c>
      <c r="C3777" t="inlineStr">
        <is>
          <t>Föryngringsavverkning</t>
        </is>
      </c>
      <c r="D3777" s="1" t="n">
        <v>46198</v>
      </c>
      <c r="E3777" s="1" t="n">
        <v>46316</v>
      </c>
      <c r="F3777" t="inlineStr">
        <is>
          <t>KRONOBERGS LÄN</t>
        </is>
      </c>
      <c r="G3777" t="inlineStr">
        <is>
          <t>ÄLMHULT</t>
        </is>
      </c>
      <c r="I3777" t="n">
        <v>0.6</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28754-2026</t>
        </is>
      </c>
      <c r="B3778" t="inlineStr">
        <is>
          <t>avverkningsanmälan</t>
        </is>
      </c>
      <c r="C3778" t="inlineStr">
        <is>
          <t>Föryngringsavverkning</t>
        </is>
      </c>
      <c r="D3778" s="1" t="n">
        <v>46198</v>
      </c>
      <c r="E3778" s="1" t="n">
        <v>46316</v>
      </c>
      <c r="F3778" t="inlineStr">
        <is>
          <t>KRONOBERGS LÄN</t>
        </is>
      </c>
      <c r="G3778" t="inlineStr">
        <is>
          <t>VÄXJÖ</t>
        </is>
      </c>
      <c r="I3778" t="n">
        <v>2.9</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15223-2024</t>
        </is>
      </c>
      <c r="B3779" t="inlineStr">
        <is>
          <t>avverkningsanmälan</t>
        </is>
      </c>
      <c r="C3779" t="inlineStr">
        <is>
          <t>Föryngringsavverkning</t>
        </is>
      </c>
      <c r="D3779" s="1" t="n">
        <v>45400</v>
      </c>
      <c r="E3779" s="1" t="n">
        <v>46316</v>
      </c>
      <c r="F3779" t="inlineStr">
        <is>
          <t>KRONOBERGS LÄN</t>
        </is>
      </c>
      <c r="G3779" t="inlineStr">
        <is>
          <t>VÄXJÖ</t>
        </is>
      </c>
      <c r="I3779" t="n">
        <v>0.9</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28693-2026</t>
        </is>
      </c>
      <c r="B3780" t="inlineStr">
        <is>
          <t>avverkningsanmälan</t>
        </is>
      </c>
      <c r="C3780" t="inlineStr">
        <is>
          <t>Föryngringsavverkning</t>
        </is>
      </c>
      <c r="D3780" s="1" t="n">
        <v>46198</v>
      </c>
      <c r="E3780" s="1" t="n">
        <v>46316</v>
      </c>
      <c r="F3780" t="inlineStr">
        <is>
          <t>KRONOBERGS LÄN</t>
        </is>
      </c>
      <c r="G3780" t="inlineStr">
        <is>
          <t>ÄLMHULT</t>
        </is>
      </c>
      <c r="I3780" t="n">
        <v>1.1</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23543-2023</t>
        </is>
      </c>
      <c r="B3781" t="inlineStr">
        <is>
          <t>avverkningsanmälan</t>
        </is>
      </c>
      <c r="C3781" t="inlineStr">
        <is>
          <t>Föryngringsavverkning</t>
        </is>
      </c>
      <c r="D3781" s="1" t="n">
        <v>45077</v>
      </c>
      <c r="E3781" s="1" t="n">
        <v>46316</v>
      </c>
      <c r="F3781" t="inlineStr">
        <is>
          <t>KRONOBERGS LÄN</t>
        </is>
      </c>
      <c r="G3781" t="inlineStr">
        <is>
          <t>MARKARYD</t>
        </is>
      </c>
      <c r="I3781" t="n">
        <v>3.6</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64159-2023</t>
        </is>
      </c>
      <c r="B3782" t="inlineStr">
        <is>
          <t>avverkningsanmälan</t>
        </is>
      </c>
      <c r="C3782" t="inlineStr">
        <is>
          <t>Föryngringsavverkning</t>
        </is>
      </c>
      <c r="D3782" s="1" t="n">
        <v>45279</v>
      </c>
      <c r="E3782" s="1" t="n">
        <v>46316</v>
      </c>
      <c r="F3782" t="inlineStr">
        <is>
          <t>KRONOBERGS LÄN</t>
        </is>
      </c>
      <c r="G3782" t="inlineStr">
        <is>
          <t>UPPVIDINGE</t>
        </is>
      </c>
      <c r="I3782" t="n">
        <v>1.2</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21234-2022</t>
        </is>
      </c>
      <c r="B3783" t="inlineStr">
        <is>
          <t>avverkningsanmälan</t>
        </is>
      </c>
      <c r="C3783" t="inlineStr">
        <is>
          <t>Föryngringsavverkning</t>
        </is>
      </c>
      <c r="D3783" s="1" t="n">
        <v>44705</v>
      </c>
      <c r="E3783" s="1" t="n">
        <v>46316</v>
      </c>
      <c r="F3783" t="inlineStr">
        <is>
          <t>KRONOBERGS LÄN</t>
        </is>
      </c>
      <c r="G3783" t="inlineStr">
        <is>
          <t>TINGSRYD</t>
        </is>
      </c>
      <c r="I3783" t="n">
        <v>14.9</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21274-2022</t>
        </is>
      </c>
      <c r="B3784" t="inlineStr">
        <is>
          <t>avverkningsanmälan</t>
        </is>
      </c>
      <c r="C3784" t="inlineStr">
        <is>
          <t>Föryngringsavverkning</t>
        </is>
      </c>
      <c r="D3784" s="1" t="n">
        <v>44705</v>
      </c>
      <c r="E3784" s="1" t="n">
        <v>46316</v>
      </c>
      <c r="F3784" t="inlineStr">
        <is>
          <t>KRONOBERGS LÄN</t>
        </is>
      </c>
      <c r="G3784" t="inlineStr">
        <is>
          <t>VÄXJÖ</t>
        </is>
      </c>
      <c r="I3784" t="n">
        <v>1</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2913-2024</t>
        </is>
      </c>
      <c r="B3785" t="inlineStr">
        <is>
          <t>avverkningsanmälan</t>
        </is>
      </c>
      <c r="C3785" t="inlineStr">
        <is>
          <t>Föryngringsavverkning</t>
        </is>
      </c>
      <c r="D3785" s="1" t="n">
        <v>45315</v>
      </c>
      <c r="E3785" s="1" t="n">
        <v>46316</v>
      </c>
      <c r="F3785" t="inlineStr">
        <is>
          <t>KRONOBERGS LÄN</t>
        </is>
      </c>
      <c r="G3785" t="inlineStr">
        <is>
          <t>VÄXJÖ</t>
        </is>
      </c>
      <c r="I3785" t="n">
        <v>3.3</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28761-2026</t>
        </is>
      </c>
      <c r="B3786" t="inlineStr">
        <is>
          <t>avverkningsanmälan</t>
        </is>
      </c>
      <c r="C3786" t="inlineStr">
        <is>
          <t>Föryngringsavverkning</t>
        </is>
      </c>
      <c r="D3786" s="1" t="n">
        <v>46198</v>
      </c>
      <c r="E3786" s="1" t="n">
        <v>46316</v>
      </c>
      <c r="F3786" t="inlineStr">
        <is>
          <t>KRONOBERGS LÄN</t>
        </is>
      </c>
      <c r="G3786" t="inlineStr">
        <is>
          <t>VÄXJÖ</t>
        </is>
      </c>
      <c r="I3786" t="n">
        <v>0.9</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28771-2026</t>
        </is>
      </c>
      <c r="B3787" t="inlineStr">
        <is>
          <t>avverkningsanmälan</t>
        </is>
      </c>
      <c r="C3787" t="inlineStr">
        <is>
          <t>Föryngringsavverkning</t>
        </is>
      </c>
      <c r="D3787" s="1" t="n">
        <v>46198</v>
      </c>
      <c r="E3787" s="1" t="n">
        <v>46316</v>
      </c>
      <c r="F3787" t="inlineStr">
        <is>
          <t>KRONOBERGS LÄN</t>
        </is>
      </c>
      <c r="G3787" t="inlineStr">
        <is>
          <t>TINGSRYD</t>
        </is>
      </c>
      <c r="I3787" t="n">
        <v>4.5</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28778-2026</t>
        </is>
      </c>
      <c r="B3788" t="inlineStr">
        <is>
          <t>avverkningsanmälan</t>
        </is>
      </c>
      <c r="C3788" t="inlineStr">
        <is>
          <t>Avverkning för annat ändamål</t>
        </is>
      </c>
      <c r="D3788" s="1" t="n">
        <v>46198</v>
      </c>
      <c r="E3788" s="1" t="n">
        <v>46316</v>
      </c>
      <c r="F3788" t="inlineStr">
        <is>
          <t>KRONOBERGS LÄN</t>
        </is>
      </c>
      <c r="G3788" t="inlineStr">
        <is>
          <t>VÄXJÖ</t>
        </is>
      </c>
      <c r="I3788" t="n">
        <v>1.5</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2960-2024</t>
        </is>
      </c>
      <c r="B3789" t="inlineStr">
        <is>
          <t>avverkningsanmälan</t>
        </is>
      </c>
      <c r="C3789" t="inlineStr">
        <is>
          <t>Föryngringsavverkning</t>
        </is>
      </c>
      <c r="D3789" s="1" t="n">
        <v>45315</v>
      </c>
      <c r="E3789" s="1" t="n">
        <v>46316</v>
      </c>
      <c r="F3789" t="inlineStr">
        <is>
          <t>KRONOBERGS LÄN</t>
        </is>
      </c>
      <c r="G3789" t="inlineStr">
        <is>
          <t>LJUNGBY</t>
        </is>
      </c>
      <c r="I3789" t="n">
        <v>0.8</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6367-2024</t>
        </is>
      </c>
      <c r="B3790" t="inlineStr">
        <is>
          <t>avverkningsanmälan</t>
        </is>
      </c>
      <c r="C3790" t="inlineStr">
        <is>
          <t>Föryngringsavverkning</t>
        </is>
      </c>
      <c r="D3790" s="1" t="n">
        <v>45338</v>
      </c>
      <c r="E3790" s="1" t="n">
        <v>46316</v>
      </c>
      <c r="F3790" t="inlineStr">
        <is>
          <t>KRONOBERGS LÄN</t>
        </is>
      </c>
      <c r="G3790" t="inlineStr">
        <is>
          <t>ALVESTA</t>
        </is>
      </c>
      <c r="I3790" t="n">
        <v>0.5</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28602-2026</t>
        </is>
      </c>
      <c r="B3791" t="inlineStr">
        <is>
          <t>avverkningsanmälan</t>
        </is>
      </c>
      <c r="C3791" t="inlineStr">
        <is>
          <t>Föryngringsavverkning</t>
        </is>
      </c>
      <c r="D3791" s="1" t="n">
        <v>46197</v>
      </c>
      <c r="E3791" s="1" t="n">
        <v>46316</v>
      </c>
      <c r="F3791" t="inlineStr">
        <is>
          <t>KRONOBERGS LÄN</t>
        </is>
      </c>
      <c r="G3791" t="inlineStr">
        <is>
          <t>TINGSRYD</t>
        </is>
      </c>
      <c r="I3791" t="n">
        <v>2.3</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52430-2024</t>
        </is>
      </c>
      <c r="B3792" t="inlineStr">
        <is>
          <t>avverkningsanmälan</t>
        </is>
      </c>
      <c r="C3792" t="inlineStr">
        <is>
          <t>Föryngringsavverkning</t>
        </is>
      </c>
      <c r="D3792" s="1" t="n">
        <v>45609</v>
      </c>
      <c r="E3792" s="1" t="n">
        <v>46316</v>
      </c>
      <c r="F3792" t="inlineStr">
        <is>
          <t>KRONOBERGS LÄN</t>
        </is>
      </c>
      <c r="G3792" t="inlineStr">
        <is>
          <t>TINGSRYD</t>
        </is>
      </c>
      <c r="I3792" t="n">
        <v>2.5</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48159-2024</t>
        </is>
      </c>
      <c r="B3793" t="inlineStr">
        <is>
          <t>avverkningsanmälan</t>
        </is>
      </c>
      <c r="C3793" t="inlineStr">
        <is>
          <t>Föryngringsavverkning</t>
        </is>
      </c>
      <c r="D3793" s="1" t="n">
        <v>45589</v>
      </c>
      <c r="E3793" s="1" t="n">
        <v>46316</v>
      </c>
      <c r="F3793" t="inlineStr">
        <is>
          <t>KRONOBERGS LÄN</t>
        </is>
      </c>
      <c r="G3793" t="inlineStr">
        <is>
          <t>ÄLMHULT</t>
        </is>
      </c>
      <c r="I3793" t="n">
        <v>1.6</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28707-2026</t>
        </is>
      </c>
      <c r="B3794" t="inlineStr">
        <is>
          <t>avverkningsanmälan</t>
        </is>
      </c>
      <c r="C3794" t="inlineStr">
        <is>
          <t>Föryngringsavverkning</t>
        </is>
      </c>
      <c r="D3794" s="1" t="n">
        <v>46198</v>
      </c>
      <c r="E3794" s="1" t="n">
        <v>46316</v>
      </c>
      <c r="F3794" t="inlineStr">
        <is>
          <t>KRONOBERGS LÄN</t>
        </is>
      </c>
      <c r="G3794" t="inlineStr">
        <is>
          <t>ÄLMHULT</t>
        </is>
      </c>
      <c r="I3794" t="n">
        <v>1.5</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5392-2023</t>
        </is>
      </c>
      <c r="B3795" t="inlineStr">
        <is>
          <t>avverkningsanmälan</t>
        </is>
      </c>
      <c r="C3795" t="inlineStr">
        <is>
          <t>Föryngringsavverkning</t>
        </is>
      </c>
      <c r="D3795" s="1" t="n">
        <v>44959</v>
      </c>
      <c r="E3795" s="1" t="n">
        <v>46316</v>
      </c>
      <c r="F3795" t="inlineStr">
        <is>
          <t>KRONOBERGS LÄN</t>
        </is>
      </c>
      <c r="G3795" t="inlineStr">
        <is>
          <t>LJUNGBY</t>
        </is>
      </c>
      <c r="I3795" t="n">
        <v>0.4</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5403-2023</t>
        </is>
      </c>
      <c r="B3796" t="inlineStr">
        <is>
          <t>avverkningsanmälan</t>
        </is>
      </c>
      <c r="C3796" t="inlineStr">
        <is>
          <t>Föryngringsavverkning</t>
        </is>
      </c>
      <c r="D3796" s="1" t="n">
        <v>44959</v>
      </c>
      <c r="E3796" s="1" t="n">
        <v>46316</v>
      </c>
      <c r="F3796" t="inlineStr">
        <is>
          <t>KRONOBERGS LÄN</t>
        </is>
      </c>
      <c r="G3796" t="inlineStr">
        <is>
          <t>LJUNGBY</t>
        </is>
      </c>
      <c r="I3796" t="n">
        <v>0.3</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21768-2023</t>
        </is>
      </c>
      <c r="B3797" t="inlineStr">
        <is>
          <t>avverkningsanmälan</t>
        </is>
      </c>
      <c r="C3797" t="inlineStr">
        <is>
          <t>Föryngringsavverkning</t>
        </is>
      </c>
      <c r="D3797" s="1" t="n">
        <v>45065</v>
      </c>
      <c r="E3797" s="1" t="n">
        <v>46316</v>
      </c>
      <c r="F3797" t="inlineStr">
        <is>
          <t>KRONOBERGS LÄN</t>
        </is>
      </c>
      <c r="G3797" t="inlineStr">
        <is>
          <t>VÄXJÖ</t>
        </is>
      </c>
      <c r="I3797" t="n">
        <v>0.8</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28559-2026</t>
        </is>
      </c>
      <c r="B3798" t="inlineStr">
        <is>
          <t>avverkningsanmälan</t>
        </is>
      </c>
      <c r="C3798" t="inlineStr">
        <is>
          <t>Föryngringsavverkning</t>
        </is>
      </c>
      <c r="D3798" s="1" t="n">
        <v>46197</v>
      </c>
      <c r="E3798" s="1" t="n">
        <v>46316</v>
      </c>
      <c r="F3798" t="inlineStr">
        <is>
          <t>KRONOBERGS LÄN</t>
        </is>
      </c>
      <c r="G3798" t="inlineStr">
        <is>
          <t>LJUNGBY</t>
        </is>
      </c>
      <c r="I3798" t="n">
        <v>4.3</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27675-2022</t>
        </is>
      </c>
      <c r="B3799" t="inlineStr">
        <is>
          <t>avverkningsanmälan</t>
        </is>
      </c>
      <c r="C3799" t="inlineStr">
        <is>
          <t>Föryngringsavverkning</t>
        </is>
      </c>
      <c r="D3799" s="1" t="n">
        <v>44743</v>
      </c>
      <c r="E3799" s="1" t="n">
        <v>46316</v>
      </c>
      <c r="F3799" t="inlineStr">
        <is>
          <t>KRONOBERGS LÄN</t>
        </is>
      </c>
      <c r="G3799" t="inlineStr">
        <is>
          <t>VÄXJÖ</t>
        </is>
      </c>
      <c r="I3799" t="n">
        <v>1.4</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6340-2025</t>
        </is>
      </c>
      <c r="B3800" t="inlineStr">
        <is>
          <t>avverkningsanmälan</t>
        </is>
      </c>
      <c r="C3800" t="inlineStr">
        <is>
          <t>Föryngringsavverkning</t>
        </is>
      </c>
      <c r="D3800" s="1" t="n">
        <v>45699</v>
      </c>
      <c r="E3800" s="1" t="n">
        <v>46316</v>
      </c>
      <c r="F3800" t="inlineStr">
        <is>
          <t>KRONOBERGS LÄN</t>
        </is>
      </c>
      <c r="G3800" t="inlineStr">
        <is>
          <t>ALVESTA</t>
        </is>
      </c>
      <c r="I3800" t="n">
        <v>0.6</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28683-2026</t>
        </is>
      </c>
      <c r="B3801" t="inlineStr">
        <is>
          <t>avverkningsanmälan</t>
        </is>
      </c>
      <c r="C3801" t="inlineStr">
        <is>
          <t>Föryngringsavverkning</t>
        </is>
      </c>
      <c r="D3801" s="1" t="n">
        <v>46198</v>
      </c>
      <c r="E3801" s="1" t="n">
        <v>46316</v>
      </c>
      <c r="F3801" t="inlineStr">
        <is>
          <t>KRONOBERGS LÄN</t>
        </is>
      </c>
      <c r="G3801" t="inlineStr">
        <is>
          <t>ÄLMHULT</t>
        </is>
      </c>
      <c r="I3801" t="n">
        <v>0.6</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32498-2023</t>
        </is>
      </c>
      <c r="B3802" t="inlineStr">
        <is>
          <t>avverkningsanmälan</t>
        </is>
      </c>
      <c r="C3802" t="inlineStr">
        <is>
          <t>Föryngringsavverkning</t>
        </is>
      </c>
      <c r="D3802" s="1" t="n">
        <v>45121</v>
      </c>
      <c r="E3802" s="1" t="n">
        <v>46316</v>
      </c>
      <c r="F3802" t="inlineStr">
        <is>
          <t>KRONOBERGS LÄN</t>
        </is>
      </c>
      <c r="G3802" t="inlineStr">
        <is>
          <t>VÄXJÖ</t>
        </is>
      </c>
      <c r="I3802" t="n">
        <v>1.4</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42362-2022</t>
        </is>
      </c>
      <c r="B3803" t="inlineStr">
        <is>
          <t>avverkningsanmälan</t>
        </is>
      </c>
      <c r="C3803" t="inlineStr">
        <is>
          <t>Föryngringsavverkning</t>
        </is>
      </c>
      <c r="D3803" s="1" t="n">
        <v>44831</v>
      </c>
      <c r="E3803" s="1" t="n">
        <v>46316</v>
      </c>
      <c r="F3803" t="inlineStr">
        <is>
          <t>KRONOBERGS LÄN</t>
        </is>
      </c>
      <c r="G3803" t="inlineStr">
        <is>
          <t>VÄXJÖ</t>
        </is>
      </c>
      <c r="I3803" t="n">
        <v>0</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28825-2026</t>
        </is>
      </c>
      <c r="B3804" t="inlineStr">
        <is>
          <t>avverkningsanmälan</t>
        </is>
      </c>
      <c r="C3804" t="inlineStr">
        <is>
          <t>Föryngringsavverkning</t>
        </is>
      </c>
      <c r="D3804" s="1" t="n">
        <v>46198</v>
      </c>
      <c r="E3804" s="1" t="n">
        <v>46316</v>
      </c>
      <c r="F3804" t="inlineStr">
        <is>
          <t>KRONOBERGS LÄN</t>
        </is>
      </c>
      <c r="G3804" t="inlineStr">
        <is>
          <t>LJUNGBY</t>
        </is>
      </c>
      <c r="I3804" t="n">
        <v>0.9</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50689-2023</t>
        </is>
      </c>
      <c r="B3805" t="inlineStr">
        <is>
          <t>avverkningsanmälan</t>
        </is>
      </c>
      <c r="C3805" t="inlineStr">
        <is>
          <t>Föryngringsavverkning</t>
        </is>
      </c>
      <c r="D3805" s="1" t="n">
        <v>45210</v>
      </c>
      <c r="E3805" s="1" t="n">
        <v>46316</v>
      </c>
      <c r="F3805" t="inlineStr">
        <is>
          <t>KRONOBERGS LÄN</t>
        </is>
      </c>
      <c r="G3805" t="inlineStr">
        <is>
          <t>ALVESTA</t>
        </is>
      </c>
      <c r="I3805" t="n">
        <v>2</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50697-2023</t>
        </is>
      </c>
      <c r="B3806" t="inlineStr">
        <is>
          <t>avverkningsanmälan</t>
        </is>
      </c>
      <c r="C3806" t="inlineStr">
        <is>
          <t>Föryngringsavverkning</t>
        </is>
      </c>
      <c r="D3806" s="1" t="n">
        <v>45217</v>
      </c>
      <c r="E3806" s="1" t="n">
        <v>46316</v>
      </c>
      <c r="F3806" t="inlineStr">
        <is>
          <t>KRONOBERGS LÄN</t>
        </is>
      </c>
      <c r="G3806" t="inlineStr">
        <is>
          <t>ALVESTA</t>
        </is>
      </c>
      <c r="I3806" t="n">
        <v>0.5</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10577-2024</t>
        </is>
      </c>
      <c r="B3807" t="inlineStr">
        <is>
          <t>avverkningsanmälan</t>
        </is>
      </c>
      <c r="C3807" t="inlineStr">
        <is>
          <t>Föryngringsavverkning</t>
        </is>
      </c>
      <c r="D3807" s="1" t="n">
        <v>45366</v>
      </c>
      <c r="E3807" s="1" t="n">
        <v>46316</v>
      </c>
      <c r="F3807" t="inlineStr">
        <is>
          <t>KRONOBERGS LÄN</t>
        </is>
      </c>
      <c r="G3807" t="inlineStr">
        <is>
          <t>ALVESTA</t>
        </is>
      </c>
      <c r="I3807" t="n">
        <v>0.6</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28758-2026</t>
        </is>
      </c>
      <c r="B3808" t="inlineStr">
        <is>
          <t>avverkningsanmälan</t>
        </is>
      </c>
      <c r="C3808" t="inlineStr">
        <is>
          <t>Föryngringsavverkning</t>
        </is>
      </c>
      <c r="D3808" s="1" t="n">
        <v>46198</v>
      </c>
      <c r="E3808" s="1" t="n">
        <v>46316</v>
      </c>
      <c r="F3808" t="inlineStr">
        <is>
          <t>KRONOBERGS LÄN</t>
        </is>
      </c>
      <c r="G3808" t="inlineStr">
        <is>
          <t>VÄXJÖ</t>
        </is>
      </c>
      <c r="I3808" t="n">
        <v>1.4</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28614-2026</t>
        </is>
      </c>
      <c r="B3809" t="inlineStr">
        <is>
          <t>avverkningsanmälan</t>
        </is>
      </c>
      <c r="C3809" t="inlineStr">
        <is>
          <t>Föryngringsavverkning</t>
        </is>
      </c>
      <c r="D3809" s="1" t="n">
        <v>46190</v>
      </c>
      <c r="E3809" s="1" t="n">
        <v>46316</v>
      </c>
      <c r="F3809" t="inlineStr">
        <is>
          <t>KRONOBERGS LÄN</t>
        </is>
      </c>
      <c r="G3809" t="inlineStr">
        <is>
          <t>ÄLMHULT</t>
        </is>
      </c>
      <c r="H3809" t="inlineStr">
        <is>
          <t>Kyrkan</t>
        </is>
      </c>
      <c r="I3809" t="n">
        <v>5.2</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4334-2024</t>
        </is>
      </c>
      <c r="B3810" t="inlineStr">
        <is>
          <t>avverkningsanmälan</t>
        </is>
      </c>
      <c r="C3810" t="inlineStr">
        <is>
          <t>Föryngringsavverkning</t>
        </is>
      </c>
      <c r="D3810" s="1" t="n">
        <v>45324</v>
      </c>
      <c r="E3810" s="1" t="n">
        <v>46316</v>
      </c>
      <c r="F3810" t="inlineStr">
        <is>
          <t>KRONOBERGS LÄN</t>
        </is>
      </c>
      <c r="G3810" t="inlineStr">
        <is>
          <t>ALVESTA</t>
        </is>
      </c>
      <c r="I3810" t="n">
        <v>1.3</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1234-2024</t>
        </is>
      </c>
      <c r="B3811" t="inlineStr">
        <is>
          <t>avverkningsanmälan</t>
        </is>
      </c>
      <c r="C3811" t="inlineStr">
        <is>
          <t>Föryngringsavverkning</t>
        </is>
      </c>
      <c r="D3811" s="1" t="n">
        <v>45302</v>
      </c>
      <c r="E3811" s="1" t="n">
        <v>46316</v>
      </c>
      <c r="F3811" t="inlineStr">
        <is>
          <t>KRONOBERGS LÄN</t>
        </is>
      </c>
      <c r="G3811" t="inlineStr">
        <is>
          <t>VÄXJÖ</t>
        </is>
      </c>
      <c r="I3811" t="n">
        <v>0.7</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44426-2024</t>
        </is>
      </c>
      <c r="B3812" t="inlineStr">
        <is>
          <t>avverkningsanmälan</t>
        </is>
      </c>
      <c r="C3812" t="inlineStr">
        <is>
          <t>Föryngringsavverkning</t>
        </is>
      </c>
      <c r="D3812" s="1" t="n">
        <v>45573</v>
      </c>
      <c r="E3812" s="1" t="n">
        <v>46316</v>
      </c>
      <c r="F3812" t="inlineStr">
        <is>
          <t>KRONOBERGS LÄN</t>
        </is>
      </c>
      <c r="G3812" t="inlineStr">
        <is>
          <t>VÄXJÖ</t>
        </is>
      </c>
      <c r="I3812" t="n">
        <v>0.5</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16945-2022</t>
        </is>
      </c>
      <c r="B3813" t="inlineStr">
        <is>
          <t>avverkningsanmälan</t>
        </is>
      </c>
      <c r="C3813" t="inlineStr">
        <is>
          <t>Föryngringsavverkning</t>
        </is>
      </c>
      <c r="D3813" s="1" t="n">
        <v>44676</v>
      </c>
      <c r="E3813" s="1" t="n">
        <v>46316</v>
      </c>
      <c r="F3813" t="inlineStr">
        <is>
          <t>KRONOBERGS LÄN</t>
        </is>
      </c>
      <c r="G3813" t="inlineStr">
        <is>
          <t>VÄXJÖ</t>
        </is>
      </c>
      <c r="H3813" t="inlineStr">
        <is>
          <t>Sveaskog</t>
        </is>
      </c>
      <c r="I3813" t="n">
        <v>1.1</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22178-2023</t>
        </is>
      </c>
      <c r="B3814" t="inlineStr">
        <is>
          <t>avverkningsanmälan</t>
        </is>
      </c>
      <c r="C3814" t="inlineStr">
        <is>
          <t>Föryngringsavverkning</t>
        </is>
      </c>
      <c r="D3814" s="1" t="n">
        <v>45069</v>
      </c>
      <c r="E3814" s="1" t="n">
        <v>46316</v>
      </c>
      <c r="F3814" t="inlineStr">
        <is>
          <t>KRONOBERGS LÄN</t>
        </is>
      </c>
      <c r="G3814" t="inlineStr">
        <is>
          <t>UPPVIDINGE</t>
        </is>
      </c>
      <c r="I3814" t="n">
        <v>0.6</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28819-2026</t>
        </is>
      </c>
      <c r="B3815" t="inlineStr">
        <is>
          <t>avverkningsanmälan</t>
        </is>
      </c>
      <c r="C3815" t="inlineStr">
        <is>
          <t>Föryngringsavverkning</t>
        </is>
      </c>
      <c r="D3815" s="1" t="n">
        <v>46198</v>
      </c>
      <c r="E3815" s="1" t="n">
        <v>46316</v>
      </c>
      <c r="F3815" t="inlineStr">
        <is>
          <t>KRONOBERGS LÄN</t>
        </is>
      </c>
      <c r="G3815" t="inlineStr">
        <is>
          <t>LJUNGBY</t>
        </is>
      </c>
      <c r="I3815" t="n">
        <v>0.6</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23148-2023</t>
        </is>
      </c>
      <c r="B3816" t="inlineStr">
        <is>
          <t>avverkningsanmälan</t>
        </is>
      </c>
      <c r="C3816" t="inlineStr">
        <is>
          <t>Föryngringsavverkning</t>
        </is>
      </c>
      <c r="D3816" s="1" t="n">
        <v>45075</v>
      </c>
      <c r="E3816" s="1" t="n">
        <v>46316</v>
      </c>
      <c r="F3816" t="inlineStr">
        <is>
          <t>KRONOBERGS LÄN</t>
        </is>
      </c>
      <c r="G3816" t="inlineStr">
        <is>
          <t>MARKARYD</t>
        </is>
      </c>
      <c r="H3816" t="inlineStr">
        <is>
          <t>Övriga Aktiebolag</t>
        </is>
      </c>
      <c r="I3816" t="n">
        <v>1</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42522-2022</t>
        </is>
      </c>
      <c r="B3817" t="inlineStr">
        <is>
          <t>avverkningsanmälan</t>
        </is>
      </c>
      <c r="C3817" t="inlineStr">
        <is>
          <t>Föryngringsavverkning</t>
        </is>
      </c>
      <c r="D3817" s="1" t="n">
        <v>44831</v>
      </c>
      <c r="E3817" s="1" t="n">
        <v>46316</v>
      </c>
      <c r="F3817" t="inlineStr">
        <is>
          <t>KRONOBERGS LÄN</t>
        </is>
      </c>
      <c r="G3817" t="inlineStr">
        <is>
          <t>TINGSRYD</t>
        </is>
      </c>
      <c r="I3817" t="n">
        <v>1.2</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42526-2022</t>
        </is>
      </c>
      <c r="B3818" t="inlineStr">
        <is>
          <t>avverkningsanmälan</t>
        </is>
      </c>
      <c r="C3818" t="inlineStr">
        <is>
          <t>Föryngringsavverkning</t>
        </is>
      </c>
      <c r="D3818" s="1" t="n">
        <v>44831</v>
      </c>
      <c r="E3818" s="1" t="n">
        <v>46316</v>
      </c>
      <c r="F3818" t="inlineStr">
        <is>
          <t>KRONOBERGS LÄN</t>
        </is>
      </c>
      <c r="G3818" t="inlineStr">
        <is>
          <t>TINGSRYD</t>
        </is>
      </c>
      <c r="I3818" t="n">
        <v>1.3</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48687-2022</t>
        </is>
      </c>
      <c r="B3819" t="inlineStr">
        <is>
          <t>avverkningsanmälan</t>
        </is>
      </c>
      <c r="C3819" t="inlineStr">
        <is>
          <t>Föryngringsavverkning</t>
        </is>
      </c>
      <c r="D3819" s="1" t="n">
        <v>44855</v>
      </c>
      <c r="E3819" s="1" t="n">
        <v>46316</v>
      </c>
      <c r="F3819" t="inlineStr">
        <is>
          <t>KRONOBERGS LÄN</t>
        </is>
      </c>
      <c r="G3819" t="inlineStr">
        <is>
          <t>ÄLMHULT</t>
        </is>
      </c>
      <c r="I3819" t="n">
        <v>2</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2241-2023</t>
        </is>
      </c>
      <c r="B3820" t="inlineStr">
        <is>
          <t>avverkningsanmälan</t>
        </is>
      </c>
      <c r="C3820" t="inlineStr">
        <is>
          <t>Föryngringsavverkning</t>
        </is>
      </c>
      <c r="D3820" s="1" t="n">
        <v>44942</v>
      </c>
      <c r="E3820" s="1" t="n">
        <v>46316</v>
      </c>
      <c r="F3820" t="inlineStr">
        <is>
          <t>KRONOBERGS LÄN</t>
        </is>
      </c>
      <c r="G3820" t="inlineStr">
        <is>
          <t>ÄLMHULT</t>
        </is>
      </c>
      <c r="I3820" t="n">
        <v>0</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3577-2025</t>
        </is>
      </c>
      <c r="B3821" t="inlineStr">
        <is>
          <t>avverkningsanmälan</t>
        </is>
      </c>
      <c r="C3821" t="inlineStr">
        <is>
          <t>Föryngringsavverkning</t>
        </is>
      </c>
      <c r="D3821" s="1" t="n">
        <v>45680</v>
      </c>
      <c r="E3821" s="1" t="n">
        <v>46316</v>
      </c>
      <c r="F3821" t="inlineStr">
        <is>
          <t>KRONOBERGS LÄN</t>
        </is>
      </c>
      <c r="G3821" t="inlineStr">
        <is>
          <t>ÄLMHULT</t>
        </is>
      </c>
      <c r="I3821" t="n">
        <v>1.1</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3583-2025</t>
        </is>
      </c>
      <c r="B3822" t="inlineStr">
        <is>
          <t>avverkningsanmälan</t>
        </is>
      </c>
      <c r="C3822" t="inlineStr">
        <is>
          <t>Föryngringsavverkning</t>
        </is>
      </c>
      <c r="D3822" s="1" t="n">
        <v>45680</v>
      </c>
      <c r="E3822" s="1" t="n">
        <v>46316</v>
      </c>
      <c r="F3822" t="inlineStr">
        <is>
          <t>KRONOBERGS LÄN</t>
        </is>
      </c>
      <c r="G3822" t="inlineStr">
        <is>
          <t>MARKARYD</t>
        </is>
      </c>
      <c r="I3822" t="n">
        <v>1.5</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21275-2024</t>
        </is>
      </c>
      <c r="B3823" t="inlineStr">
        <is>
          <t>avverkningsanmälan</t>
        </is>
      </c>
      <c r="C3823" t="inlineStr">
        <is>
          <t>Föryngringsavverkning</t>
        </is>
      </c>
      <c r="D3823" s="1" t="n">
        <v>45440</v>
      </c>
      <c r="E3823" s="1" t="n">
        <v>46316</v>
      </c>
      <c r="F3823" t="inlineStr">
        <is>
          <t>KRONOBERGS LÄN</t>
        </is>
      </c>
      <c r="G3823" t="inlineStr">
        <is>
          <t>UPPVIDINGE</t>
        </is>
      </c>
      <c r="I3823" t="n">
        <v>4.2</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17597-2023</t>
        </is>
      </c>
      <c r="B3824" t="inlineStr">
        <is>
          <t>avverkningsanmälan</t>
        </is>
      </c>
      <c r="C3824" t="inlineStr">
        <is>
          <t>Föryngringsavverkning</t>
        </is>
      </c>
      <c r="D3824" s="1" t="n">
        <v>45036</v>
      </c>
      <c r="E3824" s="1" t="n">
        <v>46316</v>
      </c>
      <c r="F3824" t="inlineStr">
        <is>
          <t>KRONOBERGS LÄN</t>
        </is>
      </c>
      <c r="G3824" t="inlineStr">
        <is>
          <t>VÄXJÖ</t>
        </is>
      </c>
      <c r="I3824" t="n">
        <v>1.2</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17635-2023</t>
        </is>
      </c>
      <c r="B3825" t="inlineStr">
        <is>
          <t>avverkningsanmälan</t>
        </is>
      </c>
      <c r="C3825" t="inlineStr">
        <is>
          <t>Föryngringsavverkning</t>
        </is>
      </c>
      <c r="D3825" s="1" t="n">
        <v>45036</v>
      </c>
      <c r="E3825" s="1" t="n">
        <v>46316</v>
      </c>
      <c r="F3825" t="inlineStr">
        <is>
          <t>KRONOBERGS LÄN</t>
        </is>
      </c>
      <c r="G3825" t="inlineStr">
        <is>
          <t>LJUNGBY</t>
        </is>
      </c>
      <c r="I3825" t="n">
        <v>0.8</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28923-2026</t>
        </is>
      </c>
      <c r="B3826" t="inlineStr">
        <is>
          <t>avverkningsanmälan</t>
        </is>
      </c>
      <c r="C3826" t="inlineStr">
        <is>
          <t>Avverkning för annat ändamål</t>
        </is>
      </c>
      <c r="D3826" s="1" t="n">
        <v>46199</v>
      </c>
      <c r="E3826" s="1" t="n">
        <v>46316</v>
      </c>
      <c r="F3826" t="inlineStr">
        <is>
          <t>KRONOBERGS LÄN</t>
        </is>
      </c>
      <c r="G3826" t="inlineStr">
        <is>
          <t>TINGSRYD</t>
        </is>
      </c>
      <c r="I3826" t="n">
        <v>1.2</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1239-2024</t>
        </is>
      </c>
      <c r="B3827" t="inlineStr">
        <is>
          <t>avverkningsanmälan</t>
        </is>
      </c>
      <c r="C3827" t="inlineStr">
        <is>
          <t>Föryngringsavverkning</t>
        </is>
      </c>
      <c r="D3827" s="1" t="n">
        <v>45302</v>
      </c>
      <c r="E3827" s="1" t="n">
        <v>46316</v>
      </c>
      <c r="F3827" t="inlineStr">
        <is>
          <t>KRONOBERGS LÄN</t>
        </is>
      </c>
      <c r="G3827" t="inlineStr">
        <is>
          <t>VÄXJÖ</t>
        </is>
      </c>
      <c r="I3827" t="n">
        <v>0.5</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5474-2023</t>
        </is>
      </c>
      <c r="B3828" t="inlineStr">
        <is>
          <t>avverkningsanmälan</t>
        </is>
      </c>
      <c r="C3828" t="inlineStr">
        <is>
          <t>Föryngringsavverkning</t>
        </is>
      </c>
      <c r="D3828" s="1" t="n">
        <v>44960</v>
      </c>
      <c r="E3828" s="1" t="n">
        <v>46316</v>
      </c>
      <c r="F3828" t="inlineStr">
        <is>
          <t>KRONOBERGS LÄN</t>
        </is>
      </c>
      <c r="G3828" t="inlineStr">
        <is>
          <t>TINGSRYD</t>
        </is>
      </c>
      <c r="I3828" t="n">
        <v>2.3</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8777-2024</t>
        </is>
      </c>
      <c r="B3829" t="inlineStr">
        <is>
          <t>avverkningsanmälan</t>
        </is>
      </c>
      <c r="C3829" t="inlineStr">
        <is>
          <t>Föryngringsavverkning</t>
        </is>
      </c>
      <c r="D3829" s="1" t="n">
        <v>45356</v>
      </c>
      <c r="E3829" s="1" t="n">
        <v>46316</v>
      </c>
      <c r="F3829" t="inlineStr">
        <is>
          <t>KRONOBERGS LÄN</t>
        </is>
      </c>
      <c r="G3829" t="inlineStr">
        <is>
          <t>TINGSRYD</t>
        </is>
      </c>
      <c r="H3829" t="inlineStr">
        <is>
          <t>Övriga Aktiebolag</t>
        </is>
      </c>
      <c r="I3829" t="n">
        <v>7.3</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48675-2024</t>
        </is>
      </c>
      <c r="B3830" t="inlineStr">
        <is>
          <t>avverkningsanmälan</t>
        </is>
      </c>
      <c r="C3830" t="inlineStr">
        <is>
          <t>Föryngringsavverkning</t>
        </is>
      </c>
      <c r="D3830" s="1" t="n">
        <v>45593</v>
      </c>
      <c r="E3830" s="1" t="n">
        <v>46316</v>
      </c>
      <c r="F3830" t="inlineStr">
        <is>
          <t>KRONOBERGS LÄN</t>
        </is>
      </c>
      <c r="G3830" t="inlineStr">
        <is>
          <t>LJUNGBY</t>
        </is>
      </c>
      <c r="H3830" t="inlineStr">
        <is>
          <t>Sveaskog</t>
        </is>
      </c>
      <c r="I3830" t="n">
        <v>0.7</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28914-2026</t>
        </is>
      </c>
      <c r="B3831" t="inlineStr">
        <is>
          <t>avverkningsanmälan</t>
        </is>
      </c>
      <c r="C3831" t="inlineStr">
        <is>
          <t>Föryngringsavverkning</t>
        </is>
      </c>
      <c r="D3831" s="1" t="n">
        <v>46199</v>
      </c>
      <c r="E3831" s="1" t="n">
        <v>46316</v>
      </c>
      <c r="F3831" t="inlineStr">
        <is>
          <t>KRONOBERGS LÄN</t>
        </is>
      </c>
      <c r="G3831" t="inlineStr">
        <is>
          <t>VÄXJÖ</t>
        </is>
      </c>
      <c r="I3831" t="n">
        <v>0.6</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28953-2026</t>
        </is>
      </c>
      <c r="B3832" t="inlineStr">
        <is>
          <t>avverkningsanmälan</t>
        </is>
      </c>
      <c r="C3832" t="inlineStr">
        <is>
          <t>Föryngringsavverkning</t>
        </is>
      </c>
      <c r="D3832" s="1" t="n">
        <v>46199</v>
      </c>
      <c r="E3832" s="1" t="n">
        <v>46316</v>
      </c>
      <c r="F3832" t="inlineStr">
        <is>
          <t>KRONOBERGS LÄN</t>
        </is>
      </c>
      <c r="G3832" t="inlineStr">
        <is>
          <t>UPPVIDINGE</t>
        </is>
      </c>
      <c r="I3832" t="n">
        <v>1.6</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42747-2025</t>
        </is>
      </c>
      <c r="B3833" t="inlineStr">
        <is>
          <t>avverkningsanmälan</t>
        </is>
      </c>
      <c r="C3833" t="inlineStr">
        <is>
          <t>Föryngringsavverkning</t>
        </is>
      </c>
      <c r="D3833" s="1" t="n">
        <v>45908</v>
      </c>
      <c r="E3833" s="1" t="n">
        <v>46316</v>
      </c>
      <c r="F3833" t="inlineStr">
        <is>
          <t>KRONOBERGS LÄN</t>
        </is>
      </c>
      <c r="G3833" t="inlineStr">
        <is>
          <t>LJUNGBY</t>
        </is>
      </c>
      <c r="I3833" t="n">
        <v>3.4</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29342-2024</t>
        </is>
      </c>
      <c r="B3834" t="inlineStr">
        <is>
          <t>avverkningsanmälan</t>
        </is>
      </c>
      <c r="C3834" t="inlineStr">
        <is>
          <t>Föryngringsavverkning</t>
        </is>
      </c>
      <c r="D3834" s="1" t="n">
        <v>45483</v>
      </c>
      <c r="E3834" s="1" t="n">
        <v>46316</v>
      </c>
      <c r="F3834" t="inlineStr">
        <is>
          <t>KRONOBERGS LÄN</t>
        </is>
      </c>
      <c r="G3834" t="inlineStr">
        <is>
          <t>LJUNGBY</t>
        </is>
      </c>
      <c r="I3834" t="n">
        <v>7.7</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29141-2026</t>
        </is>
      </c>
      <c r="B3835" t="inlineStr">
        <is>
          <t>avverkningsanmälan</t>
        </is>
      </c>
      <c r="C3835" t="inlineStr">
        <is>
          <t>Föryngringsavverkning</t>
        </is>
      </c>
      <c r="D3835" s="1" t="n">
        <v>46202</v>
      </c>
      <c r="E3835" s="1" t="n">
        <v>46316</v>
      </c>
      <c r="F3835" t="inlineStr">
        <is>
          <t>KRONOBERGS LÄN</t>
        </is>
      </c>
      <c r="G3835" t="inlineStr">
        <is>
          <t>ÄLMHULT</t>
        </is>
      </c>
      <c r="I3835" t="n">
        <v>1.1</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25311-2024</t>
        </is>
      </c>
      <c r="B3836" t="inlineStr">
        <is>
          <t>avverkningsanmälan</t>
        </is>
      </c>
      <c r="C3836" t="inlineStr">
        <is>
          <t>Föryngringsavverkning</t>
        </is>
      </c>
      <c r="D3836" s="1" t="n">
        <v>45462</v>
      </c>
      <c r="E3836" s="1" t="n">
        <v>46316</v>
      </c>
      <c r="F3836" t="inlineStr">
        <is>
          <t>KRONOBERGS LÄN</t>
        </is>
      </c>
      <c r="G3836" t="inlineStr">
        <is>
          <t>ÄLMHULT</t>
        </is>
      </c>
      <c r="I3836" t="n">
        <v>1.1</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17844-2024</t>
        </is>
      </c>
      <c r="B3837" t="inlineStr">
        <is>
          <t>avverkningsanmälan</t>
        </is>
      </c>
      <c r="C3837" t="inlineStr">
        <is>
          <t>Föryngringsavverkning</t>
        </is>
      </c>
      <c r="D3837" s="1" t="n">
        <v>45418</v>
      </c>
      <c r="E3837" s="1" t="n">
        <v>46316</v>
      </c>
      <c r="F3837" t="inlineStr">
        <is>
          <t>KRONOBERGS LÄN</t>
        </is>
      </c>
      <c r="G3837" t="inlineStr">
        <is>
          <t>TINGSRYD</t>
        </is>
      </c>
      <c r="H3837" t="inlineStr">
        <is>
          <t>Kyrkan</t>
        </is>
      </c>
      <c r="I3837" t="n">
        <v>3.9</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18704-2024</t>
        </is>
      </c>
      <c r="B3838" t="inlineStr">
        <is>
          <t>avverkningsanmälan</t>
        </is>
      </c>
      <c r="C3838" t="inlineStr">
        <is>
          <t>Föryngringsavverkning</t>
        </is>
      </c>
      <c r="D3838" s="1" t="n">
        <v>45426</v>
      </c>
      <c r="E3838" s="1" t="n">
        <v>46316</v>
      </c>
      <c r="F3838" t="inlineStr">
        <is>
          <t>KRONOBERGS LÄN</t>
        </is>
      </c>
      <c r="G3838" t="inlineStr">
        <is>
          <t>TINGSRYD</t>
        </is>
      </c>
      <c r="I3838" t="n">
        <v>1.4</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17161-2024</t>
        </is>
      </c>
      <c r="B3839" t="inlineStr">
        <is>
          <t>avverkningsanmälan</t>
        </is>
      </c>
      <c r="C3839" t="inlineStr">
        <is>
          <t>Föryngringsavverkning</t>
        </is>
      </c>
      <c r="D3839" s="1" t="n">
        <v>45412</v>
      </c>
      <c r="E3839" s="1" t="n">
        <v>46316</v>
      </c>
      <c r="F3839" t="inlineStr">
        <is>
          <t>KRONOBERGS LÄN</t>
        </is>
      </c>
      <c r="G3839" t="inlineStr">
        <is>
          <t>ÄLMHULT</t>
        </is>
      </c>
      <c r="I3839" t="n">
        <v>0.7</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29000-2026</t>
        </is>
      </c>
      <c r="B3840" t="inlineStr">
        <is>
          <t>avverkningsanmälan</t>
        </is>
      </c>
      <c r="C3840" t="inlineStr">
        <is>
          <t>Föryngringsavverkning</t>
        </is>
      </c>
      <c r="D3840" s="1" t="n">
        <v>46199</v>
      </c>
      <c r="E3840" s="1" t="n">
        <v>46316</v>
      </c>
      <c r="F3840" t="inlineStr">
        <is>
          <t>KRONOBERGS LÄN</t>
        </is>
      </c>
      <c r="G3840" t="inlineStr">
        <is>
          <t>VÄXJÖ</t>
        </is>
      </c>
      <c r="I3840" t="n">
        <v>0.5</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58165-2024</t>
        </is>
      </c>
      <c r="B3841" t="inlineStr">
        <is>
          <t>avverkningsanmälan</t>
        </is>
      </c>
      <c r="C3841" t="inlineStr">
        <is>
          <t>Föryngringsavverkning</t>
        </is>
      </c>
      <c r="D3841" s="1" t="n">
        <v>45632</v>
      </c>
      <c r="E3841" s="1" t="n">
        <v>46316</v>
      </c>
      <c r="F3841" t="inlineStr">
        <is>
          <t>KRONOBERGS LÄN</t>
        </is>
      </c>
      <c r="G3841" t="inlineStr">
        <is>
          <t>VÄXJÖ</t>
        </is>
      </c>
      <c r="I3841" t="n">
        <v>5.4</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56780-2024</t>
        </is>
      </c>
      <c r="B3842" t="inlineStr">
        <is>
          <t>avverkningsanmälan</t>
        </is>
      </c>
      <c r="C3842" t="inlineStr">
        <is>
          <t>Föryngringsavverkning</t>
        </is>
      </c>
      <c r="D3842" s="1" t="n">
        <v>45628</v>
      </c>
      <c r="E3842" s="1" t="n">
        <v>46316</v>
      </c>
      <c r="F3842" t="inlineStr">
        <is>
          <t>KRONOBERGS LÄN</t>
        </is>
      </c>
      <c r="G3842" t="inlineStr">
        <is>
          <t>LJUNGBY</t>
        </is>
      </c>
      <c r="I3842" t="n">
        <v>1.7</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44141-2023</t>
        </is>
      </c>
      <c r="B3843" t="inlineStr">
        <is>
          <t>avverkningsanmälan</t>
        </is>
      </c>
      <c r="C3843" t="inlineStr">
        <is>
          <t>Föryngringsavverkning</t>
        </is>
      </c>
      <c r="D3843" s="1" t="n">
        <v>45188</v>
      </c>
      <c r="E3843" s="1" t="n">
        <v>46316</v>
      </c>
      <c r="F3843" t="inlineStr">
        <is>
          <t>KRONOBERGS LÄN</t>
        </is>
      </c>
      <c r="G3843" t="inlineStr">
        <is>
          <t>VÄXJÖ</t>
        </is>
      </c>
      <c r="I3843" t="n">
        <v>2.2</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63537-2023</t>
        </is>
      </c>
      <c r="B3844" t="inlineStr">
        <is>
          <t>avverkningsanmälan</t>
        </is>
      </c>
      <c r="C3844" t="inlineStr">
        <is>
          <t>Föryngringsavverkning</t>
        </is>
      </c>
      <c r="D3844" s="1" t="n">
        <v>45275</v>
      </c>
      <c r="E3844" s="1" t="n">
        <v>46316</v>
      </c>
      <c r="F3844" t="inlineStr">
        <is>
          <t>KRONOBERGS LÄN</t>
        </is>
      </c>
      <c r="G3844" t="inlineStr">
        <is>
          <t>MARKARYD</t>
        </is>
      </c>
      <c r="H3844" t="inlineStr">
        <is>
          <t>Sveaskog</t>
        </is>
      </c>
      <c r="I3844" t="n">
        <v>0.8</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39689-2024</t>
        </is>
      </c>
      <c r="B3845" t="inlineStr">
        <is>
          <t>avverkningsanmälan</t>
        </is>
      </c>
      <c r="C3845" t="inlineStr">
        <is>
          <t>Föryngringsavverkning</t>
        </is>
      </c>
      <c r="D3845" s="1" t="n">
        <v>45552</v>
      </c>
      <c r="E3845" s="1" t="n">
        <v>46316</v>
      </c>
      <c r="F3845" t="inlineStr">
        <is>
          <t>KRONOBERGS LÄN</t>
        </is>
      </c>
      <c r="G3845" t="inlineStr">
        <is>
          <t>VÄXJÖ</t>
        </is>
      </c>
      <c r="I3845" t="n">
        <v>0.7</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19793-2025</t>
        </is>
      </c>
      <c r="B3846" t="inlineStr">
        <is>
          <t>avverkningsanmälan</t>
        </is>
      </c>
      <c r="C3846" t="inlineStr">
        <is>
          <t>Föryngringsavverkning</t>
        </is>
      </c>
      <c r="D3846" s="1" t="n">
        <v>45771</v>
      </c>
      <c r="E3846" s="1" t="n">
        <v>46316</v>
      </c>
      <c r="F3846" t="inlineStr">
        <is>
          <t>KRONOBERGS LÄN</t>
        </is>
      </c>
      <c r="G3846" t="inlineStr">
        <is>
          <t>ALVESTA</t>
        </is>
      </c>
      <c r="I3846" t="n">
        <v>1.8</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42755-2023</t>
        </is>
      </c>
      <c r="B3847" t="inlineStr">
        <is>
          <t>avverkningsanmälan</t>
        </is>
      </c>
      <c r="C3847" t="inlineStr">
        <is>
          <t>Föryngringsavverkning</t>
        </is>
      </c>
      <c r="D3847" s="1" t="n">
        <v>45181</v>
      </c>
      <c r="E3847" s="1" t="n">
        <v>46316</v>
      </c>
      <c r="F3847" t="inlineStr">
        <is>
          <t>KRONOBERGS LÄN</t>
        </is>
      </c>
      <c r="G3847" t="inlineStr">
        <is>
          <t>UPPVIDINGE</t>
        </is>
      </c>
      <c r="I3847" t="n">
        <v>1.1</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19796-2025</t>
        </is>
      </c>
      <c r="B3848" t="inlineStr">
        <is>
          <t>avverkningsanmälan</t>
        </is>
      </c>
      <c r="C3848" t="inlineStr">
        <is>
          <t>Föryngringsavverkning</t>
        </is>
      </c>
      <c r="D3848" s="1" t="n">
        <v>45771</v>
      </c>
      <c r="E3848" s="1" t="n">
        <v>46316</v>
      </c>
      <c r="F3848" t="inlineStr">
        <is>
          <t>KRONOBERGS LÄN</t>
        </is>
      </c>
      <c r="G3848" t="inlineStr">
        <is>
          <t>ALVESTA</t>
        </is>
      </c>
      <c r="I3848" t="n">
        <v>0.8</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42762-2023</t>
        </is>
      </c>
      <c r="B3849" t="inlineStr">
        <is>
          <t>avverkningsanmälan</t>
        </is>
      </c>
      <c r="C3849" t="inlineStr">
        <is>
          <t>Föryngringsavverkning</t>
        </is>
      </c>
      <c r="D3849" s="1" t="n">
        <v>45181</v>
      </c>
      <c r="E3849" s="1" t="n">
        <v>46316</v>
      </c>
      <c r="F3849" t="inlineStr">
        <is>
          <t>KRONOBERGS LÄN</t>
        </is>
      </c>
      <c r="G3849" t="inlineStr">
        <is>
          <t>VÄXJÖ</t>
        </is>
      </c>
      <c r="I3849" t="n">
        <v>1.9</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42784-2023</t>
        </is>
      </c>
      <c r="B3850" t="inlineStr">
        <is>
          <t>avverkningsanmälan</t>
        </is>
      </c>
      <c r="C3850" t="inlineStr">
        <is>
          <t>Föryngringsavverkning</t>
        </is>
      </c>
      <c r="D3850" s="1" t="n">
        <v>45181</v>
      </c>
      <c r="E3850" s="1" t="n">
        <v>46316</v>
      </c>
      <c r="F3850" t="inlineStr">
        <is>
          <t>KRONOBERGS LÄN</t>
        </is>
      </c>
      <c r="G3850" t="inlineStr">
        <is>
          <t>LJUNGBY</t>
        </is>
      </c>
      <c r="I3850" t="n">
        <v>2.3</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13583-2024</t>
        </is>
      </c>
      <c r="B3851" t="inlineStr">
        <is>
          <t>avverkningsanmälan</t>
        </is>
      </c>
      <c r="C3851" t="inlineStr">
        <is>
          <t>Föryngringsavverkning</t>
        </is>
      </c>
      <c r="D3851" s="1" t="n">
        <v>45389</v>
      </c>
      <c r="E3851" s="1" t="n">
        <v>46316</v>
      </c>
      <c r="F3851" t="inlineStr">
        <is>
          <t>KRONOBERGS LÄN</t>
        </is>
      </c>
      <c r="G3851" t="inlineStr">
        <is>
          <t>UPPVIDINGE</t>
        </is>
      </c>
      <c r="I3851" t="n">
        <v>2.3</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13608-2024</t>
        </is>
      </c>
      <c r="B3852" t="inlineStr">
        <is>
          <t>avverkningsanmälan</t>
        </is>
      </c>
      <c r="C3852" t="inlineStr">
        <is>
          <t>Föryngringsavverkning</t>
        </is>
      </c>
      <c r="D3852" s="1" t="n">
        <v>45390</v>
      </c>
      <c r="E3852" s="1" t="n">
        <v>46316</v>
      </c>
      <c r="F3852" t="inlineStr">
        <is>
          <t>KRONOBERGS LÄN</t>
        </is>
      </c>
      <c r="G3852" t="inlineStr">
        <is>
          <t>LJUNGBY</t>
        </is>
      </c>
      <c r="I3852" t="n">
        <v>2.1</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29532-2026</t>
        </is>
      </c>
      <c r="B3853" t="inlineStr">
        <is>
          <t>avverkningsanmälan</t>
        </is>
      </c>
      <c r="C3853" t="inlineStr">
        <is>
          <t>Föryngringsavverkning</t>
        </is>
      </c>
      <c r="D3853" s="1" t="n">
        <v>46203</v>
      </c>
      <c r="E3853" s="1" t="n">
        <v>46316</v>
      </c>
      <c r="F3853" t="inlineStr">
        <is>
          <t>KRONOBERGS LÄN</t>
        </is>
      </c>
      <c r="G3853" t="inlineStr">
        <is>
          <t>UPPVIDINGE</t>
        </is>
      </c>
      <c r="H3853" t="inlineStr">
        <is>
          <t>Sveaskog</t>
        </is>
      </c>
      <c r="I3853" t="n">
        <v>0.9</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29533-2026</t>
        </is>
      </c>
      <c r="B3854" t="inlineStr">
        <is>
          <t>avverkningsanmälan</t>
        </is>
      </c>
      <c r="C3854" t="inlineStr">
        <is>
          <t>Föryngringsavverkning</t>
        </is>
      </c>
      <c r="D3854" s="1" t="n">
        <v>46203</v>
      </c>
      <c r="E3854" s="1" t="n">
        <v>46316</v>
      </c>
      <c r="F3854" t="inlineStr">
        <is>
          <t>KRONOBERGS LÄN</t>
        </is>
      </c>
      <c r="G3854" t="inlineStr">
        <is>
          <t>UPPVIDINGE</t>
        </is>
      </c>
      <c r="H3854" t="inlineStr">
        <is>
          <t>Sveaskog</t>
        </is>
      </c>
      <c r="I3854" t="n">
        <v>0.8</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29543-2026</t>
        </is>
      </c>
      <c r="B3855" t="inlineStr">
        <is>
          <t>avverkningsanmälan</t>
        </is>
      </c>
      <c r="C3855" t="inlineStr">
        <is>
          <t>Föryngringsavverkning</t>
        </is>
      </c>
      <c r="D3855" s="1" t="n">
        <v>46203</v>
      </c>
      <c r="E3855" s="1" t="n">
        <v>46316</v>
      </c>
      <c r="F3855" t="inlineStr">
        <is>
          <t>KRONOBERGS LÄN</t>
        </is>
      </c>
      <c r="G3855" t="inlineStr">
        <is>
          <t>UPPVIDINGE</t>
        </is>
      </c>
      <c r="H3855" t="inlineStr">
        <is>
          <t>Sveaskog</t>
        </is>
      </c>
      <c r="I3855" t="n">
        <v>1.4</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29544-2026</t>
        </is>
      </c>
      <c r="B3856" t="inlineStr">
        <is>
          <t>avverkningsanmälan</t>
        </is>
      </c>
      <c r="C3856" t="inlineStr">
        <is>
          <t>Föryngringsavverkning</t>
        </is>
      </c>
      <c r="D3856" s="1" t="n">
        <v>46203</v>
      </c>
      <c r="E3856" s="1" t="n">
        <v>46316</v>
      </c>
      <c r="F3856" t="inlineStr">
        <is>
          <t>KRONOBERGS LÄN</t>
        </is>
      </c>
      <c r="G3856" t="inlineStr">
        <is>
          <t>UPPVIDINGE</t>
        </is>
      </c>
      <c r="H3856" t="inlineStr">
        <is>
          <t>Sveaskog</t>
        </is>
      </c>
      <c r="I3856" t="n">
        <v>2</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29547-2026</t>
        </is>
      </c>
      <c r="B3857" t="inlineStr">
        <is>
          <t>avverkningsanmälan</t>
        </is>
      </c>
      <c r="C3857" t="inlineStr">
        <is>
          <t>Föryngringsavverkning</t>
        </is>
      </c>
      <c r="D3857" s="1" t="n">
        <v>46203</v>
      </c>
      <c r="E3857" s="1" t="n">
        <v>46316</v>
      </c>
      <c r="F3857" t="inlineStr">
        <is>
          <t>KRONOBERGS LÄN</t>
        </is>
      </c>
      <c r="G3857" t="inlineStr">
        <is>
          <t>UPPVIDINGE</t>
        </is>
      </c>
      <c r="H3857" t="inlineStr">
        <is>
          <t>Sveaskog</t>
        </is>
      </c>
      <c r="I3857" t="n">
        <v>2.1</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29548-2026</t>
        </is>
      </c>
      <c r="B3858" t="inlineStr">
        <is>
          <t>avverkningsanmälan</t>
        </is>
      </c>
      <c r="C3858" t="inlineStr">
        <is>
          <t>Föryngringsavverkning</t>
        </is>
      </c>
      <c r="D3858" s="1" t="n">
        <v>46203</v>
      </c>
      <c r="E3858" s="1" t="n">
        <v>46316</v>
      </c>
      <c r="F3858" t="inlineStr">
        <is>
          <t>KRONOBERGS LÄN</t>
        </is>
      </c>
      <c r="G3858" t="inlineStr">
        <is>
          <t>UPPVIDINGE</t>
        </is>
      </c>
      <c r="H3858" t="inlineStr">
        <is>
          <t>Sveaskog</t>
        </is>
      </c>
      <c r="I3858" t="n">
        <v>3.9</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73342-2021</t>
        </is>
      </c>
      <c r="B3859" t="inlineStr">
        <is>
          <t>avverkningsanmälan</t>
        </is>
      </c>
      <c r="C3859" t="inlineStr">
        <is>
          <t>Föryngringsavverkning</t>
        </is>
      </c>
      <c r="D3859" s="1" t="n">
        <v>44551</v>
      </c>
      <c r="E3859" s="1" t="n">
        <v>46316</v>
      </c>
      <c r="F3859" t="inlineStr">
        <is>
          <t>KRONOBERGS LÄN</t>
        </is>
      </c>
      <c r="G3859" t="inlineStr">
        <is>
          <t>LJUNGBY</t>
        </is>
      </c>
      <c r="I3859" t="n">
        <v>2.7</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29753-2026</t>
        </is>
      </c>
      <c r="B3860" t="inlineStr">
        <is>
          <t>avverkningsanmälan</t>
        </is>
      </c>
      <c r="C3860" t="inlineStr">
        <is>
          <t>Föryngringsavverkning</t>
        </is>
      </c>
      <c r="D3860" s="1" t="n">
        <v>46204</v>
      </c>
      <c r="E3860" s="1" t="n">
        <v>46316</v>
      </c>
      <c r="F3860" t="inlineStr">
        <is>
          <t>KRONOBERGS LÄN</t>
        </is>
      </c>
      <c r="G3860" t="inlineStr">
        <is>
          <t>ÄLMHULT</t>
        </is>
      </c>
      <c r="I3860" t="n">
        <v>2.9</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29768-2026</t>
        </is>
      </c>
      <c r="B3861" t="inlineStr">
        <is>
          <t>avverkningsanmälan</t>
        </is>
      </c>
      <c r="C3861" t="inlineStr">
        <is>
          <t>Föryngringsavverkning</t>
        </is>
      </c>
      <c r="D3861" s="1" t="n">
        <v>46204</v>
      </c>
      <c r="E3861" s="1" t="n">
        <v>46316</v>
      </c>
      <c r="F3861" t="inlineStr">
        <is>
          <t>KRONOBERGS LÄN</t>
        </is>
      </c>
      <c r="G3861" t="inlineStr">
        <is>
          <t>LJUNGBY</t>
        </is>
      </c>
      <c r="I3861" t="n">
        <v>0.9</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62198-2023</t>
        </is>
      </c>
      <c r="B3862" t="inlineStr">
        <is>
          <t>avverkningsanmälan</t>
        </is>
      </c>
      <c r="C3862" t="inlineStr">
        <is>
          <t>Föryngringsavverkning</t>
        </is>
      </c>
      <c r="D3862" s="1" t="n">
        <v>45267</v>
      </c>
      <c r="E3862" s="1" t="n">
        <v>46316</v>
      </c>
      <c r="F3862" t="inlineStr">
        <is>
          <t>KRONOBERGS LÄN</t>
        </is>
      </c>
      <c r="G3862" t="inlineStr">
        <is>
          <t>LJUNGBY</t>
        </is>
      </c>
      <c r="I3862" t="n">
        <v>1.1</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62230-2023</t>
        </is>
      </c>
      <c r="B3863" t="inlineStr">
        <is>
          <t>avverkningsanmälan</t>
        </is>
      </c>
      <c r="C3863" t="inlineStr">
        <is>
          <t>Föryngringsavverkning</t>
        </is>
      </c>
      <c r="D3863" s="1" t="n">
        <v>45267</v>
      </c>
      <c r="E3863" s="1" t="n">
        <v>46316</v>
      </c>
      <c r="F3863" t="inlineStr">
        <is>
          <t>KRONOBERGS LÄN</t>
        </is>
      </c>
      <c r="G3863" t="inlineStr">
        <is>
          <t>ALVESTA</t>
        </is>
      </c>
      <c r="I3863" t="n">
        <v>1.5</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30930-2023</t>
        </is>
      </c>
      <c r="B3864" t="inlineStr">
        <is>
          <t>avverkningsanmälan</t>
        </is>
      </c>
      <c r="C3864" t="inlineStr">
        <is>
          <t>Föryngringsavverkning</t>
        </is>
      </c>
      <c r="D3864" s="1" t="n">
        <v>45113</v>
      </c>
      <c r="E3864" s="1" t="n">
        <v>46316</v>
      </c>
      <c r="F3864" t="inlineStr">
        <is>
          <t>KRONOBERGS LÄN</t>
        </is>
      </c>
      <c r="G3864" t="inlineStr">
        <is>
          <t>ÄLMHULT</t>
        </is>
      </c>
      <c r="I3864" t="n">
        <v>1.1</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46470-2023</t>
        </is>
      </c>
      <c r="B3865" t="inlineStr">
        <is>
          <t>avverkningsanmälan</t>
        </is>
      </c>
      <c r="C3865" t="inlineStr">
        <is>
          <t>Föryngringsavverkning</t>
        </is>
      </c>
      <c r="D3865" s="1" t="n">
        <v>45197</v>
      </c>
      <c r="E3865" s="1" t="n">
        <v>46316</v>
      </c>
      <c r="F3865" t="inlineStr">
        <is>
          <t>KRONOBERGS LÄN</t>
        </is>
      </c>
      <c r="G3865" t="inlineStr">
        <is>
          <t>TINGSRYD</t>
        </is>
      </c>
      <c r="I3865" t="n">
        <v>1</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44797-2023</t>
        </is>
      </c>
      <c r="B3866" t="inlineStr">
        <is>
          <t>avverkningsanmälan</t>
        </is>
      </c>
      <c r="C3866" t="inlineStr">
        <is>
          <t>Föryngringsavverkning</t>
        </is>
      </c>
      <c r="D3866" s="1" t="n">
        <v>45190</v>
      </c>
      <c r="E3866" s="1" t="n">
        <v>46316</v>
      </c>
      <c r="F3866" t="inlineStr">
        <is>
          <t>KRONOBERGS LÄN</t>
        </is>
      </c>
      <c r="G3866" t="inlineStr">
        <is>
          <t>UPPVIDINGE</t>
        </is>
      </c>
      <c r="I3866" t="n">
        <v>1.8</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29531-2026</t>
        </is>
      </c>
      <c r="B3867" t="inlineStr">
        <is>
          <t>avverkningsanmälan</t>
        </is>
      </c>
      <c r="C3867" t="inlineStr">
        <is>
          <t>Föryngringsavverkning</t>
        </is>
      </c>
      <c r="D3867" s="1" t="n">
        <v>46203</v>
      </c>
      <c r="E3867" s="1" t="n">
        <v>46316</v>
      </c>
      <c r="F3867" t="inlineStr">
        <is>
          <t>KRONOBERGS LÄN</t>
        </is>
      </c>
      <c r="G3867" t="inlineStr">
        <is>
          <t>UPPVIDINGE</t>
        </is>
      </c>
      <c r="H3867" t="inlineStr">
        <is>
          <t>Sveaskog</t>
        </is>
      </c>
      <c r="I3867" t="n">
        <v>1.3</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52172-2022</t>
        </is>
      </c>
      <c r="B3868" t="inlineStr">
        <is>
          <t>avverkningsanmälan</t>
        </is>
      </c>
      <c r="C3868" t="inlineStr">
        <is>
          <t>Föryngringsavverkning</t>
        </is>
      </c>
      <c r="D3868" s="1" t="n">
        <v>44873</v>
      </c>
      <c r="E3868" s="1" t="n">
        <v>46316</v>
      </c>
      <c r="F3868" t="inlineStr">
        <is>
          <t>KRONOBERGS LÄN</t>
        </is>
      </c>
      <c r="G3868" t="inlineStr">
        <is>
          <t>ALVESTA</t>
        </is>
      </c>
      <c r="I3868" t="n">
        <v>1.7</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52103-2024</t>
        </is>
      </c>
      <c r="B3869" t="inlineStr">
        <is>
          <t>avverkningsanmälan</t>
        </is>
      </c>
      <c r="C3869" t="inlineStr">
        <is>
          <t>Föryngringsavverkning</t>
        </is>
      </c>
      <c r="D3869" s="1" t="n">
        <v>45608</v>
      </c>
      <c r="E3869" s="1" t="n">
        <v>46316</v>
      </c>
      <c r="F3869" t="inlineStr">
        <is>
          <t>KRONOBERGS LÄN</t>
        </is>
      </c>
      <c r="G3869" t="inlineStr">
        <is>
          <t>ALVESTA</t>
        </is>
      </c>
      <c r="I3869" t="n">
        <v>1.4</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18251-2024</t>
        </is>
      </c>
      <c r="B3870" t="inlineStr">
        <is>
          <t>avverkningsanmälan</t>
        </is>
      </c>
      <c r="C3870" t="inlineStr">
        <is>
          <t>Föryngringsavverkning</t>
        </is>
      </c>
      <c r="D3870" s="1" t="n">
        <v>45421</v>
      </c>
      <c r="E3870" s="1" t="n">
        <v>46316</v>
      </c>
      <c r="F3870" t="inlineStr">
        <is>
          <t>KRONOBERGS LÄN</t>
        </is>
      </c>
      <c r="G3870" t="inlineStr">
        <is>
          <t>ÄLMHULT</t>
        </is>
      </c>
      <c r="I3870" t="n">
        <v>0.5</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30701-2026</t>
        </is>
      </c>
      <c r="B3871" t="inlineStr">
        <is>
          <t>avverkningsanmälan</t>
        </is>
      </c>
      <c r="C3871" t="inlineStr">
        <is>
          <t>Föryngringsavverkning</t>
        </is>
      </c>
      <c r="D3871" s="1" t="n">
        <v>46205</v>
      </c>
      <c r="E3871" s="1" t="n">
        <v>46316</v>
      </c>
      <c r="F3871" t="inlineStr">
        <is>
          <t>KRONOBERGS LÄN</t>
        </is>
      </c>
      <c r="G3871" t="inlineStr">
        <is>
          <t>UPPVIDINGE</t>
        </is>
      </c>
      <c r="H3871" t="inlineStr">
        <is>
          <t>Kommuner</t>
        </is>
      </c>
      <c r="I3871" t="n">
        <v>6.4</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30719-2026</t>
        </is>
      </c>
      <c r="B3872" t="inlineStr">
        <is>
          <t>avverkningsanmälan</t>
        </is>
      </c>
      <c r="C3872" t="inlineStr">
        <is>
          <t>Föryngringsavverkning</t>
        </is>
      </c>
      <c r="D3872" s="1" t="n">
        <v>46205</v>
      </c>
      <c r="E3872" s="1" t="n">
        <v>46316</v>
      </c>
      <c r="F3872" t="inlineStr">
        <is>
          <t>KRONOBERGS LÄN</t>
        </is>
      </c>
      <c r="G3872" t="inlineStr">
        <is>
          <t>UPPVIDINGE</t>
        </is>
      </c>
      <c r="H3872" t="inlineStr">
        <is>
          <t>Kommuner</t>
        </is>
      </c>
      <c r="I3872" t="n">
        <v>4.3</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30822-2026</t>
        </is>
      </c>
      <c r="B3873" t="inlineStr">
        <is>
          <t>avverkningsanmälan</t>
        </is>
      </c>
      <c r="C3873" t="inlineStr">
        <is>
          <t>Föryngringsavverkning</t>
        </is>
      </c>
      <c r="D3873" s="1" t="n">
        <v>46205</v>
      </c>
      <c r="E3873" s="1" t="n">
        <v>46316</v>
      </c>
      <c r="F3873" t="inlineStr">
        <is>
          <t>KRONOBERGS LÄN</t>
        </is>
      </c>
      <c r="G3873" t="inlineStr">
        <is>
          <t>LESSEBO</t>
        </is>
      </c>
      <c r="I3873" t="n">
        <v>3.7</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29536-2026</t>
        </is>
      </c>
      <c r="B3874" t="inlineStr">
        <is>
          <t>avverkningsanmälan</t>
        </is>
      </c>
      <c r="C3874" t="inlineStr">
        <is>
          <t>Föryngringsavverkning</t>
        </is>
      </c>
      <c r="D3874" s="1" t="n">
        <v>46203</v>
      </c>
      <c r="E3874" s="1" t="n">
        <v>46316</v>
      </c>
      <c r="F3874" t="inlineStr">
        <is>
          <t>KRONOBERGS LÄN</t>
        </is>
      </c>
      <c r="G3874" t="inlineStr">
        <is>
          <t>UPPVIDINGE</t>
        </is>
      </c>
      <c r="H3874" t="inlineStr">
        <is>
          <t>Sveaskog</t>
        </is>
      </c>
      <c r="I3874" t="n">
        <v>1.3</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29540-2026</t>
        </is>
      </c>
      <c r="B3875" t="inlineStr">
        <is>
          <t>avverkningsanmälan</t>
        </is>
      </c>
      <c r="C3875" t="inlineStr">
        <is>
          <t>Föryngringsavverkning</t>
        </is>
      </c>
      <c r="D3875" s="1" t="n">
        <v>46203</v>
      </c>
      <c r="E3875" s="1" t="n">
        <v>46316</v>
      </c>
      <c r="F3875" t="inlineStr">
        <is>
          <t>KRONOBERGS LÄN</t>
        </is>
      </c>
      <c r="G3875" t="inlineStr">
        <is>
          <t>UPPVIDINGE</t>
        </is>
      </c>
      <c r="H3875" t="inlineStr">
        <is>
          <t>Sveaskog</t>
        </is>
      </c>
      <c r="I3875" t="n">
        <v>0.6</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29545-2026</t>
        </is>
      </c>
      <c r="B3876" t="inlineStr">
        <is>
          <t>avverkningsanmälan</t>
        </is>
      </c>
      <c r="C3876" t="inlineStr">
        <is>
          <t>Föryngringsavverkning</t>
        </is>
      </c>
      <c r="D3876" s="1" t="n">
        <v>46203</v>
      </c>
      <c r="E3876" s="1" t="n">
        <v>46316</v>
      </c>
      <c r="F3876" t="inlineStr">
        <is>
          <t>KRONOBERGS LÄN</t>
        </is>
      </c>
      <c r="G3876" t="inlineStr">
        <is>
          <t>UPPVIDINGE</t>
        </is>
      </c>
      <c r="H3876" t="inlineStr">
        <is>
          <t>Sveaskog</t>
        </is>
      </c>
      <c r="I3876" t="n">
        <v>0.7</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30726-2026</t>
        </is>
      </c>
      <c r="B3877" t="inlineStr">
        <is>
          <t>avverkningsanmälan</t>
        </is>
      </c>
      <c r="C3877" t="inlineStr">
        <is>
          <t>Föryngringsavverkning</t>
        </is>
      </c>
      <c r="D3877" s="1" t="n">
        <v>46205</v>
      </c>
      <c r="E3877" s="1" t="n">
        <v>46316</v>
      </c>
      <c r="F3877" t="inlineStr">
        <is>
          <t>KRONOBERGS LÄN</t>
        </is>
      </c>
      <c r="G3877" t="inlineStr">
        <is>
          <t>UPPVIDINGE</t>
        </is>
      </c>
      <c r="H3877" t="inlineStr">
        <is>
          <t>Kommuner</t>
        </is>
      </c>
      <c r="I3877" t="n">
        <v>4.3</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29537-2026</t>
        </is>
      </c>
      <c r="B3878" t="inlineStr">
        <is>
          <t>avverkningsanmälan</t>
        </is>
      </c>
      <c r="C3878" t="inlineStr">
        <is>
          <t>Föryngringsavverkning</t>
        </is>
      </c>
      <c r="D3878" s="1" t="n">
        <v>46203</v>
      </c>
      <c r="E3878" s="1" t="n">
        <v>46316</v>
      </c>
      <c r="F3878" t="inlineStr">
        <is>
          <t>KRONOBERGS LÄN</t>
        </is>
      </c>
      <c r="G3878" t="inlineStr">
        <is>
          <t>UPPVIDINGE</t>
        </is>
      </c>
      <c r="H3878" t="inlineStr">
        <is>
          <t>Sveaskog</t>
        </is>
      </c>
      <c r="I3878" t="n">
        <v>1</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29539-2026</t>
        </is>
      </c>
      <c r="B3879" t="inlineStr">
        <is>
          <t>avverkningsanmälan</t>
        </is>
      </c>
      <c r="C3879" t="inlineStr">
        <is>
          <t>Föryngringsavverkning</t>
        </is>
      </c>
      <c r="D3879" s="1" t="n">
        <v>46203</v>
      </c>
      <c r="E3879" s="1" t="n">
        <v>46316</v>
      </c>
      <c r="F3879" t="inlineStr">
        <is>
          <t>KRONOBERGS LÄN</t>
        </is>
      </c>
      <c r="G3879" t="inlineStr">
        <is>
          <t>UPPVIDINGE</t>
        </is>
      </c>
      <c r="H3879" t="inlineStr">
        <is>
          <t>Sveaskog</t>
        </is>
      </c>
      <c r="I3879" t="n">
        <v>0.8</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29541-2026</t>
        </is>
      </c>
      <c r="B3880" t="inlineStr">
        <is>
          <t>avverkningsanmälan</t>
        </is>
      </c>
      <c r="C3880" t="inlineStr">
        <is>
          <t>Föryngringsavverkning</t>
        </is>
      </c>
      <c r="D3880" s="1" t="n">
        <v>46203</v>
      </c>
      <c r="E3880" s="1" t="n">
        <v>46316</v>
      </c>
      <c r="F3880" t="inlineStr">
        <is>
          <t>KRONOBERGS LÄN</t>
        </is>
      </c>
      <c r="G3880" t="inlineStr">
        <is>
          <t>UPPVIDINGE</t>
        </is>
      </c>
      <c r="H3880" t="inlineStr">
        <is>
          <t>Sveaskog</t>
        </is>
      </c>
      <c r="I3880" t="n">
        <v>0.4</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22668-2023</t>
        </is>
      </c>
      <c r="B3881" t="inlineStr">
        <is>
          <t>avverkningsanmälan</t>
        </is>
      </c>
      <c r="C3881" t="inlineStr">
        <is>
          <t>Föryngringsavverkning</t>
        </is>
      </c>
      <c r="D3881" s="1" t="n">
        <v>45071</v>
      </c>
      <c r="E3881" s="1" t="n">
        <v>46316</v>
      </c>
      <c r="F3881" t="inlineStr">
        <is>
          <t>KRONOBERGS LÄN</t>
        </is>
      </c>
      <c r="G3881" t="inlineStr">
        <is>
          <t>VÄXJÖ</t>
        </is>
      </c>
      <c r="H3881" t="inlineStr">
        <is>
          <t>Övriga Aktiebolag</t>
        </is>
      </c>
      <c r="I3881" t="n">
        <v>1.3</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30512-2026</t>
        </is>
      </c>
      <c r="B3882" t="inlineStr">
        <is>
          <t>avverkningsanmälan</t>
        </is>
      </c>
      <c r="C3882" t="inlineStr">
        <is>
          <t>Föryngringsavverkning</t>
        </is>
      </c>
      <c r="D3882" s="1" t="n">
        <v>46204</v>
      </c>
      <c r="E3882" s="1" t="n">
        <v>46316</v>
      </c>
      <c r="F3882" t="inlineStr">
        <is>
          <t>KRONOBERGS LÄN</t>
        </is>
      </c>
      <c r="G3882" t="inlineStr">
        <is>
          <t>TINGSRYD</t>
        </is>
      </c>
      <c r="H3882" t="inlineStr">
        <is>
          <t>Kyrkan</t>
        </is>
      </c>
      <c r="I3882" t="n">
        <v>1.9</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30518-2026</t>
        </is>
      </c>
      <c r="B3883" t="inlineStr">
        <is>
          <t>avverkningsanmälan</t>
        </is>
      </c>
      <c r="C3883" t="inlineStr">
        <is>
          <t>Föryngringsavverkning</t>
        </is>
      </c>
      <c r="D3883" s="1" t="n">
        <v>46204</v>
      </c>
      <c r="E3883" s="1" t="n">
        <v>46316</v>
      </c>
      <c r="F3883" t="inlineStr">
        <is>
          <t>KRONOBERGS LÄN</t>
        </is>
      </c>
      <c r="G3883" t="inlineStr">
        <is>
          <t>TINGSRYD</t>
        </is>
      </c>
      <c r="H3883" t="inlineStr">
        <is>
          <t>Kyrkan</t>
        </is>
      </c>
      <c r="I3883" t="n">
        <v>1.8</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30521-2026</t>
        </is>
      </c>
      <c r="B3884" t="inlineStr">
        <is>
          <t>avverkningsanmälan</t>
        </is>
      </c>
      <c r="C3884" t="inlineStr">
        <is>
          <t>Föryngringsavverkning</t>
        </is>
      </c>
      <c r="D3884" s="1" t="n">
        <v>46204</v>
      </c>
      <c r="E3884" s="1" t="n">
        <v>46316</v>
      </c>
      <c r="F3884" t="inlineStr">
        <is>
          <t>KRONOBERGS LÄN</t>
        </is>
      </c>
      <c r="G3884" t="inlineStr">
        <is>
          <t>TINGSRYD</t>
        </is>
      </c>
      <c r="H3884" t="inlineStr">
        <is>
          <t>Kyrkan</t>
        </is>
      </c>
      <c r="I3884" t="n">
        <v>3.7</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30826-2026</t>
        </is>
      </c>
      <c r="B3885" t="inlineStr">
        <is>
          <t>avverkningsanmälan</t>
        </is>
      </c>
      <c r="C3885" t="inlineStr">
        <is>
          <t>Föryngringsavverkning</t>
        </is>
      </c>
      <c r="D3885" s="1" t="n">
        <v>46205</v>
      </c>
      <c r="E3885" s="1" t="n">
        <v>46316</v>
      </c>
      <c r="F3885" t="inlineStr">
        <is>
          <t>KRONOBERGS LÄN</t>
        </is>
      </c>
      <c r="G3885" t="inlineStr">
        <is>
          <t>LESSEBO</t>
        </is>
      </c>
      <c r="I3885" t="n">
        <v>1.8</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40586-2022</t>
        </is>
      </c>
      <c r="B3886" t="inlineStr">
        <is>
          <t>avverkningsanmälan</t>
        </is>
      </c>
      <c r="C3886" t="inlineStr">
        <is>
          <t>Föryngringsavverkning</t>
        </is>
      </c>
      <c r="D3886" s="1" t="n">
        <v>44823</v>
      </c>
      <c r="E3886" s="1" t="n">
        <v>46316</v>
      </c>
      <c r="F3886" t="inlineStr">
        <is>
          <t>KRONOBERGS LÄN</t>
        </is>
      </c>
      <c r="G3886" t="inlineStr">
        <is>
          <t>MARKARYD</t>
        </is>
      </c>
      <c r="I3886" t="n">
        <v>1.2</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40909-2024</t>
        </is>
      </c>
      <c r="B3887" t="inlineStr">
        <is>
          <t>avverkningsanmälan</t>
        </is>
      </c>
      <c r="C3887" t="inlineStr">
        <is>
          <t>Föryngringsavverkning</t>
        </is>
      </c>
      <c r="D3887" s="1" t="n">
        <v>45558</v>
      </c>
      <c r="E3887" s="1" t="n">
        <v>46316</v>
      </c>
      <c r="F3887" t="inlineStr">
        <is>
          <t>KRONOBERGS LÄN</t>
        </is>
      </c>
      <c r="G3887" t="inlineStr">
        <is>
          <t>ÄLMHULT</t>
        </is>
      </c>
      <c r="I3887" t="n">
        <v>1.8</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40972-2024</t>
        </is>
      </c>
      <c r="B3888" t="inlineStr">
        <is>
          <t>avverkningsanmälan</t>
        </is>
      </c>
      <c r="C3888" t="inlineStr">
        <is>
          <t>Föryngringsavverkning</t>
        </is>
      </c>
      <c r="D3888" s="1" t="n">
        <v>45558</v>
      </c>
      <c r="E3888" s="1" t="n">
        <v>46316</v>
      </c>
      <c r="F3888" t="inlineStr">
        <is>
          <t>KRONOBERGS LÄN</t>
        </is>
      </c>
      <c r="G3888" t="inlineStr">
        <is>
          <t>VÄXJÖ</t>
        </is>
      </c>
      <c r="I3888" t="n">
        <v>2.1</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49008-2024</t>
        </is>
      </c>
      <c r="B3889" t="inlineStr">
        <is>
          <t>avverkningsanmälan</t>
        </is>
      </c>
      <c r="C3889" t="inlineStr">
        <is>
          <t>Föryngringsavverkning</t>
        </is>
      </c>
      <c r="D3889" s="1" t="n">
        <v>45594</v>
      </c>
      <c r="E3889" s="1" t="n">
        <v>46316</v>
      </c>
      <c r="F3889" t="inlineStr">
        <is>
          <t>KRONOBERGS LÄN</t>
        </is>
      </c>
      <c r="G3889" t="inlineStr">
        <is>
          <t>VÄXJÖ</t>
        </is>
      </c>
      <c r="H3889" t="inlineStr">
        <is>
          <t>Sveaskog</t>
        </is>
      </c>
      <c r="I3889" t="n">
        <v>0.4</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49020-2024</t>
        </is>
      </c>
      <c r="B3890" t="inlineStr">
        <is>
          <t>avverkningsanmälan</t>
        </is>
      </c>
      <c r="C3890" t="inlineStr">
        <is>
          <t>Föryngringsavverkning</t>
        </is>
      </c>
      <c r="D3890" s="1" t="n">
        <v>45594</v>
      </c>
      <c r="E3890" s="1" t="n">
        <v>46316</v>
      </c>
      <c r="F3890" t="inlineStr">
        <is>
          <t>KRONOBERGS LÄN</t>
        </is>
      </c>
      <c r="G3890" t="inlineStr">
        <is>
          <t>VÄXJÖ</t>
        </is>
      </c>
      <c r="H3890" t="inlineStr">
        <is>
          <t>Sveaskog</t>
        </is>
      </c>
      <c r="I3890" t="n">
        <v>1.7</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49024-2024</t>
        </is>
      </c>
      <c r="B3891" t="inlineStr">
        <is>
          <t>avverkningsanmälan</t>
        </is>
      </c>
      <c r="C3891" t="inlineStr">
        <is>
          <t>Föryngringsavverkning</t>
        </is>
      </c>
      <c r="D3891" s="1" t="n">
        <v>45594</v>
      </c>
      <c r="E3891" s="1" t="n">
        <v>46316</v>
      </c>
      <c r="F3891" t="inlineStr">
        <is>
          <t>KRONOBERGS LÄN</t>
        </is>
      </c>
      <c r="G3891" t="inlineStr">
        <is>
          <t>VÄXJÖ</t>
        </is>
      </c>
      <c r="H3891" t="inlineStr">
        <is>
          <t>Sveaskog</t>
        </is>
      </c>
      <c r="I3891" t="n">
        <v>0.7</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30685-2026</t>
        </is>
      </c>
      <c r="B3892" t="inlineStr">
        <is>
          <t>avverkningsanmälan</t>
        </is>
      </c>
      <c r="C3892" t="inlineStr">
        <is>
          <t>Föryngringsavverkning</t>
        </is>
      </c>
      <c r="D3892" s="1" t="n">
        <v>46205</v>
      </c>
      <c r="E3892" s="1" t="n">
        <v>46316</v>
      </c>
      <c r="F3892" t="inlineStr">
        <is>
          <t>KRONOBERGS LÄN</t>
        </is>
      </c>
      <c r="G3892" t="inlineStr">
        <is>
          <t>UPPVIDINGE</t>
        </is>
      </c>
      <c r="H3892" t="inlineStr">
        <is>
          <t>Kommuner</t>
        </is>
      </c>
      <c r="I3892" t="n">
        <v>8</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30691-2026</t>
        </is>
      </c>
      <c r="B3893" t="inlineStr">
        <is>
          <t>avverkningsanmälan</t>
        </is>
      </c>
      <c r="C3893" t="inlineStr">
        <is>
          <t>Föryngringsavverkning</t>
        </is>
      </c>
      <c r="D3893" s="1" t="n">
        <v>46205</v>
      </c>
      <c r="E3893" s="1" t="n">
        <v>46316</v>
      </c>
      <c r="F3893" t="inlineStr">
        <is>
          <t>KRONOBERGS LÄN</t>
        </is>
      </c>
      <c r="G3893" t="inlineStr">
        <is>
          <t>UPPVIDINGE</t>
        </is>
      </c>
      <c r="H3893" t="inlineStr">
        <is>
          <t>Kommuner</t>
        </is>
      </c>
      <c r="I3893" t="n">
        <v>0.6</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30483-2026</t>
        </is>
      </c>
      <c r="B3894" t="inlineStr">
        <is>
          <t>avverkningsanmälan</t>
        </is>
      </c>
      <c r="C3894" t="inlineStr">
        <is>
          <t>Föryngringsavverkning</t>
        </is>
      </c>
      <c r="D3894" s="1" t="n">
        <v>46204</v>
      </c>
      <c r="E3894" s="1" t="n">
        <v>46316</v>
      </c>
      <c r="F3894" t="inlineStr">
        <is>
          <t>KRONOBERGS LÄN</t>
        </is>
      </c>
      <c r="G3894" t="inlineStr">
        <is>
          <t>TINGSRYD</t>
        </is>
      </c>
      <c r="I3894" t="n">
        <v>2</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29763-2026</t>
        </is>
      </c>
      <c r="B3895" t="inlineStr">
        <is>
          <t>avverkningsanmälan</t>
        </is>
      </c>
      <c r="C3895" t="inlineStr">
        <is>
          <t>Föryngringsavverkning</t>
        </is>
      </c>
      <c r="D3895" s="1" t="n">
        <v>46204</v>
      </c>
      <c r="E3895" s="1" t="n">
        <v>46316</v>
      </c>
      <c r="F3895" t="inlineStr">
        <is>
          <t>KRONOBERGS LÄN</t>
        </is>
      </c>
      <c r="G3895" t="inlineStr">
        <is>
          <t>ALVESTA</t>
        </is>
      </c>
      <c r="I3895" t="n">
        <v>4.5</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29770-2026</t>
        </is>
      </c>
      <c r="B3896" t="inlineStr">
        <is>
          <t>avverkningsanmälan</t>
        </is>
      </c>
      <c r="C3896" t="inlineStr">
        <is>
          <t>Föryngringsavverkning</t>
        </is>
      </c>
      <c r="D3896" s="1" t="n">
        <v>46204</v>
      </c>
      <c r="E3896" s="1" t="n">
        <v>46316</v>
      </c>
      <c r="F3896" t="inlineStr">
        <is>
          <t>KRONOBERGS LÄN</t>
        </is>
      </c>
      <c r="G3896" t="inlineStr">
        <is>
          <t>ALVESTA</t>
        </is>
      </c>
      <c r="I3896" t="n">
        <v>10.4</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47805-2023</t>
        </is>
      </c>
      <c r="B3897" t="inlineStr">
        <is>
          <t>avverkningsanmälan</t>
        </is>
      </c>
      <c r="C3897" t="inlineStr">
        <is>
          <t>Föryngringsavverkning</t>
        </is>
      </c>
      <c r="D3897" s="1" t="n">
        <v>45204</v>
      </c>
      <c r="E3897" s="1" t="n">
        <v>46316</v>
      </c>
      <c r="F3897" t="inlineStr">
        <is>
          <t>KRONOBERGS LÄN</t>
        </is>
      </c>
      <c r="G3897" t="inlineStr">
        <is>
          <t>LJUNGBY</t>
        </is>
      </c>
      <c r="I3897" t="n">
        <v>3.1</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29072-2026</t>
        </is>
      </c>
      <c r="B3898" t="inlineStr">
        <is>
          <t>avverkningsanmälan</t>
        </is>
      </c>
      <c r="C3898" t="inlineStr">
        <is>
          <t>Föryngringsavverkning</t>
        </is>
      </c>
      <c r="D3898" s="1" t="n">
        <v>46199</v>
      </c>
      <c r="E3898" s="1" t="n">
        <v>46316</v>
      </c>
      <c r="F3898" t="inlineStr">
        <is>
          <t>KRONOBERGS LÄN</t>
        </is>
      </c>
      <c r="G3898" t="inlineStr">
        <is>
          <t>VÄXJÖ</t>
        </is>
      </c>
      <c r="I3898" t="n">
        <v>0.9</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25707-2023</t>
        </is>
      </c>
      <c r="B3899" t="inlineStr">
        <is>
          <t>avverkningsanmälan</t>
        </is>
      </c>
      <c r="C3899" t="inlineStr">
        <is>
          <t>Föryngringsavverkning</t>
        </is>
      </c>
      <c r="D3899" s="1" t="n">
        <v>45090</v>
      </c>
      <c r="E3899" s="1" t="n">
        <v>46316</v>
      </c>
      <c r="F3899" t="inlineStr">
        <is>
          <t>KRONOBERGS LÄN</t>
        </is>
      </c>
      <c r="G3899" t="inlineStr">
        <is>
          <t>ÄLMHULT</t>
        </is>
      </c>
      <c r="I3899" t="n">
        <v>0.7</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29636-2026</t>
        </is>
      </c>
      <c r="B3900" t="inlineStr">
        <is>
          <t>avverkningsanmälan</t>
        </is>
      </c>
      <c r="C3900" t="inlineStr">
        <is>
          <t>Föryngringsavverkning</t>
        </is>
      </c>
      <c r="D3900" s="1" t="n">
        <v>46204</v>
      </c>
      <c r="E3900" s="1" t="n">
        <v>46316</v>
      </c>
      <c r="F3900" t="inlineStr">
        <is>
          <t>KRONOBERGS LÄN</t>
        </is>
      </c>
      <c r="G3900" t="inlineStr">
        <is>
          <t>ÄLMHULT</t>
        </is>
      </c>
      <c r="I3900" t="n">
        <v>0.9</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30722-2026</t>
        </is>
      </c>
      <c r="B3901" t="inlineStr">
        <is>
          <t>avverkningsanmälan</t>
        </is>
      </c>
      <c r="C3901" t="inlineStr">
        <is>
          <t>Föryngringsavverkning</t>
        </is>
      </c>
      <c r="D3901" s="1" t="n">
        <v>46205</v>
      </c>
      <c r="E3901" s="1" t="n">
        <v>46316</v>
      </c>
      <c r="F3901" t="inlineStr">
        <is>
          <t>KRONOBERGS LÄN</t>
        </is>
      </c>
      <c r="G3901" t="inlineStr">
        <is>
          <t>UPPVIDINGE</t>
        </is>
      </c>
      <c r="H3901" t="inlineStr">
        <is>
          <t>Kommuner</t>
        </is>
      </c>
      <c r="I3901" t="n">
        <v>3.2</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45229-2024</t>
        </is>
      </c>
      <c r="B3902" t="inlineStr">
        <is>
          <t>avverkningsanmälan</t>
        </is>
      </c>
      <c r="C3902" t="inlineStr">
        <is>
          <t>Föryngringsavverkning</t>
        </is>
      </c>
      <c r="D3902" s="1" t="n">
        <v>45575</v>
      </c>
      <c r="E3902" s="1" t="n">
        <v>46316</v>
      </c>
      <c r="F3902" t="inlineStr">
        <is>
          <t>KRONOBERGS LÄN</t>
        </is>
      </c>
      <c r="G3902" t="inlineStr">
        <is>
          <t>UPPVIDINGE</t>
        </is>
      </c>
      <c r="I3902" t="n">
        <v>4.3</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29772-2026</t>
        </is>
      </c>
      <c r="B3903" t="inlineStr">
        <is>
          <t>avverkningsanmälan</t>
        </is>
      </c>
      <c r="C3903" t="inlineStr">
        <is>
          <t>Föryngringsavverkning</t>
        </is>
      </c>
      <c r="D3903" s="1" t="n">
        <v>46204</v>
      </c>
      <c r="E3903" s="1" t="n">
        <v>46316</v>
      </c>
      <c r="F3903" t="inlineStr">
        <is>
          <t>KRONOBERGS LÄN</t>
        </is>
      </c>
      <c r="G3903" t="inlineStr">
        <is>
          <t>ALVESTA</t>
        </is>
      </c>
      <c r="I3903" t="n">
        <v>3</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29773-2026</t>
        </is>
      </c>
      <c r="B3904" t="inlineStr">
        <is>
          <t>avverkningsanmälan</t>
        </is>
      </c>
      <c r="C3904" t="inlineStr">
        <is>
          <t>Föryngringsavverkning</t>
        </is>
      </c>
      <c r="D3904" s="1" t="n">
        <v>46204</v>
      </c>
      <c r="E3904" s="1" t="n">
        <v>46316</v>
      </c>
      <c r="F3904" t="inlineStr">
        <is>
          <t>KRONOBERGS LÄN</t>
        </is>
      </c>
      <c r="G3904" t="inlineStr">
        <is>
          <t>ÄLMHULT</t>
        </is>
      </c>
      <c r="I3904" t="n">
        <v>0.6</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29642-2026</t>
        </is>
      </c>
      <c r="B3905" t="inlineStr">
        <is>
          <t>avverkningsanmälan</t>
        </is>
      </c>
      <c r="C3905" t="inlineStr">
        <is>
          <t>Föryngringsavverkning</t>
        </is>
      </c>
      <c r="D3905" s="1" t="n">
        <v>46204</v>
      </c>
      <c r="E3905" s="1" t="n">
        <v>46316</v>
      </c>
      <c r="F3905" t="inlineStr">
        <is>
          <t>KRONOBERGS LÄN</t>
        </is>
      </c>
      <c r="G3905" t="inlineStr">
        <is>
          <t>ÄLMHULT</t>
        </is>
      </c>
      <c r="I3905" t="n">
        <v>8.6</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29774-2026</t>
        </is>
      </c>
      <c r="B3906" t="inlineStr">
        <is>
          <t>avverkningsanmälan</t>
        </is>
      </c>
      <c r="C3906" t="inlineStr">
        <is>
          <t>Föryngringsavverkning</t>
        </is>
      </c>
      <c r="D3906" s="1" t="n">
        <v>46204</v>
      </c>
      <c r="E3906" s="1" t="n">
        <v>46316</v>
      </c>
      <c r="F3906" t="inlineStr">
        <is>
          <t>KRONOBERGS LÄN</t>
        </is>
      </c>
      <c r="G3906" t="inlineStr">
        <is>
          <t>ALVESTA</t>
        </is>
      </c>
      <c r="I3906" t="n">
        <v>2.7</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7491-2023</t>
        </is>
      </c>
      <c r="B3907" t="inlineStr">
        <is>
          <t>avverkningsanmälan</t>
        </is>
      </c>
      <c r="C3907" t="inlineStr">
        <is>
          <t>Föryngringsavverkning</t>
        </is>
      </c>
      <c r="D3907" s="1" t="n">
        <v>44971</v>
      </c>
      <c r="E3907" s="1" t="n">
        <v>46316</v>
      </c>
      <c r="F3907" t="inlineStr">
        <is>
          <t>KRONOBERGS LÄN</t>
        </is>
      </c>
      <c r="G3907" t="inlineStr">
        <is>
          <t>LJUNGBY</t>
        </is>
      </c>
      <c r="I3907" t="n">
        <v>0.6</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37694-2024</t>
        </is>
      </c>
      <c r="B3908" t="inlineStr">
        <is>
          <t>avverkningsanmälan</t>
        </is>
      </c>
      <c r="C3908" t="inlineStr">
        <is>
          <t>Föryngringsavverkning</t>
        </is>
      </c>
      <c r="D3908" s="1" t="n">
        <v>45541</v>
      </c>
      <c r="E3908" s="1" t="n">
        <v>46316</v>
      </c>
      <c r="F3908" t="inlineStr">
        <is>
          <t>KRONOBERGS LÄN</t>
        </is>
      </c>
      <c r="G3908" t="inlineStr">
        <is>
          <t>VÄXJÖ</t>
        </is>
      </c>
      <c r="I3908" t="n">
        <v>0.6</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29377-2026</t>
        </is>
      </c>
      <c r="B3909" t="inlineStr">
        <is>
          <t>avverkningsanmälan</t>
        </is>
      </c>
      <c r="C3909" t="inlineStr">
        <is>
          <t>Föryngringsavverkning</t>
        </is>
      </c>
      <c r="D3909" s="1" t="n">
        <v>46203</v>
      </c>
      <c r="E3909" s="1" t="n">
        <v>46316</v>
      </c>
      <c r="F3909" t="inlineStr">
        <is>
          <t>KRONOBERGS LÄN</t>
        </is>
      </c>
      <c r="G3909" t="inlineStr">
        <is>
          <t>TINGSRYD</t>
        </is>
      </c>
      <c r="I3909" t="n">
        <v>1.3</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29075-2026</t>
        </is>
      </c>
      <c r="B3910" t="inlineStr">
        <is>
          <t>avverkningsanmälan</t>
        </is>
      </c>
      <c r="C3910" t="inlineStr">
        <is>
          <t>Föryngringsavverkning</t>
        </is>
      </c>
      <c r="D3910" s="1" t="n">
        <v>46199</v>
      </c>
      <c r="E3910" s="1" t="n">
        <v>46316</v>
      </c>
      <c r="F3910" t="inlineStr">
        <is>
          <t>KRONOBERGS LÄN</t>
        </is>
      </c>
      <c r="G3910" t="inlineStr">
        <is>
          <t>VÄXJÖ</t>
        </is>
      </c>
      <c r="I3910" t="n">
        <v>4.7</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43140-2024</t>
        </is>
      </c>
      <c r="B3911" t="inlineStr">
        <is>
          <t>avverkningsanmälan</t>
        </is>
      </c>
      <c r="C3911" t="inlineStr">
        <is>
          <t>Föryngringsavverkning</t>
        </is>
      </c>
      <c r="D3911" s="1" t="n">
        <v>45567</v>
      </c>
      <c r="E3911" s="1" t="n">
        <v>46316</v>
      </c>
      <c r="F3911" t="inlineStr">
        <is>
          <t>KRONOBERGS LÄN</t>
        </is>
      </c>
      <c r="G3911" t="inlineStr">
        <is>
          <t>ÄLMHULT</t>
        </is>
      </c>
      <c r="I3911" t="n">
        <v>0.6</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29760-2026</t>
        </is>
      </c>
      <c r="B3912" t="inlineStr">
        <is>
          <t>avverkningsanmälan</t>
        </is>
      </c>
      <c r="C3912" t="inlineStr">
        <is>
          <t>Föryngringsavverkning</t>
        </is>
      </c>
      <c r="D3912" s="1" t="n">
        <v>46204</v>
      </c>
      <c r="E3912" s="1" t="n">
        <v>46316</v>
      </c>
      <c r="F3912" t="inlineStr">
        <is>
          <t>KRONOBERGS LÄN</t>
        </is>
      </c>
      <c r="G3912" t="inlineStr">
        <is>
          <t>ÄLMHULT</t>
        </is>
      </c>
      <c r="I3912" t="n">
        <v>4.1</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29775-2026</t>
        </is>
      </c>
      <c r="B3913" t="inlineStr">
        <is>
          <t>avverkningsanmälan</t>
        </is>
      </c>
      <c r="C3913" t="inlineStr">
        <is>
          <t>Föryngringsavverkning</t>
        </is>
      </c>
      <c r="D3913" s="1" t="n">
        <v>46204</v>
      </c>
      <c r="E3913" s="1" t="n">
        <v>46316</v>
      </c>
      <c r="F3913" t="inlineStr">
        <is>
          <t>KRONOBERGS LÄN</t>
        </is>
      </c>
      <c r="G3913" t="inlineStr">
        <is>
          <t>ÄLMHULT</t>
        </is>
      </c>
      <c r="I3913" t="n">
        <v>0.8</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29776-2026</t>
        </is>
      </c>
      <c r="B3914" t="inlineStr">
        <is>
          <t>avverkningsanmälan</t>
        </is>
      </c>
      <c r="C3914" t="inlineStr">
        <is>
          <t>Föryngringsavverkning</t>
        </is>
      </c>
      <c r="D3914" s="1" t="n">
        <v>46204</v>
      </c>
      <c r="E3914" s="1" t="n">
        <v>46316</v>
      </c>
      <c r="F3914" t="inlineStr">
        <is>
          <t>KRONOBERGS LÄN</t>
        </is>
      </c>
      <c r="G3914" t="inlineStr">
        <is>
          <t>ÄLMHULT</t>
        </is>
      </c>
      <c r="I3914" t="n">
        <v>1.2</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29542-2026</t>
        </is>
      </c>
      <c r="B3915" t="inlineStr">
        <is>
          <t>avverkningsanmälan</t>
        </is>
      </c>
      <c r="C3915" t="inlineStr">
        <is>
          <t>Föryngringsavverkning</t>
        </is>
      </c>
      <c r="D3915" s="1" t="n">
        <v>46203</v>
      </c>
      <c r="E3915" s="1" t="n">
        <v>46316</v>
      </c>
      <c r="F3915" t="inlineStr">
        <is>
          <t>KRONOBERGS LÄN</t>
        </is>
      </c>
      <c r="G3915" t="inlineStr">
        <is>
          <t>UPPVIDINGE</t>
        </is>
      </c>
      <c r="H3915" t="inlineStr">
        <is>
          <t>Sveaskog</t>
        </is>
      </c>
      <c r="I3915" t="n">
        <v>2.3</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13890-2023</t>
        </is>
      </c>
      <c r="B3916" t="inlineStr">
        <is>
          <t>avverkningsanmälan</t>
        </is>
      </c>
      <c r="C3916" t="inlineStr">
        <is>
          <t>Föryngringsavverkning</t>
        </is>
      </c>
      <c r="D3916" s="1" t="n">
        <v>45007</v>
      </c>
      <c r="E3916" s="1" t="n">
        <v>46316</v>
      </c>
      <c r="F3916" t="inlineStr">
        <is>
          <t>KRONOBERGS LÄN</t>
        </is>
      </c>
      <c r="G3916" t="inlineStr">
        <is>
          <t>TINGSRYD</t>
        </is>
      </c>
      <c r="I3916" t="n">
        <v>1.6</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30604-2026</t>
        </is>
      </c>
      <c r="B3917" t="inlineStr">
        <is>
          <t>avverkningsanmälan</t>
        </is>
      </c>
      <c r="C3917" t="inlineStr">
        <is>
          <t>Föryngringsavverkning</t>
        </is>
      </c>
      <c r="D3917" s="1" t="n">
        <v>46205</v>
      </c>
      <c r="E3917" s="1" t="n">
        <v>46316</v>
      </c>
      <c r="F3917" t="inlineStr">
        <is>
          <t>KRONOBERGS LÄN</t>
        </is>
      </c>
      <c r="G3917" t="inlineStr">
        <is>
          <t>LJUNGBY</t>
        </is>
      </c>
      <c r="I3917" t="n">
        <v>0.8</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16478-2024</t>
        </is>
      </c>
      <c r="B3918" t="inlineStr">
        <is>
          <t>avverkningsanmälan</t>
        </is>
      </c>
      <c r="C3918" t="inlineStr">
        <is>
          <t>Föryngringsavverkning</t>
        </is>
      </c>
      <c r="D3918" s="1" t="n">
        <v>45408</v>
      </c>
      <c r="E3918" s="1" t="n">
        <v>46316</v>
      </c>
      <c r="F3918" t="inlineStr">
        <is>
          <t>KRONOBERGS LÄN</t>
        </is>
      </c>
      <c r="G3918" t="inlineStr">
        <is>
          <t>TINGSRYD</t>
        </is>
      </c>
      <c r="I3918" t="n">
        <v>0.8</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29224-2022</t>
        </is>
      </c>
      <c r="B3919" t="inlineStr">
        <is>
          <t>avverkningsanmälan</t>
        </is>
      </c>
      <c r="C3919" t="inlineStr">
        <is>
          <t>Föryngringsavverkning</t>
        </is>
      </c>
      <c r="D3919" s="1" t="n">
        <v>44750</v>
      </c>
      <c r="E3919" s="1" t="n">
        <v>46316</v>
      </c>
      <c r="F3919" t="inlineStr">
        <is>
          <t>KRONOBERGS LÄN</t>
        </is>
      </c>
      <c r="G3919" t="inlineStr">
        <is>
          <t>LJUNGBY</t>
        </is>
      </c>
      <c r="I3919" t="n">
        <v>4.1</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29546-2026</t>
        </is>
      </c>
      <c r="B3920" t="inlineStr">
        <is>
          <t>avverkningsanmälan</t>
        </is>
      </c>
      <c r="C3920" t="inlineStr">
        <is>
          <t>Föryngringsavverkning</t>
        </is>
      </c>
      <c r="D3920" s="1" t="n">
        <v>46203</v>
      </c>
      <c r="E3920" s="1" t="n">
        <v>46316</v>
      </c>
      <c r="F3920" t="inlineStr">
        <is>
          <t>KRONOBERGS LÄN</t>
        </is>
      </c>
      <c r="G3920" t="inlineStr">
        <is>
          <t>UPPVIDINGE</t>
        </is>
      </c>
      <c r="H3920" t="inlineStr">
        <is>
          <t>Sveaskog</t>
        </is>
      </c>
      <c r="I3920" t="n">
        <v>4.2</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29550-2026</t>
        </is>
      </c>
      <c r="B3921" t="inlineStr">
        <is>
          <t>avverkningsanmälan</t>
        </is>
      </c>
      <c r="C3921" t="inlineStr">
        <is>
          <t>Föryngringsavverkning</t>
        </is>
      </c>
      <c r="D3921" s="1" t="n">
        <v>46203</v>
      </c>
      <c r="E3921" s="1" t="n">
        <v>46316</v>
      </c>
      <c r="F3921" t="inlineStr">
        <is>
          <t>KRONOBERGS LÄN</t>
        </is>
      </c>
      <c r="G3921" t="inlineStr">
        <is>
          <t>UPPVIDINGE</t>
        </is>
      </c>
      <c r="H3921" t="inlineStr">
        <is>
          <t>Sveaskog</t>
        </is>
      </c>
      <c r="I3921" t="n">
        <v>1.7</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29549-2026</t>
        </is>
      </c>
      <c r="B3922" t="inlineStr">
        <is>
          <t>avverkningsanmälan</t>
        </is>
      </c>
      <c r="C3922" t="inlineStr">
        <is>
          <t>Föryngringsavverkning</t>
        </is>
      </c>
      <c r="D3922" s="1" t="n">
        <v>46203</v>
      </c>
      <c r="E3922" s="1" t="n">
        <v>46316</v>
      </c>
      <c r="F3922" t="inlineStr">
        <is>
          <t>KRONOBERGS LÄN</t>
        </is>
      </c>
      <c r="G3922" t="inlineStr">
        <is>
          <t>UPPVIDINGE</t>
        </is>
      </c>
      <c r="H3922" t="inlineStr">
        <is>
          <t>Sveaskog</t>
        </is>
      </c>
      <c r="I3922" t="n">
        <v>0.9</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27574-2023</t>
        </is>
      </c>
      <c r="B3923" t="inlineStr">
        <is>
          <t>avverkningsanmälan</t>
        </is>
      </c>
      <c r="C3923" t="inlineStr">
        <is>
          <t>Föryngringsavverkning</t>
        </is>
      </c>
      <c r="D3923" s="1" t="n">
        <v>45097</v>
      </c>
      <c r="E3923" s="1" t="n">
        <v>46316</v>
      </c>
      <c r="F3923" t="inlineStr">
        <is>
          <t>KRONOBERGS LÄN</t>
        </is>
      </c>
      <c r="G3923" t="inlineStr">
        <is>
          <t>LESSEBO</t>
        </is>
      </c>
      <c r="I3923" t="n">
        <v>0.5</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29349-2026</t>
        </is>
      </c>
      <c r="B3924" t="inlineStr">
        <is>
          <t>avverkningsanmälan</t>
        </is>
      </c>
      <c r="C3924" t="inlineStr">
        <is>
          <t>Föryngringsavverkning</t>
        </is>
      </c>
      <c r="D3924" s="1" t="n">
        <v>46203</v>
      </c>
      <c r="E3924" s="1" t="n">
        <v>46316</v>
      </c>
      <c r="F3924" t="inlineStr">
        <is>
          <t>KRONOBERGS LÄN</t>
        </is>
      </c>
      <c r="G3924" t="inlineStr">
        <is>
          <t>ALVESTA</t>
        </is>
      </c>
      <c r="I3924" t="n">
        <v>0.9</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30033-2026</t>
        </is>
      </c>
      <c r="B3925" t="inlineStr">
        <is>
          <t>avverkningsanmälan</t>
        </is>
      </c>
      <c r="C3925" t="inlineStr">
        <is>
          <t>Föryngringsavverkning</t>
        </is>
      </c>
      <c r="D3925" s="1" t="n">
        <v>46206</v>
      </c>
      <c r="E3925" s="1" t="n">
        <v>46316</v>
      </c>
      <c r="F3925" t="inlineStr">
        <is>
          <t>KRONOBERGS LÄN</t>
        </is>
      </c>
      <c r="G3925" t="inlineStr">
        <is>
          <t>LJUNGBY</t>
        </is>
      </c>
      <c r="I3925" t="n">
        <v>0.6</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10763-2022</t>
        </is>
      </c>
      <c r="B3926" t="inlineStr">
        <is>
          <t>avverkningsanmälan</t>
        </is>
      </c>
      <c r="C3926" t="inlineStr">
        <is>
          <t>Föryngringsavverkning</t>
        </is>
      </c>
      <c r="D3926" s="1" t="n">
        <v>44627</v>
      </c>
      <c r="E3926" s="1" t="n">
        <v>46316</v>
      </c>
      <c r="F3926" t="inlineStr">
        <is>
          <t>KRONOBERGS LÄN</t>
        </is>
      </c>
      <c r="G3926" t="inlineStr">
        <is>
          <t>TINGSRYD</t>
        </is>
      </c>
      <c r="I3926" t="n">
        <v>3.6</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4839-2023</t>
        </is>
      </c>
      <c r="B3927" t="inlineStr">
        <is>
          <t>avverkningsanmälan</t>
        </is>
      </c>
      <c r="C3927" t="inlineStr">
        <is>
          <t>Föryngringsavverkning</t>
        </is>
      </c>
      <c r="D3927" s="1" t="n">
        <v>44955</v>
      </c>
      <c r="E3927" s="1" t="n">
        <v>46316</v>
      </c>
      <c r="F3927" t="inlineStr">
        <is>
          <t>KRONOBERGS LÄN</t>
        </is>
      </c>
      <c r="G3927" t="inlineStr">
        <is>
          <t>LESSEBO</t>
        </is>
      </c>
      <c r="I3927" t="n">
        <v>2.2</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30250-2026</t>
        </is>
      </c>
      <c r="B3928" t="inlineStr">
        <is>
          <t>avverkningsanmälan</t>
        </is>
      </c>
      <c r="C3928" t="inlineStr">
        <is>
          <t>Föryngringsavverkning</t>
        </is>
      </c>
      <c r="D3928" s="1" t="n">
        <v>46206</v>
      </c>
      <c r="E3928" s="1" t="n">
        <v>46316</v>
      </c>
      <c r="F3928" t="inlineStr">
        <is>
          <t>KRONOBERGS LÄN</t>
        </is>
      </c>
      <c r="G3928" t="inlineStr">
        <is>
          <t>UPPVIDINGE</t>
        </is>
      </c>
      <c r="I3928" t="n">
        <v>0.5</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30251-2026</t>
        </is>
      </c>
      <c r="B3929" t="inlineStr">
        <is>
          <t>avverkningsanmälan</t>
        </is>
      </c>
      <c r="C3929" t="inlineStr">
        <is>
          <t>Föryngringsavverkning</t>
        </is>
      </c>
      <c r="D3929" s="1" t="n">
        <v>46206</v>
      </c>
      <c r="E3929" s="1" t="n">
        <v>46316</v>
      </c>
      <c r="F3929" t="inlineStr">
        <is>
          <t>KRONOBERGS LÄN</t>
        </is>
      </c>
      <c r="G3929" t="inlineStr">
        <is>
          <t>UPPVIDINGE</t>
        </is>
      </c>
      <c r="I3929" t="n">
        <v>0.7</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49779-2024</t>
        </is>
      </c>
      <c r="B3930" t="inlineStr">
        <is>
          <t>avverkningsanmälan</t>
        </is>
      </c>
      <c r="C3930" t="inlineStr">
        <is>
          <t>Föryngringsavverkning</t>
        </is>
      </c>
      <c r="D3930" s="1" t="n">
        <v>45597</v>
      </c>
      <c r="E3930" s="1" t="n">
        <v>46316</v>
      </c>
      <c r="F3930" t="inlineStr">
        <is>
          <t>KRONOBERGS LÄN</t>
        </is>
      </c>
      <c r="G3930" t="inlineStr">
        <is>
          <t>UPPVIDINGE</t>
        </is>
      </c>
      <c r="H3930" t="inlineStr">
        <is>
          <t>Sveaskog</t>
        </is>
      </c>
      <c r="I3930" t="n">
        <v>1.4</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37192-2023</t>
        </is>
      </c>
      <c r="B3931" t="inlineStr">
        <is>
          <t>avverkningsanmälan</t>
        </is>
      </c>
      <c r="C3931" t="inlineStr">
        <is>
          <t>Föryngringsavverkning</t>
        </is>
      </c>
      <c r="D3931" s="1" t="n">
        <v>45155</v>
      </c>
      <c r="E3931" s="1" t="n">
        <v>46316</v>
      </c>
      <c r="F3931" t="inlineStr">
        <is>
          <t>KRONOBERGS LÄN</t>
        </is>
      </c>
      <c r="G3931" t="inlineStr">
        <is>
          <t>MARKARYD</t>
        </is>
      </c>
      <c r="I3931" t="n">
        <v>2.9</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50635-2024</t>
        </is>
      </c>
      <c r="B3932" t="inlineStr">
        <is>
          <t>avverkningsanmälan</t>
        </is>
      </c>
      <c r="C3932" t="inlineStr">
        <is>
          <t>Föryngringsavverkning</t>
        </is>
      </c>
      <c r="D3932" s="1" t="n">
        <v>45601</v>
      </c>
      <c r="E3932" s="1" t="n">
        <v>46316</v>
      </c>
      <c r="F3932" t="inlineStr">
        <is>
          <t>KRONOBERGS LÄN</t>
        </is>
      </c>
      <c r="G3932" t="inlineStr">
        <is>
          <t>TINGSRYD</t>
        </is>
      </c>
      <c r="I3932" t="n">
        <v>0.6</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30015-2026</t>
        </is>
      </c>
      <c r="B3933" t="inlineStr">
        <is>
          <t>avverkningsanmälan</t>
        </is>
      </c>
      <c r="C3933" t="inlineStr">
        <is>
          <t>Föryngringsavverkning</t>
        </is>
      </c>
      <c r="D3933" s="1" t="n">
        <v>46206</v>
      </c>
      <c r="E3933" s="1" t="n">
        <v>46316</v>
      </c>
      <c r="F3933" t="inlineStr">
        <is>
          <t>KRONOBERGS LÄN</t>
        </is>
      </c>
      <c r="G3933" t="inlineStr">
        <is>
          <t>VÄXJÖ</t>
        </is>
      </c>
      <c r="H3933" t="inlineStr">
        <is>
          <t>Sveaskog</t>
        </is>
      </c>
      <c r="I3933" t="n">
        <v>0.5</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12422-2023</t>
        </is>
      </c>
      <c r="B3934" t="inlineStr">
        <is>
          <t>avverkningsanmälan</t>
        </is>
      </c>
      <c r="C3934" t="inlineStr">
        <is>
          <t>Föryngringsavverkning</t>
        </is>
      </c>
      <c r="D3934" s="1" t="n">
        <v>44999</v>
      </c>
      <c r="E3934" s="1" t="n">
        <v>46316</v>
      </c>
      <c r="F3934" t="inlineStr">
        <is>
          <t>KRONOBERGS LÄN</t>
        </is>
      </c>
      <c r="G3934" t="inlineStr">
        <is>
          <t>MARKARYD</t>
        </is>
      </c>
      <c r="I3934" t="n">
        <v>4.9</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30146-2026</t>
        </is>
      </c>
      <c r="B3935" t="inlineStr">
        <is>
          <t>avverkningsanmälan</t>
        </is>
      </c>
      <c r="C3935" t="inlineStr">
        <is>
          <t>Föryngringsavverkning</t>
        </is>
      </c>
      <c r="D3935" s="1" t="n">
        <v>46206</v>
      </c>
      <c r="E3935" s="1" t="n">
        <v>46316</v>
      </c>
      <c r="F3935" t="inlineStr">
        <is>
          <t>KRONOBERGS LÄN</t>
        </is>
      </c>
      <c r="G3935" t="inlineStr">
        <is>
          <t>LJUNGBY</t>
        </is>
      </c>
      <c r="I3935" t="n">
        <v>0.5</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24687-2023</t>
        </is>
      </c>
      <c r="B3936" t="inlineStr">
        <is>
          <t>avverkningsanmälan</t>
        </is>
      </c>
      <c r="C3936" t="inlineStr">
        <is>
          <t>Föryngringsavverkning</t>
        </is>
      </c>
      <c r="D3936" s="1" t="n">
        <v>45084</v>
      </c>
      <c r="E3936" s="1" t="n">
        <v>46316</v>
      </c>
      <c r="F3936" t="inlineStr">
        <is>
          <t>KRONOBERGS LÄN</t>
        </is>
      </c>
      <c r="G3936" t="inlineStr">
        <is>
          <t>LJUNGBY</t>
        </is>
      </c>
      <c r="I3936" t="n">
        <v>4.9</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30999-2026</t>
        </is>
      </c>
      <c r="B3937" t="inlineStr">
        <is>
          <t>avverkningsanmälan</t>
        </is>
      </c>
      <c r="C3937" t="inlineStr">
        <is>
          <t>Föryngringsavverkning</t>
        </is>
      </c>
      <c r="D3937" s="1" t="n">
        <v>46206</v>
      </c>
      <c r="E3937" s="1" t="n">
        <v>46316</v>
      </c>
      <c r="F3937" t="inlineStr">
        <is>
          <t>KRONOBERGS LÄN</t>
        </is>
      </c>
      <c r="G3937" t="inlineStr">
        <is>
          <t>ÄLMHULT</t>
        </is>
      </c>
      <c r="I3937" t="n">
        <v>0.5</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5486-2025</t>
        </is>
      </c>
      <c r="B3938" t="inlineStr">
        <is>
          <t>avverkningsanmälan</t>
        </is>
      </c>
      <c r="C3938" t="inlineStr">
        <is>
          <t>Föryngringsavverkning</t>
        </is>
      </c>
      <c r="D3938" s="1" t="n">
        <v>45693</v>
      </c>
      <c r="E3938" s="1" t="n">
        <v>46316</v>
      </c>
      <c r="F3938" t="inlineStr">
        <is>
          <t>KRONOBERGS LÄN</t>
        </is>
      </c>
      <c r="G3938" t="inlineStr">
        <is>
          <t>VÄXJÖ</t>
        </is>
      </c>
      <c r="I3938" t="n">
        <v>2.6</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30245-2026</t>
        </is>
      </c>
      <c r="B3939" t="inlineStr">
        <is>
          <t>avverkningsanmälan</t>
        </is>
      </c>
      <c r="C3939" t="inlineStr">
        <is>
          <t>Föryngringsavverkning</t>
        </is>
      </c>
      <c r="D3939" s="1" t="n">
        <v>46206</v>
      </c>
      <c r="E3939" s="1" t="n">
        <v>46316</v>
      </c>
      <c r="F3939" t="inlineStr">
        <is>
          <t>KRONOBERGS LÄN</t>
        </is>
      </c>
      <c r="G3939" t="inlineStr">
        <is>
          <t>UPPVIDINGE</t>
        </is>
      </c>
      <c r="I3939" t="n">
        <v>1.2</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62429-2023</t>
        </is>
      </c>
      <c r="B3940" t="inlineStr">
        <is>
          <t>avverkningsanmälan</t>
        </is>
      </c>
      <c r="C3940" t="inlineStr">
        <is>
          <t>Föryngringsavverkning</t>
        </is>
      </c>
      <c r="D3940" s="1" t="n">
        <v>45268</v>
      </c>
      <c r="E3940" s="1" t="n">
        <v>46316</v>
      </c>
      <c r="F3940" t="inlineStr">
        <is>
          <t>KRONOBERGS LÄN</t>
        </is>
      </c>
      <c r="G3940" t="inlineStr">
        <is>
          <t>ÄLMHULT</t>
        </is>
      </c>
      <c r="I3940" t="n">
        <v>1.7</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14549-2025</t>
        </is>
      </c>
      <c r="B3941" t="inlineStr">
        <is>
          <t>avverkningsanmälan</t>
        </is>
      </c>
      <c r="C3941" t="inlineStr">
        <is>
          <t>Föryngringsavverkning</t>
        </is>
      </c>
      <c r="D3941" s="1" t="n">
        <v>45741</v>
      </c>
      <c r="E3941" s="1" t="n">
        <v>46316</v>
      </c>
      <c r="F3941" t="inlineStr">
        <is>
          <t>KRONOBERGS LÄN</t>
        </is>
      </c>
      <c r="G3941" t="inlineStr">
        <is>
          <t>LESSEBO</t>
        </is>
      </c>
      <c r="I3941" t="n">
        <v>0.5</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38528-2024</t>
        </is>
      </c>
      <c r="B3942" t="inlineStr">
        <is>
          <t>avverkningsanmälan</t>
        </is>
      </c>
      <c r="C3942" t="inlineStr">
        <is>
          <t>Föryngringsavverkning</t>
        </is>
      </c>
      <c r="D3942" s="1" t="n">
        <v>45546</v>
      </c>
      <c r="E3942" s="1" t="n">
        <v>46316</v>
      </c>
      <c r="F3942" t="inlineStr">
        <is>
          <t>KRONOBERGS LÄN</t>
        </is>
      </c>
      <c r="G3942" t="inlineStr">
        <is>
          <t>TINGSRYD</t>
        </is>
      </c>
      <c r="I3942" t="n">
        <v>0.5</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18996-2025</t>
        </is>
      </c>
      <c r="B3943" t="inlineStr">
        <is>
          <t>avverkningsanmälan</t>
        </is>
      </c>
      <c r="C3943" t="inlineStr">
        <is>
          <t>Föryngringsavverkning</t>
        </is>
      </c>
      <c r="D3943" s="1" t="n">
        <v>45764</v>
      </c>
      <c r="E3943" s="1" t="n">
        <v>46316</v>
      </c>
      <c r="F3943" t="inlineStr">
        <is>
          <t>KRONOBERGS LÄN</t>
        </is>
      </c>
      <c r="G3943" t="inlineStr">
        <is>
          <t>VÄXJÖ</t>
        </is>
      </c>
      <c r="I3943" t="n">
        <v>1.7</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1707-2024</t>
        </is>
      </c>
      <c r="B3944" t="inlineStr">
        <is>
          <t>avverkningsanmälan</t>
        </is>
      </c>
      <c r="C3944" t="inlineStr">
        <is>
          <t>Föryngringsavverkning</t>
        </is>
      </c>
      <c r="D3944" s="1" t="n">
        <v>45307</v>
      </c>
      <c r="E3944" s="1" t="n">
        <v>46316</v>
      </c>
      <c r="F3944" t="inlineStr">
        <is>
          <t>KRONOBERGS LÄN</t>
        </is>
      </c>
      <c r="G3944" t="inlineStr">
        <is>
          <t>TINGSRYD</t>
        </is>
      </c>
      <c r="H3944" t="inlineStr">
        <is>
          <t>Sveaskog</t>
        </is>
      </c>
      <c r="I3944" t="n">
        <v>0.6</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30016-2026</t>
        </is>
      </c>
      <c r="B3945" t="inlineStr">
        <is>
          <t>avverkningsanmälan</t>
        </is>
      </c>
      <c r="C3945" t="inlineStr">
        <is>
          <t>Föryngringsavverkning</t>
        </is>
      </c>
      <c r="D3945" s="1" t="n">
        <v>46206</v>
      </c>
      <c r="E3945" s="1" t="n">
        <v>46316</v>
      </c>
      <c r="F3945" t="inlineStr">
        <is>
          <t>KRONOBERGS LÄN</t>
        </is>
      </c>
      <c r="G3945" t="inlineStr">
        <is>
          <t>TINGSRYD</t>
        </is>
      </c>
      <c r="I3945" t="n">
        <v>6.4</v>
      </c>
      <c r="J3945" t="n">
        <v>0</v>
      </c>
      <c r="K3945" t="n">
        <v>0</v>
      </c>
      <c r="L3945" t="n">
        <v>0</v>
      </c>
      <c r="M3945" t="n">
        <v>0</v>
      </c>
      <c r="N3945" t="n">
        <v>0</v>
      </c>
      <c r="O3945" t="n">
        <v>0</v>
      </c>
      <c r="P3945" t="n">
        <v>0</v>
      </c>
      <c r="Q3945" t="n">
        <v>0</v>
      </c>
      <c r="R3945" t="n">
        <v>0</v>
      </c>
      <c r="S3945" t="n">
        <v>0</v>
      </c>
      <c r="T3945" t="n">
        <v>0</v>
      </c>
      <c r="U3945" t="n">
        <v>0</v>
      </c>
      <c r="V3945" s="2" t="inlineStr"/>
      <c r="Z3945">
        <f>HYPERLINK("https://klasma.github.io/Logging_0763/knärot/A 30016-2026 karta knärot.png", "A 30016-2026")</f>
        <v/>
      </c>
      <c r="AA3945">
        <f>HYPERLINK("https://klasma.github.io/Logging_0763/klagomål/A 30016-2026 FSC-klagomål.docx", "A 30016-2026")</f>
        <v/>
      </c>
      <c r="AB3945">
        <f>HYPERLINK("https://klasma.github.io/Logging_0763/klagomålsmail/A 30016-2026 FSC-klagomål mail.docx", "A 30016-2026")</f>
        <v/>
      </c>
      <c r="AC3945">
        <f>HYPERLINK("https://klasma.github.io/Logging_0763/tillsyn/A 30016-2026 tillsynsbegäran.docx", "A 30016-2026")</f>
        <v/>
      </c>
      <c r="AD3945">
        <f>HYPERLINK("https://klasma.github.io/Logging_0763/tillsynsmail/A 30016-2026 tillsynsbegäran mail.docx", "A 30016-2026")</f>
        <v/>
      </c>
    </row>
    <row r="3946" ht="15" customHeight="1">
      <c r="A3946" t="inlineStr">
        <is>
          <t>A 30276-2026</t>
        </is>
      </c>
      <c r="B3946" t="inlineStr">
        <is>
          <t>avverkningsanmälan</t>
        </is>
      </c>
      <c r="C3946" t="inlineStr">
        <is>
          <t>Föryngringsavverkning</t>
        </is>
      </c>
      <c r="D3946" s="1" t="n">
        <v>46206</v>
      </c>
      <c r="E3946" s="1" t="n">
        <v>46316</v>
      </c>
      <c r="F3946" t="inlineStr">
        <is>
          <t>KRONOBERGS LÄN</t>
        </is>
      </c>
      <c r="G3946" t="inlineStr">
        <is>
          <t>TINGSRYD</t>
        </is>
      </c>
      <c r="I3946" t="n">
        <v>0.9</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32685-2023</t>
        </is>
      </c>
      <c r="B3947" t="inlineStr">
        <is>
          <t>avverkningsanmälan</t>
        </is>
      </c>
      <c r="C3947" t="inlineStr">
        <is>
          <t>Föryngringsavverkning</t>
        </is>
      </c>
      <c r="D3947" s="1" t="n">
        <v>45121</v>
      </c>
      <c r="E3947" s="1" t="n">
        <v>46316</v>
      </c>
      <c r="F3947" t="inlineStr">
        <is>
          <t>KRONOBERGS LÄN</t>
        </is>
      </c>
      <c r="G3947" t="inlineStr">
        <is>
          <t>LJUNGBY</t>
        </is>
      </c>
      <c r="I3947" t="n">
        <v>1.6</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30258-2026</t>
        </is>
      </c>
      <c r="B3948" t="inlineStr">
        <is>
          <t>avverkningsanmälan</t>
        </is>
      </c>
      <c r="C3948" t="inlineStr">
        <is>
          <t>Föryngringsavverkning</t>
        </is>
      </c>
      <c r="D3948" s="1" t="n">
        <v>46206</v>
      </c>
      <c r="E3948" s="1" t="n">
        <v>46316</v>
      </c>
      <c r="F3948" t="inlineStr">
        <is>
          <t>KRONOBERGS LÄN</t>
        </is>
      </c>
      <c r="G3948" t="inlineStr">
        <is>
          <t>UPPVIDINGE</t>
        </is>
      </c>
      <c r="I3948" t="n">
        <v>1.3</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30268-2026</t>
        </is>
      </c>
      <c r="B3949" t="inlineStr">
        <is>
          <t>avverkningsanmälan</t>
        </is>
      </c>
      <c r="C3949" t="inlineStr">
        <is>
          <t>Föryngringsavverkning</t>
        </is>
      </c>
      <c r="D3949" s="1" t="n">
        <v>46206</v>
      </c>
      <c r="E3949" s="1" t="n">
        <v>46316</v>
      </c>
      <c r="F3949" t="inlineStr">
        <is>
          <t>KRONOBERGS LÄN</t>
        </is>
      </c>
      <c r="G3949" t="inlineStr">
        <is>
          <t>TINGSRYD</t>
        </is>
      </c>
      <c r="I3949" t="n">
        <v>0.7</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44287-2023</t>
        </is>
      </c>
      <c r="B3950" t="inlineStr">
        <is>
          <t>avverkningsanmälan</t>
        </is>
      </c>
      <c r="C3950" t="inlineStr">
        <is>
          <t>Föryngringsavverkning</t>
        </is>
      </c>
      <c r="D3950" s="1" t="n">
        <v>45188</v>
      </c>
      <c r="E3950" s="1" t="n">
        <v>46316</v>
      </c>
      <c r="F3950" t="inlineStr">
        <is>
          <t>KRONOBERGS LÄN</t>
        </is>
      </c>
      <c r="G3950" t="inlineStr">
        <is>
          <t>LJUNGBY</t>
        </is>
      </c>
      <c r="I3950" t="n">
        <v>3.3</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2363-2022</t>
        </is>
      </c>
      <c r="B3951" t="inlineStr">
        <is>
          <t>avverkningsanmälan</t>
        </is>
      </c>
      <c r="C3951" t="inlineStr">
        <is>
          <t>Föryngringsavverkning</t>
        </is>
      </c>
      <c r="D3951" s="1" t="n">
        <v>44579</v>
      </c>
      <c r="E3951" s="1" t="n">
        <v>46316</v>
      </c>
      <c r="F3951" t="inlineStr">
        <is>
          <t>KRONOBERGS LÄN</t>
        </is>
      </c>
      <c r="G3951" t="inlineStr">
        <is>
          <t>MARKARYD</t>
        </is>
      </c>
      <c r="I3951" t="n">
        <v>0.7</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60733-2024</t>
        </is>
      </c>
      <c r="B3952" t="inlineStr">
        <is>
          <t>avverkningsanmälan</t>
        </is>
      </c>
      <c r="C3952" t="inlineStr">
        <is>
          <t>Avverkning för annat ändamål</t>
        </is>
      </c>
      <c r="D3952" s="1" t="n">
        <v>45644</v>
      </c>
      <c r="E3952" s="1" t="n">
        <v>46316</v>
      </c>
      <c r="F3952" t="inlineStr">
        <is>
          <t>KRONOBERGS LÄN</t>
        </is>
      </c>
      <c r="G3952" t="inlineStr">
        <is>
          <t>VÄXJÖ</t>
        </is>
      </c>
      <c r="I3952" t="n">
        <v>0.5</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20284-2023</t>
        </is>
      </c>
      <c r="B3953" t="inlineStr">
        <is>
          <t>avverkningsanmälan</t>
        </is>
      </c>
      <c r="C3953" t="inlineStr">
        <is>
          <t>Föryngringsavverkning</t>
        </is>
      </c>
      <c r="D3953" s="1" t="n">
        <v>45056</v>
      </c>
      <c r="E3953" s="1" t="n">
        <v>46316</v>
      </c>
      <c r="F3953" t="inlineStr">
        <is>
          <t>KRONOBERGS LÄN</t>
        </is>
      </c>
      <c r="G3953" t="inlineStr">
        <is>
          <t>LJUNGBY</t>
        </is>
      </c>
      <c r="I3953" t="n">
        <v>0.5</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20335-2023</t>
        </is>
      </c>
      <c r="B3954" t="inlineStr">
        <is>
          <t>avverkningsanmälan</t>
        </is>
      </c>
      <c r="C3954" t="inlineStr">
        <is>
          <t>Föryngringsavverkning</t>
        </is>
      </c>
      <c r="D3954" s="1" t="n">
        <v>45056</v>
      </c>
      <c r="E3954" s="1" t="n">
        <v>46316</v>
      </c>
      <c r="F3954" t="inlineStr">
        <is>
          <t>KRONOBERGS LÄN</t>
        </is>
      </c>
      <c r="G3954" t="inlineStr">
        <is>
          <t>VÄXJÖ</t>
        </is>
      </c>
      <c r="I3954" t="n">
        <v>1.3</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17775-2023</t>
        </is>
      </c>
      <c r="B3955" t="inlineStr">
        <is>
          <t>avverkningsanmälan</t>
        </is>
      </c>
      <c r="C3955" t="inlineStr">
        <is>
          <t>Föryngringsavverkning</t>
        </is>
      </c>
      <c r="D3955" s="1" t="n">
        <v>45037</v>
      </c>
      <c r="E3955" s="1" t="n">
        <v>46316</v>
      </c>
      <c r="F3955" t="inlineStr">
        <is>
          <t>KRONOBERGS LÄN</t>
        </is>
      </c>
      <c r="G3955" t="inlineStr">
        <is>
          <t>VÄXJÖ</t>
        </is>
      </c>
      <c r="I3955" t="n">
        <v>1.4</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17778-2023</t>
        </is>
      </c>
      <c r="B3956" t="inlineStr">
        <is>
          <t>avverkningsanmälan</t>
        </is>
      </c>
      <c r="C3956" t="inlineStr">
        <is>
          <t>Föryngringsavverkning</t>
        </is>
      </c>
      <c r="D3956" s="1" t="n">
        <v>45037</v>
      </c>
      <c r="E3956" s="1" t="n">
        <v>46316</v>
      </c>
      <c r="F3956" t="inlineStr">
        <is>
          <t>KRONOBERGS LÄN</t>
        </is>
      </c>
      <c r="G3956" t="inlineStr">
        <is>
          <t>VÄXJÖ</t>
        </is>
      </c>
      <c r="I3956" t="n">
        <v>0.9</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30314-2026</t>
        </is>
      </c>
      <c r="B3957" t="inlineStr">
        <is>
          <t>avverkningsanmälan</t>
        </is>
      </c>
      <c r="C3957" t="inlineStr">
        <is>
          <t>Föryngringsavverkning</t>
        </is>
      </c>
      <c r="D3957" s="1" t="n">
        <v>46206</v>
      </c>
      <c r="E3957" s="1" t="n">
        <v>46316</v>
      </c>
      <c r="F3957" t="inlineStr">
        <is>
          <t>KRONOBERGS LÄN</t>
        </is>
      </c>
      <c r="G3957" t="inlineStr">
        <is>
          <t>ALVESTA</t>
        </is>
      </c>
      <c r="I3957" t="n">
        <v>2.2</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15773-2024</t>
        </is>
      </c>
      <c r="B3958" t="inlineStr">
        <is>
          <t>avverkningsanmälan</t>
        </is>
      </c>
      <c r="C3958" t="inlineStr">
        <is>
          <t>Föryngringsavverkning</t>
        </is>
      </c>
      <c r="D3958" s="1" t="n">
        <v>45404</v>
      </c>
      <c r="E3958" s="1" t="n">
        <v>46316</v>
      </c>
      <c r="F3958" t="inlineStr">
        <is>
          <t>KRONOBERGS LÄN</t>
        </is>
      </c>
      <c r="G3958" t="inlineStr">
        <is>
          <t>MARKARYD</t>
        </is>
      </c>
      <c r="I3958" t="n">
        <v>1.6</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29966-2026</t>
        </is>
      </c>
      <c r="B3959" t="inlineStr">
        <is>
          <t>avverkningsanmälan</t>
        </is>
      </c>
      <c r="C3959" t="inlineStr">
        <is>
          <t>Föryngringsavverkning</t>
        </is>
      </c>
      <c r="D3959" s="1" t="n">
        <v>46205</v>
      </c>
      <c r="E3959" s="1" t="n">
        <v>46316</v>
      </c>
      <c r="F3959" t="inlineStr">
        <is>
          <t>KRONOBERGS LÄN</t>
        </is>
      </c>
      <c r="G3959" t="inlineStr">
        <is>
          <t>VÄXJÖ</t>
        </is>
      </c>
      <c r="I3959" t="n">
        <v>0.9</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30035-2026</t>
        </is>
      </c>
      <c r="B3960" t="inlineStr">
        <is>
          <t>avverkningsanmälan</t>
        </is>
      </c>
      <c r="C3960" t="inlineStr">
        <is>
          <t>Föryngringsavverkning</t>
        </is>
      </c>
      <c r="D3960" s="1" t="n">
        <v>46206</v>
      </c>
      <c r="E3960" s="1" t="n">
        <v>46316</v>
      </c>
      <c r="F3960" t="inlineStr">
        <is>
          <t>KRONOBERGS LÄN</t>
        </is>
      </c>
      <c r="G3960" t="inlineStr">
        <is>
          <t>LJUNGBY</t>
        </is>
      </c>
      <c r="I3960" t="n">
        <v>0.7</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34126-2023</t>
        </is>
      </c>
      <c r="B3961" t="inlineStr">
        <is>
          <t>avverkningsanmälan</t>
        </is>
      </c>
      <c r="C3961" t="inlineStr">
        <is>
          <t>Föryngringsavverkning</t>
        </is>
      </c>
      <c r="D3961" s="1" t="n">
        <v>45135</v>
      </c>
      <c r="E3961" s="1" t="n">
        <v>46316</v>
      </c>
      <c r="F3961" t="inlineStr">
        <is>
          <t>KRONOBERGS LÄN</t>
        </is>
      </c>
      <c r="G3961" t="inlineStr">
        <is>
          <t>ALVESTA</t>
        </is>
      </c>
      <c r="I3961" t="n">
        <v>0.5</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55282-2024</t>
        </is>
      </c>
      <c r="B3962" t="inlineStr">
        <is>
          <t>avverkningsanmälan</t>
        </is>
      </c>
      <c r="C3962" t="inlineStr">
        <is>
          <t>Föryngringsavverkning</t>
        </is>
      </c>
      <c r="D3962" s="1" t="n">
        <v>45621</v>
      </c>
      <c r="E3962" s="1" t="n">
        <v>46316</v>
      </c>
      <c r="F3962" t="inlineStr">
        <is>
          <t>KRONOBERGS LÄN</t>
        </is>
      </c>
      <c r="G3962" t="inlineStr">
        <is>
          <t>LJUNGBY</t>
        </is>
      </c>
      <c r="I3962" t="n">
        <v>1.1</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30208-2026</t>
        </is>
      </c>
      <c r="B3963" t="inlineStr">
        <is>
          <t>avverkningsanmälan</t>
        </is>
      </c>
      <c r="C3963" t="inlineStr">
        <is>
          <t>Föryngringsavverkning</t>
        </is>
      </c>
      <c r="D3963" s="1" t="n">
        <v>46206</v>
      </c>
      <c r="E3963" s="1" t="n">
        <v>46316</v>
      </c>
      <c r="F3963" t="inlineStr">
        <is>
          <t>KRONOBERGS LÄN</t>
        </is>
      </c>
      <c r="G3963" t="inlineStr">
        <is>
          <t>LJUNGBY</t>
        </is>
      </c>
      <c r="I3963" t="n">
        <v>2.7</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30218-2026</t>
        </is>
      </c>
      <c r="B3964" t="inlineStr">
        <is>
          <t>avverkningsanmälan</t>
        </is>
      </c>
      <c r="C3964" t="inlineStr">
        <is>
          <t>Föryngringsavverkning</t>
        </is>
      </c>
      <c r="D3964" s="1" t="n">
        <v>46206</v>
      </c>
      <c r="E3964" s="1" t="n">
        <v>46316</v>
      </c>
      <c r="F3964" t="inlineStr">
        <is>
          <t>KRONOBERGS LÄN</t>
        </is>
      </c>
      <c r="G3964" t="inlineStr">
        <is>
          <t>LJUNGBY</t>
        </is>
      </c>
      <c r="I3964" t="n">
        <v>0.6</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25945-2023</t>
        </is>
      </c>
      <c r="B3965" t="inlineStr">
        <is>
          <t>avverkningsanmälan</t>
        </is>
      </c>
      <c r="C3965" t="inlineStr">
        <is>
          <t>Föryngringsavverkning</t>
        </is>
      </c>
      <c r="D3965" s="1" t="n">
        <v>45090</v>
      </c>
      <c r="E3965" s="1" t="n">
        <v>46316</v>
      </c>
      <c r="F3965" t="inlineStr">
        <is>
          <t>KRONOBERGS LÄN</t>
        </is>
      </c>
      <c r="G3965" t="inlineStr">
        <is>
          <t>ALVESTA</t>
        </is>
      </c>
      <c r="I3965" t="n">
        <v>5.6</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46214-2024</t>
        </is>
      </c>
      <c r="B3966" t="inlineStr">
        <is>
          <t>avverkningsanmälan</t>
        </is>
      </c>
      <c r="C3966" t="inlineStr">
        <is>
          <t>Föryngringsavverkning</t>
        </is>
      </c>
      <c r="D3966" s="1" t="n">
        <v>45581</v>
      </c>
      <c r="E3966" s="1" t="n">
        <v>46316</v>
      </c>
      <c r="F3966" t="inlineStr">
        <is>
          <t>KRONOBERGS LÄN</t>
        </is>
      </c>
      <c r="G3966" t="inlineStr">
        <is>
          <t>VÄXJÖ</t>
        </is>
      </c>
      <c r="I3966" t="n">
        <v>0.5</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29965-2026</t>
        </is>
      </c>
      <c r="B3967" t="inlineStr">
        <is>
          <t>avverkningsanmälan</t>
        </is>
      </c>
      <c r="C3967" t="inlineStr">
        <is>
          <t>Föryngringsavverkning</t>
        </is>
      </c>
      <c r="D3967" s="1" t="n">
        <v>46205</v>
      </c>
      <c r="E3967" s="1" t="n">
        <v>46316</v>
      </c>
      <c r="F3967" t="inlineStr">
        <is>
          <t>KRONOBERGS LÄN</t>
        </is>
      </c>
      <c r="G3967" t="inlineStr">
        <is>
          <t>VÄXJÖ</t>
        </is>
      </c>
      <c r="I3967" t="n">
        <v>2.1</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27843-2023</t>
        </is>
      </c>
      <c r="B3968" t="inlineStr">
        <is>
          <t>avverkningsanmälan</t>
        </is>
      </c>
      <c r="C3968" t="inlineStr">
        <is>
          <t>Föryngringsavverkning</t>
        </is>
      </c>
      <c r="D3968" s="1" t="n">
        <v>45098</v>
      </c>
      <c r="E3968" s="1" t="n">
        <v>46316</v>
      </c>
      <c r="F3968" t="inlineStr">
        <is>
          <t>KRONOBERGS LÄN</t>
        </is>
      </c>
      <c r="G3968" t="inlineStr">
        <is>
          <t>UPPVIDINGE</t>
        </is>
      </c>
      <c r="I3968" t="n">
        <v>2.2</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30600-2024</t>
        </is>
      </c>
      <c r="B3969" t="inlineStr">
        <is>
          <t>avverkningsanmälan</t>
        </is>
      </c>
      <c r="C3969" t="inlineStr">
        <is>
          <t>Föryngringsavverkning</t>
        </is>
      </c>
      <c r="D3969" s="1" t="n">
        <v>45493</v>
      </c>
      <c r="E3969" s="1" t="n">
        <v>46316</v>
      </c>
      <c r="F3969" t="inlineStr">
        <is>
          <t>KRONOBERGS LÄN</t>
        </is>
      </c>
      <c r="G3969" t="inlineStr">
        <is>
          <t>LESSEBO</t>
        </is>
      </c>
      <c r="I3969" t="n">
        <v>1</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527-2023</t>
        </is>
      </c>
      <c r="B3970" t="inlineStr">
        <is>
          <t>avverkningsanmälan</t>
        </is>
      </c>
      <c r="C3970" t="inlineStr">
        <is>
          <t>Föryngringsavverkning</t>
        </is>
      </c>
      <c r="D3970" s="1" t="n">
        <v>44930</v>
      </c>
      <c r="E3970" s="1" t="n">
        <v>46316</v>
      </c>
      <c r="F3970" t="inlineStr">
        <is>
          <t>KRONOBERGS LÄN</t>
        </is>
      </c>
      <c r="G3970" t="inlineStr">
        <is>
          <t>ÄLMHULT</t>
        </is>
      </c>
      <c r="I3970" t="n">
        <v>0.5</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1656-2024</t>
        </is>
      </c>
      <c r="B3971" t="inlineStr">
        <is>
          <t>avverkningsanmälan</t>
        </is>
      </c>
      <c r="C3971" t="inlineStr">
        <is>
          <t>Föryngringsavverkning</t>
        </is>
      </c>
      <c r="D3971" s="1" t="n">
        <v>45306</v>
      </c>
      <c r="E3971" s="1" t="n">
        <v>46316</v>
      </c>
      <c r="F3971" t="inlineStr">
        <is>
          <t>KRONOBERGS LÄN</t>
        </is>
      </c>
      <c r="G3971" t="inlineStr">
        <is>
          <t>MARKARYD</t>
        </is>
      </c>
      <c r="I3971" t="n">
        <v>3.9</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30996-2026</t>
        </is>
      </c>
      <c r="B3972" t="inlineStr">
        <is>
          <t>avverkningsanmälan</t>
        </is>
      </c>
      <c r="C3972" t="inlineStr">
        <is>
          <t>Föryngringsavverkning</t>
        </is>
      </c>
      <c r="D3972" s="1" t="n">
        <v>46206</v>
      </c>
      <c r="E3972" s="1" t="n">
        <v>46316</v>
      </c>
      <c r="F3972" t="inlineStr">
        <is>
          <t>KRONOBERGS LÄN</t>
        </is>
      </c>
      <c r="G3972" t="inlineStr">
        <is>
          <t>ÄLMHULT</t>
        </is>
      </c>
      <c r="I3972" t="n">
        <v>0.8</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8038-2022</t>
        </is>
      </c>
      <c r="B3973" t="inlineStr">
        <is>
          <t>avverkningsanmälan</t>
        </is>
      </c>
      <c r="C3973" t="inlineStr">
        <is>
          <t>Föryngringsavverkning</t>
        </is>
      </c>
      <c r="D3973" s="1" t="n">
        <v>44609</v>
      </c>
      <c r="E3973" s="1" t="n">
        <v>46316</v>
      </c>
      <c r="F3973" t="inlineStr">
        <is>
          <t>KRONOBERGS LÄN</t>
        </is>
      </c>
      <c r="G3973" t="inlineStr">
        <is>
          <t>VÄXJÖ</t>
        </is>
      </c>
      <c r="I3973" t="n">
        <v>0.7</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37393-2024</t>
        </is>
      </c>
      <c r="B3974" t="inlineStr">
        <is>
          <t>avverkningsanmälan</t>
        </is>
      </c>
      <c r="C3974" t="inlineStr">
        <is>
          <t>Föryngringsavverkning</t>
        </is>
      </c>
      <c r="D3974" s="1" t="n">
        <v>45540</v>
      </c>
      <c r="E3974" s="1" t="n">
        <v>46316</v>
      </c>
      <c r="F3974" t="inlineStr">
        <is>
          <t>KRONOBERGS LÄN</t>
        </is>
      </c>
      <c r="G3974" t="inlineStr">
        <is>
          <t>TINGSRYD</t>
        </is>
      </c>
      <c r="I3974" t="n">
        <v>1.2</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37424-2024</t>
        </is>
      </c>
      <c r="B3975" t="inlineStr">
        <is>
          <t>avverkningsanmälan</t>
        </is>
      </c>
      <c r="C3975" t="inlineStr">
        <is>
          <t>Föryngringsavverkning</t>
        </is>
      </c>
      <c r="D3975" s="1" t="n">
        <v>45540</v>
      </c>
      <c r="E3975" s="1" t="n">
        <v>46316</v>
      </c>
      <c r="F3975" t="inlineStr">
        <is>
          <t>KRONOBERGS LÄN</t>
        </is>
      </c>
      <c r="G3975" t="inlineStr">
        <is>
          <t>TINGSRYD</t>
        </is>
      </c>
      <c r="I3975" t="n">
        <v>0.7</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30608-2026</t>
        </is>
      </c>
      <c r="B3976" t="inlineStr">
        <is>
          <t>avverkningsanmälan</t>
        </is>
      </c>
      <c r="C3976" t="inlineStr">
        <is>
          <t>Föryngringsavverkning</t>
        </is>
      </c>
      <c r="D3976" s="1" t="n">
        <v>46210</v>
      </c>
      <c r="E3976" s="1" t="n">
        <v>46316</v>
      </c>
      <c r="F3976" t="inlineStr">
        <is>
          <t>KRONOBERGS LÄN</t>
        </is>
      </c>
      <c r="G3976" t="inlineStr">
        <is>
          <t>UPPVIDINGE</t>
        </is>
      </c>
      <c r="I3976" t="n">
        <v>4.5</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64512-2023</t>
        </is>
      </c>
      <c r="B3977" t="inlineStr">
        <is>
          <t>avverkningsanmälan</t>
        </is>
      </c>
      <c r="C3977" t="inlineStr">
        <is>
          <t>Föryngringsavverkning</t>
        </is>
      </c>
      <c r="D3977" s="1" t="n">
        <v>45281</v>
      </c>
      <c r="E3977" s="1" t="n">
        <v>46316</v>
      </c>
      <c r="F3977" t="inlineStr">
        <is>
          <t>KRONOBERGS LÄN</t>
        </is>
      </c>
      <c r="G3977" t="inlineStr">
        <is>
          <t>MARKARYD</t>
        </is>
      </c>
      <c r="I3977" t="n">
        <v>0.9</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14380-2022</t>
        </is>
      </c>
      <c r="B3978" t="inlineStr">
        <is>
          <t>avverkningsanmälan</t>
        </is>
      </c>
      <c r="C3978" t="inlineStr">
        <is>
          <t>Föryngringsavverkning</t>
        </is>
      </c>
      <c r="D3978" s="1" t="n">
        <v>44652</v>
      </c>
      <c r="E3978" s="1" t="n">
        <v>46316</v>
      </c>
      <c r="F3978" t="inlineStr">
        <is>
          <t>KRONOBERGS LÄN</t>
        </is>
      </c>
      <c r="G3978" t="inlineStr">
        <is>
          <t>VÄXJÖ</t>
        </is>
      </c>
      <c r="I3978" t="n">
        <v>2.6</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4423-2023</t>
        </is>
      </c>
      <c r="B3979" t="inlineStr">
        <is>
          <t>avverkningsanmälan</t>
        </is>
      </c>
      <c r="C3979" t="inlineStr">
        <is>
          <t>Föryngringsavverkning</t>
        </is>
      </c>
      <c r="D3979" s="1" t="n">
        <v>44956</v>
      </c>
      <c r="E3979" s="1" t="n">
        <v>46316</v>
      </c>
      <c r="F3979" t="inlineStr">
        <is>
          <t>KRONOBERGS LÄN</t>
        </is>
      </c>
      <c r="G3979" t="inlineStr">
        <is>
          <t>VÄXJÖ</t>
        </is>
      </c>
      <c r="I3979" t="n">
        <v>0.5</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54966-2023</t>
        </is>
      </c>
      <c r="B3980" t="inlineStr">
        <is>
          <t>avverkningsanmälan</t>
        </is>
      </c>
      <c r="C3980" t="inlineStr">
        <is>
          <t>Föryngringsavverkning</t>
        </is>
      </c>
      <c r="D3980" s="1" t="n">
        <v>45236</v>
      </c>
      <c r="E3980" s="1" t="n">
        <v>46316</v>
      </c>
      <c r="F3980" t="inlineStr">
        <is>
          <t>KRONOBERGS LÄN</t>
        </is>
      </c>
      <c r="G3980" t="inlineStr">
        <is>
          <t>ALVESTA</t>
        </is>
      </c>
      <c r="I3980" t="n">
        <v>0.7</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12065-2025</t>
        </is>
      </c>
      <c r="B3981" t="inlineStr">
        <is>
          <t>avverkningsanmälan</t>
        </is>
      </c>
      <c r="C3981" t="inlineStr">
        <is>
          <t>Föryngringsavverkning</t>
        </is>
      </c>
      <c r="D3981" s="1" t="n">
        <v>45728</v>
      </c>
      <c r="E3981" s="1" t="n">
        <v>46316</v>
      </c>
      <c r="F3981" t="inlineStr">
        <is>
          <t>KRONOBERGS LÄN</t>
        </is>
      </c>
      <c r="G3981" t="inlineStr">
        <is>
          <t>ALVESTA</t>
        </is>
      </c>
      <c r="I3981" t="n">
        <v>0.9</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733-2024</t>
        </is>
      </c>
      <c r="B3982" t="inlineStr">
        <is>
          <t>avverkningsanmälan</t>
        </is>
      </c>
      <c r="C3982" t="inlineStr">
        <is>
          <t>Föryngringsavverkning</t>
        </is>
      </c>
      <c r="D3982" s="1" t="n">
        <v>45300</v>
      </c>
      <c r="E3982" s="1" t="n">
        <v>46316</v>
      </c>
      <c r="F3982" t="inlineStr">
        <is>
          <t>KRONOBERGS LÄN</t>
        </is>
      </c>
      <c r="G3982" t="inlineStr">
        <is>
          <t>TINGSRYD</t>
        </is>
      </c>
      <c r="I3982" t="n">
        <v>0.8</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783-2024</t>
        </is>
      </c>
      <c r="B3983" t="inlineStr">
        <is>
          <t>avverkningsanmälan</t>
        </is>
      </c>
      <c r="C3983" t="inlineStr">
        <is>
          <t>Föryngringsavverkning</t>
        </is>
      </c>
      <c r="D3983" s="1" t="n">
        <v>45300</v>
      </c>
      <c r="E3983" s="1" t="n">
        <v>46316</v>
      </c>
      <c r="F3983" t="inlineStr">
        <is>
          <t>KRONOBERGS LÄN</t>
        </is>
      </c>
      <c r="G3983" t="inlineStr">
        <is>
          <t>VÄXJÖ</t>
        </is>
      </c>
      <c r="I3983" t="n">
        <v>1.7</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49619-2023</t>
        </is>
      </c>
      <c r="B3984" t="inlineStr">
        <is>
          <t>avverkningsanmälan</t>
        </is>
      </c>
      <c r="C3984" t="inlineStr">
        <is>
          <t>Föryngringsavverkning</t>
        </is>
      </c>
      <c r="D3984" s="1" t="n">
        <v>45211</v>
      </c>
      <c r="E3984" s="1" t="n">
        <v>46316</v>
      </c>
      <c r="F3984" t="inlineStr">
        <is>
          <t>KRONOBERGS LÄN</t>
        </is>
      </c>
      <c r="G3984" t="inlineStr">
        <is>
          <t>VÄXJÖ</t>
        </is>
      </c>
      <c r="I3984" t="n">
        <v>3.7</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30423-2026</t>
        </is>
      </c>
      <c r="B3985" t="inlineStr">
        <is>
          <t>avverkningsanmälan</t>
        </is>
      </c>
      <c r="C3985" t="inlineStr">
        <is>
          <t>Föryngringsavverkning</t>
        </is>
      </c>
      <c r="D3985" s="1" t="n">
        <v>46209</v>
      </c>
      <c r="E3985" s="1" t="n">
        <v>46316</v>
      </c>
      <c r="F3985" t="inlineStr">
        <is>
          <t>KRONOBERGS LÄN</t>
        </is>
      </c>
      <c r="G3985" t="inlineStr">
        <is>
          <t>UPPVIDINGE</t>
        </is>
      </c>
      <c r="I3985" t="n">
        <v>3.8</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30547-2026</t>
        </is>
      </c>
      <c r="B3986" t="inlineStr">
        <is>
          <t>avverkningsanmälan</t>
        </is>
      </c>
      <c r="C3986" t="inlineStr">
        <is>
          <t>Föryngringsavverkning</t>
        </is>
      </c>
      <c r="D3986" s="1" t="n">
        <v>46210</v>
      </c>
      <c r="E3986" s="1" t="n">
        <v>46316</v>
      </c>
      <c r="F3986" t="inlineStr">
        <is>
          <t>KRONOBERGS LÄN</t>
        </is>
      </c>
      <c r="G3986" t="inlineStr">
        <is>
          <t>VÄXJÖ</t>
        </is>
      </c>
      <c r="H3986" t="inlineStr">
        <is>
          <t>Övriga Aktiebolag</t>
        </is>
      </c>
      <c r="I3986" t="n">
        <v>2.2</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17927-2023</t>
        </is>
      </c>
      <c r="B3987" t="inlineStr">
        <is>
          <t>avverkningsanmälan</t>
        </is>
      </c>
      <c r="C3987" t="inlineStr">
        <is>
          <t>Föryngringsavverkning</t>
        </is>
      </c>
      <c r="D3987" s="1" t="n">
        <v>45040</v>
      </c>
      <c r="E3987" s="1" t="n">
        <v>46316</v>
      </c>
      <c r="F3987" t="inlineStr">
        <is>
          <t>KRONOBERGS LÄN</t>
        </is>
      </c>
      <c r="G3987" t="inlineStr">
        <is>
          <t>MARKARYD</t>
        </is>
      </c>
      <c r="I3987" t="n">
        <v>1.9</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53539-2024</t>
        </is>
      </c>
      <c r="B3988" t="inlineStr">
        <is>
          <t>avverkningsanmälan</t>
        </is>
      </c>
      <c r="C3988" t="inlineStr">
        <is>
          <t>Föryngringsavverkning</t>
        </is>
      </c>
      <c r="D3988" s="1" t="n">
        <v>45614</v>
      </c>
      <c r="E3988" s="1" t="n">
        <v>46316</v>
      </c>
      <c r="F3988" t="inlineStr">
        <is>
          <t>KRONOBERGS LÄN</t>
        </is>
      </c>
      <c r="G3988" t="inlineStr">
        <is>
          <t>LJUNGBY</t>
        </is>
      </c>
      <c r="H3988" t="inlineStr">
        <is>
          <t>Sveaskog</t>
        </is>
      </c>
      <c r="I3988" t="n">
        <v>5.1</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30557-2026</t>
        </is>
      </c>
      <c r="B3989" t="inlineStr">
        <is>
          <t>avverkningsanmälan</t>
        </is>
      </c>
      <c r="C3989" t="inlineStr">
        <is>
          <t>Föryngringsavverkning</t>
        </is>
      </c>
      <c r="D3989" s="1" t="n">
        <v>46210</v>
      </c>
      <c r="E3989" s="1" t="n">
        <v>46316</v>
      </c>
      <c r="F3989" t="inlineStr">
        <is>
          <t>KRONOBERGS LÄN</t>
        </is>
      </c>
      <c r="G3989" t="inlineStr">
        <is>
          <t>VÄXJÖ</t>
        </is>
      </c>
      <c r="H3989" t="inlineStr">
        <is>
          <t>Övriga Aktiebolag</t>
        </is>
      </c>
      <c r="I3989" t="n">
        <v>3.5</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15406-2023</t>
        </is>
      </c>
      <c r="B3990" t="inlineStr">
        <is>
          <t>avverkningsanmälan</t>
        </is>
      </c>
      <c r="C3990" t="inlineStr">
        <is>
          <t>Föryngringsavverkning</t>
        </is>
      </c>
      <c r="D3990" s="1" t="n">
        <v>45019</v>
      </c>
      <c r="E3990" s="1" t="n">
        <v>46316</v>
      </c>
      <c r="F3990" t="inlineStr">
        <is>
          <t>KRONOBERGS LÄN</t>
        </is>
      </c>
      <c r="G3990" t="inlineStr">
        <is>
          <t>UPPVIDINGE</t>
        </is>
      </c>
      <c r="I3990" t="n">
        <v>3.7</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30384-2026</t>
        </is>
      </c>
      <c r="B3991" t="inlineStr">
        <is>
          <t>avverkningsanmälan</t>
        </is>
      </c>
      <c r="C3991" t="inlineStr">
        <is>
          <t>Föryngringsavverkning</t>
        </is>
      </c>
      <c r="D3991" s="1" t="n">
        <v>46209</v>
      </c>
      <c r="E3991" s="1" t="n">
        <v>46316</v>
      </c>
      <c r="F3991" t="inlineStr">
        <is>
          <t>KRONOBERGS LÄN</t>
        </is>
      </c>
      <c r="G3991" t="inlineStr">
        <is>
          <t>ALVESTA</t>
        </is>
      </c>
      <c r="I3991" t="n">
        <v>1.4</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30808-2026</t>
        </is>
      </c>
      <c r="B3992" t="inlineStr">
        <is>
          <t>avverkningsanmälan</t>
        </is>
      </c>
      <c r="C3992" t="inlineStr">
        <is>
          <t>Föryngringsavverkning</t>
        </is>
      </c>
      <c r="D3992" s="1" t="n">
        <v>46212</v>
      </c>
      <c r="E3992" s="1" t="n">
        <v>46316</v>
      </c>
      <c r="F3992" t="inlineStr">
        <is>
          <t>KRONOBERGS LÄN</t>
        </is>
      </c>
      <c r="G3992" t="inlineStr">
        <is>
          <t>ALVESTA</t>
        </is>
      </c>
      <c r="I3992" t="n">
        <v>2.6</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31343-2026</t>
        </is>
      </c>
      <c r="B3993" t="inlineStr">
        <is>
          <t>avverkningsanmälan</t>
        </is>
      </c>
      <c r="C3993" t="inlineStr">
        <is>
          <t>Föryngringsavverkning</t>
        </is>
      </c>
      <c r="D3993" s="1" t="n">
        <v>46212</v>
      </c>
      <c r="E3993" s="1" t="n">
        <v>46316</v>
      </c>
      <c r="F3993" t="inlineStr">
        <is>
          <t>KRONOBERGS LÄN</t>
        </is>
      </c>
      <c r="G3993" t="inlineStr">
        <is>
          <t>TINGSRYD</t>
        </is>
      </c>
      <c r="I3993" t="n">
        <v>2.8</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24171-2024</t>
        </is>
      </c>
      <c r="B3994" t="inlineStr">
        <is>
          <t>avverkningsanmälan</t>
        </is>
      </c>
      <c r="C3994" t="inlineStr">
        <is>
          <t>Föryngringsavverkning</t>
        </is>
      </c>
      <c r="D3994" s="1" t="n">
        <v>45456</v>
      </c>
      <c r="E3994" s="1" t="n">
        <v>46316</v>
      </c>
      <c r="F3994" t="inlineStr">
        <is>
          <t>KRONOBERGS LÄN</t>
        </is>
      </c>
      <c r="G3994" t="inlineStr">
        <is>
          <t>LESSEBO</t>
        </is>
      </c>
      <c r="I3994" t="n">
        <v>1.9</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36750-2022</t>
        </is>
      </c>
      <c r="B3995" t="inlineStr">
        <is>
          <t>avverkningsanmälan</t>
        </is>
      </c>
      <c r="C3995" t="inlineStr">
        <is>
          <t>Föryngringsavverkning</t>
        </is>
      </c>
      <c r="D3995" s="1" t="n">
        <v>44805</v>
      </c>
      <c r="E3995" s="1" t="n">
        <v>46316</v>
      </c>
      <c r="F3995" t="inlineStr">
        <is>
          <t>KRONOBERGS LÄN</t>
        </is>
      </c>
      <c r="G3995" t="inlineStr">
        <is>
          <t>ALVESTA</t>
        </is>
      </c>
      <c r="I3995" t="n">
        <v>1.5</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52110-2024</t>
        </is>
      </c>
      <c r="B3996" t="inlineStr">
        <is>
          <t>avverkningsanmälan</t>
        </is>
      </c>
      <c r="C3996" t="inlineStr">
        <is>
          <t>Föryngringsavverkning</t>
        </is>
      </c>
      <c r="D3996" s="1" t="n">
        <v>45608</v>
      </c>
      <c r="E3996" s="1" t="n">
        <v>46316</v>
      </c>
      <c r="F3996" t="inlineStr">
        <is>
          <t>KRONOBERGS LÄN</t>
        </is>
      </c>
      <c r="G3996" t="inlineStr">
        <is>
          <t>ALVESTA</t>
        </is>
      </c>
      <c r="I3996" t="n">
        <v>2.5</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53792-2024</t>
        </is>
      </c>
      <c r="B3997" t="inlineStr">
        <is>
          <t>avverkningsanmälan</t>
        </is>
      </c>
      <c r="C3997" t="inlineStr">
        <is>
          <t>Föryngringsavverkning</t>
        </is>
      </c>
      <c r="D3997" s="1" t="n">
        <v>45615</v>
      </c>
      <c r="E3997" s="1" t="n">
        <v>46316</v>
      </c>
      <c r="F3997" t="inlineStr">
        <is>
          <t>KRONOBERGS LÄN</t>
        </is>
      </c>
      <c r="G3997" t="inlineStr">
        <is>
          <t>LJUNGBY</t>
        </is>
      </c>
      <c r="I3997" t="n">
        <v>1.1</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1928-2023</t>
        </is>
      </c>
      <c r="B3998" t="inlineStr">
        <is>
          <t>avverkningsanmälan</t>
        </is>
      </c>
      <c r="C3998" t="inlineStr">
        <is>
          <t>Föryngringsavverkning</t>
        </is>
      </c>
      <c r="D3998" s="1" t="n">
        <v>44939</v>
      </c>
      <c r="E3998" s="1" t="n">
        <v>46316</v>
      </c>
      <c r="F3998" t="inlineStr">
        <is>
          <t>KRONOBERGS LÄN</t>
        </is>
      </c>
      <c r="G3998" t="inlineStr">
        <is>
          <t>TINGSRYD</t>
        </is>
      </c>
      <c r="I3998" t="n">
        <v>2</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30751-2026</t>
        </is>
      </c>
      <c r="B3999" t="inlineStr">
        <is>
          <t>avverkningsanmälan</t>
        </is>
      </c>
      <c r="C3999" t="inlineStr">
        <is>
          <t>Föryngringsavverkning</t>
        </is>
      </c>
      <c r="D3999" s="1" t="n">
        <v>46211</v>
      </c>
      <c r="E3999" s="1" t="n">
        <v>46316</v>
      </c>
      <c r="F3999" t="inlineStr">
        <is>
          <t>KRONOBERGS LÄN</t>
        </is>
      </c>
      <c r="G3999" t="inlineStr">
        <is>
          <t>LJUNGBY</t>
        </is>
      </c>
      <c r="I3999" t="n">
        <v>1.4</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6206-2025</t>
        </is>
      </c>
      <c r="B4000" t="inlineStr">
        <is>
          <t>avverkningsanmälan</t>
        </is>
      </c>
      <c r="C4000" t="inlineStr">
        <is>
          <t>Föryngringsavverkning</t>
        </is>
      </c>
      <c r="D4000" s="1" t="n">
        <v>45698</v>
      </c>
      <c r="E4000" s="1" t="n">
        <v>46316</v>
      </c>
      <c r="F4000" t="inlineStr">
        <is>
          <t>KRONOBERGS LÄN</t>
        </is>
      </c>
      <c r="G4000" t="inlineStr">
        <is>
          <t>ÄLMHULT</t>
        </is>
      </c>
      <c r="I4000" t="n">
        <v>0.6</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30750-2026</t>
        </is>
      </c>
      <c r="B4001" t="inlineStr">
        <is>
          <t>avverkningsanmälan</t>
        </is>
      </c>
      <c r="C4001" t="inlineStr">
        <is>
          <t>Föryngringsavverkning</t>
        </is>
      </c>
      <c r="D4001" s="1" t="n">
        <v>46211</v>
      </c>
      <c r="E4001" s="1" t="n">
        <v>46316</v>
      </c>
      <c r="F4001" t="inlineStr">
        <is>
          <t>KRONOBERGS LÄN</t>
        </is>
      </c>
      <c r="G4001" t="inlineStr">
        <is>
          <t>LJUNGBY</t>
        </is>
      </c>
      <c r="I4001" t="n">
        <v>1.9</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57111-2022</t>
        </is>
      </c>
      <c r="B4002" t="inlineStr">
        <is>
          <t>avverkningsanmälan</t>
        </is>
      </c>
      <c r="C4002" t="inlineStr">
        <is>
          <t>Föryngringsavverkning</t>
        </is>
      </c>
      <c r="D4002" s="1" t="n">
        <v>44895</v>
      </c>
      <c r="E4002" s="1" t="n">
        <v>46316</v>
      </c>
      <c r="F4002" t="inlineStr">
        <is>
          <t>KRONOBERGS LÄN</t>
        </is>
      </c>
      <c r="G4002" t="inlineStr">
        <is>
          <t>TINGSRYD</t>
        </is>
      </c>
      <c r="I4002" t="n">
        <v>1</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51495-2024</t>
        </is>
      </c>
      <c r="B4003" t="inlineStr">
        <is>
          <t>avverkningsanmälan</t>
        </is>
      </c>
      <c r="C4003" t="inlineStr">
        <is>
          <t>Föryngringsavverkning</t>
        </is>
      </c>
      <c r="D4003" s="1" t="n">
        <v>45604</v>
      </c>
      <c r="E4003" s="1" t="n">
        <v>46316</v>
      </c>
      <c r="F4003" t="inlineStr">
        <is>
          <t>KRONOBERGS LÄN</t>
        </is>
      </c>
      <c r="G4003" t="inlineStr">
        <is>
          <t>LJUNGBY</t>
        </is>
      </c>
      <c r="I4003" t="n">
        <v>1.3</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35903-2022</t>
        </is>
      </c>
      <c r="B4004" t="inlineStr">
        <is>
          <t>avverkningsanmälan</t>
        </is>
      </c>
      <c r="C4004" t="inlineStr">
        <is>
          <t>Föryngringsavverkning</t>
        </is>
      </c>
      <c r="D4004" s="1" t="n">
        <v>44802</v>
      </c>
      <c r="E4004" s="1" t="n">
        <v>46316</v>
      </c>
      <c r="F4004" t="inlineStr">
        <is>
          <t>KRONOBERGS LÄN</t>
        </is>
      </c>
      <c r="G4004" t="inlineStr">
        <is>
          <t>LJUNGBY</t>
        </is>
      </c>
      <c r="I4004" t="n">
        <v>2.1</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61461-2022</t>
        </is>
      </c>
      <c r="B4005" t="inlineStr">
        <is>
          <t>avverkningsanmälan</t>
        </is>
      </c>
      <c r="C4005" t="inlineStr">
        <is>
          <t>Föryngringsavverkning</t>
        </is>
      </c>
      <c r="D4005" s="1" t="n">
        <v>44916</v>
      </c>
      <c r="E4005" s="1" t="n">
        <v>46316</v>
      </c>
      <c r="F4005" t="inlineStr">
        <is>
          <t>KRONOBERGS LÄN</t>
        </is>
      </c>
      <c r="G4005" t="inlineStr">
        <is>
          <t>TINGSRYD</t>
        </is>
      </c>
      <c r="I4005" t="n">
        <v>1</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30993-2026</t>
        </is>
      </c>
      <c r="B4006" t="inlineStr">
        <is>
          <t>avverkningsanmälan</t>
        </is>
      </c>
      <c r="C4006" t="inlineStr">
        <is>
          <t>Föryngringsavverkning</t>
        </is>
      </c>
      <c r="D4006" s="1" t="n">
        <v>46213</v>
      </c>
      <c r="E4006" s="1" t="n">
        <v>46316</v>
      </c>
      <c r="F4006" t="inlineStr">
        <is>
          <t>KRONOBERGS LÄN</t>
        </is>
      </c>
      <c r="G4006" t="inlineStr">
        <is>
          <t>TINGSRYD</t>
        </is>
      </c>
      <c r="I4006" t="n">
        <v>1.7</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42014-2023</t>
        </is>
      </c>
      <c r="B4007" t="inlineStr">
        <is>
          <t>avverkningsanmälan</t>
        </is>
      </c>
      <c r="C4007" t="inlineStr">
        <is>
          <t>Föryngringsavverkning</t>
        </is>
      </c>
      <c r="D4007" s="1" t="n">
        <v>45177</v>
      </c>
      <c r="E4007" s="1" t="n">
        <v>46316</v>
      </c>
      <c r="F4007" t="inlineStr">
        <is>
          <t>KRONOBERGS LÄN</t>
        </is>
      </c>
      <c r="G4007" t="inlineStr">
        <is>
          <t>ÄLMHULT</t>
        </is>
      </c>
      <c r="I4007" t="n">
        <v>2.5</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64865-2023</t>
        </is>
      </c>
      <c r="B4008" t="inlineStr">
        <is>
          <t>avverkningsanmälan</t>
        </is>
      </c>
      <c r="C4008" t="inlineStr">
        <is>
          <t>Föryngringsavverkning</t>
        </is>
      </c>
      <c r="D4008" s="1" t="n">
        <v>45282</v>
      </c>
      <c r="E4008" s="1" t="n">
        <v>46316</v>
      </c>
      <c r="F4008" t="inlineStr">
        <is>
          <t>KRONOBERGS LÄN</t>
        </is>
      </c>
      <c r="G4008" t="inlineStr">
        <is>
          <t>LESSEBO</t>
        </is>
      </c>
      <c r="H4008" t="inlineStr">
        <is>
          <t>Sveaskog</t>
        </is>
      </c>
      <c r="I4008" t="n">
        <v>5.6</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49263-2023</t>
        </is>
      </c>
      <c r="B4009" t="inlineStr">
        <is>
          <t>avverkningsanmälan</t>
        </is>
      </c>
      <c r="C4009" t="inlineStr">
        <is>
          <t>Föryngringsavverkning</t>
        </is>
      </c>
      <c r="D4009" s="1" t="n">
        <v>45210</v>
      </c>
      <c r="E4009" s="1" t="n">
        <v>46316</v>
      </c>
      <c r="F4009" t="inlineStr">
        <is>
          <t>KRONOBERGS LÄN</t>
        </is>
      </c>
      <c r="G4009" t="inlineStr">
        <is>
          <t>VÄXJÖ</t>
        </is>
      </c>
      <c r="I4009" t="n">
        <v>3.1</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31148-2026</t>
        </is>
      </c>
      <c r="B4010" t="inlineStr">
        <is>
          <t>avverkningsanmälan</t>
        </is>
      </c>
      <c r="C4010" t="inlineStr">
        <is>
          <t>Föryngringsavverkning</t>
        </is>
      </c>
      <c r="D4010" s="1" t="n">
        <v>46216</v>
      </c>
      <c r="E4010" s="1" t="n">
        <v>46316</v>
      </c>
      <c r="F4010" t="inlineStr">
        <is>
          <t>KRONOBERGS LÄN</t>
        </is>
      </c>
      <c r="G4010" t="inlineStr">
        <is>
          <t>LJUNGBY</t>
        </is>
      </c>
      <c r="I4010" t="n">
        <v>2.5</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34631-2023</t>
        </is>
      </c>
      <c r="B4011" t="inlineStr">
        <is>
          <t>avverkningsanmälan</t>
        </is>
      </c>
      <c r="C4011" t="inlineStr">
        <is>
          <t>Föryngringsavverkning</t>
        </is>
      </c>
      <c r="D4011" s="1" t="n">
        <v>45140</v>
      </c>
      <c r="E4011" s="1" t="n">
        <v>46316</v>
      </c>
      <c r="F4011" t="inlineStr">
        <is>
          <t>KRONOBERGS LÄN</t>
        </is>
      </c>
      <c r="G4011" t="inlineStr">
        <is>
          <t>UPPVIDINGE</t>
        </is>
      </c>
      <c r="I4011" t="n">
        <v>4.3</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14559-2022</t>
        </is>
      </c>
      <c r="B4012" t="inlineStr">
        <is>
          <t>avverkningsanmälan</t>
        </is>
      </c>
      <c r="C4012" t="inlineStr">
        <is>
          <t>Föryngringsavverkning</t>
        </is>
      </c>
      <c r="D4012" s="1" t="n">
        <v>44655</v>
      </c>
      <c r="E4012" s="1" t="n">
        <v>46316</v>
      </c>
      <c r="F4012" t="inlineStr">
        <is>
          <t>KRONOBERGS LÄN</t>
        </is>
      </c>
      <c r="G4012" t="inlineStr">
        <is>
          <t>TINGSRYD</t>
        </is>
      </c>
      <c r="I4012" t="n">
        <v>1.5</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32978-2023</t>
        </is>
      </c>
      <c r="B4013" t="inlineStr">
        <is>
          <t>avverkningsanmälan</t>
        </is>
      </c>
      <c r="C4013" t="inlineStr">
        <is>
          <t>Föryngringsavverkning</t>
        </is>
      </c>
      <c r="D4013" s="1" t="n">
        <v>45113</v>
      </c>
      <c r="E4013" s="1" t="n">
        <v>46316</v>
      </c>
      <c r="F4013" t="inlineStr">
        <is>
          <t>KRONOBERGS LÄN</t>
        </is>
      </c>
      <c r="G4013" t="inlineStr">
        <is>
          <t>ALVESTA</t>
        </is>
      </c>
      <c r="I4013" t="n">
        <v>3.5</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31103-2026</t>
        </is>
      </c>
      <c r="B4014" t="inlineStr">
        <is>
          <t>avverkningsanmälan</t>
        </is>
      </c>
      <c r="C4014" t="inlineStr">
        <is>
          <t>Föryngringsavverkning</t>
        </is>
      </c>
      <c r="D4014" s="1" t="n">
        <v>46216</v>
      </c>
      <c r="E4014" s="1" t="n">
        <v>46316</v>
      </c>
      <c r="F4014" t="inlineStr">
        <is>
          <t>KRONOBERGS LÄN</t>
        </is>
      </c>
      <c r="G4014" t="inlineStr">
        <is>
          <t>ÄLMHULT</t>
        </is>
      </c>
      <c r="H4014" t="inlineStr">
        <is>
          <t>Sveaskog</t>
        </is>
      </c>
      <c r="I4014" t="n">
        <v>1.3</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31104-2026</t>
        </is>
      </c>
      <c r="B4015" t="inlineStr">
        <is>
          <t>avverkningsanmälan</t>
        </is>
      </c>
      <c r="C4015" t="inlineStr">
        <is>
          <t>Föryngringsavverkning</t>
        </is>
      </c>
      <c r="D4015" s="1" t="n">
        <v>46216</v>
      </c>
      <c r="E4015" s="1" t="n">
        <v>46316</v>
      </c>
      <c r="F4015" t="inlineStr">
        <is>
          <t>KRONOBERGS LÄN</t>
        </is>
      </c>
      <c r="G4015" t="inlineStr">
        <is>
          <t>ÄLMHULT</t>
        </is>
      </c>
      <c r="H4015" t="inlineStr">
        <is>
          <t>Sveaskog</t>
        </is>
      </c>
      <c r="I4015" t="n">
        <v>1</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31000-2026</t>
        </is>
      </c>
      <c r="B4016" t="inlineStr">
        <is>
          <t>avverkningsanmälan</t>
        </is>
      </c>
      <c r="C4016" t="inlineStr">
        <is>
          <t>Föryngringsavverkning</t>
        </is>
      </c>
      <c r="D4016" s="1" t="n">
        <v>46213</v>
      </c>
      <c r="E4016" s="1" t="n">
        <v>46316</v>
      </c>
      <c r="F4016" t="inlineStr">
        <is>
          <t>KRONOBERGS LÄN</t>
        </is>
      </c>
      <c r="G4016" t="inlineStr">
        <is>
          <t>TINGSRYD</t>
        </is>
      </c>
      <c r="I4016" t="n">
        <v>0.7</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35896-2024</t>
        </is>
      </c>
      <c r="B4017" t="inlineStr">
        <is>
          <t>avverkningsanmälan</t>
        </is>
      </c>
      <c r="C4017" t="inlineStr">
        <is>
          <t>Föryngringsavverkning</t>
        </is>
      </c>
      <c r="D4017" s="1" t="n">
        <v>45533</v>
      </c>
      <c r="E4017" s="1" t="n">
        <v>46316</v>
      </c>
      <c r="F4017" t="inlineStr">
        <is>
          <t>KRONOBERGS LÄN</t>
        </is>
      </c>
      <c r="G4017" t="inlineStr">
        <is>
          <t>VÄXJÖ</t>
        </is>
      </c>
      <c r="I4017" t="n">
        <v>1.9</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31111-2026</t>
        </is>
      </c>
      <c r="B4018" t="inlineStr">
        <is>
          <t>avverkningsanmälan</t>
        </is>
      </c>
      <c r="C4018" t="inlineStr">
        <is>
          <t>Föryngringsavverkning</t>
        </is>
      </c>
      <c r="D4018" s="1" t="n">
        <v>46216</v>
      </c>
      <c r="E4018" s="1" t="n">
        <v>46316</v>
      </c>
      <c r="F4018" t="inlineStr">
        <is>
          <t>KRONOBERGS LÄN</t>
        </is>
      </c>
      <c r="G4018" t="inlineStr">
        <is>
          <t>ÄLMHULT</t>
        </is>
      </c>
      <c r="H4018" t="inlineStr">
        <is>
          <t>Sveaskog</t>
        </is>
      </c>
      <c r="I4018" t="n">
        <v>1.7</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11014-2023</t>
        </is>
      </c>
      <c r="B4019" t="inlineStr">
        <is>
          <t>avverkningsanmälan</t>
        </is>
      </c>
      <c r="C4019" t="inlineStr">
        <is>
          <t>Avverkning för annat ändamål</t>
        </is>
      </c>
      <c r="D4019" s="1" t="n">
        <v>44986</v>
      </c>
      <c r="E4019" s="1" t="n">
        <v>46316</v>
      </c>
      <c r="F4019" t="inlineStr">
        <is>
          <t>KRONOBERGS LÄN</t>
        </is>
      </c>
      <c r="G4019" t="inlineStr">
        <is>
          <t>ÄLMHULT</t>
        </is>
      </c>
      <c r="H4019" t="inlineStr">
        <is>
          <t>Kyrkan</t>
        </is>
      </c>
      <c r="I4019" t="n">
        <v>1.7</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56205-2023</t>
        </is>
      </c>
      <c r="B4020" t="inlineStr">
        <is>
          <t>avverkningsanmälan</t>
        </is>
      </c>
      <c r="C4020" t="inlineStr">
        <is>
          <t>Föryngringsavverkning</t>
        </is>
      </c>
      <c r="D4020" s="1" t="n">
        <v>45240</v>
      </c>
      <c r="E4020" s="1" t="n">
        <v>46316</v>
      </c>
      <c r="F4020" t="inlineStr">
        <is>
          <t>KRONOBERGS LÄN</t>
        </is>
      </c>
      <c r="G4020" t="inlineStr">
        <is>
          <t>LJUNGBY</t>
        </is>
      </c>
      <c r="I4020" t="n">
        <v>1.1</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11079-2023</t>
        </is>
      </c>
      <c r="B4021" t="inlineStr">
        <is>
          <t>avverkningsanmälan</t>
        </is>
      </c>
      <c r="C4021" t="inlineStr">
        <is>
          <t>Föryngringsavverkning</t>
        </is>
      </c>
      <c r="D4021" s="1" t="n">
        <v>44986</v>
      </c>
      <c r="E4021" s="1" t="n">
        <v>46316</v>
      </c>
      <c r="F4021" t="inlineStr">
        <is>
          <t>KRONOBERGS LÄN</t>
        </is>
      </c>
      <c r="G4021" t="inlineStr">
        <is>
          <t>VÄXJÖ</t>
        </is>
      </c>
      <c r="I4021" t="n">
        <v>7.3</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31113-2026</t>
        </is>
      </c>
      <c r="B4022" t="inlineStr">
        <is>
          <t>avverkningsanmälan</t>
        </is>
      </c>
      <c r="C4022" t="inlineStr">
        <is>
          <t>Föryngringsavverkning</t>
        </is>
      </c>
      <c r="D4022" s="1" t="n">
        <v>46216</v>
      </c>
      <c r="E4022" s="1" t="n">
        <v>46316</v>
      </c>
      <c r="F4022" t="inlineStr">
        <is>
          <t>KRONOBERGS LÄN</t>
        </is>
      </c>
      <c r="G4022" t="inlineStr">
        <is>
          <t>ÄLMHULT</t>
        </is>
      </c>
      <c r="H4022" t="inlineStr">
        <is>
          <t>Sveaskog</t>
        </is>
      </c>
      <c r="I4022" t="n">
        <v>1.2</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31080-2026</t>
        </is>
      </c>
      <c r="B4023" t="inlineStr">
        <is>
          <t>avverkningsanmälan</t>
        </is>
      </c>
      <c r="C4023" t="inlineStr">
        <is>
          <t>Föryngringsavverkning</t>
        </is>
      </c>
      <c r="D4023" s="1" t="n">
        <v>46216</v>
      </c>
      <c r="E4023" s="1" t="n">
        <v>46316</v>
      </c>
      <c r="F4023" t="inlineStr">
        <is>
          <t>KRONOBERGS LÄN</t>
        </is>
      </c>
      <c r="G4023" t="inlineStr">
        <is>
          <t>ÄLMHULT</t>
        </is>
      </c>
      <c r="H4023" t="inlineStr">
        <is>
          <t>Sveaskog</t>
        </is>
      </c>
      <c r="I4023" t="n">
        <v>1.7</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31112-2026</t>
        </is>
      </c>
      <c r="B4024" t="inlineStr">
        <is>
          <t>avverkningsanmälan</t>
        </is>
      </c>
      <c r="C4024" t="inlineStr">
        <is>
          <t>Föryngringsavverkning</t>
        </is>
      </c>
      <c r="D4024" s="1" t="n">
        <v>46216</v>
      </c>
      <c r="E4024" s="1" t="n">
        <v>46316</v>
      </c>
      <c r="F4024" t="inlineStr">
        <is>
          <t>KRONOBERGS LÄN</t>
        </is>
      </c>
      <c r="G4024" t="inlineStr">
        <is>
          <t>ÄLMHULT</t>
        </is>
      </c>
      <c r="H4024" t="inlineStr">
        <is>
          <t>Sveaskog</t>
        </is>
      </c>
      <c r="I4024" t="n">
        <v>1.7</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41900-2022</t>
        </is>
      </c>
      <c r="B4025" t="inlineStr">
        <is>
          <t>avverkningsanmälan</t>
        </is>
      </c>
      <c r="C4025" t="inlineStr">
        <is>
          <t>Föryngringsavverkning</t>
        </is>
      </c>
      <c r="D4025" s="1" t="n">
        <v>44830</v>
      </c>
      <c r="E4025" s="1" t="n">
        <v>46316</v>
      </c>
      <c r="F4025" t="inlineStr">
        <is>
          <t>KRONOBERGS LÄN</t>
        </is>
      </c>
      <c r="G4025" t="inlineStr">
        <is>
          <t>LESSEBO</t>
        </is>
      </c>
      <c r="H4025" t="inlineStr">
        <is>
          <t>Sveaskog</t>
        </is>
      </c>
      <c r="I4025" t="n">
        <v>5.2</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27165-2022</t>
        </is>
      </c>
      <c r="B4026" t="inlineStr">
        <is>
          <t>avverkningsanmälan</t>
        </is>
      </c>
      <c r="C4026" t="inlineStr">
        <is>
          <t>Föryngringsavverkning</t>
        </is>
      </c>
      <c r="D4026" s="1" t="n">
        <v>44741</v>
      </c>
      <c r="E4026" s="1" t="n">
        <v>46316</v>
      </c>
      <c r="F4026" t="inlineStr">
        <is>
          <t>KRONOBERGS LÄN</t>
        </is>
      </c>
      <c r="G4026" t="inlineStr">
        <is>
          <t>VÄXJÖ</t>
        </is>
      </c>
      <c r="I4026" t="n">
        <v>0.8</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6384-2024</t>
        </is>
      </c>
      <c r="B4027" t="inlineStr">
        <is>
          <t>avverkningsanmälan</t>
        </is>
      </c>
      <c r="C4027" t="inlineStr">
        <is>
          <t>Föryngringsavverkning</t>
        </is>
      </c>
      <c r="D4027" s="1" t="n">
        <v>45338</v>
      </c>
      <c r="E4027" s="1" t="n">
        <v>46316</v>
      </c>
      <c r="F4027" t="inlineStr">
        <is>
          <t>KRONOBERGS LÄN</t>
        </is>
      </c>
      <c r="G4027" t="inlineStr">
        <is>
          <t>VÄXJÖ</t>
        </is>
      </c>
      <c r="I4027" t="n">
        <v>2.2</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19189-2025</t>
        </is>
      </c>
      <c r="B4028" t="inlineStr">
        <is>
          <t>avverkningsanmälan</t>
        </is>
      </c>
      <c r="C4028" t="inlineStr">
        <is>
          <t>Föryngringsavverkning</t>
        </is>
      </c>
      <c r="D4028" s="1" t="n">
        <v>45769</v>
      </c>
      <c r="E4028" s="1" t="n">
        <v>46316</v>
      </c>
      <c r="F4028" t="inlineStr">
        <is>
          <t>KRONOBERGS LÄN</t>
        </is>
      </c>
      <c r="G4028" t="inlineStr">
        <is>
          <t>UPPVIDINGE</t>
        </is>
      </c>
      <c r="I4028" t="n">
        <v>3.6</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31017-2026</t>
        </is>
      </c>
      <c r="B4029" t="inlineStr">
        <is>
          <t>avverkningsanmälan</t>
        </is>
      </c>
      <c r="C4029" t="inlineStr">
        <is>
          <t>Föryngringsavverkning</t>
        </is>
      </c>
      <c r="D4029" s="1" t="n">
        <v>46213</v>
      </c>
      <c r="E4029" s="1" t="n">
        <v>46316</v>
      </c>
      <c r="F4029" t="inlineStr">
        <is>
          <t>KRONOBERGS LÄN</t>
        </is>
      </c>
      <c r="G4029" t="inlineStr">
        <is>
          <t>TINGSRYD</t>
        </is>
      </c>
      <c r="I4029" t="n">
        <v>1.5</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30931-2026</t>
        </is>
      </c>
      <c r="B4030" t="inlineStr">
        <is>
          <t>avverkningsanmälan</t>
        </is>
      </c>
      <c r="C4030" t="inlineStr">
        <is>
          <t>Föryngringsavverkning</t>
        </is>
      </c>
      <c r="D4030" s="1" t="n">
        <v>46213</v>
      </c>
      <c r="E4030" s="1" t="n">
        <v>46316</v>
      </c>
      <c r="F4030" t="inlineStr">
        <is>
          <t>KRONOBERGS LÄN</t>
        </is>
      </c>
      <c r="G4030" t="inlineStr">
        <is>
          <t>MARKARYD</t>
        </is>
      </c>
      <c r="I4030" t="n">
        <v>1.5</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5629-2023</t>
        </is>
      </c>
      <c r="B4031" t="inlineStr">
        <is>
          <t>avverkningsanmälan</t>
        </is>
      </c>
      <c r="C4031" t="inlineStr">
        <is>
          <t>Föryngringsavverkning</t>
        </is>
      </c>
      <c r="D4031" s="1" t="n">
        <v>44960</v>
      </c>
      <c r="E4031" s="1" t="n">
        <v>46316</v>
      </c>
      <c r="F4031" t="inlineStr">
        <is>
          <t>KRONOBERGS LÄN</t>
        </is>
      </c>
      <c r="G4031" t="inlineStr">
        <is>
          <t>VÄXJÖ</t>
        </is>
      </c>
      <c r="I4031" t="n">
        <v>0.8</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45100-2022</t>
        </is>
      </c>
      <c r="B4032" t="inlineStr">
        <is>
          <t>avverkningsanmälan</t>
        </is>
      </c>
      <c r="C4032" t="inlineStr">
        <is>
          <t>Föryngringsavverkning</t>
        </is>
      </c>
      <c r="D4032" s="1" t="n">
        <v>44843</v>
      </c>
      <c r="E4032" s="1" t="n">
        <v>46316</v>
      </c>
      <c r="F4032" t="inlineStr">
        <is>
          <t>KRONOBERGS LÄN</t>
        </is>
      </c>
      <c r="G4032" t="inlineStr">
        <is>
          <t>VÄXJÖ</t>
        </is>
      </c>
      <c r="I4032" t="n">
        <v>1.3</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1356-2023</t>
        </is>
      </c>
      <c r="B4033" t="inlineStr">
        <is>
          <t>avverkningsanmälan</t>
        </is>
      </c>
      <c r="C4033" t="inlineStr">
        <is>
          <t>Föryngringsavverkning</t>
        </is>
      </c>
      <c r="D4033" s="1" t="n">
        <v>44936</v>
      </c>
      <c r="E4033" s="1" t="n">
        <v>46316</v>
      </c>
      <c r="F4033" t="inlineStr">
        <is>
          <t>KRONOBERGS LÄN</t>
        </is>
      </c>
      <c r="G4033" t="inlineStr">
        <is>
          <t>TINGSRYD</t>
        </is>
      </c>
      <c r="I4033" t="n">
        <v>1.4</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8071-2026</t>
        </is>
      </c>
      <c r="B4034" t="inlineStr">
        <is>
          <t>avverkningsanmälan</t>
        </is>
      </c>
      <c r="C4034" t="inlineStr">
        <is>
          <t>Föryngringsavverkning</t>
        </is>
      </c>
      <c r="D4034" s="1" t="n">
        <v>46063</v>
      </c>
      <c r="E4034" s="1" t="n">
        <v>46316</v>
      </c>
      <c r="F4034" t="inlineStr">
        <is>
          <t>KRONOBERGS LÄN</t>
        </is>
      </c>
      <c r="G4034" t="inlineStr">
        <is>
          <t>LJUNGBY</t>
        </is>
      </c>
      <c r="I4034" t="n">
        <v>4.9</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27389-2026</t>
        </is>
      </c>
      <c r="B4035" t="inlineStr">
        <is>
          <t>avverkningsanmälan</t>
        </is>
      </c>
      <c r="C4035" t="inlineStr">
        <is>
          <t>Föryngringsavverkning</t>
        </is>
      </c>
      <c r="D4035" s="1" t="n">
        <v>46189</v>
      </c>
      <c r="E4035" s="1" t="n">
        <v>46316</v>
      </c>
      <c r="F4035" t="inlineStr">
        <is>
          <t>KRONOBERGS LÄN</t>
        </is>
      </c>
      <c r="G4035" t="inlineStr">
        <is>
          <t>TINGSRYD</t>
        </is>
      </c>
      <c r="I4035" t="n">
        <v>4.2</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1360-2023</t>
        </is>
      </c>
      <c r="B4036" t="inlineStr">
        <is>
          <t>avverkningsanmälan</t>
        </is>
      </c>
      <c r="C4036" t="inlineStr">
        <is>
          <t>Föryngringsavverkning</t>
        </is>
      </c>
      <c r="D4036" s="1" t="n">
        <v>44936</v>
      </c>
      <c r="E4036" s="1" t="n">
        <v>46316</v>
      </c>
      <c r="F4036" t="inlineStr">
        <is>
          <t>KRONOBERGS LÄN</t>
        </is>
      </c>
      <c r="G4036" t="inlineStr">
        <is>
          <t>TINGSRYD</t>
        </is>
      </c>
      <c r="I4036" t="n">
        <v>0</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38227-2023</t>
        </is>
      </c>
      <c r="B4037" t="inlineStr">
        <is>
          <t>avverkningsanmälan</t>
        </is>
      </c>
      <c r="C4037" t="inlineStr">
        <is>
          <t>Föryngringsavverkning</t>
        </is>
      </c>
      <c r="D4037" s="1" t="n">
        <v>45161</v>
      </c>
      <c r="E4037" s="1" t="n">
        <v>46316</v>
      </c>
      <c r="F4037" t="inlineStr">
        <is>
          <t>KRONOBERGS LÄN</t>
        </is>
      </c>
      <c r="G4037" t="inlineStr">
        <is>
          <t>LESSEBO</t>
        </is>
      </c>
      <c r="I4037" t="n">
        <v>1.4</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38246-2023</t>
        </is>
      </c>
      <c r="B4038" t="inlineStr">
        <is>
          <t>avverkningsanmälan</t>
        </is>
      </c>
      <c r="C4038" t="inlineStr">
        <is>
          <t>Föryngringsavverkning</t>
        </is>
      </c>
      <c r="D4038" s="1" t="n">
        <v>45160</v>
      </c>
      <c r="E4038" s="1" t="n">
        <v>46316</v>
      </c>
      <c r="F4038" t="inlineStr">
        <is>
          <t>KRONOBERGS LÄN</t>
        </is>
      </c>
      <c r="G4038" t="inlineStr">
        <is>
          <t>TINGSRYD</t>
        </is>
      </c>
      <c r="I4038" t="n">
        <v>1.8</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21421-2024</t>
        </is>
      </c>
      <c r="B4039" t="inlineStr">
        <is>
          <t>avverkningsanmälan</t>
        </is>
      </c>
      <c r="C4039" t="inlineStr">
        <is>
          <t>Föryngringsavverkning</t>
        </is>
      </c>
      <c r="D4039" s="1" t="n">
        <v>45441</v>
      </c>
      <c r="E4039" s="1" t="n">
        <v>46316</v>
      </c>
      <c r="F4039" t="inlineStr">
        <is>
          <t>KRONOBERGS LÄN</t>
        </is>
      </c>
      <c r="G4039" t="inlineStr">
        <is>
          <t>LJUNGBY</t>
        </is>
      </c>
      <c r="I4039" t="n">
        <v>0.4</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31252-2026</t>
        </is>
      </c>
      <c r="B4040" t="inlineStr">
        <is>
          <t>avverkningsanmälan</t>
        </is>
      </c>
      <c r="C4040" t="inlineStr">
        <is>
          <t>Föryngringsavverkning</t>
        </is>
      </c>
      <c r="D4040" s="1" t="n">
        <v>46218</v>
      </c>
      <c r="E4040" s="1" t="n">
        <v>46316</v>
      </c>
      <c r="F4040" t="inlineStr">
        <is>
          <t>KRONOBERGS LÄN</t>
        </is>
      </c>
      <c r="G4040" t="inlineStr">
        <is>
          <t>LESSEBO</t>
        </is>
      </c>
      <c r="H4040" t="inlineStr">
        <is>
          <t>Kommuner</t>
        </is>
      </c>
      <c r="I4040" t="n">
        <v>2.1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26676-2026</t>
        </is>
      </c>
      <c r="B4041" t="inlineStr">
        <is>
          <t>avverkningsanmälan</t>
        </is>
      </c>
      <c r="C4041" t="inlineStr">
        <is>
          <t>Föryngringsavverkning</t>
        </is>
      </c>
      <c r="D4041" s="1" t="n">
        <v>46184</v>
      </c>
      <c r="E4041" s="1" t="n">
        <v>46316</v>
      </c>
      <c r="F4041" t="inlineStr">
        <is>
          <t>KRONOBERGS LÄN</t>
        </is>
      </c>
      <c r="G4041" t="inlineStr">
        <is>
          <t>LJUNGBY</t>
        </is>
      </c>
      <c r="I4041" t="n">
        <v>0.8</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40966-2022</t>
        </is>
      </c>
      <c r="B4042" t="inlineStr">
        <is>
          <t>avverkningsanmälan</t>
        </is>
      </c>
      <c r="C4042" t="inlineStr">
        <is>
          <t>Föryngringsavverkning</t>
        </is>
      </c>
      <c r="D4042" s="1" t="n">
        <v>44825</v>
      </c>
      <c r="E4042" s="1" t="n">
        <v>46316</v>
      </c>
      <c r="F4042" t="inlineStr">
        <is>
          <t>KRONOBERGS LÄN</t>
        </is>
      </c>
      <c r="G4042" t="inlineStr">
        <is>
          <t>LJUNGBY</t>
        </is>
      </c>
      <c r="I4042" t="n">
        <v>1.2</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59621-2023</t>
        </is>
      </c>
      <c r="B4043" t="inlineStr">
        <is>
          <t>avverkningsanmälan</t>
        </is>
      </c>
      <c r="C4043" t="inlineStr">
        <is>
          <t>Föryngringsavverkning</t>
        </is>
      </c>
      <c r="D4043" s="1" t="n">
        <v>45254</v>
      </c>
      <c r="E4043" s="1" t="n">
        <v>46316</v>
      </c>
      <c r="F4043" t="inlineStr">
        <is>
          <t>KRONOBERGS LÄN</t>
        </is>
      </c>
      <c r="G4043" t="inlineStr">
        <is>
          <t>ALVESTA</t>
        </is>
      </c>
      <c r="I4043" t="n">
        <v>1.4</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24464-2026</t>
        </is>
      </c>
      <c r="B4044" t="inlineStr">
        <is>
          <t>avverkningsanmälan</t>
        </is>
      </c>
      <c r="C4044" t="inlineStr">
        <is>
          <t>Föryngringsavverkning</t>
        </is>
      </c>
      <c r="D4044" s="1" t="n">
        <v>46170</v>
      </c>
      <c r="E4044" s="1" t="n">
        <v>46316</v>
      </c>
      <c r="F4044" t="inlineStr">
        <is>
          <t>KRONOBERGS LÄN</t>
        </is>
      </c>
      <c r="G4044" t="inlineStr">
        <is>
          <t>VÄXJÖ</t>
        </is>
      </c>
      <c r="I4044" t="n">
        <v>1.4</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15412-2024</t>
        </is>
      </c>
      <c r="B4045" t="inlineStr">
        <is>
          <t>avverkningsanmälan</t>
        </is>
      </c>
      <c r="C4045" t="inlineStr">
        <is>
          <t>Föryngringsavverkning</t>
        </is>
      </c>
      <c r="D4045" s="1" t="n">
        <v>45401</v>
      </c>
      <c r="E4045" s="1" t="n">
        <v>46316</v>
      </c>
      <c r="F4045" t="inlineStr">
        <is>
          <t>KRONOBERGS LÄN</t>
        </is>
      </c>
      <c r="G4045" t="inlineStr">
        <is>
          <t>TINGSRYD</t>
        </is>
      </c>
      <c r="I4045" t="n">
        <v>0.5</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890-2025</t>
        </is>
      </c>
      <c r="B4046" t="inlineStr">
        <is>
          <t>avverkningsanmälan</t>
        </is>
      </c>
      <c r="C4046" t="inlineStr">
        <is>
          <t>Föryngringsavverkning</t>
        </is>
      </c>
      <c r="D4046" s="1" t="n">
        <v>45665</v>
      </c>
      <c r="E4046" s="1" t="n">
        <v>46316</v>
      </c>
      <c r="F4046" t="inlineStr">
        <is>
          <t>KRONOBERGS LÄN</t>
        </is>
      </c>
      <c r="G4046" t="inlineStr">
        <is>
          <t>VÄXJÖ</t>
        </is>
      </c>
      <c r="I4046" t="n">
        <v>12</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31285-2026</t>
        </is>
      </c>
      <c r="B4047" t="inlineStr">
        <is>
          <t>avverkningsanmälan</t>
        </is>
      </c>
      <c r="C4047" t="inlineStr">
        <is>
          <t>Föryngringsavverkning</t>
        </is>
      </c>
      <c r="D4047" s="1" t="n">
        <v>46218</v>
      </c>
      <c r="E4047" s="1" t="n">
        <v>46316</v>
      </c>
      <c r="F4047" t="inlineStr">
        <is>
          <t>KRONOBERGS LÄN</t>
        </is>
      </c>
      <c r="G4047" t="inlineStr">
        <is>
          <t>UPPVIDINGE</t>
        </is>
      </c>
      <c r="I4047" t="n">
        <v>2.7</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28507-2022</t>
        </is>
      </c>
      <c r="B4048" t="inlineStr">
        <is>
          <t>avverkningsanmälan</t>
        </is>
      </c>
      <c r="C4048" t="inlineStr">
        <is>
          <t>Föryngringsavverkning</t>
        </is>
      </c>
      <c r="D4048" s="1" t="n">
        <v>44748</v>
      </c>
      <c r="E4048" s="1" t="n">
        <v>46316</v>
      </c>
      <c r="F4048" t="inlineStr">
        <is>
          <t>KRONOBERGS LÄN</t>
        </is>
      </c>
      <c r="G4048" t="inlineStr">
        <is>
          <t>TINGSRYD</t>
        </is>
      </c>
      <c r="I4048" t="n">
        <v>2.5</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41485-2023</t>
        </is>
      </c>
      <c r="B4049" t="inlineStr">
        <is>
          <t>avverkningsanmälan</t>
        </is>
      </c>
      <c r="C4049" t="inlineStr">
        <is>
          <t>Föryngringsavverkning</t>
        </is>
      </c>
      <c r="D4049" s="1" t="n">
        <v>45175</v>
      </c>
      <c r="E4049" s="1" t="n">
        <v>46316</v>
      </c>
      <c r="F4049" t="inlineStr">
        <is>
          <t>KRONOBERGS LÄN</t>
        </is>
      </c>
      <c r="G4049" t="inlineStr">
        <is>
          <t>ÄLMHULT</t>
        </is>
      </c>
      <c r="I4049" t="n">
        <v>0.8</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4347-2026</t>
        </is>
      </c>
      <c r="B4050" t="inlineStr">
        <is>
          <t>avverkningsanmälan</t>
        </is>
      </c>
      <c r="C4050" t="inlineStr">
        <is>
          <t>Föryngringsavverkning</t>
        </is>
      </c>
      <c r="D4050" s="1" t="n">
        <v>46045</v>
      </c>
      <c r="E4050" s="1" t="n">
        <v>46316</v>
      </c>
      <c r="F4050" t="inlineStr">
        <is>
          <t>KRONOBERGS LÄN</t>
        </is>
      </c>
      <c r="G4050" t="inlineStr">
        <is>
          <t>TINGSRYD</t>
        </is>
      </c>
      <c r="H4050" t="inlineStr">
        <is>
          <t>Övriga Aktiebolag</t>
        </is>
      </c>
      <c r="I4050" t="n">
        <v>4.1</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31262-2026</t>
        </is>
      </c>
      <c r="B4051" t="inlineStr">
        <is>
          <t>avverkningsanmälan</t>
        </is>
      </c>
      <c r="C4051" t="inlineStr">
        <is>
          <t>Föryngringsavverkning</t>
        </is>
      </c>
      <c r="D4051" s="1" t="n">
        <v>46218</v>
      </c>
      <c r="E4051" s="1" t="n">
        <v>46316</v>
      </c>
      <c r="F4051" t="inlineStr">
        <is>
          <t>KRONOBERGS LÄN</t>
        </is>
      </c>
      <c r="G4051" t="inlineStr">
        <is>
          <t>UPPVIDINGE</t>
        </is>
      </c>
      <c r="I4051" t="n">
        <v>0.5</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7706-2024</t>
        </is>
      </c>
      <c r="B4052" t="inlineStr">
        <is>
          <t>avverkningsanmälan</t>
        </is>
      </c>
      <c r="C4052" t="inlineStr">
        <is>
          <t>Föryngringsavverkning</t>
        </is>
      </c>
      <c r="D4052" s="1" t="n">
        <v>45349</v>
      </c>
      <c r="E4052" s="1" t="n">
        <v>46316</v>
      </c>
      <c r="F4052" t="inlineStr">
        <is>
          <t>KRONOBERGS LÄN</t>
        </is>
      </c>
      <c r="G4052" t="inlineStr">
        <is>
          <t>ALVESTA</t>
        </is>
      </c>
      <c r="I4052" t="n">
        <v>0.3</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2836-2025</t>
        </is>
      </c>
      <c r="B4053" t="inlineStr">
        <is>
          <t>avverkningsanmälan</t>
        </is>
      </c>
      <c r="C4053" t="inlineStr">
        <is>
          <t>Föryngringsavverkning</t>
        </is>
      </c>
      <c r="D4053" s="1" t="n">
        <v>45677</v>
      </c>
      <c r="E4053" s="1" t="n">
        <v>46316</v>
      </c>
      <c r="F4053" t="inlineStr">
        <is>
          <t>KRONOBERGS LÄN</t>
        </is>
      </c>
      <c r="G4053" t="inlineStr">
        <is>
          <t>ÄLMHULT</t>
        </is>
      </c>
      <c r="I4053" t="n">
        <v>0.7</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34465-2023</t>
        </is>
      </c>
      <c r="B4054" t="inlineStr">
        <is>
          <t>avverkningsanmälan</t>
        </is>
      </c>
      <c r="C4054" t="inlineStr">
        <is>
          <t>Föryngringsavverkning</t>
        </is>
      </c>
      <c r="D4054" s="1" t="n">
        <v>45139</v>
      </c>
      <c r="E4054" s="1" t="n">
        <v>46316</v>
      </c>
      <c r="F4054" t="inlineStr">
        <is>
          <t>KRONOBERGS LÄN</t>
        </is>
      </c>
      <c r="G4054" t="inlineStr">
        <is>
          <t>TINGSRYD</t>
        </is>
      </c>
      <c r="I4054" t="n">
        <v>3.5</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60370-2021</t>
        </is>
      </c>
      <c r="B4055" t="inlineStr">
        <is>
          <t>avverkningsanmälan</t>
        </is>
      </c>
      <c r="C4055" t="inlineStr">
        <is>
          <t>Föryngringsavverkning</t>
        </is>
      </c>
      <c r="D4055" s="1" t="n">
        <v>44496</v>
      </c>
      <c r="E4055" s="1" t="n">
        <v>46316</v>
      </c>
      <c r="F4055" t="inlineStr">
        <is>
          <t>KRONOBERGS LÄN</t>
        </is>
      </c>
      <c r="G4055" t="inlineStr">
        <is>
          <t>UPPVIDINGE</t>
        </is>
      </c>
      <c r="I4055" t="n">
        <v>0.7</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40183-2022</t>
        </is>
      </c>
      <c r="B4056" t="inlineStr">
        <is>
          <t>avverkningsanmälan</t>
        </is>
      </c>
      <c r="C4056" t="inlineStr">
        <is>
          <t>Föryngringsavverkning</t>
        </is>
      </c>
      <c r="D4056" s="1" t="n">
        <v>44820</v>
      </c>
      <c r="E4056" s="1" t="n">
        <v>46316</v>
      </c>
      <c r="F4056" t="inlineStr">
        <is>
          <t>KRONOBERGS LÄN</t>
        </is>
      </c>
      <c r="G4056" t="inlineStr">
        <is>
          <t>TINGSRYD</t>
        </is>
      </c>
      <c r="I4056" t="n">
        <v>4.9</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37028-2023</t>
        </is>
      </c>
      <c r="B4057" t="inlineStr">
        <is>
          <t>avverkningsanmälan</t>
        </is>
      </c>
      <c r="C4057" t="inlineStr">
        <is>
          <t>Föryngringsavverkning</t>
        </is>
      </c>
      <c r="D4057" s="1" t="n">
        <v>45155</v>
      </c>
      <c r="E4057" s="1" t="n">
        <v>46316</v>
      </c>
      <c r="F4057" t="inlineStr">
        <is>
          <t>KRONOBERGS LÄN</t>
        </is>
      </c>
      <c r="G4057" t="inlineStr">
        <is>
          <t>UPPVIDINGE</t>
        </is>
      </c>
      <c r="I4057" t="n">
        <v>2.6</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19143-2025</t>
        </is>
      </c>
      <c r="B4058" t="inlineStr">
        <is>
          <t>avverkningsanmälan</t>
        </is>
      </c>
      <c r="C4058" t="inlineStr">
        <is>
          <t>Föryngringsavverkning</t>
        </is>
      </c>
      <c r="D4058" s="1" t="n">
        <v>45769</v>
      </c>
      <c r="E4058" s="1" t="n">
        <v>46316</v>
      </c>
      <c r="F4058" t="inlineStr">
        <is>
          <t>KRONOBERGS LÄN</t>
        </is>
      </c>
      <c r="G4058" t="inlineStr">
        <is>
          <t>LJUNGBY</t>
        </is>
      </c>
      <c r="I4058" t="n">
        <v>1</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32121-2023</t>
        </is>
      </c>
      <c r="B4059" t="inlineStr">
        <is>
          <t>avverkningsanmälan</t>
        </is>
      </c>
      <c r="C4059" t="inlineStr">
        <is>
          <t>Föryngringsavverkning</t>
        </is>
      </c>
      <c r="D4059" s="1" t="n">
        <v>45119</v>
      </c>
      <c r="E4059" s="1" t="n">
        <v>46316</v>
      </c>
      <c r="F4059" t="inlineStr">
        <is>
          <t>KRONOBERGS LÄN</t>
        </is>
      </c>
      <c r="G4059" t="inlineStr">
        <is>
          <t>LJUNGBY</t>
        </is>
      </c>
      <c r="I4059" t="n">
        <v>0.6</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25319-2024</t>
        </is>
      </c>
      <c r="B4060" t="inlineStr">
        <is>
          <t>avverkningsanmälan</t>
        </is>
      </c>
      <c r="C4060" t="inlineStr">
        <is>
          <t>Föryngringsavverkning</t>
        </is>
      </c>
      <c r="D4060" s="1" t="n">
        <v>45462</v>
      </c>
      <c r="E4060" s="1" t="n">
        <v>46316</v>
      </c>
      <c r="F4060" t="inlineStr">
        <is>
          <t>KRONOBERGS LÄN</t>
        </is>
      </c>
      <c r="G4060" t="inlineStr">
        <is>
          <t>ÄLMHULT</t>
        </is>
      </c>
      <c r="I4060" t="n">
        <v>3.4</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31135-2026</t>
        </is>
      </c>
      <c r="B4061" t="inlineStr">
        <is>
          <t>avverkningsanmälan</t>
        </is>
      </c>
      <c r="C4061" t="inlineStr">
        <is>
          <t>Avverkning för att bevara och utveckla /försöksver</t>
        </is>
      </c>
      <c r="D4061" s="1" t="n">
        <v>46209</v>
      </c>
      <c r="E4061" s="1" t="n">
        <v>46316</v>
      </c>
      <c r="F4061" t="inlineStr">
        <is>
          <t>KRONOBERGS LÄN</t>
        </is>
      </c>
      <c r="G4061" t="inlineStr">
        <is>
          <t>TINGSRYD</t>
        </is>
      </c>
      <c r="H4061" t="inlineStr">
        <is>
          <t>Naturvårdsverket</t>
        </is>
      </c>
      <c r="I4061" t="n">
        <v>2.3</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31454-2026</t>
        </is>
      </c>
      <c r="B4062" t="inlineStr">
        <is>
          <t>avverkningsanmälan</t>
        </is>
      </c>
      <c r="C4062" t="inlineStr">
        <is>
          <t>Föryngringsavverkning</t>
        </is>
      </c>
      <c r="D4062" s="1" t="n">
        <v>46220</v>
      </c>
      <c r="E4062" s="1" t="n">
        <v>46316</v>
      </c>
      <c r="F4062" t="inlineStr">
        <is>
          <t>KRONOBERGS LÄN</t>
        </is>
      </c>
      <c r="G4062" t="inlineStr">
        <is>
          <t>UPPVIDINGE</t>
        </is>
      </c>
      <c r="I4062" t="n">
        <v>0.7</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31455-2026</t>
        </is>
      </c>
      <c r="B4063" t="inlineStr">
        <is>
          <t>avverkningsanmälan</t>
        </is>
      </c>
      <c r="C4063" t="inlineStr">
        <is>
          <t>Föryngringsavverkning</t>
        </is>
      </c>
      <c r="D4063" s="1" t="n">
        <v>46220</v>
      </c>
      <c r="E4063" s="1" t="n">
        <v>46316</v>
      </c>
      <c r="F4063" t="inlineStr">
        <is>
          <t>KRONOBERGS LÄN</t>
        </is>
      </c>
      <c r="G4063" t="inlineStr">
        <is>
          <t>UPPVIDINGE</t>
        </is>
      </c>
      <c r="I4063" t="n">
        <v>0.9</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52519-2022</t>
        </is>
      </c>
      <c r="B4064" t="inlineStr">
        <is>
          <t>avverkningsanmälan</t>
        </is>
      </c>
      <c r="C4064" t="inlineStr">
        <is>
          <t>Föryngringsavverkning</t>
        </is>
      </c>
      <c r="D4064" s="1" t="n">
        <v>44874</v>
      </c>
      <c r="E4064" s="1" t="n">
        <v>46316</v>
      </c>
      <c r="F4064" t="inlineStr">
        <is>
          <t>KRONOBERGS LÄN</t>
        </is>
      </c>
      <c r="G4064" t="inlineStr">
        <is>
          <t>VÄXJÖ</t>
        </is>
      </c>
      <c r="I4064" t="n">
        <v>4.1</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52545-2022</t>
        </is>
      </c>
      <c r="B4065" t="inlineStr">
        <is>
          <t>avverkningsanmälan</t>
        </is>
      </c>
      <c r="C4065" t="inlineStr">
        <is>
          <t>Föryngringsavverkning</t>
        </is>
      </c>
      <c r="D4065" s="1" t="n">
        <v>44874</v>
      </c>
      <c r="E4065" s="1" t="n">
        <v>46316</v>
      </c>
      <c r="F4065" t="inlineStr">
        <is>
          <t>KRONOBERGS LÄN</t>
        </is>
      </c>
      <c r="G4065" t="inlineStr">
        <is>
          <t>VÄXJÖ</t>
        </is>
      </c>
      <c r="I4065" t="n">
        <v>0.5</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24323-2023</t>
        </is>
      </c>
      <c r="B4066" t="inlineStr">
        <is>
          <t>avverkningsanmälan</t>
        </is>
      </c>
      <c r="C4066" t="inlineStr">
        <is>
          <t>Föryngringsavverkning</t>
        </is>
      </c>
      <c r="D4066" s="1" t="n">
        <v>45080</v>
      </c>
      <c r="E4066" s="1" t="n">
        <v>46316</v>
      </c>
      <c r="F4066" t="inlineStr">
        <is>
          <t>KRONOBERGS LÄN</t>
        </is>
      </c>
      <c r="G4066" t="inlineStr">
        <is>
          <t>MARKARYD</t>
        </is>
      </c>
      <c r="I4066" t="n">
        <v>0.9</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24333-2023</t>
        </is>
      </c>
      <c r="B4067" t="inlineStr">
        <is>
          <t>avverkningsanmälan</t>
        </is>
      </c>
      <c r="C4067" t="inlineStr">
        <is>
          <t>Föryngringsavverkning</t>
        </is>
      </c>
      <c r="D4067" s="1" t="n">
        <v>45081</v>
      </c>
      <c r="E4067" s="1" t="n">
        <v>46316</v>
      </c>
      <c r="F4067" t="inlineStr">
        <is>
          <t>KRONOBERGS LÄN</t>
        </is>
      </c>
      <c r="G4067" t="inlineStr">
        <is>
          <t>ÄLMHULT</t>
        </is>
      </c>
      <c r="I4067" t="n">
        <v>1</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63369-2023</t>
        </is>
      </c>
      <c r="B4068" t="inlineStr">
        <is>
          <t>avverkningsanmälan</t>
        </is>
      </c>
      <c r="C4068" t="inlineStr">
        <is>
          <t>Avverkning för annat ändamål</t>
        </is>
      </c>
      <c r="D4068" s="1" t="n">
        <v>45273</v>
      </c>
      <c r="E4068" s="1" t="n">
        <v>46316</v>
      </c>
      <c r="F4068" t="inlineStr">
        <is>
          <t>KRONOBERGS LÄN</t>
        </is>
      </c>
      <c r="G4068" t="inlineStr">
        <is>
          <t>LJUNGBY</t>
        </is>
      </c>
      <c r="I4068" t="n">
        <v>0.8</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24334-2023</t>
        </is>
      </c>
      <c r="B4069" t="inlineStr">
        <is>
          <t>avverkningsanmälan</t>
        </is>
      </c>
      <c r="C4069" t="inlineStr">
        <is>
          <t>Föryngringsavverkning</t>
        </is>
      </c>
      <c r="D4069" s="1" t="n">
        <v>45081</v>
      </c>
      <c r="E4069" s="1" t="n">
        <v>46316</v>
      </c>
      <c r="F4069" t="inlineStr">
        <is>
          <t>KRONOBERGS LÄN</t>
        </is>
      </c>
      <c r="G4069" t="inlineStr">
        <is>
          <t>LJUNGBY</t>
        </is>
      </c>
      <c r="I4069" t="n">
        <v>0.5</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15731-2023</t>
        </is>
      </c>
      <c r="B4070" t="inlineStr">
        <is>
          <t>avverkningsanmälan</t>
        </is>
      </c>
      <c r="C4070" t="inlineStr">
        <is>
          <t>Föryngringsavverkning</t>
        </is>
      </c>
      <c r="D4070" s="1" t="n">
        <v>45021</v>
      </c>
      <c r="E4070" s="1" t="n">
        <v>46316</v>
      </c>
      <c r="F4070" t="inlineStr">
        <is>
          <t>KRONOBERGS LÄN</t>
        </is>
      </c>
      <c r="G4070" t="inlineStr">
        <is>
          <t>MARKARYD</t>
        </is>
      </c>
      <c r="I4070" t="n">
        <v>1.4</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24003-2023</t>
        </is>
      </c>
      <c r="B4071" t="inlineStr">
        <is>
          <t>avverkningsanmälan</t>
        </is>
      </c>
      <c r="C4071" t="inlineStr">
        <is>
          <t>Föryngringsavverkning</t>
        </is>
      </c>
      <c r="D4071" s="1" t="n">
        <v>45078</v>
      </c>
      <c r="E4071" s="1" t="n">
        <v>46316</v>
      </c>
      <c r="F4071" t="inlineStr">
        <is>
          <t>KRONOBERGS LÄN</t>
        </is>
      </c>
      <c r="G4071" t="inlineStr">
        <is>
          <t>TINGSRYD</t>
        </is>
      </c>
      <c r="I4071" t="n">
        <v>0.8</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24015-2023</t>
        </is>
      </c>
      <c r="B4072" t="inlineStr">
        <is>
          <t>avverkningsanmälan</t>
        </is>
      </c>
      <c r="C4072" t="inlineStr">
        <is>
          <t>Föryngringsavverkning</t>
        </is>
      </c>
      <c r="D4072" s="1" t="n">
        <v>45078</v>
      </c>
      <c r="E4072" s="1" t="n">
        <v>46316</v>
      </c>
      <c r="F4072" t="inlineStr">
        <is>
          <t>KRONOBERGS LÄN</t>
        </is>
      </c>
      <c r="G4072" t="inlineStr">
        <is>
          <t>TINGSRYD</t>
        </is>
      </c>
      <c r="I4072" t="n">
        <v>0.9</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38611-2023</t>
        </is>
      </c>
      <c r="B4073" t="inlineStr">
        <is>
          <t>avverkningsanmälan</t>
        </is>
      </c>
      <c r="C4073" t="inlineStr">
        <is>
          <t>Föryngringsavverkning</t>
        </is>
      </c>
      <c r="D4073" s="1" t="n">
        <v>45162</v>
      </c>
      <c r="E4073" s="1" t="n">
        <v>46316</v>
      </c>
      <c r="F4073" t="inlineStr">
        <is>
          <t>KRONOBERGS LÄN</t>
        </is>
      </c>
      <c r="G4073" t="inlineStr">
        <is>
          <t>LJUNGBY</t>
        </is>
      </c>
      <c r="H4073" t="inlineStr">
        <is>
          <t>Sveaskog</t>
        </is>
      </c>
      <c r="I4073" t="n">
        <v>0.8</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56589-2022</t>
        </is>
      </c>
      <c r="B4074" t="inlineStr">
        <is>
          <t>avverkningsanmälan</t>
        </is>
      </c>
      <c r="C4074" t="inlineStr">
        <is>
          <t>Föryngringsavverkning</t>
        </is>
      </c>
      <c r="D4074" s="1" t="n">
        <v>44893</v>
      </c>
      <c r="E4074" s="1" t="n">
        <v>46316</v>
      </c>
      <c r="F4074" t="inlineStr">
        <is>
          <t>KRONOBERGS LÄN</t>
        </is>
      </c>
      <c r="G4074" t="inlineStr">
        <is>
          <t>ALVESTA</t>
        </is>
      </c>
      <c r="I4074" t="n">
        <v>0.6</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5762-2023</t>
        </is>
      </c>
      <c r="B4075" t="inlineStr">
        <is>
          <t>avverkningsanmälan</t>
        </is>
      </c>
      <c r="C4075" t="inlineStr">
        <is>
          <t>Föryngringsavverkning</t>
        </is>
      </c>
      <c r="D4075" s="1" t="n">
        <v>44963</v>
      </c>
      <c r="E4075" s="1" t="n">
        <v>46316</v>
      </c>
      <c r="F4075" t="inlineStr">
        <is>
          <t>KRONOBERGS LÄN</t>
        </is>
      </c>
      <c r="G4075" t="inlineStr">
        <is>
          <t>VÄXJÖ</t>
        </is>
      </c>
      <c r="I4075" t="n">
        <v>2.1</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25427-2024</t>
        </is>
      </c>
      <c r="B4076" t="inlineStr">
        <is>
          <t>avverkningsanmälan</t>
        </is>
      </c>
      <c r="C4076" t="inlineStr">
        <is>
          <t>Avverkning för att bevara och utveckla /försöksver</t>
        </is>
      </c>
      <c r="D4076" s="1" t="n">
        <v>45463</v>
      </c>
      <c r="E4076" s="1" t="n">
        <v>46316</v>
      </c>
      <c r="F4076" t="inlineStr">
        <is>
          <t>KRONOBERGS LÄN</t>
        </is>
      </c>
      <c r="G4076" t="inlineStr">
        <is>
          <t>LJUNGBY</t>
        </is>
      </c>
      <c r="H4076" t="inlineStr">
        <is>
          <t>Sveaskog</t>
        </is>
      </c>
      <c r="I4076" t="n">
        <v>0.7</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29584-2023</t>
        </is>
      </c>
      <c r="B4077" t="inlineStr">
        <is>
          <t>avverkningsanmälan</t>
        </is>
      </c>
      <c r="C4077" t="inlineStr">
        <is>
          <t>Föryngringsavverkning</t>
        </is>
      </c>
      <c r="D4077" s="1" t="n">
        <v>45106</v>
      </c>
      <c r="E4077" s="1" t="n">
        <v>46316</v>
      </c>
      <c r="F4077" t="inlineStr">
        <is>
          <t>KRONOBERGS LÄN</t>
        </is>
      </c>
      <c r="G4077" t="inlineStr">
        <is>
          <t>TINGSRYD</t>
        </is>
      </c>
      <c r="I4077" t="n">
        <v>0.8</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31711-2026</t>
        </is>
      </c>
      <c r="B4078" t="inlineStr">
        <is>
          <t>avverkningsanmälan</t>
        </is>
      </c>
      <c r="C4078" t="inlineStr">
        <is>
          <t>Föryngringsavverkning</t>
        </is>
      </c>
      <c r="D4078" s="1" t="n">
        <v>46226</v>
      </c>
      <c r="E4078" s="1" t="n">
        <v>46316</v>
      </c>
      <c r="F4078" t="inlineStr">
        <is>
          <t>KRONOBERGS LÄN</t>
        </is>
      </c>
      <c r="G4078" t="inlineStr">
        <is>
          <t>ÄLMHULT</t>
        </is>
      </c>
      <c r="I4078" t="n">
        <v>0.6</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31674-2026</t>
        </is>
      </c>
      <c r="B4079" t="inlineStr">
        <is>
          <t>avverkningsanmälan</t>
        </is>
      </c>
      <c r="C4079" t="inlineStr">
        <is>
          <t>Föryngringsavverkning</t>
        </is>
      </c>
      <c r="D4079" s="1" t="n">
        <v>46226</v>
      </c>
      <c r="E4079" s="1" t="n">
        <v>46316</v>
      </c>
      <c r="F4079" t="inlineStr">
        <is>
          <t>KRONOBERGS LÄN</t>
        </is>
      </c>
      <c r="G4079" t="inlineStr">
        <is>
          <t>UPPVIDINGE</t>
        </is>
      </c>
      <c r="I4079" t="n">
        <v>1.9</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31712-2026</t>
        </is>
      </c>
      <c r="B4080" t="inlineStr">
        <is>
          <t>avverkningsanmälan</t>
        </is>
      </c>
      <c r="C4080" t="inlineStr">
        <is>
          <t>Föryngringsavverkning</t>
        </is>
      </c>
      <c r="D4080" s="1" t="n">
        <v>46226</v>
      </c>
      <c r="E4080" s="1" t="n">
        <v>46316</v>
      </c>
      <c r="F4080" t="inlineStr">
        <is>
          <t>KRONOBERGS LÄN</t>
        </is>
      </c>
      <c r="G4080" t="inlineStr">
        <is>
          <t>ÄLMHULT</t>
        </is>
      </c>
      <c r="I4080" t="n">
        <v>0.6</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31713-2026</t>
        </is>
      </c>
      <c r="B4081" t="inlineStr">
        <is>
          <t>avverkningsanmälan</t>
        </is>
      </c>
      <c r="C4081" t="inlineStr">
        <is>
          <t>Föryngringsavverkning</t>
        </is>
      </c>
      <c r="D4081" s="1" t="n">
        <v>46226</v>
      </c>
      <c r="E4081" s="1" t="n">
        <v>46316</v>
      </c>
      <c r="F4081" t="inlineStr">
        <is>
          <t>KRONOBERGS LÄN</t>
        </is>
      </c>
      <c r="G4081" t="inlineStr">
        <is>
          <t>ÄLMHULT</t>
        </is>
      </c>
      <c r="I4081" t="n">
        <v>1.8</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49940-2023</t>
        </is>
      </c>
      <c r="B4082" t="inlineStr">
        <is>
          <t>avverkningsanmälan</t>
        </is>
      </c>
      <c r="C4082" t="inlineStr">
        <is>
          <t>Föryngringsavverkning</t>
        </is>
      </c>
      <c r="D4082" s="1" t="n">
        <v>45215</v>
      </c>
      <c r="E4082" s="1" t="n">
        <v>46316</v>
      </c>
      <c r="F4082" t="inlineStr">
        <is>
          <t>KRONOBERGS LÄN</t>
        </is>
      </c>
      <c r="G4082" t="inlineStr">
        <is>
          <t>TINGSRYD</t>
        </is>
      </c>
      <c r="I4082" t="n">
        <v>1.4</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27905-2026</t>
        </is>
      </c>
      <c r="B4083" t="inlineStr">
        <is>
          <t>avverkningsanmälan</t>
        </is>
      </c>
      <c r="C4083" t="inlineStr">
        <is>
          <t>Avverkning för annat ändamål</t>
        </is>
      </c>
      <c r="D4083" s="1" t="n">
        <v>46191</v>
      </c>
      <c r="E4083" s="1" t="n">
        <v>46316</v>
      </c>
      <c r="F4083" t="inlineStr">
        <is>
          <t>KRONOBERGS LÄN</t>
        </is>
      </c>
      <c r="G4083" t="inlineStr">
        <is>
          <t>TINGSRYD</t>
        </is>
      </c>
      <c r="I4083" t="n">
        <v>2.4</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62948-2025</t>
        </is>
      </c>
      <c r="B4084" t="inlineStr">
        <is>
          <t>avverkningsanmälan</t>
        </is>
      </c>
      <c r="C4084" t="inlineStr">
        <is>
          <t>Föryngringsavverkning</t>
        </is>
      </c>
      <c r="D4084" s="1" t="n">
        <v>46009</v>
      </c>
      <c r="E4084" s="1" t="n">
        <v>46316</v>
      </c>
      <c r="F4084" t="inlineStr">
        <is>
          <t>KRONOBERGS LÄN</t>
        </is>
      </c>
      <c r="G4084" t="inlineStr">
        <is>
          <t>LJUNGBY</t>
        </is>
      </c>
      <c r="I4084" t="n">
        <v>1.8</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30012-2023</t>
        </is>
      </c>
      <c r="B4085" t="inlineStr">
        <is>
          <t>avverkningsanmälan</t>
        </is>
      </c>
      <c r="C4085" t="inlineStr">
        <is>
          <t>Föryngringsavverkning</t>
        </is>
      </c>
      <c r="D4085" s="1" t="n">
        <v>45109</v>
      </c>
      <c r="E4085" s="1" t="n">
        <v>46316</v>
      </c>
      <c r="F4085" t="inlineStr">
        <is>
          <t>KRONOBERGS LÄN</t>
        </is>
      </c>
      <c r="G4085" t="inlineStr">
        <is>
          <t>TINGSRYD</t>
        </is>
      </c>
      <c r="I4085" t="n">
        <v>0.9</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16810-2022</t>
        </is>
      </c>
      <c r="B4086" t="inlineStr">
        <is>
          <t>avverkningsanmälan</t>
        </is>
      </c>
      <c r="C4086" t="inlineStr">
        <is>
          <t>Föryngringsavverkning</t>
        </is>
      </c>
      <c r="D4086" s="1" t="n">
        <v>44673</v>
      </c>
      <c r="E4086" s="1" t="n">
        <v>46316</v>
      </c>
      <c r="F4086" t="inlineStr">
        <is>
          <t>KRONOBERGS LÄN</t>
        </is>
      </c>
      <c r="G4086" t="inlineStr">
        <is>
          <t>TINGSRYD</t>
        </is>
      </c>
      <c r="I4086" t="n">
        <v>2.6</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19786-2024</t>
        </is>
      </c>
      <c r="B4087" t="inlineStr">
        <is>
          <t>avverkningsanmälan</t>
        </is>
      </c>
      <c r="C4087" t="inlineStr">
        <is>
          <t>Föryngringsavverkning</t>
        </is>
      </c>
      <c r="D4087" s="1" t="n">
        <v>45432</v>
      </c>
      <c r="E4087" s="1" t="n">
        <v>46316</v>
      </c>
      <c r="F4087" t="inlineStr">
        <is>
          <t>KRONOBERGS LÄN</t>
        </is>
      </c>
      <c r="G4087" t="inlineStr">
        <is>
          <t>TINGSRYD</t>
        </is>
      </c>
      <c r="H4087" t="inlineStr">
        <is>
          <t>Sveaskog</t>
        </is>
      </c>
      <c r="I4087" t="n">
        <v>2</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39380-2023</t>
        </is>
      </c>
      <c r="B4088" t="inlineStr">
        <is>
          <t>avverkningsanmälan</t>
        </is>
      </c>
      <c r="C4088" t="inlineStr">
        <is>
          <t>Föryngringsavverkning</t>
        </is>
      </c>
      <c r="D4088" s="1" t="n">
        <v>45166</v>
      </c>
      <c r="E4088" s="1" t="n">
        <v>46316</v>
      </c>
      <c r="F4088" t="inlineStr">
        <is>
          <t>KRONOBERGS LÄN</t>
        </is>
      </c>
      <c r="G4088" t="inlineStr">
        <is>
          <t>ÄLMHULT</t>
        </is>
      </c>
      <c r="I4088" t="n">
        <v>1.2</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17483-2026</t>
        </is>
      </c>
      <c r="B4089" t="inlineStr">
        <is>
          <t>avverkningsanmälan</t>
        </is>
      </c>
      <c r="C4089" t="inlineStr">
        <is>
          <t>Avverkning för annat ändamål</t>
        </is>
      </c>
      <c r="D4089" s="1" t="n">
        <v>46120</v>
      </c>
      <c r="E4089" s="1" t="n">
        <v>46316</v>
      </c>
      <c r="F4089" t="inlineStr">
        <is>
          <t>KRONOBERGS LÄN</t>
        </is>
      </c>
      <c r="G4089" t="inlineStr">
        <is>
          <t>TINGSRYD</t>
        </is>
      </c>
      <c r="I4089" t="n">
        <v>0.2</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31754-2026</t>
        </is>
      </c>
      <c r="B4090" t="inlineStr">
        <is>
          <t>avverkningsanmälan</t>
        </is>
      </c>
      <c r="C4090" t="inlineStr">
        <is>
          <t>Föryngringsavverkning</t>
        </is>
      </c>
      <c r="D4090" s="1" t="n">
        <v>46227</v>
      </c>
      <c r="E4090" s="1" t="n">
        <v>46316</v>
      </c>
      <c r="F4090" t="inlineStr">
        <is>
          <t>KRONOBERGS LÄN</t>
        </is>
      </c>
      <c r="G4090" t="inlineStr">
        <is>
          <t>ÄLMHULT</t>
        </is>
      </c>
      <c r="I4090" t="n">
        <v>2.1</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6183-2022</t>
        </is>
      </c>
      <c r="B4091" t="inlineStr">
        <is>
          <t>avverkningsanmälan</t>
        </is>
      </c>
      <c r="C4091" t="inlineStr">
        <is>
          <t>Föryngringsavverkning</t>
        </is>
      </c>
      <c r="D4091" s="1" t="n">
        <v>44600</v>
      </c>
      <c r="E4091" s="1" t="n">
        <v>46316</v>
      </c>
      <c r="F4091" t="inlineStr">
        <is>
          <t>KRONOBERGS LÄN</t>
        </is>
      </c>
      <c r="G4091" t="inlineStr">
        <is>
          <t>VÄXJÖ</t>
        </is>
      </c>
      <c r="H4091" t="inlineStr">
        <is>
          <t>Kyrkan</t>
        </is>
      </c>
      <c r="I4091" t="n">
        <v>2.2</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17055-2024</t>
        </is>
      </c>
      <c r="B4092" t="inlineStr">
        <is>
          <t>avverkningsanmälan</t>
        </is>
      </c>
      <c r="C4092" t="inlineStr">
        <is>
          <t>Föryngringsavverkning</t>
        </is>
      </c>
      <c r="D4092" s="1" t="n">
        <v>45412</v>
      </c>
      <c r="E4092" s="1" t="n">
        <v>46316</v>
      </c>
      <c r="F4092" t="inlineStr">
        <is>
          <t>KRONOBERGS LÄN</t>
        </is>
      </c>
      <c r="G4092" t="inlineStr">
        <is>
          <t>VÄXJÖ</t>
        </is>
      </c>
      <c r="I4092" t="n">
        <v>0.6</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17060-2024</t>
        </is>
      </c>
      <c r="B4093" t="inlineStr">
        <is>
          <t>avverkningsanmälan</t>
        </is>
      </c>
      <c r="C4093" t="inlineStr">
        <is>
          <t>Föryngringsavverkning</t>
        </is>
      </c>
      <c r="D4093" s="1" t="n">
        <v>45412</v>
      </c>
      <c r="E4093" s="1" t="n">
        <v>46316</v>
      </c>
      <c r="F4093" t="inlineStr">
        <is>
          <t>KRONOBERGS LÄN</t>
        </is>
      </c>
      <c r="G4093" t="inlineStr">
        <is>
          <t>VÄXJÖ</t>
        </is>
      </c>
      <c r="I4093" t="n">
        <v>1.6</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31753-2026</t>
        </is>
      </c>
      <c r="B4094" t="inlineStr">
        <is>
          <t>avverkningsanmälan</t>
        </is>
      </c>
      <c r="C4094" t="inlineStr">
        <is>
          <t>Föryngringsavverkning</t>
        </is>
      </c>
      <c r="D4094" s="1" t="n">
        <v>46227</v>
      </c>
      <c r="E4094" s="1" t="n">
        <v>46316</v>
      </c>
      <c r="F4094" t="inlineStr">
        <is>
          <t>KRONOBERGS LÄN</t>
        </is>
      </c>
      <c r="G4094" t="inlineStr">
        <is>
          <t>ÄLMHULT</t>
        </is>
      </c>
      <c r="I4094" t="n">
        <v>0.7</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49442-2024</t>
        </is>
      </c>
      <c r="B4095" t="inlineStr">
        <is>
          <t>avverkningsanmälan</t>
        </is>
      </c>
      <c r="C4095" t="inlineStr">
        <is>
          <t>Föryngringsavverkning</t>
        </is>
      </c>
      <c r="D4095" s="1" t="n">
        <v>45595</v>
      </c>
      <c r="E4095" s="1" t="n">
        <v>46316</v>
      </c>
      <c r="F4095" t="inlineStr">
        <is>
          <t>KRONOBERGS LÄN</t>
        </is>
      </c>
      <c r="G4095" t="inlineStr">
        <is>
          <t>ÄLMHULT</t>
        </is>
      </c>
      <c r="I4095" t="n">
        <v>0.5</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12818-2025</t>
        </is>
      </c>
      <c r="B4096" t="inlineStr">
        <is>
          <t>avverkningsanmälan</t>
        </is>
      </c>
      <c r="C4096" t="inlineStr">
        <is>
          <t>Avverkning för annat ändamål</t>
        </is>
      </c>
      <c r="D4096" s="1" t="n">
        <v>45733</v>
      </c>
      <c r="E4096" s="1" t="n">
        <v>46316</v>
      </c>
      <c r="F4096" t="inlineStr">
        <is>
          <t>KRONOBERGS LÄN</t>
        </is>
      </c>
      <c r="G4096" t="inlineStr">
        <is>
          <t>ALVESTA</t>
        </is>
      </c>
      <c r="I4096" t="n">
        <v>0.7</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7897-2024</t>
        </is>
      </c>
      <c r="B4097" t="inlineStr">
        <is>
          <t>avverkningsanmälan</t>
        </is>
      </c>
      <c r="C4097" t="inlineStr">
        <is>
          <t>Föryngringsavverkning</t>
        </is>
      </c>
      <c r="D4097" s="1" t="n">
        <v>45350</v>
      </c>
      <c r="E4097" s="1" t="n">
        <v>46316</v>
      </c>
      <c r="F4097" t="inlineStr">
        <is>
          <t>KRONOBERGS LÄN</t>
        </is>
      </c>
      <c r="G4097" t="inlineStr">
        <is>
          <t>UPPVIDINGE</t>
        </is>
      </c>
      <c r="I4097" t="n">
        <v>3.1</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7979-2024</t>
        </is>
      </c>
      <c r="B4098" t="inlineStr">
        <is>
          <t>avverkningsanmälan</t>
        </is>
      </c>
      <c r="C4098" t="inlineStr">
        <is>
          <t>Föryngringsavverkning</t>
        </is>
      </c>
      <c r="D4098" s="1" t="n">
        <v>45348</v>
      </c>
      <c r="E4098" s="1" t="n">
        <v>46316</v>
      </c>
      <c r="F4098" t="inlineStr">
        <is>
          <t>KRONOBERGS LÄN</t>
        </is>
      </c>
      <c r="G4098" t="inlineStr">
        <is>
          <t>UPPVIDINGE</t>
        </is>
      </c>
      <c r="I4098" t="n">
        <v>1.1</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2253-2023</t>
        </is>
      </c>
      <c r="B4099" t="inlineStr">
        <is>
          <t>avverkningsanmälan</t>
        </is>
      </c>
      <c r="C4099" t="inlineStr">
        <is>
          <t>Föryngringsavverkning</t>
        </is>
      </c>
      <c r="D4099" s="1" t="n">
        <v>44942</v>
      </c>
      <c r="E4099" s="1" t="n">
        <v>46316</v>
      </c>
      <c r="F4099" t="inlineStr">
        <is>
          <t>KRONOBERGS LÄN</t>
        </is>
      </c>
      <c r="G4099" t="inlineStr">
        <is>
          <t>ÄLMHULT</t>
        </is>
      </c>
      <c r="I4099" t="n">
        <v>0</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13801-2024</t>
        </is>
      </c>
      <c r="B4100" t="inlineStr">
        <is>
          <t>avverkningsanmälan</t>
        </is>
      </c>
      <c r="C4100" t="inlineStr">
        <is>
          <t>Föryngringsavverkning</t>
        </is>
      </c>
      <c r="D4100" s="1" t="n">
        <v>45391</v>
      </c>
      <c r="E4100" s="1" t="n">
        <v>46316</v>
      </c>
      <c r="F4100" t="inlineStr">
        <is>
          <t>KRONOBERGS LÄN</t>
        </is>
      </c>
      <c r="G4100" t="inlineStr">
        <is>
          <t>ÄLMHULT</t>
        </is>
      </c>
      <c r="I4100" t="n">
        <v>0.6</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31980-2026</t>
        </is>
      </c>
      <c r="B4101" t="inlineStr">
        <is>
          <t>avverkningsanmälan</t>
        </is>
      </c>
      <c r="C4101" t="inlineStr">
        <is>
          <t>Föryngringsavverkning</t>
        </is>
      </c>
      <c r="D4101" s="1" t="n">
        <v>46232</v>
      </c>
      <c r="E4101" s="1" t="n">
        <v>46316</v>
      </c>
      <c r="F4101" t="inlineStr">
        <is>
          <t>KRONOBERGS LÄN</t>
        </is>
      </c>
      <c r="G4101" t="inlineStr">
        <is>
          <t>VÄXJÖ</t>
        </is>
      </c>
      <c r="I4101" t="n">
        <v>0.4</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17470-2025</t>
        </is>
      </c>
      <c r="B4102" t="inlineStr">
        <is>
          <t>avverkningsanmälan</t>
        </is>
      </c>
      <c r="C4102" t="inlineStr">
        <is>
          <t>Föryngringsavverkning</t>
        </is>
      </c>
      <c r="D4102" s="1" t="n">
        <v>45757</v>
      </c>
      <c r="E4102" s="1" t="n">
        <v>46316</v>
      </c>
      <c r="F4102" t="inlineStr">
        <is>
          <t>KRONOBERGS LÄN</t>
        </is>
      </c>
      <c r="G4102" t="inlineStr">
        <is>
          <t>VÄXJÖ</t>
        </is>
      </c>
      <c r="I4102" t="n">
        <v>1.8</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37313-2026</t>
        </is>
      </c>
      <c r="B4103" t="inlineStr">
        <is>
          <t>avverkningsanmälan</t>
        </is>
      </c>
      <c r="C4103" t="inlineStr">
        <is>
          <t>Avverkning för annat ändamål</t>
        </is>
      </c>
      <c r="D4103" s="1" t="n">
        <v>46274</v>
      </c>
      <c r="E4103" s="1" t="n">
        <v>46316</v>
      </c>
      <c r="F4103" t="inlineStr">
        <is>
          <t>KRONOBERGS LÄN</t>
        </is>
      </c>
      <c r="G4103" t="inlineStr">
        <is>
          <t>TINGSRYD</t>
        </is>
      </c>
      <c r="H4103" t="inlineStr">
        <is>
          <t>Sveaskog</t>
        </is>
      </c>
      <c r="I4103" t="n">
        <v>0.2</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3058-2024</t>
        </is>
      </c>
      <c r="B4104" t="inlineStr">
        <is>
          <t>avverkningsanmälan</t>
        </is>
      </c>
      <c r="C4104" t="inlineStr">
        <is>
          <t>Avverkning för annat ändamål</t>
        </is>
      </c>
      <c r="D4104" s="1" t="n">
        <v>45316</v>
      </c>
      <c r="E4104" s="1" t="n">
        <v>46316</v>
      </c>
      <c r="F4104" t="inlineStr">
        <is>
          <t>KRONOBERGS LÄN</t>
        </is>
      </c>
      <c r="G4104" t="inlineStr">
        <is>
          <t>VÄXJÖ</t>
        </is>
      </c>
      <c r="I4104" t="n">
        <v>1.7</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3067-2024</t>
        </is>
      </c>
      <c r="B4105" t="inlineStr">
        <is>
          <t>avverkningsanmälan</t>
        </is>
      </c>
      <c r="C4105" t="inlineStr">
        <is>
          <t>Föryngringsavverkning</t>
        </is>
      </c>
      <c r="D4105" s="1" t="n">
        <v>45316</v>
      </c>
      <c r="E4105" s="1" t="n">
        <v>46316</v>
      </c>
      <c r="F4105" t="inlineStr">
        <is>
          <t>KRONOBERGS LÄN</t>
        </is>
      </c>
      <c r="G4105" t="inlineStr">
        <is>
          <t>VÄXJÖ</t>
        </is>
      </c>
      <c r="I4105" t="n">
        <v>0.5</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37115-2026</t>
        </is>
      </c>
      <c r="B4106" t="inlineStr">
        <is>
          <t>avverkningsanmälan</t>
        </is>
      </c>
      <c r="C4106" t="inlineStr">
        <is>
          <t>Föryngringsavverkning</t>
        </is>
      </c>
      <c r="D4106" s="1" t="n">
        <v>46274</v>
      </c>
      <c r="E4106" s="1" t="n">
        <v>46316</v>
      </c>
      <c r="F4106" t="inlineStr">
        <is>
          <t>KRONOBERGS LÄN</t>
        </is>
      </c>
      <c r="G4106" t="inlineStr">
        <is>
          <t>UPPVIDINGE</t>
        </is>
      </c>
      <c r="I4106" t="n">
        <v>3.8</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2864-2023</t>
        </is>
      </c>
      <c r="B4107" t="inlineStr">
        <is>
          <t>avverkningsanmälan</t>
        </is>
      </c>
      <c r="C4107" t="inlineStr">
        <is>
          <t>Föryngringsavverkning</t>
        </is>
      </c>
      <c r="D4107" s="1" t="n">
        <v>44945</v>
      </c>
      <c r="E4107" s="1" t="n">
        <v>46316</v>
      </c>
      <c r="F4107" t="inlineStr">
        <is>
          <t>KRONOBERGS LÄN</t>
        </is>
      </c>
      <c r="G4107" t="inlineStr">
        <is>
          <t>TINGSRYD</t>
        </is>
      </c>
      <c r="I4107" t="n">
        <v>2.6</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35332-2022</t>
        </is>
      </c>
      <c r="B4108" t="inlineStr">
        <is>
          <t>avverkningsanmälan</t>
        </is>
      </c>
      <c r="C4108" t="inlineStr">
        <is>
          <t>Föryngringsavverkning</t>
        </is>
      </c>
      <c r="D4108" s="1" t="n">
        <v>44798</v>
      </c>
      <c r="E4108" s="1" t="n">
        <v>46316</v>
      </c>
      <c r="F4108" t="inlineStr">
        <is>
          <t>KRONOBERGS LÄN</t>
        </is>
      </c>
      <c r="G4108" t="inlineStr">
        <is>
          <t>LESSEBO</t>
        </is>
      </c>
      <c r="I4108" t="n">
        <v>2.2</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24786-2022</t>
        </is>
      </c>
      <c r="B4109" t="inlineStr">
        <is>
          <t>avverkningsanmälan</t>
        </is>
      </c>
      <c r="C4109" t="inlineStr">
        <is>
          <t>Föryngringsavverkning</t>
        </is>
      </c>
      <c r="D4109" s="1" t="n">
        <v>44728</v>
      </c>
      <c r="E4109" s="1" t="n">
        <v>46316</v>
      </c>
      <c r="F4109" t="inlineStr">
        <is>
          <t>KRONOBERGS LÄN</t>
        </is>
      </c>
      <c r="G4109" t="inlineStr">
        <is>
          <t>TINGSRYD</t>
        </is>
      </c>
      <c r="I4109" t="n">
        <v>2.1</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14125-2023</t>
        </is>
      </c>
      <c r="B4110" t="inlineStr">
        <is>
          <t>avverkningsanmälan</t>
        </is>
      </c>
      <c r="C4110" t="inlineStr">
        <is>
          <t>Föryngringsavverkning</t>
        </is>
      </c>
      <c r="D4110" s="1" t="n">
        <v>45007</v>
      </c>
      <c r="E4110" s="1" t="n">
        <v>46316</v>
      </c>
      <c r="F4110" t="inlineStr">
        <is>
          <t>KRONOBERGS LÄN</t>
        </is>
      </c>
      <c r="G4110" t="inlineStr">
        <is>
          <t>TINGSRYD</t>
        </is>
      </c>
      <c r="I4110" t="n">
        <v>10.5</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11585-2024</t>
        </is>
      </c>
      <c r="B4111" t="inlineStr">
        <is>
          <t>avverkningsanmälan</t>
        </is>
      </c>
      <c r="C4111" t="inlineStr">
        <is>
          <t>Föryngringsavverkning</t>
        </is>
      </c>
      <c r="D4111" s="1" t="n">
        <v>45373</v>
      </c>
      <c r="E4111" s="1" t="n">
        <v>46316</v>
      </c>
      <c r="F4111" t="inlineStr">
        <is>
          <t>KRONOBERGS LÄN</t>
        </is>
      </c>
      <c r="G4111" t="inlineStr">
        <is>
          <t>ÄLMHULT</t>
        </is>
      </c>
      <c r="H4111" t="inlineStr">
        <is>
          <t>Sveaskog</t>
        </is>
      </c>
      <c r="I4111" t="n">
        <v>3.6</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11591-2024</t>
        </is>
      </c>
      <c r="B4112" t="inlineStr">
        <is>
          <t>avverkningsanmälan</t>
        </is>
      </c>
      <c r="C4112" t="inlineStr">
        <is>
          <t>Föryngringsavverkning</t>
        </is>
      </c>
      <c r="D4112" s="1" t="n">
        <v>45373</v>
      </c>
      <c r="E4112" s="1" t="n">
        <v>46316</v>
      </c>
      <c r="F4112" t="inlineStr">
        <is>
          <t>KRONOBERGS LÄN</t>
        </is>
      </c>
      <c r="G4112" t="inlineStr">
        <is>
          <t>ÄLMHULT</t>
        </is>
      </c>
      <c r="H4112" t="inlineStr">
        <is>
          <t>Sveaskog</t>
        </is>
      </c>
      <c r="I4112" t="n">
        <v>0.5</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20081-2024</t>
        </is>
      </c>
      <c r="B4113" t="inlineStr">
        <is>
          <t>avverkningsanmälan</t>
        </is>
      </c>
      <c r="C4113" t="inlineStr">
        <is>
          <t>Föryngringsavverkning</t>
        </is>
      </c>
      <c r="D4113" s="1" t="n">
        <v>45434</v>
      </c>
      <c r="E4113" s="1" t="n">
        <v>46316</v>
      </c>
      <c r="F4113" t="inlineStr">
        <is>
          <t>KRONOBERGS LÄN</t>
        </is>
      </c>
      <c r="G4113" t="inlineStr">
        <is>
          <t>UPPVIDINGE</t>
        </is>
      </c>
      <c r="I4113" t="n">
        <v>1.6</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37095-2026</t>
        </is>
      </c>
      <c r="B4114" t="inlineStr">
        <is>
          <t>avverkningsanmälan</t>
        </is>
      </c>
      <c r="C4114" t="inlineStr">
        <is>
          <t>Föryngringsavverkning</t>
        </is>
      </c>
      <c r="D4114" s="1" t="n">
        <v>46274</v>
      </c>
      <c r="E4114" s="1" t="n">
        <v>46316</v>
      </c>
      <c r="F4114" t="inlineStr">
        <is>
          <t>KRONOBERGS LÄN</t>
        </is>
      </c>
      <c r="G4114" t="inlineStr">
        <is>
          <t>ALVESTA</t>
        </is>
      </c>
      <c r="I4114" t="n">
        <v>1.3</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37290-2026</t>
        </is>
      </c>
      <c r="B4115" t="inlineStr">
        <is>
          <t>avverkningsanmälan</t>
        </is>
      </c>
      <c r="C4115" t="inlineStr">
        <is>
          <t>Föryngringsavverkning</t>
        </is>
      </c>
      <c r="D4115" s="1" t="n">
        <v>46274</v>
      </c>
      <c r="E4115" s="1" t="n">
        <v>46316</v>
      </c>
      <c r="F4115" t="inlineStr">
        <is>
          <t>KRONOBERGS LÄN</t>
        </is>
      </c>
      <c r="G4115" t="inlineStr">
        <is>
          <t>LJUNGBY</t>
        </is>
      </c>
      <c r="I4115" t="n">
        <v>1.4</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73667-2021</t>
        </is>
      </c>
      <c r="B4116" t="inlineStr">
        <is>
          <t>avverkningsanmälan</t>
        </is>
      </c>
      <c r="C4116" t="inlineStr">
        <is>
          <t>Föryngringsavverkning</t>
        </is>
      </c>
      <c r="D4116" s="1" t="n">
        <v>44552</v>
      </c>
      <c r="E4116" s="1" t="n">
        <v>46316</v>
      </c>
      <c r="F4116" t="inlineStr">
        <is>
          <t>KRONOBERGS LÄN</t>
        </is>
      </c>
      <c r="G4116" t="inlineStr">
        <is>
          <t>UPPVIDINGE</t>
        </is>
      </c>
      <c r="I4116" t="n">
        <v>1.8</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57130-2024</t>
        </is>
      </c>
      <c r="B4117" t="inlineStr">
        <is>
          <t>avverkningsanmälan</t>
        </is>
      </c>
      <c r="C4117" t="inlineStr">
        <is>
          <t>Föryngringsavverkning</t>
        </is>
      </c>
      <c r="D4117" s="1" t="n">
        <v>45629</v>
      </c>
      <c r="E4117" s="1" t="n">
        <v>46316</v>
      </c>
      <c r="F4117" t="inlineStr">
        <is>
          <t>KRONOBERGS LÄN</t>
        </is>
      </c>
      <c r="G4117" t="inlineStr">
        <is>
          <t>UPPVIDINGE</t>
        </is>
      </c>
      <c r="H4117" t="inlineStr">
        <is>
          <t>Sveaskog</t>
        </is>
      </c>
      <c r="I4117" t="n">
        <v>1.8</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7503-2023</t>
        </is>
      </c>
      <c r="B4118" t="inlineStr">
        <is>
          <t>avverkningsanmälan</t>
        </is>
      </c>
      <c r="C4118" t="inlineStr">
        <is>
          <t>Föryngringsavverkning</t>
        </is>
      </c>
      <c r="D4118" s="1" t="n">
        <v>44971</v>
      </c>
      <c r="E4118" s="1" t="n">
        <v>46316</v>
      </c>
      <c r="F4118" t="inlineStr">
        <is>
          <t>KRONOBERGS LÄN</t>
        </is>
      </c>
      <c r="G4118" t="inlineStr">
        <is>
          <t>UPPVIDINGE</t>
        </is>
      </c>
      <c r="I4118" t="n">
        <v>0.5</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39478-2024</t>
        </is>
      </c>
      <c r="B4119" t="inlineStr">
        <is>
          <t>avverkningsanmälan</t>
        </is>
      </c>
      <c r="C4119" t="inlineStr">
        <is>
          <t>Föryngringsavverkning</t>
        </is>
      </c>
      <c r="D4119" s="1" t="n">
        <v>45551</v>
      </c>
      <c r="E4119" s="1" t="n">
        <v>46316</v>
      </c>
      <c r="F4119" t="inlineStr">
        <is>
          <t>KRONOBERGS LÄN</t>
        </is>
      </c>
      <c r="G4119" t="inlineStr">
        <is>
          <t>VÄXJÖ</t>
        </is>
      </c>
      <c r="I4119" t="n">
        <v>1.9</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20168-2023</t>
        </is>
      </c>
      <c r="B4120" t="inlineStr">
        <is>
          <t>avverkningsanmälan</t>
        </is>
      </c>
      <c r="C4120" t="inlineStr">
        <is>
          <t>Föryngringsavverkning</t>
        </is>
      </c>
      <c r="D4120" s="1" t="n">
        <v>45055</v>
      </c>
      <c r="E4120" s="1" t="n">
        <v>46316</v>
      </c>
      <c r="F4120" t="inlineStr">
        <is>
          <t>KRONOBERGS LÄN</t>
        </is>
      </c>
      <c r="G4120" t="inlineStr">
        <is>
          <t>LJUNGBY</t>
        </is>
      </c>
      <c r="I4120" t="n">
        <v>0.5</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7719-2024</t>
        </is>
      </c>
      <c r="B4121" t="inlineStr">
        <is>
          <t>avverkningsanmälan</t>
        </is>
      </c>
      <c r="C4121" t="inlineStr">
        <is>
          <t>Föryngringsavverkning</t>
        </is>
      </c>
      <c r="D4121" s="1" t="n">
        <v>45349</v>
      </c>
      <c r="E4121" s="1" t="n">
        <v>46316</v>
      </c>
      <c r="F4121" t="inlineStr">
        <is>
          <t>KRONOBERGS LÄN</t>
        </is>
      </c>
      <c r="G4121" t="inlineStr">
        <is>
          <t>LJUNGBY</t>
        </is>
      </c>
      <c r="I4121" t="n">
        <v>0.7</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37015-2023</t>
        </is>
      </c>
      <c r="B4122" t="inlineStr">
        <is>
          <t>avverkningsanmälan</t>
        </is>
      </c>
      <c r="C4122" t="inlineStr">
        <is>
          <t>Föryngringsavverkning</t>
        </is>
      </c>
      <c r="D4122" s="1" t="n">
        <v>45155</v>
      </c>
      <c r="E4122" s="1" t="n">
        <v>46316</v>
      </c>
      <c r="F4122" t="inlineStr">
        <is>
          <t>KRONOBERGS LÄN</t>
        </is>
      </c>
      <c r="G4122" t="inlineStr">
        <is>
          <t>ÄLMHULT</t>
        </is>
      </c>
      <c r="I4122" t="n">
        <v>0.6</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57374-2022</t>
        </is>
      </c>
      <c r="B4123" t="inlineStr">
        <is>
          <t>avverkningsanmälan</t>
        </is>
      </c>
      <c r="C4123" t="inlineStr">
        <is>
          <t>Föryngringsavverkning</t>
        </is>
      </c>
      <c r="D4123" s="1" t="n">
        <v>44896</v>
      </c>
      <c r="E4123" s="1" t="n">
        <v>46316</v>
      </c>
      <c r="F4123" t="inlineStr">
        <is>
          <t>KRONOBERGS LÄN</t>
        </is>
      </c>
      <c r="G4123" t="inlineStr">
        <is>
          <t>VÄXJÖ</t>
        </is>
      </c>
      <c r="I4123" t="n">
        <v>0.2</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59604-2022</t>
        </is>
      </c>
      <c r="B4124" t="inlineStr">
        <is>
          <t>avverkningsanmälan</t>
        </is>
      </c>
      <c r="C4124" t="inlineStr">
        <is>
          <t>Föryngringsavverkning</t>
        </is>
      </c>
      <c r="D4124" s="1" t="n">
        <v>44907</v>
      </c>
      <c r="E4124" s="1" t="n">
        <v>46316</v>
      </c>
      <c r="F4124" t="inlineStr">
        <is>
          <t>KRONOBERGS LÄN</t>
        </is>
      </c>
      <c r="G4124" t="inlineStr">
        <is>
          <t>TINGSRYD</t>
        </is>
      </c>
      <c r="I4124" t="n">
        <v>6.5</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31979-2026</t>
        </is>
      </c>
      <c r="B4125" t="inlineStr">
        <is>
          <t>avverkningsanmälan</t>
        </is>
      </c>
      <c r="C4125" t="inlineStr">
        <is>
          <t>Föryngringsavverkning</t>
        </is>
      </c>
      <c r="D4125" s="1" t="n">
        <v>46232</v>
      </c>
      <c r="E4125" s="1" t="n">
        <v>46316</v>
      </c>
      <c r="F4125" t="inlineStr">
        <is>
          <t>KRONOBERGS LÄN</t>
        </is>
      </c>
      <c r="G4125" t="inlineStr">
        <is>
          <t>VÄXJÖ</t>
        </is>
      </c>
      <c r="I4125" t="n">
        <v>0.9</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3987-2025</t>
        </is>
      </c>
      <c r="B4126" t="inlineStr">
        <is>
          <t>avverkningsanmälan</t>
        </is>
      </c>
      <c r="C4126" t="inlineStr">
        <is>
          <t>Föryngringsavverkning</t>
        </is>
      </c>
      <c r="D4126" s="1" t="n">
        <v>45684</v>
      </c>
      <c r="E4126" s="1" t="n">
        <v>46316</v>
      </c>
      <c r="F4126" t="inlineStr">
        <is>
          <t>KRONOBERGS LÄN</t>
        </is>
      </c>
      <c r="G4126" t="inlineStr">
        <is>
          <t>TINGSRYD</t>
        </is>
      </c>
      <c r="I4126" t="n">
        <v>3.9</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11065-2023</t>
        </is>
      </c>
      <c r="B4127" t="inlineStr">
        <is>
          <t>avverkningsanmälan</t>
        </is>
      </c>
      <c r="C4127" t="inlineStr">
        <is>
          <t>Föryngringsavverkning</t>
        </is>
      </c>
      <c r="D4127" s="1" t="n">
        <v>44992</v>
      </c>
      <c r="E4127" s="1" t="n">
        <v>46316</v>
      </c>
      <c r="F4127" t="inlineStr">
        <is>
          <t>KRONOBERGS LÄN</t>
        </is>
      </c>
      <c r="G4127" t="inlineStr">
        <is>
          <t>MARKARYD</t>
        </is>
      </c>
      <c r="I4127" t="n">
        <v>1.1</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50465-2024</t>
        </is>
      </c>
      <c r="B4128" t="inlineStr">
        <is>
          <t>avverkningsanmälan</t>
        </is>
      </c>
      <c r="C4128" t="inlineStr">
        <is>
          <t>Föryngringsavverkning</t>
        </is>
      </c>
      <c r="D4128" s="1" t="n">
        <v>45601</v>
      </c>
      <c r="E4128" s="1" t="n">
        <v>46316</v>
      </c>
      <c r="F4128" t="inlineStr">
        <is>
          <t>KRONOBERGS LÄN</t>
        </is>
      </c>
      <c r="G4128" t="inlineStr">
        <is>
          <t>VÄXJÖ</t>
        </is>
      </c>
      <c r="I4128" t="n">
        <v>1.5</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37292-2026</t>
        </is>
      </c>
      <c r="B4129" t="inlineStr">
        <is>
          <t>avverkningsanmälan</t>
        </is>
      </c>
      <c r="C4129" t="inlineStr">
        <is>
          <t>Föryngringsavverkning</t>
        </is>
      </c>
      <c r="D4129" s="1" t="n">
        <v>46274</v>
      </c>
      <c r="E4129" s="1" t="n">
        <v>46316</v>
      </c>
      <c r="F4129" t="inlineStr">
        <is>
          <t>KRONOBERGS LÄN</t>
        </is>
      </c>
      <c r="G4129" t="inlineStr">
        <is>
          <t>LJUNGBY</t>
        </is>
      </c>
      <c r="I4129" t="n">
        <v>1.3</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37149-2026</t>
        </is>
      </c>
      <c r="B4130" t="inlineStr">
        <is>
          <t>avverkningsanmälan</t>
        </is>
      </c>
      <c r="C4130" t="inlineStr">
        <is>
          <t>Föryngringsavverkning</t>
        </is>
      </c>
      <c r="D4130" s="1" t="n">
        <v>46274</v>
      </c>
      <c r="E4130" s="1" t="n">
        <v>46316</v>
      </c>
      <c r="F4130" t="inlineStr">
        <is>
          <t>KRONOBERGS LÄN</t>
        </is>
      </c>
      <c r="G4130" t="inlineStr">
        <is>
          <t>ALVESTA</t>
        </is>
      </c>
      <c r="I4130" t="n">
        <v>1.7</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61193-2022</t>
        </is>
      </c>
      <c r="B4131" t="inlineStr">
        <is>
          <t>avverkningsanmälan</t>
        </is>
      </c>
      <c r="C4131" t="inlineStr">
        <is>
          <t>Föryngringsavverkning</t>
        </is>
      </c>
      <c r="D4131" s="1" t="n">
        <v>44915</v>
      </c>
      <c r="E4131" s="1" t="n">
        <v>46316</v>
      </c>
      <c r="F4131" t="inlineStr">
        <is>
          <t>KRONOBERGS LÄN</t>
        </is>
      </c>
      <c r="G4131" t="inlineStr">
        <is>
          <t>LJUNGBY</t>
        </is>
      </c>
      <c r="I4131" t="n">
        <v>3.1</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37786-2026</t>
        </is>
      </c>
      <c r="B4132" t="inlineStr">
        <is>
          <t>avverkningsanmälan</t>
        </is>
      </c>
      <c r="C4132" t="inlineStr">
        <is>
          <t>Föryngringsavverkning</t>
        </is>
      </c>
      <c r="D4132" s="1" t="n">
        <v>46279</v>
      </c>
      <c r="E4132" s="1" t="n">
        <v>46316</v>
      </c>
      <c r="F4132" t="inlineStr">
        <is>
          <t>KRONOBERGS LÄN</t>
        </is>
      </c>
      <c r="G4132" t="inlineStr">
        <is>
          <t>LESSEBO</t>
        </is>
      </c>
      <c r="I4132" t="n">
        <v>1.4</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20825-2023</t>
        </is>
      </c>
      <c r="B4133" t="inlineStr">
        <is>
          <t>avverkningsanmälan</t>
        </is>
      </c>
      <c r="C4133" t="inlineStr">
        <is>
          <t>Föryngringsavverkning</t>
        </is>
      </c>
      <c r="D4133" s="1" t="n">
        <v>45058</v>
      </c>
      <c r="E4133" s="1" t="n">
        <v>46316</v>
      </c>
      <c r="F4133" t="inlineStr">
        <is>
          <t>KRONOBERGS LÄN</t>
        </is>
      </c>
      <c r="G4133" t="inlineStr">
        <is>
          <t>LESSEBO</t>
        </is>
      </c>
      <c r="I4133" t="n">
        <v>0.9</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52858-2024</t>
        </is>
      </c>
      <c r="B4134" t="inlineStr">
        <is>
          <t>avverkningsanmälan</t>
        </is>
      </c>
      <c r="C4134" t="inlineStr">
        <is>
          <t>Föryngringsavverkning</t>
        </is>
      </c>
      <c r="D4134" s="1" t="n">
        <v>45610</v>
      </c>
      <c r="E4134" s="1" t="n">
        <v>46316</v>
      </c>
      <c r="F4134" t="inlineStr">
        <is>
          <t>KRONOBERGS LÄN</t>
        </is>
      </c>
      <c r="G4134" t="inlineStr">
        <is>
          <t>LJUNGBY</t>
        </is>
      </c>
      <c r="I4134" t="n">
        <v>0.8</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30108-2022</t>
        </is>
      </c>
      <c r="B4135" t="inlineStr">
        <is>
          <t>avverkningsanmälan</t>
        </is>
      </c>
      <c r="C4135" t="inlineStr">
        <is>
          <t>Föryngringsavverkning</t>
        </is>
      </c>
      <c r="D4135" s="1" t="n">
        <v>44757</v>
      </c>
      <c r="E4135" s="1" t="n">
        <v>46316</v>
      </c>
      <c r="F4135" t="inlineStr">
        <is>
          <t>KRONOBERGS LÄN</t>
        </is>
      </c>
      <c r="G4135" t="inlineStr">
        <is>
          <t>UPPVIDINGE</t>
        </is>
      </c>
      <c r="H4135" t="inlineStr">
        <is>
          <t>Sveaskog</t>
        </is>
      </c>
      <c r="I4135" t="n">
        <v>1.9</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32306-2026</t>
        </is>
      </c>
      <c r="B4136" t="inlineStr">
        <is>
          <t>avverkningsanmälan</t>
        </is>
      </c>
      <c r="C4136" t="inlineStr">
        <is>
          <t>Föryngringsavverkning</t>
        </is>
      </c>
      <c r="D4136" s="1" t="n">
        <v>46237</v>
      </c>
      <c r="E4136" s="1" t="n">
        <v>46316</v>
      </c>
      <c r="F4136" t="inlineStr">
        <is>
          <t>KRONOBERGS LÄN</t>
        </is>
      </c>
      <c r="G4136" t="inlineStr">
        <is>
          <t>VÄXJÖ</t>
        </is>
      </c>
      <c r="I4136" t="n">
        <v>0.7</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37670-2026</t>
        </is>
      </c>
      <c r="B4137" t="inlineStr">
        <is>
          <t>avverkningsanmälan</t>
        </is>
      </c>
      <c r="C4137" t="inlineStr">
        <is>
          <t>Föryngringsavverkning</t>
        </is>
      </c>
      <c r="D4137" s="1" t="n">
        <v>46277</v>
      </c>
      <c r="E4137" s="1" t="n">
        <v>46316</v>
      </c>
      <c r="F4137" t="inlineStr">
        <is>
          <t>KRONOBERGS LÄN</t>
        </is>
      </c>
      <c r="G4137" t="inlineStr">
        <is>
          <t>LJUNGBY</t>
        </is>
      </c>
      <c r="I4137" t="n">
        <v>1.9</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43343-2023</t>
        </is>
      </c>
      <c r="B4138" t="inlineStr">
        <is>
          <t>avverkningsanmälan</t>
        </is>
      </c>
      <c r="C4138" t="inlineStr">
        <is>
          <t>Föryngringsavverkning</t>
        </is>
      </c>
      <c r="D4138" s="1" t="n">
        <v>45183</v>
      </c>
      <c r="E4138" s="1" t="n">
        <v>46316</v>
      </c>
      <c r="F4138" t="inlineStr">
        <is>
          <t>KRONOBERGS LÄN</t>
        </is>
      </c>
      <c r="G4138" t="inlineStr">
        <is>
          <t>LJUNGBY</t>
        </is>
      </c>
      <c r="I4138" t="n">
        <v>0.7</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3357-2025</t>
        </is>
      </c>
      <c r="B4139" t="inlineStr">
        <is>
          <t>avverkningsanmälan</t>
        </is>
      </c>
      <c r="C4139" t="inlineStr">
        <is>
          <t>Föryngringsavverkning</t>
        </is>
      </c>
      <c r="D4139" s="1" t="n">
        <v>45679</v>
      </c>
      <c r="E4139" s="1" t="n">
        <v>46316</v>
      </c>
      <c r="F4139" t="inlineStr">
        <is>
          <t>KRONOBERGS LÄN</t>
        </is>
      </c>
      <c r="G4139" t="inlineStr">
        <is>
          <t>VÄXJÖ</t>
        </is>
      </c>
      <c r="I4139" t="n">
        <v>0.6</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20618-2024</t>
        </is>
      </c>
      <c r="B4140" t="inlineStr">
        <is>
          <t>avverkningsanmälan</t>
        </is>
      </c>
      <c r="C4140" t="inlineStr">
        <is>
          <t>Föryngringsavverkning</t>
        </is>
      </c>
      <c r="D4140" s="1" t="n">
        <v>45436</v>
      </c>
      <c r="E4140" s="1" t="n">
        <v>46316</v>
      </c>
      <c r="F4140" t="inlineStr">
        <is>
          <t>KRONOBERGS LÄN</t>
        </is>
      </c>
      <c r="G4140" t="inlineStr">
        <is>
          <t>ALVESTA</t>
        </is>
      </c>
      <c r="I4140" t="n">
        <v>0.7</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37780-2026</t>
        </is>
      </c>
      <c r="B4141" t="inlineStr">
        <is>
          <t>avverkningsanmälan</t>
        </is>
      </c>
      <c r="C4141" t="inlineStr">
        <is>
          <t>Avverkning för annat ändamål</t>
        </is>
      </c>
      <c r="D4141" s="1" t="n">
        <v>46279</v>
      </c>
      <c r="E4141" s="1" t="n">
        <v>46316</v>
      </c>
      <c r="F4141" t="inlineStr">
        <is>
          <t>KRONOBERGS LÄN</t>
        </is>
      </c>
      <c r="G4141" t="inlineStr">
        <is>
          <t>LJUNGBY</t>
        </is>
      </c>
      <c r="I4141" t="n">
        <v>3</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32126-2026</t>
        </is>
      </c>
      <c r="B4142" t="inlineStr">
        <is>
          <t>avverkningsanmälan</t>
        </is>
      </c>
      <c r="C4142" t="inlineStr">
        <is>
          <t>Avverkning för annat ändamål</t>
        </is>
      </c>
      <c r="D4142" s="1" t="n">
        <v>46234</v>
      </c>
      <c r="E4142" s="1" t="n">
        <v>46316</v>
      </c>
      <c r="F4142" t="inlineStr">
        <is>
          <t>KRONOBERGS LÄN</t>
        </is>
      </c>
      <c r="G4142" t="inlineStr">
        <is>
          <t>ÄLMHULT</t>
        </is>
      </c>
      <c r="H4142" t="inlineStr">
        <is>
          <t>Kommuner</t>
        </is>
      </c>
      <c r="I4142" t="n">
        <v>0.7</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37529-2026</t>
        </is>
      </c>
      <c r="B4143" t="inlineStr">
        <is>
          <t>avverkningsanmälan</t>
        </is>
      </c>
      <c r="C4143" t="inlineStr">
        <is>
          <t>Föryngringsavverkning</t>
        </is>
      </c>
      <c r="D4143" s="1" t="n">
        <v>46276</v>
      </c>
      <c r="E4143" s="1" t="n">
        <v>46316</v>
      </c>
      <c r="F4143" t="inlineStr">
        <is>
          <t>KRONOBERGS LÄN</t>
        </is>
      </c>
      <c r="G4143" t="inlineStr">
        <is>
          <t>VÄXJÖ</t>
        </is>
      </c>
      <c r="I4143" t="n">
        <v>2.4</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42905-2023</t>
        </is>
      </c>
      <c r="B4144" t="inlineStr">
        <is>
          <t>avverkningsanmälan</t>
        </is>
      </c>
      <c r="C4144" t="inlineStr">
        <is>
          <t>Föryngringsavverkning</t>
        </is>
      </c>
      <c r="D4144" s="1" t="n">
        <v>45182</v>
      </c>
      <c r="E4144" s="1" t="n">
        <v>46316</v>
      </c>
      <c r="F4144" t="inlineStr">
        <is>
          <t>KRONOBERGS LÄN</t>
        </is>
      </c>
      <c r="G4144" t="inlineStr">
        <is>
          <t>ALVESTA</t>
        </is>
      </c>
      <c r="I4144" t="n">
        <v>2.9</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3070-2024</t>
        </is>
      </c>
      <c r="B4145" t="inlineStr">
        <is>
          <t>avverkningsanmälan</t>
        </is>
      </c>
      <c r="C4145" t="inlineStr">
        <is>
          <t>Föryngringsavverkning</t>
        </is>
      </c>
      <c r="D4145" s="1" t="n">
        <v>45316</v>
      </c>
      <c r="E4145" s="1" t="n">
        <v>46316</v>
      </c>
      <c r="F4145" t="inlineStr">
        <is>
          <t>KRONOBERGS LÄN</t>
        </is>
      </c>
      <c r="G4145" t="inlineStr">
        <is>
          <t>VÄXJÖ</t>
        </is>
      </c>
      <c r="I4145" t="n">
        <v>0.6</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37695-2026</t>
        </is>
      </c>
      <c r="B4146" t="inlineStr">
        <is>
          <t>avverkningsanmälan</t>
        </is>
      </c>
      <c r="C4146" t="inlineStr">
        <is>
          <t>Föryngringsavverkning</t>
        </is>
      </c>
      <c r="D4146" s="1" t="n">
        <v>46279</v>
      </c>
      <c r="E4146" s="1" t="n">
        <v>46316</v>
      </c>
      <c r="F4146" t="inlineStr">
        <is>
          <t>KRONOBERGS LÄN</t>
        </is>
      </c>
      <c r="G4146" t="inlineStr">
        <is>
          <t>ALVESTA</t>
        </is>
      </c>
      <c r="I4146" t="n">
        <v>0.9</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28027-2024</t>
        </is>
      </c>
      <c r="B4147" t="inlineStr">
        <is>
          <t>avverkningsanmälan</t>
        </is>
      </c>
      <c r="C4147" t="inlineStr">
        <is>
          <t>Föryngringsavverkning</t>
        </is>
      </c>
      <c r="D4147" s="1" t="n">
        <v>45476</v>
      </c>
      <c r="E4147" s="1" t="n">
        <v>46316</v>
      </c>
      <c r="F4147" t="inlineStr">
        <is>
          <t>KRONOBERGS LÄN</t>
        </is>
      </c>
      <c r="G4147" t="inlineStr">
        <is>
          <t>ALVESTA</t>
        </is>
      </c>
      <c r="I4147" t="n">
        <v>0.9</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28086-2024</t>
        </is>
      </c>
      <c r="B4148" t="inlineStr">
        <is>
          <t>avverkningsanmälan</t>
        </is>
      </c>
      <c r="C4148" t="inlineStr">
        <is>
          <t>Föryngringsavverkning</t>
        </is>
      </c>
      <c r="D4148" s="1" t="n">
        <v>45476</v>
      </c>
      <c r="E4148" s="1" t="n">
        <v>46316</v>
      </c>
      <c r="F4148" t="inlineStr">
        <is>
          <t>KRONOBERGS LÄN</t>
        </is>
      </c>
      <c r="G4148" t="inlineStr">
        <is>
          <t>MARKARYD</t>
        </is>
      </c>
      <c r="I4148" t="n">
        <v>2.4</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37642-2026</t>
        </is>
      </c>
      <c r="B4149" t="inlineStr">
        <is>
          <t>avverkningsanmälan</t>
        </is>
      </c>
      <c r="C4149" t="inlineStr">
        <is>
          <t>Föryngringsavverkning</t>
        </is>
      </c>
      <c r="D4149" s="1" t="n">
        <v>46276</v>
      </c>
      <c r="E4149" s="1" t="n">
        <v>46316</v>
      </c>
      <c r="F4149" t="inlineStr">
        <is>
          <t>KRONOBERGS LÄN</t>
        </is>
      </c>
      <c r="G4149" t="inlineStr">
        <is>
          <t>VÄXJÖ</t>
        </is>
      </c>
      <c r="I4149" t="n">
        <v>0.6</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33278-2023</t>
        </is>
      </c>
      <c r="B4150" t="inlineStr">
        <is>
          <t>avverkningsanmälan</t>
        </is>
      </c>
      <c r="C4150" t="inlineStr">
        <is>
          <t>Föryngringsavverkning</t>
        </is>
      </c>
      <c r="D4150" s="1" t="n">
        <v>45127</v>
      </c>
      <c r="E4150" s="1" t="n">
        <v>46316</v>
      </c>
      <c r="F4150" t="inlineStr">
        <is>
          <t>KRONOBERGS LÄN</t>
        </is>
      </c>
      <c r="G4150" t="inlineStr">
        <is>
          <t>MARKARYD</t>
        </is>
      </c>
      <c r="I4150" t="n">
        <v>0.8</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37868-2026</t>
        </is>
      </c>
      <c r="B4151" t="inlineStr">
        <is>
          <t>avverkningsanmälan</t>
        </is>
      </c>
      <c r="C4151" t="inlineStr">
        <is>
          <t>Föryngringsavverkning</t>
        </is>
      </c>
      <c r="D4151" s="1" t="n">
        <v>46279</v>
      </c>
      <c r="E4151" s="1" t="n">
        <v>46316</v>
      </c>
      <c r="F4151" t="inlineStr">
        <is>
          <t>KRONOBERGS LÄN</t>
        </is>
      </c>
      <c r="G4151" t="inlineStr">
        <is>
          <t>TINGSRYD</t>
        </is>
      </c>
      <c r="I4151" t="n">
        <v>2.6</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31845-2024</t>
        </is>
      </c>
      <c r="B4152" t="inlineStr">
        <is>
          <t>avverkningsanmälan</t>
        </is>
      </c>
      <c r="C4152" t="inlineStr">
        <is>
          <t>Föryngringsavverkning</t>
        </is>
      </c>
      <c r="D4152" s="1" t="n">
        <v>45509</v>
      </c>
      <c r="E4152" s="1" t="n">
        <v>46316</v>
      </c>
      <c r="F4152" t="inlineStr">
        <is>
          <t>KRONOBERGS LÄN</t>
        </is>
      </c>
      <c r="G4152" t="inlineStr">
        <is>
          <t>LJUNGBY</t>
        </is>
      </c>
      <c r="H4152" t="inlineStr">
        <is>
          <t>Sveaskog</t>
        </is>
      </c>
      <c r="I4152" t="n">
        <v>3</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11350-2025</t>
        </is>
      </c>
      <c r="B4153" t="inlineStr">
        <is>
          <t>avverkningsanmälan</t>
        </is>
      </c>
      <c r="C4153" t="inlineStr">
        <is>
          <t>Föryngringsavverkning</t>
        </is>
      </c>
      <c r="D4153" s="1" t="n">
        <v>45726</v>
      </c>
      <c r="E4153" s="1" t="n">
        <v>46316</v>
      </c>
      <c r="F4153" t="inlineStr">
        <is>
          <t>KRONOBERGS LÄN</t>
        </is>
      </c>
      <c r="G4153" t="inlineStr">
        <is>
          <t>LJUNGBY</t>
        </is>
      </c>
      <c r="I4153" t="n">
        <v>3.8</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37793-2026</t>
        </is>
      </c>
      <c r="B4154" t="inlineStr">
        <is>
          <t>avverkningsanmälan</t>
        </is>
      </c>
      <c r="C4154" t="inlineStr">
        <is>
          <t>Föryngringsavverkning</t>
        </is>
      </c>
      <c r="D4154" s="1" t="n">
        <v>46279</v>
      </c>
      <c r="E4154" s="1" t="n">
        <v>46316</v>
      </c>
      <c r="F4154" t="inlineStr">
        <is>
          <t>KRONOBERGS LÄN</t>
        </is>
      </c>
      <c r="G4154" t="inlineStr">
        <is>
          <t>ÄLMHULT</t>
        </is>
      </c>
      <c r="I4154" t="n">
        <v>2.2</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34549-2023</t>
        </is>
      </c>
      <c r="B4155" t="inlineStr">
        <is>
          <t>avverkningsanmälan</t>
        </is>
      </c>
      <c r="C4155" t="inlineStr">
        <is>
          <t>Föryngringsavverkning</t>
        </is>
      </c>
      <c r="D4155" s="1" t="n">
        <v>45140</v>
      </c>
      <c r="E4155" s="1" t="n">
        <v>46316</v>
      </c>
      <c r="F4155" t="inlineStr">
        <is>
          <t>KRONOBERGS LÄN</t>
        </is>
      </c>
      <c r="G4155" t="inlineStr">
        <is>
          <t>VÄXJÖ</t>
        </is>
      </c>
      <c r="I4155" t="n">
        <v>1.6</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13751-2025</t>
        </is>
      </c>
      <c r="B4156" t="inlineStr">
        <is>
          <t>avverkningsanmälan</t>
        </is>
      </c>
      <c r="C4156" t="inlineStr">
        <is>
          <t>Föryngringsavverkning</t>
        </is>
      </c>
      <c r="D4156" s="1" t="n">
        <v>45737</v>
      </c>
      <c r="E4156" s="1" t="n">
        <v>46316</v>
      </c>
      <c r="F4156" t="inlineStr">
        <is>
          <t>KRONOBERGS LÄN</t>
        </is>
      </c>
      <c r="G4156" t="inlineStr">
        <is>
          <t>LESSEBO</t>
        </is>
      </c>
      <c r="I4156" t="n">
        <v>0.7</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32175-2026</t>
        </is>
      </c>
      <c r="B4157" t="inlineStr">
        <is>
          <t>avverkningsanmälan</t>
        </is>
      </c>
      <c r="C4157" t="inlineStr">
        <is>
          <t>Föryngringsavverkning</t>
        </is>
      </c>
      <c r="D4157" s="1" t="n">
        <v>46237</v>
      </c>
      <c r="E4157" s="1" t="n">
        <v>46316</v>
      </c>
      <c r="F4157" t="inlineStr">
        <is>
          <t>KRONOBERGS LÄN</t>
        </is>
      </c>
      <c r="G4157" t="inlineStr">
        <is>
          <t>UPPVIDINGE</t>
        </is>
      </c>
      <c r="I4157" t="n">
        <v>1.5</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19584-2023</t>
        </is>
      </c>
      <c r="B4158" t="inlineStr">
        <is>
          <t>avverkningsanmälan</t>
        </is>
      </c>
      <c r="C4158" t="inlineStr">
        <is>
          <t>Föryngringsavverkning</t>
        </is>
      </c>
      <c r="D4158" s="1" t="n">
        <v>45049</v>
      </c>
      <c r="E4158" s="1" t="n">
        <v>46316</v>
      </c>
      <c r="F4158" t="inlineStr">
        <is>
          <t>KRONOBERGS LÄN</t>
        </is>
      </c>
      <c r="G4158" t="inlineStr">
        <is>
          <t>UPPVIDINGE</t>
        </is>
      </c>
      <c r="I4158" t="n">
        <v>0.9</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22436-2024</t>
        </is>
      </c>
      <c r="B4159" t="inlineStr">
        <is>
          <t>avverkningsanmälan</t>
        </is>
      </c>
      <c r="C4159" t="inlineStr">
        <is>
          <t>Föryngringsavverkning</t>
        </is>
      </c>
      <c r="D4159" s="1" t="n">
        <v>45446</v>
      </c>
      <c r="E4159" s="1" t="n">
        <v>46316</v>
      </c>
      <c r="F4159" t="inlineStr">
        <is>
          <t>KRONOBERGS LÄN</t>
        </is>
      </c>
      <c r="G4159" t="inlineStr">
        <is>
          <t>VÄXJÖ</t>
        </is>
      </c>
      <c r="H4159" t="inlineStr">
        <is>
          <t>Övriga Aktiebolag</t>
        </is>
      </c>
      <c r="I4159" t="n">
        <v>0.5</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32287-2026</t>
        </is>
      </c>
      <c r="B4160" t="inlineStr">
        <is>
          <t>avverkningsanmälan</t>
        </is>
      </c>
      <c r="C4160" t="inlineStr">
        <is>
          <t>Föryngringsavverkning</t>
        </is>
      </c>
      <c r="D4160" s="1" t="n">
        <v>46237</v>
      </c>
      <c r="E4160" s="1" t="n">
        <v>46316</v>
      </c>
      <c r="F4160" t="inlineStr">
        <is>
          <t>KRONOBERGS LÄN</t>
        </is>
      </c>
      <c r="G4160" t="inlineStr">
        <is>
          <t>UPPVIDINGE</t>
        </is>
      </c>
      <c r="H4160" t="inlineStr">
        <is>
          <t>Sveaskog</t>
        </is>
      </c>
      <c r="I4160" t="n">
        <v>8.9</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13973-2024</t>
        </is>
      </c>
      <c r="B4161" t="inlineStr">
        <is>
          <t>avverkningsanmälan</t>
        </is>
      </c>
      <c r="C4161" t="inlineStr">
        <is>
          <t>Föryngringsavverkning</t>
        </is>
      </c>
      <c r="D4161" s="1" t="n">
        <v>45392</v>
      </c>
      <c r="E4161" s="1" t="n">
        <v>46316</v>
      </c>
      <c r="F4161" t="inlineStr">
        <is>
          <t>KRONOBERGS LÄN</t>
        </is>
      </c>
      <c r="G4161" t="inlineStr">
        <is>
          <t>VÄXJÖ</t>
        </is>
      </c>
      <c r="H4161" t="inlineStr">
        <is>
          <t>Sveaskog</t>
        </is>
      </c>
      <c r="I4161" t="n">
        <v>0.9</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34543-2023</t>
        </is>
      </c>
      <c r="B4162" t="inlineStr">
        <is>
          <t>avverkningsanmälan</t>
        </is>
      </c>
      <c r="C4162" t="inlineStr">
        <is>
          <t>Föryngringsavverkning</t>
        </is>
      </c>
      <c r="D4162" s="1" t="n">
        <v>45140</v>
      </c>
      <c r="E4162" s="1" t="n">
        <v>46316</v>
      </c>
      <c r="F4162" t="inlineStr">
        <is>
          <t>KRONOBERGS LÄN</t>
        </is>
      </c>
      <c r="G4162" t="inlineStr">
        <is>
          <t>UPPVIDINGE</t>
        </is>
      </c>
      <c r="I4162" t="n">
        <v>1.3</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38255-2026</t>
        </is>
      </c>
      <c r="B4163" t="inlineStr">
        <is>
          <t>avverkningsanmälan</t>
        </is>
      </c>
      <c r="C4163" t="inlineStr">
        <is>
          <t>Föryngringsavverkning</t>
        </is>
      </c>
      <c r="D4163" s="1" t="n">
        <v>46281</v>
      </c>
      <c r="E4163" s="1" t="n">
        <v>46316</v>
      </c>
      <c r="F4163" t="inlineStr">
        <is>
          <t>KRONOBERGS LÄN</t>
        </is>
      </c>
      <c r="G4163" t="inlineStr">
        <is>
          <t>ALVESTA</t>
        </is>
      </c>
      <c r="I4163" t="n">
        <v>2.5</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1918-2024</t>
        </is>
      </c>
      <c r="B4164" t="inlineStr">
        <is>
          <t>avverkningsanmälan</t>
        </is>
      </c>
      <c r="C4164" t="inlineStr">
        <is>
          <t>Föryngringsavverkning</t>
        </is>
      </c>
      <c r="D4164" s="1" t="n">
        <v>45308</v>
      </c>
      <c r="E4164" s="1" t="n">
        <v>46316</v>
      </c>
      <c r="F4164" t="inlineStr">
        <is>
          <t>KRONOBERGS LÄN</t>
        </is>
      </c>
      <c r="G4164" t="inlineStr">
        <is>
          <t>UPPVIDINGE</t>
        </is>
      </c>
      <c r="I4164" t="n">
        <v>2.5</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38258-2026</t>
        </is>
      </c>
      <c r="B4165" t="inlineStr">
        <is>
          <t>avverkningsanmälan</t>
        </is>
      </c>
      <c r="C4165" t="inlineStr">
        <is>
          <t>Föryngringsavverkning</t>
        </is>
      </c>
      <c r="D4165" s="1" t="n">
        <v>46281</v>
      </c>
      <c r="E4165" s="1" t="n">
        <v>46316</v>
      </c>
      <c r="F4165" t="inlineStr">
        <is>
          <t>KRONOBERGS LÄN</t>
        </is>
      </c>
      <c r="G4165" t="inlineStr">
        <is>
          <t>ALVESTA</t>
        </is>
      </c>
      <c r="I4165" t="n">
        <v>1.6</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32176-2026</t>
        </is>
      </c>
      <c r="B4166" t="inlineStr">
        <is>
          <t>avverkningsanmälan</t>
        </is>
      </c>
      <c r="C4166" t="inlineStr">
        <is>
          <t>Föryngringsavverkning</t>
        </is>
      </c>
      <c r="D4166" s="1" t="n">
        <v>46237</v>
      </c>
      <c r="E4166" s="1" t="n">
        <v>46316</v>
      </c>
      <c r="F4166" t="inlineStr">
        <is>
          <t>KRONOBERGS LÄN</t>
        </is>
      </c>
      <c r="G4166" t="inlineStr">
        <is>
          <t>UPPVIDINGE</t>
        </is>
      </c>
      <c r="I4166" t="n">
        <v>1.9</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39833-2023</t>
        </is>
      </c>
      <c r="B4167" t="inlineStr">
        <is>
          <t>avverkningsanmälan</t>
        </is>
      </c>
      <c r="C4167" t="inlineStr">
        <is>
          <t>Föryngringsavverkning</t>
        </is>
      </c>
      <c r="D4167" s="1" t="n">
        <v>45168</v>
      </c>
      <c r="E4167" s="1" t="n">
        <v>46316</v>
      </c>
      <c r="F4167" t="inlineStr">
        <is>
          <t>KRONOBERGS LÄN</t>
        </is>
      </c>
      <c r="G4167" t="inlineStr">
        <is>
          <t>LJUNGBY</t>
        </is>
      </c>
      <c r="I4167" t="n">
        <v>1.7</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37950-2026</t>
        </is>
      </c>
      <c r="B4168" t="inlineStr">
        <is>
          <t>avverkningsanmälan</t>
        </is>
      </c>
      <c r="C4168" t="inlineStr">
        <is>
          <t>Föryngringsavverkning</t>
        </is>
      </c>
      <c r="D4168" s="1" t="n">
        <v>46280</v>
      </c>
      <c r="E4168" s="1" t="n">
        <v>46316</v>
      </c>
      <c r="F4168" t="inlineStr">
        <is>
          <t>KRONOBERGS LÄN</t>
        </is>
      </c>
      <c r="G4168" t="inlineStr">
        <is>
          <t>ÄLMHULT</t>
        </is>
      </c>
      <c r="I4168" t="n">
        <v>7.8</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39260-2023</t>
        </is>
      </c>
      <c r="B4169" t="inlineStr">
        <is>
          <t>avverkningsanmälan</t>
        </is>
      </c>
      <c r="C4169" t="inlineStr">
        <is>
          <t>Föryngringsavverkning</t>
        </is>
      </c>
      <c r="D4169" s="1" t="n">
        <v>45166</v>
      </c>
      <c r="E4169" s="1" t="n">
        <v>46316</v>
      </c>
      <c r="F4169" t="inlineStr">
        <is>
          <t>KRONOBERGS LÄN</t>
        </is>
      </c>
      <c r="G4169" t="inlineStr">
        <is>
          <t>VÄXJÖ</t>
        </is>
      </c>
      <c r="I4169" t="n">
        <v>2.5</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39263-2023</t>
        </is>
      </c>
      <c r="B4170" t="inlineStr">
        <is>
          <t>avverkningsanmälan</t>
        </is>
      </c>
      <c r="C4170" t="inlineStr">
        <is>
          <t>Avverkning för annat ändamål</t>
        </is>
      </c>
      <c r="D4170" s="1" t="n">
        <v>45166</v>
      </c>
      <c r="E4170" s="1" t="n">
        <v>46316</v>
      </c>
      <c r="F4170" t="inlineStr">
        <is>
          <t>KRONOBERGS LÄN</t>
        </is>
      </c>
      <c r="G4170" t="inlineStr">
        <is>
          <t>ALVESTA</t>
        </is>
      </c>
      <c r="I4170" t="n">
        <v>1.9</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32180-2026</t>
        </is>
      </c>
      <c r="B4171" t="inlineStr">
        <is>
          <t>avverkningsanmälan</t>
        </is>
      </c>
      <c r="C4171" t="inlineStr">
        <is>
          <t>Föryngringsavverkning</t>
        </is>
      </c>
      <c r="D4171" s="1" t="n">
        <v>46237</v>
      </c>
      <c r="E4171" s="1" t="n">
        <v>46316</v>
      </c>
      <c r="F4171" t="inlineStr">
        <is>
          <t>KRONOBERGS LÄN</t>
        </is>
      </c>
      <c r="G4171" t="inlineStr">
        <is>
          <t>VÄXJÖ</t>
        </is>
      </c>
      <c r="I4171" t="n">
        <v>0.9</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21512-2023</t>
        </is>
      </c>
      <c r="B4172" t="inlineStr">
        <is>
          <t>avverkningsanmälan</t>
        </is>
      </c>
      <c r="C4172" t="inlineStr">
        <is>
          <t>Föryngringsavverkning</t>
        </is>
      </c>
      <c r="D4172" s="1" t="n">
        <v>45063</v>
      </c>
      <c r="E4172" s="1" t="n">
        <v>46316</v>
      </c>
      <c r="F4172" t="inlineStr">
        <is>
          <t>KRONOBERGS LÄN</t>
        </is>
      </c>
      <c r="G4172" t="inlineStr">
        <is>
          <t>TINGSRYD</t>
        </is>
      </c>
      <c r="I4172" t="n">
        <v>2</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37688-2026</t>
        </is>
      </c>
      <c r="B4173" t="inlineStr">
        <is>
          <t>avverkningsanmälan</t>
        </is>
      </c>
      <c r="C4173" t="inlineStr">
        <is>
          <t>Föryngringsavverkning</t>
        </is>
      </c>
      <c r="D4173" s="1" t="n">
        <v>46279</v>
      </c>
      <c r="E4173" s="1" t="n">
        <v>46316</v>
      </c>
      <c r="F4173" t="inlineStr">
        <is>
          <t>KRONOBERGS LÄN</t>
        </is>
      </c>
      <c r="G4173" t="inlineStr">
        <is>
          <t>VÄXJÖ</t>
        </is>
      </c>
      <c r="I4173" t="n">
        <v>0.6</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42383-2024</t>
        </is>
      </c>
      <c r="B4174" t="inlineStr">
        <is>
          <t>avverkningsanmälan</t>
        </is>
      </c>
      <c r="C4174" t="inlineStr">
        <is>
          <t>Föryngringsavverkning</t>
        </is>
      </c>
      <c r="D4174" s="1" t="n">
        <v>45564</v>
      </c>
      <c r="E4174" s="1" t="n">
        <v>46316</v>
      </c>
      <c r="F4174" t="inlineStr">
        <is>
          <t>KRONOBERGS LÄN</t>
        </is>
      </c>
      <c r="G4174" t="inlineStr">
        <is>
          <t>ÄLMHULT</t>
        </is>
      </c>
      <c r="I4174" t="n">
        <v>4.7</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7304-2024</t>
        </is>
      </c>
      <c r="B4175" t="inlineStr">
        <is>
          <t>avverkningsanmälan</t>
        </is>
      </c>
      <c r="C4175" t="inlineStr">
        <is>
          <t>Föryngringsavverkning</t>
        </is>
      </c>
      <c r="D4175" s="1" t="n">
        <v>45345</v>
      </c>
      <c r="E4175" s="1" t="n">
        <v>46316</v>
      </c>
      <c r="F4175" t="inlineStr">
        <is>
          <t>KRONOBERGS LÄN</t>
        </is>
      </c>
      <c r="G4175" t="inlineStr">
        <is>
          <t>VÄXJÖ</t>
        </is>
      </c>
      <c r="I4175" t="n">
        <v>0.5</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38098-2026</t>
        </is>
      </c>
      <c r="B4176" t="inlineStr">
        <is>
          <t>avverkningsanmälan</t>
        </is>
      </c>
      <c r="C4176" t="inlineStr">
        <is>
          <t>Föryngringsavverkning</t>
        </is>
      </c>
      <c r="D4176" s="1" t="n">
        <v>46281</v>
      </c>
      <c r="E4176" s="1" t="n">
        <v>46316</v>
      </c>
      <c r="F4176" t="inlineStr">
        <is>
          <t>KRONOBERGS LÄN</t>
        </is>
      </c>
      <c r="G4176" t="inlineStr">
        <is>
          <t>LESSEBO</t>
        </is>
      </c>
      <c r="I4176" t="n">
        <v>0.5</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37690-2026</t>
        </is>
      </c>
      <c r="B4177" t="inlineStr">
        <is>
          <t>avverkningsanmälan</t>
        </is>
      </c>
      <c r="C4177" t="inlineStr">
        <is>
          <t>Föryngringsavverkning</t>
        </is>
      </c>
      <c r="D4177" s="1" t="n">
        <v>46279</v>
      </c>
      <c r="E4177" s="1" t="n">
        <v>46316</v>
      </c>
      <c r="F4177" t="inlineStr">
        <is>
          <t>KRONOBERGS LÄN</t>
        </is>
      </c>
      <c r="G4177" t="inlineStr">
        <is>
          <t>VÄXJÖ</t>
        </is>
      </c>
      <c r="I4177" t="n">
        <v>1.7</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38267-2026</t>
        </is>
      </c>
      <c r="B4178" t="inlineStr">
        <is>
          <t>avverkningsanmälan</t>
        </is>
      </c>
      <c r="C4178" t="inlineStr">
        <is>
          <t>Föryngringsavverkning</t>
        </is>
      </c>
      <c r="D4178" s="1" t="n">
        <v>46281</v>
      </c>
      <c r="E4178" s="1" t="n">
        <v>46316</v>
      </c>
      <c r="F4178" t="inlineStr">
        <is>
          <t>KRONOBERGS LÄN</t>
        </is>
      </c>
      <c r="G4178" t="inlineStr">
        <is>
          <t>VÄXJÖ</t>
        </is>
      </c>
      <c r="I4178" t="n">
        <v>1.5</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38022-2026</t>
        </is>
      </c>
      <c r="B4179" t="inlineStr">
        <is>
          <t>avverkningsanmälan</t>
        </is>
      </c>
      <c r="C4179" t="inlineStr">
        <is>
          <t>Föryngringsavverkning</t>
        </is>
      </c>
      <c r="D4179" s="1" t="n">
        <v>46280</v>
      </c>
      <c r="E4179" s="1" t="n">
        <v>46316</v>
      </c>
      <c r="F4179" t="inlineStr">
        <is>
          <t>KRONOBERGS LÄN</t>
        </is>
      </c>
      <c r="G4179" t="inlineStr">
        <is>
          <t>UPPVIDINGE</t>
        </is>
      </c>
      <c r="I4179" t="n">
        <v>4.5</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32285-2026</t>
        </is>
      </c>
      <c r="B4180" t="inlineStr">
        <is>
          <t>avverkningsanmälan</t>
        </is>
      </c>
      <c r="C4180" t="inlineStr">
        <is>
          <t>Föryngringsavverkning</t>
        </is>
      </c>
      <c r="D4180" s="1" t="n">
        <v>46237</v>
      </c>
      <c r="E4180" s="1" t="n">
        <v>46316</v>
      </c>
      <c r="F4180" t="inlineStr">
        <is>
          <t>KRONOBERGS LÄN</t>
        </is>
      </c>
      <c r="G4180" t="inlineStr">
        <is>
          <t>UPPVIDINGE</t>
        </is>
      </c>
      <c r="H4180" t="inlineStr">
        <is>
          <t>Sveaskog</t>
        </is>
      </c>
      <c r="I4180" t="n">
        <v>6.3</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32286-2026</t>
        </is>
      </c>
      <c r="B4181" t="inlineStr">
        <is>
          <t>avverkningsanmälan</t>
        </is>
      </c>
      <c r="C4181" t="inlineStr">
        <is>
          <t>Föryngringsavverkning</t>
        </is>
      </c>
      <c r="D4181" s="1" t="n">
        <v>46237</v>
      </c>
      <c r="E4181" s="1" t="n">
        <v>46316</v>
      </c>
      <c r="F4181" t="inlineStr">
        <is>
          <t>KRONOBERGS LÄN</t>
        </is>
      </c>
      <c r="G4181" t="inlineStr">
        <is>
          <t>UPPVIDINGE</t>
        </is>
      </c>
      <c r="H4181" t="inlineStr">
        <is>
          <t>Sveaskog</t>
        </is>
      </c>
      <c r="I4181" t="n">
        <v>1.9</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32326-2026</t>
        </is>
      </c>
      <c r="B4182" t="inlineStr">
        <is>
          <t>avverkningsanmälan</t>
        </is>
      </c>
      <c r="C4182" t="inlineStr">
        <is>
          <t>Föryngringsavverkning</t>
        </is>
      </c>
      <c r="D4182" s="1" t="n">
        <v>46238</v>
      </c>
      <c r="E4182" s="1" t="n">
        <v>46316</v>
      </c>
      <c r="F4182" t="inlineStr">
        <is>
          <t>KRONOBERGS LÄN</t>
        </is>
      </c>
      <c r="G4182" t="inlineStr">
        <is>
          <t>ALVESTA</t>
        </is>
      </c>
      <c r="I4182" t="n">
        <v>4.7</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14283-2023</t>
        </is>
      </c>
      <c r="B4183" t="inlineStr">
        <is>
          <t>avverkningsanmälan</t>
        </is>
      </c>
      <c r="C4183" t="inlineStr">
        <is>
          <t>Föryngringsavverkning</t>
        </is>
      </c>
      <c r="D4183" s="1" t="n">
        <v>45010</v>
      </c>
      <c r="E4183" s="1" t="n">
        <v>46316</v>
      </c>
      <c r="F4183" t="inlineStr">
        <is>
          <t>KRONOBERGS LÄN</t>
        </is>
      </c>
      <c r="G4183" t="inlineStr">
        <is>
          <t>ÄLMHULT</t>
        </is>
      </c>
      <c r="I4183" t="n">
        <v>0.9</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61359-2022</t>
        </is>
      </c>
      <c r="B4184" t="inlineStr">
        <is>
          <t>avverkningsanmälan</t>
        </is>
      </c>
      <c r="C4184" t="inlineStr">
        <is>
          <t>Föryngringsavverkning</t>
        </is>
      </c>
      <c r="D4184" s="1" t="n">
        <v>44915</v>
      </c>
      <c r="E4184" s="1" t="n">
        <v>46316</v>
      </c>
      <c r="F4184" t="inlineStr">
        <is>
          <t>KRONOBERGS LÄN</t>
        </is>
      </c>
      <c r="G4184" t="inlineStr">
        <is>
          <t>VÄXJÖ</t>
        </is>
      </c>
      <c r="I4184" t="n">
        <v>2</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7677-2023</t>
        </is>
      </c>
      <c r="B4185" t="inlineStr">
        <is>
          <t>avverkningsanmälan</t>
        </is>
      </c>
      <c r="C4185" t="inlineStr">
        <is>
          <t>Föryngringsavverkning</t>
        </is>
      </c>
      <c r="D4185" s="1" t="n">
        <v>44972</v>
      </c>
      <c r="E4185" s="1" t="n">
        <v>46316</v>
      </c>
      <c r="F4185" t="inlineStr">
        <is>
          <t>KRONOBERGS LÄN</t>
        </is>
      </c>
      <c r="G4185" t="inlineStr">
        <is>
          <t>VÄXJÖ</t>
        </is>
      </c>
      <c r="I4185" t="n">
        <v>1.8</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38190-2026</t>
        </is>
      </c>
      <c r="B4186" t="inlineStr">
        <is>
          <t>avverkningsanmälan</t>
        </is>
      </c>
      <c r="C4186" t="inlineStr">
        <is>
          <t>Föryngringsavverkning</t>
        </is>
      </c>
      <c r="D4186" s="1" t="n">
        <v>46281</v>
      </c>
      <c r="E4186" s="1" t="n">
        <v>46316</v>
      </c>
      <c r="F4186" t="inlineStr">
        <is>
          <t>KRONOBERGS LÄN</t>
        </is>
      </c>
      <c r="G4186" t="inlineStr">
        <is>
          <t>MARKARYD</t>
        </is>
      </c>
      <c r="I4186" t="n">
        <v>1.7</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53411-2024</t>
        </is>
      </c>
      <c r="B4187" t="inlineStr">
        <is>
          <t>avverkningsanmälan</t>
        </is>
      </c>
      <c r="C4187" t="inlineStr">
        <is>
          <t>Föryngringsavverkning</t>
        </is>
      </c>
      <c r="D4187" s="1" t="n">
        <v>45614</v>
      </c>
      <c r="E4187" s="1" t="n">
        <v>46316</v>
      </c>
      <c r="F4187" t="inlineStr">
        <is>
          <t>KRONOBERGS LÄN</t>
        </is>
      </c>
      <c r="G4187" t="inlineStr">
        <is>
          <t>LJUNGBY</t>
        </is>
      </c>
      <c r="H4187" t="inlineStr">
        <is>
          <t>Sveaskog</t>
        </is>
      </c>
      <c r="I4187" t="n">
        <v>0.5</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53412-2024</t>
        </is>
      </c>
      <c r="B4188" t="inlineStr">
        <is>
          <t>avverkningsanmälan</t>
        </is>
      </c>
      <c r="C4188" t="inlineStr">
        <is>
          <t>Föryngringsavverkning</t>
        </is>
      </c>
      <c r="D4188" s="1" t="n">
        <v>45614</v>
      </c>
      <c r="E4188" s="1" t="n">
        <v>46316</v>
      </c>
      <c r="F4188" t="inlineStr">
        <is>
          <t>KRONOBERGS LÄN</t>
        </is>
      </c>
      <c r="G4188" t="inlineStr">
        <is>
          <t>LJUNGBY</t>
        </is>
      </c>
      <c r="H4188" t="inlineStr">
        <is>
          <t>Sveaskog</t>
        </is>
      </c>
      <c r="I4188" t="n">
        <v>1.6</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60783-2024</t>
        </is>
      </c>
      <c r="B4189" t="inlineStr">
        <is>
          <t>avverkningsanmälan</t>
        </is>
      </c>
      <c r="C4189" t="inlineStr">
        <is>
          <t>Föryngringsavverkning</t>
        </is>
      </c>
      <c r="D4189" s="1" t="n">
        <v>45644</v>
      </c>
      <c r="E4189" s="1" t="n">
        <v>46316</v>
      </c>
      <c r="F4189" t="inlineStr">
        <is>
          <t>KRONOBERGS LÄN</t>
        </is>
      </c>
      <c r="G4189" t="inlineStr">
        <is>
          <t>TINGSRYD</t>
        </is>
      </c>
      <c r="I4189" t="n">
        <v>0.7</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27405-2024</t>
        </is>
      </c>
      <c r="B4190" t="inlineStr">
        <is>
          <t>avverkningsanmälan</t>
        </is>
      </c>
      <c r="C4190" t="inlineStr">
        <is>
          <t>Föryngringsavverkning</t>
        </is>
      </c>
      <c r="D4190" s="1" t="n">
        <v>45474</v>
      </c>
      <c r="E4190" s="1" t="n">
        <v>46316</v>
      </c>
      <c r="F4190" t="inlineStr">
        <is>
          <t>KRONOBERGS LÄN</t>
        </is>
      </c>
      <c r="G4190" t="inlineStr">
        <is>
          <t>LESSEBO</t>
        </is>
      </c>
      <c r="I4190" t="n">
        <v>0.4</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32555-2026</t>
        </is>
      </c>
      <c r="B4191" t="inlineStr">
        <is>
          <t>avverkningsanmälan</t>
        </is>
      </c>
      <c r="C4191" t="inlineStr">
        <is>
          <t>Föryngringsavverkning</t>
        </is>
      </c>
      <c r="D4191" s="1" t="n">
        <v>46239</v>
      </c>
      <c r="E4191" s="1" t="n">
        <v>46316</v>
      </c>
      <c r="F4191" t="inlineStr">
        <is>
          <t>KRONOBERGS LÄN</t>
        </is>
      </c>
      <c r="G4191" t="inlineStr">
        <is>
          <t>LJUNGBY</t>
        </is>
      </c>
      <c r="I4191" t="n">
        <v>1.4</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37117-2023</t>
        </is>
      </c>
      <c r="B4192" t="inlineStr">
        <is>
          <t>avverkningsanmälan</t>
        </is>
      </c>
      <c r="C4192" t="inlineStr">
        <is>
          <t>Föryngringsavverkning</t>
        </is>
      </c>
      <c r="D4192" s="1" t="n">
        <v>45155</v>
      </c>
      <c r="E4192" s="1" t="n">
        <v>46316</v>
      </c>
      <c r="F4192" t="inlineStr">
        <is>
          <t>KRONOBERGS LÄN</t>
        </is>
      </c>
      <c r="G4192" t="inlineStr">
        <is>
          <t>ALVESTA</t>
        </is>
      </c>
      <c r="I4192" t="n">
        <v>1.1</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12211-2023</t>
        </is>
      </c>
      <c r="B4193" t="inlineStr">
        <is>
          <t>avverkningsanmälan</t>
        </is>
      </c>
      <c r="C4193" t="inlineStr">
        <is>
          <t>Föryngringsavverkning</t>
        </is>
      </c>
      <c r="D4193" s="1" t="n">
        <v>44998</v>
      </c>
      <c r="E4193" s="1" t="n">
        <v>46316</v>
      </c>
      <c r="F4193" t="inlineStr">
        <is>
          <t>KRONOBERGS LÄN</t>
        </is>
      </c>
      <c r="G4193" t="inlineStr">
        <is>
          <t>VÄXJÖ</t>
        </is>
      </c>
      <c r="I4193" t="n">
        <v>0.5</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1209-2024</t>
        </is>
      </c>
      <c r="B4194" t="inlineStr">
        <is>
          <t>avverkningsanmälan</t>
        </is>
      </c>
      <c r="C4194" t="inlineStr">
        <is>
          <t>Föryngringsavverkning</t>
        </is>
      </c>
      <c r="D4194" s="1" t="n">
        <v>45302</v>
      </c>
      <c r="E4194" s="1" t="n">
        <v>46316</v>
      </c>
      <c r="F4194" t="inlineStr">
        <is>
          <t>KRONOBERGS LÄN</t>
        </is>
      </c>
      <c r="G4194" t="inlineStr">
        <is>
          <t>TINGSRYD</t>
        </is>
      </c>
      <c r="I4194" t="n">
        <v>1.8</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32770-2026</t>
        </is>
      </c>
      <c r="B4195" t="inlineStr">
        <is>
          <t>avverkningsanmälan</t>
        </is>
      </c>
      <c r="C4195" t="inlineStr">
        <is>
          <t>Föryngringsavverkning</t>
        </is>
      </c>
      <c r="D4195" s="1" t="n">
        <v>46241</v>
      </c>
      <c r="E4195" s="1" t="n">
        <v>46316</v>
      </c>
      <c r="F4195" t="inlineStr">
        <is>
          <t>KRONOBERGS LÄN</t>
        </is>
      </c>
      <c r="G4195" t="inlineStr">
        <is>
          <t>LJUNGBY</t>
        </is>
      </c>
      <c r="H4195" t="inlineStr">
        <is>
          <t>Kyrkan</t>
        </is>
      </c>
      <c r="I4195" t="n">
        <v>0.4</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40173-2022</t>
        </is>
      </c>
      <c r="B4196" t="inlineStr">
        <is>
          <t>avverkningsanmälan</t>
        </is>
      </c>
      <c r="C4196" t="inlineStr">
        <is>
          <t>Föryngringsavverkning</t>
        </is>
      </c>
      <c r="D4196" s="1" t="n">
        <v>44820</v>
      </c>
      <c r="E4196" s="1" t="n">
        <v>46316</v>
      </c>
      <c r="F4196" t="inlineStr">
        <is>
          <t>KRONOBERGS LÄN</t>
        </is>
      </c>
      <c r="G4196" t="inlineStr">
        <is>
          <t>TINGSRYD</t>
        </is>
      </c>
      <c r="I4196" t="n">
        <v>5.2</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26623-2023</t>
        </is>
      </c>
      <c r="B4197" t="inlineStr">
        <is>
          <t>avverkningsanmälan</t>
        </is>
      </c>
      <c r="C4197" t="inlineStr">
        <is>
          <t>Föryngringsavverkning</t>
        </is>
      </c>
      <c r="D4197" s="1" t="n">
        <v>45092</v>
      </c>
      <c r="E4197" s="1" t="n">
        <v>46316</v>
      </c>
      <c r="F4197" t="inlineStr">
        <is>
          <t>KRONOBERGS LÄN</t>
        </is>
      </c>
      <c r="G4197" t="inlineStr">
        <is>
          <t>LJUNGBY</t>
        </is>
      </c>
      <c r="I4197" t="n">
        <v>0.4</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26683-2023</t>
        </is>
      </c>
      <c r="B4198" t="inlineStr">
        <is>
          <t>avverkningsanmälan</t>
        </is>
      </c>
      <c r="C4198" t="inlineStr">
        <is>
          <t>Föryngringsavverkning</t>
        </is>
      </c>
      <c r="D4198" s="1" t="n">
        <v>45093</v>
      </c>
      <c r="E4198" s="1" t="n">
        <v>46316</v>
      </c>
      <c r="F4198" t="inlineStr">
        <is>
          <t>KRONOBERGS LÄN</t>
        </is>
      </c>
      <c r="G4198" t="inlineStr">
        <is>
          <t>UPPVIDINGE</t>
        </is>
      </c>
      <c r="I4198" t="n">
        <v>1.2</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49425-2024</t>
        </is>
      </c>
      <c r="B4199" t="inlineStr">
        <is>
          <t>avverkningsanmälan</t>
        </is>
      </c>
      <c r="C4199" t="inlineStr">
        <is>
          <t>Föryngringsavverkning</t>
        </is>
      </c>
      <c r="D4199" s="1" t="n">
        <v>45595</v>
      </c>
      <c r="E4199" s="1" t="n">
        <v>46316</v>
      </c>
      <c r="F4199" t="inlineStr">
        <is>
          <t>KRONOBERGS LÄN</t>
        </is>
      </c>
      <c r="G4199" t="inlineStr">
        <is>
          <t>UPPVIDINGE</t>
        </is>
      </c>
      <c r="I4199" t="n">
        <v>1.9</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32781-2026</t>
        </is>
      </c>
      <c r="B4200" t="inlineStr">
        <is>
          <t>avverkningsanmälan</t>
        </is>
      </c>
      <c r="C4200" t="inlineStr">
        <is>
          <t>Föryngringsavverkning</t>
        </is>
      </c>
      <c r="D4200" s="1" t="n">
        <v>46240</v>
      </c>
      <c r="E4200" s="1" t="n">
        <v>46316</v>
      </c>
      <c r="F4200" t="inlineStr">
        <is>
          <t>KRONOBERGS LÄN</t>
        </is>
      </c>
      <c r="G4200" t="inlineStr">
        <is>
          <t>ÄLMHULT</t>
        </is>
      </c>
      <c r="H4200" t="inlineStr">
        <is>
          <t>Kyrkan</t>
        </is>
      </c>
      <c r="I4200" t="n">
        <v>1.6</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49979-2023</t>
        </is>
      </c>
      <c r="B4201" t="inlineStr">
        <is>
          <t>avverkningsanmälan</t>
        </is>
      </c>
      <c r="C4201" t="inlineStr">
        <is>
          <t>Föryngringsavverkning</t>
        </is>
      </c>
      <c r="D4201" s="1" t="n">
        <v>45215</v>
      </c>
      <c r="E4201" s="1" t="n">
        <v>46316</v>
      </c>
      <c r="F4201" t="inlineStr">
        <is>
          <t>KRONOBERGS LÄN</t>
        </is>
      </c>
      <c r="G4201" t="inlineStr">
        <is>
          <t>TINGSRYD</t>
        </is>
      </c>
      <c r="I4201" t="n">
        <v>2.4</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57157-2023</t>
        </is>
      </c>
      <c r="B4202" t="inlineStr">
        <is>
          <t>avverkningsanmälan</t>
        </is>
      </c>
      <c r="C4202" t="inlineStr">
        <is>
          <t>Föryngringsavverkning</t>
        </is>
      </c>
      <c r="D4202" s="1" t="n">
        <v>45245</v>
      </c>
      <c r="E4202" s="1" t="n">
        <v>46316</v>
      </c>
      <c r="F4202" t="inlineStr">
        <is>
          <t>KRONOBERGS LÄN</t>
        </is>
      </c>
      <c r="G4202" t="inlineStr">
        <is>
          <t>TINGSRYD</t>
        </is>
      </c>
      <c r="I4202" t="n">
        <v>0.8</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41973-2023</t>
        </is>
      </c>
      <c r="B4203" t="inlineStr">
        <is>
          <t>avverkningsanmälan</t>
        </is>
      </c>
      <c r="C4203" t="inlineStr">
        <is>
          <t>Föryngringsavverkning</t>
        </is>
      </c>
      <c r="D4203" s="1" t="n">
        <v>45174</v>
      </c>
      <c r="E4203" s="1" t="n">
        <v>46316</v>
      </c>
      <c r="F4203" t="inlineStr">
        <is>
          <t>KRONOBERGS LÄN</t>
        </is>
      </c>
      <c r="G4203" t="inlineStr">
        <is>
          <t>UPPVIDINGE</t>
        </is>
      </c>
      <c r="I4203" t="n">
        <v>1</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38290-2026</t>
        </is>
      </c>
      <c r="B4204" t="inlineStr">
        <is>
          <t>avverkningsanmälan</t>
        </is>
      </c>
      <c r="C4204" t="inlineStr">
        <is>
          <t>Föryngringsavverkning</t>
        </is>
      </c>
      <c r="D4204" s="1" t="n">
        <v>46282</v>
      </c>
      <c r="E4204" s="1" t="n">
        <v>46316</v>
      </c>
      <c r="F4204" t="inlineStr">
        <is>
          <t>KRONOBERGS LÄN</t>
        </is>
      </c>
      <c r="G4204" t="inlineStr">
        <is>
          <t>MARKARYD</t>
        </is>
      </c>
      <c r="I4204" t="n">
        <v>0.9</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35488-2023</t>
        </is>
      </c>
      <c r="B4205" t="inlineStr">
        <is>
          <t>avverkningsanmälan</t>
        </is>
      </c>
      <c r="C4205" t="inlineStr">
        <is>
          <t>Föryngringsavverkning</t>
        </is>
      </c>
      <c r="D4205" s="1" t="n">
        <v>45146</v>
      </c>
      <c r="E4205" s="1" t="n">
        <v>46316</v>
      </c>
      <c r="F4205" t="inlineStr">
        <is>
          <t>KRONOBERGS LÄN</t>
        </is>
      </c>
      <c r="G4205" t="inlineStr">
        <is>
          <t>LJUNGBY</t>
        </is>
      </c>
      <c r="I4205" t="n">
        <v>0.6</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59173-2023</t>
        </is>
      </c>
      <c r="B4206" t="inlineStr">
        <is>
          <t>avverkningsanmälan</t>
        </is>
      </c>
      <c r="C4206" t="inlineStr">
        <is>
          <t>Föryngringsavverkning</t>
        </is>
      </c>
      <c r="D4206" s="1" t="n">
        <v>45253</v>
      </c>
      <c r="E4206" s="1" t="n">
        <v>46316</v>
      </c>
      <c r="F4206" t="inlineStr">
        <is>
          <t>KRONOBERGS LÄN</t>
        </is>
      </c>
      <c r="G4206" t="inlineStr">
        <is>
          <t>LESSEBO</t>
        </is>
      </c>
      <c r="I4206" t="n">
        <v>2</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61173-2021</t>
        </is>
      </c>
      <c r="B4207" t="inlineStr">
        <is>
          <t>avverkningsanmälan</t>
        </is>
      </c>
      <c r="C4207" t="inlineStr">
        <is>
          <t>Föryngringsavverkning</t>
        </is>
      </c>
      <c r="D4207" s="1" t="n">
        <v>44498</v>
      </c>
      <c r="E4207" s="1" t="n">
        <v>46316</v>
      </c>
      <c r="F4207" t="inlineStr">
        <is>
          <t>KRONOBERGS LÄN</t>
        </is>
      </c>
      <c r="G4207" t="inlineStr">
        <is>
          <t>MARKARYD</t>
        </is>
      </c>
      <c r="I4207" t="n">
        <v>3.5</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30963-2023</t>
        </is>
      </c>
      <c r="B4208" t="inlineStr">
        <is>
          <t>avverkningsanmälan</t>
        </is>
      </c>
      <c r="C4208" t="inlineStr">
        <is>
          <t>Föryngringsavverkning</t>
        </is>
      </c>
      <c r="D4208" s="1" t="n">
        <v>45113</v>
      </c>
      <c r="E4208" s="1" t="n">
        <v>46316</v>
      </c>
      <c r="F4208" t="inlineStr">
        <is>
          <t>KRONOBERGS LÄN</t>
        </is>
      </c>
      <c r="G4208" t="inlineStr">
        <is>
          <t>ÄLMHULT</t>
        </is>
      </c>
      <c r="I4208" t="n">
        <v>1.3</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54984-2024</t>
        </is>
      </c>
      <c r="B4209" t="inlineStr">
        <is>
          <t>avverkningsanmälan</t>
        </is>
      </c>
      <c r="C4209" t="inlineStr">
        <is>
          <t>Föryngringsavverkning</t>
        </is>
      </c>
      <c r="D4209" s="1" t="n">
        <v>45620</v>
      </c>
      <c r="E4209" s="1" t="n">
        <v>46316</v>
      </c>
      <c r="F4209" t="inlineStr">
        <is>
          <t>KRONOBERGS LÄN</t>
        </is>
      </c>
      <c r="G4209" t="inlineStr">
        <is>
          <t>LJUNGBY</t>
        </is>
      </c>
      <c r="I4209" t="n">
        <v>5.5</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32777-2026</t>
        </is>
      </c>
      <c r="B4210" t="inlineStr">
        <is>
          <t>avverkningsanmälan</t>
        </is>
      </c>
      <c r="C4210" t="inlineStr">
        <is>
          <t>Föryngringsavverkning</t>
        </is>
      </c>
      <c r="D4210" s="1" t="n">
        <v>46240</v>
      </c>
      <c r="E4210" s="1" t="n">
        <v>46316</v>
      </c>
      <c r="F4210" t="inlineStr">
        <is>
          <t>KRONOBERGS LÄN</t>
        </is>
      </c>
      <c r="G4210" t="inlineStr">
        <is>
          <t>LJUNGBY</t>
        </is>
      </c>
      <c r="H4210" t="inlineStr">
        <is>
          <t>Kyrkan</t>
        </is>
      </c>
      <c r="I4210" t="n">
        <v>0.5</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32778-2026</t>
        </is>
      </c>
      <c r="B4211" t="inlineStr">
        <is>
          <t>avverkningsanmälan</t>
        </is>
      </c>
      <c r="C4211" t="inlineStr">
        <is>
          <t>Föryngringsavverkning</t>
        </is>
      </c>
      <c r="D4211" s="1" t="n">
        <v>46240</v>
      </c>
      <c r="E4211" s="1" t="n">
        <v>46316</v>
      </c>
      <c r="F4211" t="inlineStr">
        <is>
          <t>KRONOBERGS LÄN</t>
        </is>
      </c>
      <c r="G4211" t="inlineStr">
        <is>
          <t>ÄLMHULT</t>
        </is>
      </c>
      <c r="H4211" t="inlineStr">
        <is>
          <t>Kyrkan</t>
        </is>
      </c>
      <c r="I4211" t="n">
        <v>1.5</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26121-2024</t>
        </is>
      </c>
      <c r="B4212" t="inlineStr">
        <is>
          <t>avverkningsanmälan</t>
        </is>
      </c>
      <c r="C4212" t="inlineStr">
        <is>
          <t>Föryngringsavverkning</t>
        </is>
      </c>
      <c r="D4212" s="1" t="n">
        <v>45468</v>
      </c>
      <c r="E4212" s="1" t="n">
        <v>46316</v>
      </c>
      <c r="F4212" t="inlineStr">
        <is>
          <t>KRONOBERGS LÄN</t>
        </is>
      </c>
      <c r="G4212" t="inlineStr">
        <is>
          <t>VÄXJÖ</t>
        </is>
      </c>
      <c r="I4212" t="n">
        <v>1.7</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49903-2023</t>
        </is>
      </c>
      <c r="B4213" t="inlineStr">
        <is>
          <t>avverkningsanmälan</t>
        </is>
      </c>
      <c r="C4213" t="inlineStr">
        <is>
          <t>Föryngringsavverkning</t>
        </is>
      </c>
      <c r="D4213" s="1" t="n">
        <v>45214</v>
      </c>
      <c r="E4213" s="1" t="n">
        <v>46316</v>
      </c>
      <c r="F4213" t="inlineStr">
        <is>
          <t>KRONOBERGS LÄN</t>
        </is>
      </c>
      <c r="G4213" t="inlineStr">
        <is>
          <t>ÄLMHULT</t>
        </is>
      </c>
      <c r="I4213" t="n">
        <v>0.6</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1540-2023</t>
        </is>
      </c>
      <c r="B4214" t="inlineStr">
        <is>
          <t>avverkningsanmälan</t>
        </is>
      </c>
      <c r="C4214" t="inlineStr">
        <is>
          <t>Föryngringsavverkning</t>
        </is>
      </c>
      <c r="D4214" s="1" t="n">
        <v>44935</v>
      </c>
      <c r="E4214" s="1" t="n">
        <v>46316</v>
      </c>
      <c r="F4214" t="inlineStr">
        <is>
          <t>KRONOBERGS LÄN</t>
        </is>
      </c>
      <c r="G4214" t="inlineStr">
        <is>
          <t>ALVESTA</t>
        </is>
      </c>
      <c r="I4214" t="n">
        <v>1.3</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32680-2026</t>
        </is>
      </c>
      <c r="B4215" t="inlineStr">
        <is>
          <t>avverkningsanmälan</t>
        </is>
      </c>
      <c r="C4215" t="inlineStr">
        <is>
          <t>Föryngringsavverkning</t>
        </is>
      </c>
      <c r="D4215" s="1" t="n">
        <v>46240</v>
      </c>
      <c r="E4215" s="1" t="n">
        <v>46316</v>
      </c>
      <c r="F4215" t="inlineStr">
        <is>
          <t>KRONOBERGS LÄN</t>
        </is>
      </c>
      <c r="G4215" t="inlineStr">
        <is>
          <t>MARKARYD</t>
        </is>
      </c>
      <c r="H4215" t="inlineStr">
        <is>
          <t>Kyrkan</t>
        </is>
      </c>
      <c r="I4215" t="n">
        <v>4.1</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50541-2023</t>
        </is>
      </c>
      <c r="B4216" t="inlineStr">
        <is>
          <t>avverkningsanmälan</t>
        </is>
      </c>
      <c r="C4216" t="inlineStr">
        <is>
          <t>Föryngringsavverkning</t>
        </is>
      </c>
      <c r="D4216" s="1" t="n">
        <v>45217</v>
      </c>
      <c r="E4216" s="1" t="n">
        <v>46316</v>
      </c>
      <c r="F4216" t="inlineStr">
        <is>
          <t>KRONOBERGS LÄN</t>
        </is>
      </c>
      <c r="G4216" t="inlineStr">
        <is>
          <t>ÄLMHULT</t>
        </is>
      </c>
      <c r="I4216" t="n">
        <v>1.9</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37297-2023</t>
        </is>
      </c>
      <c r="B4217" t="inlineStr">
        <is>
          <t>avverkningsanmälan</t>
        </is>
      </c>
      <c r="C4217" t="inlineStr">
        <is>
          <t>Föryngringsavverkning</t>
        </is>
      </c>
      <c r="D4217" s="1" t="n">
        <v>45156</v>
      </c>
      <c r="E4217" s="1" t="n">
        <v>46316</v>
      </c>
      <c r="F4217" t="inlineStr">
        <is>
          <t>KRONOBERGS LÄN</t>
        </is>
      </c>
      <c r="G4217" t="inlineStr">
        <is>
          <t>ÄLMHULT</t>
        </is>
      </c>
      <c r="I4217" t="n">
        <v>0.9</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11021-2024</t>
        </is>
      </c>
      <c r="B4218" t="inlineStr">
        <is>
          <t>avverkningsanmälan</t>
        </is>
      </c>
      <c r="C4218" t="inlineStr">
        <is>
          <t>Föryngringsavverkning</t>
        </is>
      </c>
      <c r="D4218" s="1" t="n">
        <v>45370</v>
      </c>
      <c r="E4218" s="1" t="n">
        <v>46316</v>
      </c>
      <c r="F4218" t="inlineStr">
        <is>
          <t>KRONOBERGS LÄN</t>
        </is>
      </c>
      <c r="G4218" t="inlineStr">
        <is>
          <t>MARKARYD</t>
        </is>
      </c>
      <c r="I4218" t="n">
        <v>1.6</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32597-2026</t>
        </is>
      </c>
      <c r="B4219" t="inlineStr">
        <is>
          <t>avverkningsanmälan</t>
        </is>
      </c>
      <c r="C4219" t="inlineStr">
        <is>
          <t>Avverkning för annat ändamål</t>
        </is>
      </c>
      <c r="D4219" s="1" t="n">
        <v>46240</v>
      </c>
      <c r="E4219" s="1" t="n">
        <v>46316</v>
      </c>
      <c r="F4219" t="inlineStr">
        <is>
          <t>KRONOBERGS LÄN</t>
        </is>
      </c>
      <c r="G4219" t="inlineStr">
        <is>
          <t>UPPVIDINGE</t>
        </is>
      </c>
      <c r="I4219" t="n">
        <v>0.8</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32784-2026</t>
        </is>
      </c>
      <c r="B4220" t="inlineStr">
        <is>
          <t>avverkningsanmälan</t>
        </is>
      </c>
      <c r="C4220" t="inlineStr">
        <is>
          <t>Föryngringsavverkning</t>
        </is>
      </c>
      <c r="D4220" s="1" t="n">
        <v>46240</v>
      </c>
      <c r="E4220" s="1" t="n">
        <v>46316</v>
      </c>
      <c r="F4220" t="inlineStr">
        <is>
          <t>KRONOBERGS LÄN</t>
        </is>
      </c>
      <c r="G4220" t="inlineStr">
        <is>
          <t>ÄLMHULT</t>
        </is>
      </c>
      <c r="H4220" t="inlineStr">
        <is>
          <t>Kyrkan</t>
        </is>
      </c>
      <c r="I4220" t="n">
        <v>3.7</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26621-2022</t>
        </is>
      </c>
      <c r="B4221" t="inlineStr">
        <is>
          <t>avverkningsanmälan</t>
        </is>
      </c>
      <c r="C4221" t="inlineStr">
        <is>
          <t>Föryngringsavverkning</t>
        </is>
      </c>
      <c r="D4221" s="1" t="n">
        <v>44739</v>
      </c>
      <c r="E4221" s="1" t="n">
        <v>46316</v>
      </c>
      <c r="F4221" t="inlineStr">
        <is>
          <t>KRONOBERGS LÄN</t>
        </is>
      </c>
      <c r="G4221" t="inlineStr">
        <is>
          <t>ALVESTA</t>
        </is>
      </c>
      <c r="I4221" t="n">
        <v>1.7</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5827-2023</t>
        </is>
      </c>
      <c r="B4222" t="inlineStr">
        <is>
          <t>avverkningsanmälan</t>
        </is>
      </c>
      <c r="C4222" t="inlineStr">
        <is>
          <t>Föryngringsavverkning</t>
        </is>
      </c>
      <c r="D4222" s="1" t="n">
        <v>44963</v>
      </c>
      <c r="E4222" s="1" t="n">
        <v>46316</v>
      </c>
      <c r="F4222" t="inlineStr">
        <is>
          <t>KRONOBERGS LÄN</t>
        </is>
      </c>
      <c r="G4222" t="inlineStr">
        <is>
          <t>TINGSRYD</t>
        </is>
      </c>
      <c r="I4222" t="n">
        <v>1.1</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3714-2022</t>
        </is>
      </c>
      <c r="B4223" t="inlineStr">
        <is>
          <t>avverkningsanmälan</t>
        </is>
      </c>
      <c r="C4223" t="inlineStr">
        <is>
          <t>Föryngringsavverkning</t>
        </is>
      </c>
      <c r="D4223" s="1" t="n">
        <v>44586</v>
      </c>
      <c r="E4223" s="1" t="n">
        <v>46316</v>
      </c>
      <c r="F4223" t="inlineStr">
        <is>
          <t>KRONOBERGS LÄN</t>
        </is>
      </c>
      <c r="G4223" t="inlineStr">
        <is>
          <t>LESSEBO</t>
        </is>
      </c>
      <c r="H4223" t="inlineStr">
        <is>
          <t>Kommuner</t>
        </is>
      </c>
      <c r="I4223" t="n">
        <v>4.1</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53687-2022</t>
        </is>
      </c>
      <c r="B4224" t="inlineStr">
        <is>
          <t>avverkningsanmälan</t>
        </is>
      </c>
      <c r="C4224" t="inlineStr">
        <is>
          <t>Föryngringsavverkning</t>
        </is>
      </c>
      <c r="D4224" s="1" t="n">
        <v>44880</v>
      </c>
      <c r="E4224" s="1" t="n">
        <v>46316</v>
      </c>
      <c r="F4224" t="inlineStr">
        <is>
          <t>KRONOBERGS LÄN</t>
        </is>
      </c>
      <c r="G4224" t="inlineStr">
        <is>
          <t>VÄXJÖ</t>
        </is>
      </c>
      <c r="I4224" t="n">
        <v>4.4</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32540-2026</t>
        </is>
      </c>
      <c r="B4225" t="inlineStr">
        <is>
          <t>avverkningsanmälan</t>
        </is>
      </c>
      <c r="C4225" t="inlineStr">
        <is>
          <t>Föryngringsavverkning</t>
        </is>
      </c>
      <c r="D4225" s="1" t="n">
        <v>46239</v>
      </c>
      <c r="E4225" s="1" t="n">
        <v>46316</v>
      </c>
      <c r="F4225" t="inlineStr">
        <is>
          <t>KRONOBERGS LÄN</t>
        </is>
      </c>
      <c r="G4225" t="inlineStr">
        <is>
          <t>VÄXJÖ</t>
        </is>
      </c>
      <c r="I4225" t="n">
        <v>1.4</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32672-2026</t>
        </is>
      </c>
      <c r="B4226" t="inlineStr">
        <is>
          <t>avverkningsanmälan</t>
        </is>
      </c>
      <c r="C4226" t="inlineStr">
        <is>
          <t>Föryngringsavverkning</t>
        </is>
      </c>
      <c r="D4226" s="1" t="n">
        <v>46240</v>
      </c>
      <c r="E4226" s="1" t="n">
        <v>46316</v>
      </c>
      <c r="F4226" t="inlineStr">
        <is>
          <t>KRONOBERGS LÄN</t>
        </is>
      </c>
      <c r="G4226" t="inlineStr">
        <is>
          <t>MARKARYD</t>
        </is>
      </c>
      <c r="H4226" t="inlineStr">
        <is>
          <t>Kyrkan</t>
        </is>
      </c>
      <c r="I4226" t="n">
        <v>1.2</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38314-2026</t>
        </is>
      </c>
      <c r="B4227" t="inlineStr">
        <is>
          <t>avverkningsanmälan</t>
        </is>
      </c>
      <c r="C4227" t="inlineStr">
        <is>
          <t>Föryngringsavverkning</t>
        </is>
      </c>
      <c r="D4227" s="1" t="n">
        <v>46282</v>
      </c>
      <c r="E4227" s="1" t="n">
        <v>46316</v>
      </c>
      <c r="F4227" t="inlineStr">
        <is>
          <t>KRONOBERGS LÄN</t>
        </is>
      </c>
      <c r="G4227" t="inlineStr">
        <is>
          <t>MARKARYD</t>
        </is>
      </c>
      <c r="I4227" t="n">
        <v>0.5</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37113-2023</t>
        </is>
      </c>
      <c r="B4228" t="inlineStr">
        <is>
          <t>avverkningsanmälan</t>
        </is>
      </c>
      <c r="C4228" t="inlineStr">
        <is>
          <t>Föryngringsavverkning</t>
        </is>
      </c>
      <c r="D4228" s="1" t="n">
        <v>45155</v>
      </c>
      <c r="E4228" s="1" t="n">
        <v>46316</v>
      </c>
      <c r="F4228" t="inlineStr">
        <is>
          <t>KRONOBERGS LÄN</t>
        </is>
      </c>
      <c r="G4228" t="inlineStr">
        <is>
          <t>ALVESTA</t>
        </is>
      </c>
      <c r="I4228" t="n">
        <v>0.6</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37215-2023</t>
        </is>
      </c>
      <c r="B4229" t="inlineStr">
        <is>
          <t>avverkningsanmälan</t>
        </is>
      </c>
      <c r="C4229" t="inlineStr">
        <is>
          <t>Föryngringsavverkning</t>
        </is>
      </c>
      <c r="D4229" s="1" t="n">
        <v>45155</v>
      </c>
      <c r="E4229" s="1" t="n">
        <v>46316</v>
      </c>
      <c r="F4229" t="inlineStr">
        <is>
          <t>KRONOBERGS LÄN</t>
        </is>
      </c>
      <c r="G4229" t="inlineStr">
        <is>
          <t>TINGSRYD</t>
        </is>
      </c>
      <c r="I4229" t="n">
        <v>0.5</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2657-2025</t>
        </is>
      </c>
      <c r="B4230" t="inlineStr">
        <is>
          <t>avverkningsanmälan</t>
        </is>
      </c>
      <c r="C4230" t="inlineStr">
        <is>
          <t>Föryngringsavverkning</t>
        </is>
      </c>
      <c r="D4230" s="1" t="n">
        <v>45676</v>
      </c>
      <c r="E4230" s="1" t="n">
        <v>46316</v>
      </c>
      <c r="F4230" t="inlineStr">
        <is>
          <t>KRONOBERGS LÄN</t>
        </is>
      </c>
      <c r="G4230" t="inlineStr">
        <is>
          <t>VÄXJÖ</t>
        </is>
      </c>
      <c r="H4230" t="inlineStr">
        <is>
          <t>Sveaskog</t>
        </is>
      </c>
      <c r="I4230" t="n">
        <v>1.7</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27318-2025</t>
        </is>
      </c>
      <c r="B4231" t="inlineStr">
        <is>
          <t>avverkningsanmälan</t>
        </is>
      </c>
      <c r="C4231" t="inlineStr">
        <is>
          <t>Föryngringsavverkning</t>
        </is>
      </c>
      <c r="D4231" s="1" t="n">
        <v>45812</v>
      </c>
      <c r="E4231" s="1" t="n">
        <v>46316</v>
      </c>
      <c r="F4231" t="inlineStr">
        <is>
          <t>KRONOBERGS LÄN</t>
        </is>
      </c>
      <c r="G4231" t="inlineStr">
        <is>
          <t>LJUNGBY</t>
        </is>
      </c>
      <c r="I4231" t="n">
        <v>2.3</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54716-2023</t>
        </is>
      </c>
      <c r="B4232" t="inlineStr">
        <is>
          <t>avverkningsanmälan</t>
        </is>
      </c>
      <c r="C4232" t="inlineStr">
        <is>
          <t>Föryngringsavverkning</t>
        </is>
      </c>
      <c r="D4232" s="1" t="n">
        <v>45236</v>
      </c>
      <c r="E4232" s="1" t="n">
        <v>46316</v>
      </c>
      <c r="F4232" t="inlineStr">
        <is>
          <t>KRONOBERGS LÄN</t>
        </is>
      </c>
      <c r="G4232" t="inlineStr">
        <is>
          <t>LJUNGBY</t>
        </is>
      </c>
      <c r="I4232" t="n">
        <v>2.4</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55685-2025</t>
        </is>
      </c>
      <c r="B4233" t="inlineStr">
        <is>
          <t>avverkningsanmälan</t>
        </is>
      </c>
      <c r="C4233" t="inlineStr">
        <is>
          <t>Föryngringsavverkning</t>
        </is>
      </c>
      <c r="D4233" s="1" t="n">
        <v>45972</v>
      </c>
      <c r="E4233" s="1" t="n">
        <v>46316</v>
      </c>
      <c r="F4233" t="inlineStr">
        <is>
          <t>KRONOBERGS LÄN</t>
        </is>
      </c>
      <c r="G4233" t="inlineStr">
        <is>
          <t>UPPVIDINGE</t>
        </is>
      </c>
      <c r="I4233" t="n">
        <v>0.9</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8632-2026</t>
        </is>
      </c>
      <c r="B4234" t="inlineStr">
        <is>
          <t>avverkningsanmälan</t>
        </is>
      </c>
      <c r="C4234" t="inlineStr">
        <is>
          <t>Föryngringsavverkning</t>
        </is>
      </c>
      <c r="D4234" s="1" t="n">
        <v>46066</v>
      </c>
      <c r="E4234" s="1" t="n">
        <v>46316</v>
      </c>
      <c r="F4234" t="inlineStr">
        <is>
          <t>KRONOBERGS LÄN</t>
        </is>
      </c>
      <c r="G4234" t="inlineStr">
        <is>
          <t>ÄLMHULT</t>
        </is>
      </c>
      <c r="I4234" t="n">
        <v>2.7</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4722-2024</t>
        </is>
      </c>
      <c r="B4235" t="inlineStr">
        <is>
          <t>avverkningsanmälan</t>
        </is>
      </c>
      <c r="C4235" t="inlineStr">
        <is>
          <t>Föryngringsavverkning</t>
        </is>
      </c>
      <c r="D4235" s="1" t="n">
        <v>45328</v>
      </c>
      <c r="E4235" s="1" t="n">
        <v>46316</v>
      </c>
      <c r="F4235" t="inlineStr">
        <is>
          <t>KRONOBERGS LÄN</t>
        </is>
      </c>
      <c r="G4235" t="inlineStr">
        <is>
          <t>ALVESTA</t>
        </is>
      </c>
      <c r="I4235" t="n">
        <v>1.7</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38914-2026</t>
        </is>
      </c>
      <c r="B4236" t="inlineStr">
        <is>
          <t>avverkningsanmälan</t>
        </is>
      </c>
      <c r="C4236" t="inlineStr">
        <is>
          <t>Föryngringsavverkning</t>
        </is>
      </c>
      <c r="D4236" s="1" t="n">
        <v>46286</v>
      </c>
      <c r="E4236" s="1" t="n">
        <v>46316</v>
      </c>
      <c r="F4236" t="inlineStr">
        <is>
          <t>KRONOBERGS LÄN</t>
        </is>
      </c>
      <c r="G4236" t="inlineStr">
        <is>
          <t>ALVESTA</t>
        </is>
      </c>
      <c r="I4236" t="n">
        <v>1.5</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2252-2023</t>
        </is>
      </c>
      <c r="B4237" t="inlineStr">
        <is>
          <t>avverkningsanmälan</t>
        </is>
      </c>
      <c r="C4237" t="inlineStr">
        <is>
          <t>Föryngringsavverkning</t>
        </is>
      </c>
      <c r="D4237" s="1" t="n">
        <v>44942</v>
      </c>
      <c r="E4237" s="1" t="n">
        <v>46316</v>
      </c>
      <c r="F4237" t="inlineStr">
        <is>
          <t>KRONOBERGS LÄN</t>
        </is>
      </c>
      <c r="G4237" t="inlineStr">
        <is>
          <t>ÄLMHULT</t>
        </is>
      </c>
      <c r="I4237" t="n">
        <v>0</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5482-2023</t>
        </is>
      </c>
      <c r="B4238" t="inlineStr">
        <is>
          <t>avverkningsanmälan</t>
        </is>
      </c>
      <c r="C4238" t="inlineStr">
        <is>
          <t>Föryngringsavverkning</t>
        </is>
      </c>
      <c r="D4238" s="1" t="n">
        <v>44960</v>
      </c>
      <c r="E4238" s="1" t="n">
        <v>46316</v>
      </c>
      <c r="F4238" t="inlineStr">
        <is>
          <t>KRONOBERGS LÄN</t>
        </is>
      </c>
      <c r="G4238" t="inlineStr">
        <is>
          <t>LJUNGBY</t>
        </is>
      </c>
      <c r="I4238" t="n">
        <v>0</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32820-2026</t>
        </is>
      </c>
      <c r="B4239" t="inlineStr">
        <is>
          <t>avverkningsanmälan</t>
        </is>
      </c>
      <c r="C4239" t="inlineStr">
        <is>
          <t>Föryngringsavverkning</t>
        </is>
      </c>
      <c r="D4239" s="1" t="n">
        <v>46242</v>
      </c>
      <c r="E4239" s="1" t="n">
        <v>46316</v>
      </c>
      <c r="F4239" t="inlineStr">
        <is>
          <t>KRONOBERGS LÄN</t>
        </is>
      </c>
      <c r="G4239" t="inlineStr">
        <is>
          <t>UPPVIDINGE</t>
        </is>
      </c>
      <c r="I4239" t="n">
        <v>0.6</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43522-2025</t>
        </is>
      </c>
      <c r="B4240" t="inlineStr">
        <is>
          <t>avverkningsanmälan</t>
        </is>
      </c>
      <c r="C4240" t="inlineStr">
        <is>
          <t>Föryngringsavverkning</t>
        </is>
      </c>
      <c r="D4240" s="1" t="n">
        <v>45911</v>
      </c>
      <c r="E4240" s="1" t="n">
        <v>46316</v>
      </c>
      <c r="F4240" t="inlineStr">
        <is>
          <t>KRONOBERGS LÄN</t>
        </is>
      </c>
      <c r="G4240" t="inlineStr">
        <is>
          <t>ÄLMHULT</t>
        </is>
      </c>
      <c r="I4240" t="n">
        <v>1.6</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38917-2026</t>
        </is>
      </c>
      <c r="B4241" t="inlineStr">
        <is>
          <t>avverkningsanmälan</t>
        </is>
      </c>
      <c r="C4241" t="inlineStr">
        <is>
          <t>Föryngringsavverkning</t>
        </is>
      </c>
      <c r="D4241" s="1" t="n">
        <v>46286</v>
      </c>
      <c r="E4241" s="1" t="n">
        <v>46316</v>
      </c>
      <c r="F4241" t="inlineStr">
        <is>
          <t>KRONOBERGS LÄN</t>
        </is>
      </c>
      <c r="G4241" t="inlineStr">
        <is>
          <t>ALVESTA</t>
        </is>
      </c>
      <c r="I4241" t="n">
        <v>1.7</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33015-2026</t>
        </is>
      </c>
      <c r="B4242" t="inlineStr">
        <is>
          <t>avverkningsanmälan</t>
        </is>
      </c>
      <c r="C4242" t="inlineStr">
        <is>
          <t>Föryngringsavverkning</t>
        </is>
      </c>
      <c r="D4242" s="1" t="n">
        <v>46244</v>
      </c>
      <c r="E4242" s="1" t="n">
        <v>46316</v>
      </c>
      <c r="F4242" t="inlineStr">
        <is>
          <t>KRONOBERGS LÄN</t>
        </is>
      </c>
      <c r="G4242" t="inlineStr">
        <is>
          <t>VÄXJÖ</t>
        </is>
      </c>
      <c r="I4242" t="n">
        <v>1.7</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38912-2026</t>
        </is>
      </c>
      <c r="B4243" t="inlineStr">
        <is>
          <t>avverkningsanmälan</t>
        </is>
      </c>
      <c r="C4243" t="inlineStr">
        <is>
          <t>Föryngringsavverkning</t>
        </is>
      </c>
      <c r="D4243" s="1" t="n">
        <v>46286</v>
      </c>
      <c r="E4243" s="1" t="n">
        <v>46316</v>
      </c>
      <c r="F4243" t="inlineStr">
        <is>
          <t>KRONOBERGS LÄN</t>
        </is>
      </c>
      <c r="G4243" t="inlineStr">
        <is>
          <t>ALVESTA</t>
        </is>
      </c>
      <c r="I4243" t="n">
        <v>1.4</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33187-2023</t>
        </is>
      </c>
      <c r="B4244" t="inlineStr">
        <is>
          <t>avverkningsanmälan</t>
        </is>
      </c>
      <c r="C4244" t="inlineStr">
        <is>
          <t>Föryngringsavverkning</t>
        </is>
      </c>
      <c r="D4244" s="1" t="n">
        <v>45127</v>
      </c>
      <c r="E4244" s="1" t="n">
        <v>46316</v>
      </c>
      <c r="F4244" t="inlineStr">
        <is>
          <t>KRONOBERGS LÄN</t>
        </is>
      </c>
      <c r="G4244" t="inlineStr">
        <is>
          <t>VÄXJÖ</t>
        </is>
      </c>
      <c r="I4244" t="n">
        <v>0.5</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38919-2026</t>
        </is>
      </c>
      <c r="B4245" t="inlineStr">
        <is>
          <t>avverkningsanmälan</t>
        </is>
      </c>
      <c r="C4245" t="inlineStr">
        <is>
          <t>Föryngringsavverkning</t>
        </is>
      </c>
      <c r="D4245" s="1" t="n">
        <v>46286</v>
      </c>
      <c r="E4245" s="1" t="n">
        <v>46316</v>
      </c>
      <c r="F4245" t="inlineStr">
        <is>
          <t>KRONOBERGS LÄN</t>
        </is>
      </c>
      <c r="G4245" t="inlineStr">
        <is>
          <t>ALVESTA</t>
        </is>
      </c>
      <c r="I4245" t="n">
        <v>1.8</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38921-2026</t>
        </is>
      </c>
      <c r="B4246" t="inlineStr">
        <is>
          <t>avverkningsanmälan</t>
        </is>
      </c>
      <c r="C4246" t="inlineStr">
        <is>
          <t>Föryngringsavverkning</t>
        </is>
      </c>
      <c r="D4246" s="1" t="n">
        <v>46286</v>
      </c>
      <c r="E4246" s="1" t="n">
        <v>46316</v>
      </c>
      <c r="F4246" t="inlineStr">
        <is>
          <t>KRONOBERGS LÄN</t>
        </is>
      </c>
      <c r="G4246" t="inlineStr">
        <is>
          <t>ALVESTA</t>
        </is>
      </c>
      <c r="I4246" t="n">
        <v>1.1</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65087-2023</t>
        </is>
      </c>
      <c r="B4247" t="inlineStr">
        <is>
          <t>avverkningsanmälan</t>
        </is>
      </c>
      <c r="C4247" t="inlineStr">
        <is>
          <t>Föryngringsavverkning</t>
        </is>
      </c>
      <c r="D4247" s="1" t="n">
        <v>45288</v>
      </c>
      <c r="E4247" s="1" t="n">
        <v>46316</v>
      </c>
      <c r="F4247" t="inlineStr">
        <is>
          <t>KRONOBERGS LÄN</t>
        </is>
      </c>
      <c r="G4247" t="inlineStr">
        <is>
          <t>VÄXJÖ</t>
        </is>
      </c>
      <c r="I4247" t="n">
        <v>0.9</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38858-2024</t>
        </is>
      </c>
      <c r="B4248" t="inlineStr">
        <is>
          <t>avverkningsanmälan</t>
        </is>
      </c>
      <c r="C4248" t="inlineStr">
        <is>
          <t>Avverkning för annat ändamål</t>
        </is>
      </c>
      <c r="D4248" s="1" t="n">
        <v>45547</v>
      </c>
      <c r="E4248" s="1" t="n">
        <v>46316</v>
      </c>
      <c r="F4248" t="inlineStr">
        <is>
          <t>KRONOBERGS LÄN</t>
        </is>
      </c>
      <c r="G4248" t="inlineStr">
        <is>
          <t>UPPVIDINGE</t>
        </is>
      </c>
      <c r="I4248" t="n">
        <v>0.4</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38859-2024</t>
        </is>
      </c>
      <c r="B4249" t="inlineStr">
        <is>
          <t>avverkningsanmälan</t>
        </is>
      </c>
      <c r="C4249" t="inlineStr">
        <is>
          <t>Avverkning för annat ändamål</t>
        </is>
      </c>
      <c r="D4249" s="1" t="n">
        <v>45547</v>
      </c>
      <c r="E4249" s="1" t="n">
        <v>46316</v>
      </c>
      <c r="F4249" t="inlineStr">
        <is>
          <t>KRONOBERGS LÄN</t>
        </is>
      </c>
      <c r="G4249" t="inlineStr">
        <is>
          <t>UPPVIDINGE</t>
        </is>
      </c>
      <c r="I4249" t="n">
        <v>0.2</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44166-2023</t>
        </is>
      </c>
      <c r="B4250" t="inlineStr">
        <is>
          <t>avverkningsanmälan</t>
        </is>
      </c>
      <c r="C4250" t="inlineStr">
        <is>
          <t>Föryngringsavverkning</t>
        </is>
      </c>
      <c r="D4250" s="1" t="n">
        <v>45188</v>
      </c>
      <c r="E4250" s="1" t="n">
        <v>46316</v>
      </c>
      <c r="F4250" t="inlineStr">
        <is>
          <t>KRONOBERGS LÄN</t>
        </is>
      </c>
      <c r="G4250" t="inlineStr">
        <is>
          <t>LJUNGBY</t>
        </is>
      </c>
      <c r="I4250" t="n">
        <v>1.2</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25010-2023</t>
        </is>
      </c>
      <c r="B4251" t="inlineStr">
        <is>
          <t>avverkningsanmälan</t>
        </is>
      </c>
      <c r="C4251" t="inlineStr">
        <is>
          <t>Föryngringsavverkning</t>
        </is>
      </c>
      <c r="D4251" s="1" t="n">
        <v>45085</v>
      </c>
      <c r="E4251" s="1" t="n">
        <v>46316</v>
      </c>
      <c r="F4251" t="inlineStr">
        <is>
          <t>KRONOBERGS LÄN</t>
        </is>
      </c>
      <c r="G4251" t="inlineStr">
        <is>
          <t>TINGSRYD</t>
        </is>
      </c>
      <c r="I4251" t="n">
        <v>1</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15935-2023</t>
        </is>
      </c>
      <c r="B4252" t="inlineStr">
        <is>
          <t>avverkningsanmälan</t>
        </is>
      </c>
      <c r="C4252" t="inlineStr">
        <is>
          <t>Föryngringsavverkning</t>
        </is>
      </c>
      <c r="D4252" s="1" t="n">
        <v>45022</v>
      </c>
      <c r="E4252" s="1" t="n">
        <v>46316</v>
      </c>
      <c r="F4252" t="inlineStr">
        <is>
          <t>KRONOBERGS LÄN</t>
        </is>
      </c>
      <c r="G4252" t="inlineStr">
        <is>
          <t>VÄXJÖ</t>
        </is>
      </c>
      <c r="I4252" t="n">
        <v>12</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39014-2026</t>
        </is>
      </c>
      <c r="B4253" t="inlineStr">
        <is>
          <t>avverkningsanmälan</t>
        </is>
      </c>
      <c r="C4253" t="inlineStr">
        <is>
          <t>Föryngringsavverkning</t>
        </is>
      </c>
      <c r="D4253" s="1" t="n">
        <v>46287</v>
      </c>
      <c r="E4253" s="1" t="n">
        <v>46316</v>
      </c>
      <c r="F4253" t="inlineStr">
        <is>
          <t>KRONOBERGS LÄN</t>
        </is>
      </c>
      <c r="G4253" t="inlineStr">
        <is>
          <t>UPPVIDINGE</t>
        </is>
      </c>
      <c r="I4253" t="n">
        <v>0.8</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51472-2022</t>
        </is>
      </c>
      <c r="B4254" t="inlineStr">
        <is>
          <t>avverkningsanmälan</t>
        </is>
      </c>
      <c r="C4254" t="inlineStr">
        <is>
          <t>Föryngringsavverkning</t>
        </is>
      </c>
      <c r="D4254" s="1" t="n">
        <v>44869</v>
      </c>
      <c r="E4254" s="1" t="n">
        <v>46316</v>
      </c>
      <c r="F4254" t="inlineStr">
        <is>
          <t>KRONOBERGS LÄN</t>
        </is>
      </c>
      <c r="G4254" t="inlineStr">
        <is>
          <t>VÄXJÖ</t>
        </is>
      </c>
      <c r="I4254" t="n">
        <v>0.7</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10198-2025</t>
        </is>
      </c>
      <c r="B4255" t="inlineStr">
        <is>
          <t>avverkningsanmälan</t>
        </is>
      </c>
      <c r="C4255" t="inlineStr">
        <is>
          <t>Föryngringsavverkning</t>
        </is>
      </c>
      <c r="D4255" s="1" t="n">
        <v>45719</v>
      </c>
      <c r="E4255" s="1" t="n">
        <v>46316</v>
      </c>
      <c r="F4255" t="inlineStr">
        <is>
          <t>KRONOBERGS LÄN</t>
        </is>
      </c>
      <c r="G4255" t="inlineStr">
        <is>
          <t>ALVESTA</t>
        </is>
      </c>
      <c r="I4255" t="n">
        <v>0.4</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37151-2024</t>
        </is>
      </c>
      <c r="B4256" t="inlineStr">
        <is>
          <t>avverkningsanmälan</t>
        </is>
      </c>
      <c r="C4256" t="inlineStr">
        <is>
          <t>Föryngringsavverkning</t>
        </is>
      </c>
      <c r="D4256" s="1" t="n">
        <v>45539</v>
      </c>
      <c r="E4256" s="1" t="n">
        <v>46316</v>
      </c>
      <c r="F4256" t="inlineStr">
        <is>
          <t>KRONOBERGS LÄN</t>
        </is>
      </c>
      <c r="G4256" t="inlineStr">
        <is>
          <t>ÄLMHULT</t>
        </is>
      </c>
      <c r="I4256" t="n">
        <v>0.9</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39205-2026</t>
        </is>
      </c>
      <c r="B4257" t="inlineStr">
        <is>
          <t>avverkningsanmälan</t>
        </is>
      </c>
      <c r="C4257" t="inlineStr">
        <is>
          <t>Föryngringsavverkning</t>
        </is>
      </c>
      <c r="D4257" s="1" t="n">
        <v>46287</v>
      </c>
      <c r="E4257" s="1" t="n">
        <v>46316</v>
      </c>
      <c r="F4257" t="inlineStr">
        <is>
          <t>KRONOBERGS LÄN</t>
        </is>
      </c>
      <c r="G4257" t="inlineStr">
        <is>
          <t>TINGSRYD</t>
        </is>
      </c>
      <c r="I4257" t="n">
        <v>1.3</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32722-2026</t>
        </is>
      </c>
      <c r="B4258" t="inlineStr">
        <is>
          <t>avverkningsanmälan</t>
        </is>
      </c>
      <c r="C4258" t="inlineStr">
        <is>
          <t>Föryngringsavverkning</t>
        </is>
      </c>
      <c r="D4258" s="1" t="n">
        <v>46241</v>
      </c>
      <c r="E4258" s="1" t="n">
        <v>46316</v>
      </c>
      <c r="F4258" t="inlineStr">
        <is>
          <t>KRONOBERGS LÄN</t>
        </is>
      </c>
      <c r="G4258" t="inlineStr">
        <is>
          <t>UPPVIDINGE</t>
        </is>
      </c>
      <c r="I4258" t="n">
        <v>0.4</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32723-2026</t>
        </is>
      </c>
      <c r="B4259" t="inlineStr">
        <is>
          <t>avverkningsanmälan</t>
        </is>
      </c>
      <c r="C4259" t="inlineStr">
        <is>
          <t>Föryngringsavverkning</t>
        </is>
      </c>
      <c r="D4259" s="1" t="n">
        <v>46241</v>
      </c>
      <c r="E4259" s="1" t="n">
        <v>46316</v>
      </c>
      <c r="F4259" t="inlineStr">
        <is>
          <t>KRONOBERGS LÄN</t>
        </is>
      </c>
      <c r="G4259" t="inlineStr">
        <is>
          <t>UPPVIDINGE</t>
        </is>
      </c>
      <c r="I4259" t="n">
        <v>0.5</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20896-2024</t>
        </is>
      </c>
      <c r="B4260" t="inlineStr">
        <is>
          <t>avverkningsanmälan</t>
        </is>
      </c>
      <c r="C4260" t="inlineStr">
        <is>
          <t>Föryngringsavverkning</t>
        </is>
      </c>
      <c r="D4260" s="1" t="n">
        <v>45439</v>
      </c>
      <c r="E4260" s="1" t="n">
        <v>46316</v>
      </c>
      <c r="F4260" t="inlineStr">
        <is>
          <t>KRONOBERGS LÄN</t>
        </is>
      </c>
      <c r="G4260" t="inlineStr">
        <is>
          <t>TINGSRYD</t>
        </is>
      </c>
      <c r="I4260" t="n">
        <v>0.5</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8495-2024</t>
        </is>
      </c>
      <c r="B4261" t="inlineStr">
        <is>
          <t>avverkningsanmälan</t>
        </is>
      </c>
      <c r="C4261" t="inlineStr">
        <is>
          <t>Föryngringsavverkning</t>
        </is>
      </c>
      <c r="D4261" s="1" t="n">
        <v>45355</v>
      </c>
      <c r="E4261" s="1" t="n">
        <v>46316</v>
      </c>
      <c r="F4261" t="inlineStr">
        <is>
          <t>KRONOBERGS LÄN</t>
        </is>
      </c>
      <c r="G4261" t="inlineStr">
        <is>
          <t>ÄLMHULT</t>
        </is>
      </c>
      <c r="H4261" t="inlineStr">
        <is>
          <t>Sveaskog</t>
        </is>
      </c>
      <c r="I4261" t="n">
        <v>1.5</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1720-2023</t>
        </is>
      </c>
      <c r="B4262" t="inlineStr">
        <is>
          <t>avverkningsanmälan</t>
        </is>
      </c>
      <c r="C4262" t="inlineStr">
        <is>
          <t>Avverkning för annat ändamål</t>
        </is>
      </c>
      <c r="D4262" s="1" t="n">
        <v>44938</v>
      </c>
      <c r="E4262" s="1" t="n">
        <v>46316</v>
      </c>
      <c r="F4262" t="inlineStr">
        <is>
          <t>KRONOBERGS LÄN</t>
        </is>
      </c>
      <c r="G4262" t="inlineStr">
        <is>
          <t>LJUNGBY</t>
        </is>
      </c>
      <c r="I4262" t="n">
        <v>0.9</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8551-2024</t>
        </is>
      </c>
      <c r="B4263" t="inlineStr">
        <is>
          <t>avverkningsanmälan</t>
        </is>
      </c>
      <c r="C4263" t="inlineStr">
        <is>
          <t>Föryngringsavverkning</t>
        </is>
      </c>
      <c r="D4263" s="1" t="n">
        <v>45355</v>
      </c>
      <c r="E4263" s="1" t="n">
        <v>46316</v>
      </c>
      <c r="F4263" t="inlineStr">
        <is>
          <t>KRONOBERGS LÄN</t>
        </is>
      </c>
      <c r="G4263" t="inlineStr">
        <is>
          <t>UPPVIDINGE</t>
        </is>
      </c>
      <c r="I4263" t="n">
        <v>2.1</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38983-2026</t>
        </is>
      </c>
      <c r="B4264" t="inlineStr">
        <is>
          <t>avverkningsanmälan</t>
        </is>
      </c>
      <c r="C4264" t="inlineStr">
        <is>
          <t>Föryngringsavverkning</t>
        </is>
      </c>
      <c r="D4264" s="1" t="n">
        <v>46286</v>
      </c>
      <c r="E4264" s="1" t="n">
        <v>46316</v>
      </c>
      <c r="F4264" t="inlineStr">
        <is>
          <t>KRONOBERGS LÄN</t>
        </is>
      </c>
      <c r="G4264" t="inlineStr">
        <is>
          <t>LJUNGBY</t>
        </is>
      </c>
      <c r="I4264" t="n">
        <v>3.7</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38987-2026</t>
        </is>
      </c>
      <c r="B4265" t="inlineStr">
        <is>
          <t>avverkningsanmälan</t>
        </is>
      </c>
      <c r="C4265" t="inlineStr">
        <is>
          <t>Föryngringsavverkning</t>
        </is>
      </c>
      <c r="D4265" s="1" t="n">
        <v>46286</v>
      </c>
      <c r="E4265" s="1" t="n">
        <v>46316</v>
      </c>
      <c r="F4265" t="inlineStr">
        <is>
          <t>KRONOBERGS LÄN</t>
        </is>
      </c>
      <c r="G4265" t="inlineStr">
        <is>
          <t>LJUNGBY</t>
        </is>
      </c>
      <c r="I4265" t="n">
        <v>1.3</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59688-2022</t>
        </is>
      </c>
      <c r="B4266" t="inlineStr">
        <is>
          <t>avverkningsanmälan</t>
        </is>
      </c>
      <c r="C4266" t="inlineStr">
        <is>
          <t>Föryngringsavverkning</t>
        </is>
      </c>
      <c r="D4266" s="1" t="n">
        <v>44908</v>
      </c>
      <c r="E4266" s="1" t="n">
        <v>46316</v>
      </c>
      <c r="F4266" t="inlineStr">
        <is>
          <t>KRONOBERGS LÄN</t>
        </is>
      </c>
      <c r="G4266" t="inlineStr">
        <is>
          <t>LJUNGBY</t>
        </is>
      </c>
      <c r="H4266" t="inlineStr">
        <is>
          <t>Sveaskog</t>
        </is>
      </c>
      <c r="I4266" t="n">
        <v>1.9</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34220-2024</t>
        </is>
      </c>
      <c r="B4267" t="inlineStr">
        <is>
          <t>avverkningsanmälan</t>
        </is>
      </c>
      <c r="C4267" t="inlineStr">
        <is>
          <t>Föryngringsavverkning</t>
        </is>
      </c>
      <c r="D4267" s="1" t="n">
        <v>45524</v>
      </c>
      <c r="E4267" s="1" t="n">
        <v>46316</v>
      </c>
      <c r="F4267" t="inlineStr">
        <is>
          <t>KRONOBERGS LÄN</t>
        </is>
      </c>
      <c r="G4267" t="inlineStr">
        <is>
          <t>ALVESTA</t>
        </is>
      </c>
      <c r="I4267" t="n">
        <v>1</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39004-2026</t>
        </is>
      </c>
      <c r="B4268" t="inlineStr">
        <is>
          <t>avverkningsanmälan</t>
        </is>
      </c>
      <c r="C4268" t="inlineStr">
        <is>
          <t>Föryngringsavverkning</t>
        </is>
      </c>
      <c r="D4268" s="1" t="n">
        <v>46287</v>
      </c>
      <c r="E4268" s="1" t="n">
        <v>46316</v>
      </c>
      <c r="F4268" t="inlineStr">
        <is>
          <t>KRONOBERGS LÄN</t>
        </is>
      </c>
      <c r="G4268" t="inlineStr">
        <is>
          <t>UPPVIDINGE</t>
        </is>
      </c>
      <c r="I4268" t="n">
        <v>3.8</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3081-2023</t>
        </is>
      </c>
      <c r="B4269" t="inlineStr">
        <is>
          <t>avverkningsanmälan</t>
        </is>
      </c>
      <c r="C4269" t="inlineStr">
        <is>
          <t>Föryngringsavverkning</t>
        </is>
      </c>
      <c r="D4269" s="1" t="n">
        <v>44946</v>
      </c>
      <c r="E4269" s="1" t="n">
        <v>46316</v>
      </c>
      <c r="F4269" t="inlineStr">
        <is>
          <t>KRONOBERGS LÄN</t>
        </is>
      </c>
      <c r="G4269" t="inlineStr">
        <is>
          <t>LJUNGBY</t>
        </is>
      </c>
      <c r="I4269" t="n">
        <v>0.9</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54500-2022</t>
        </is>
      </c>
      <c r="B4270" t="inlineStr">
        <is>
          <t>avverkningsanmälan</t>
        </is>
      </c>
      <c r="C4270" t="inlineStr">
        <is>
          <t>Föryngringsavverkning</t>
        </is>
      </c>
      <c r="D4270" s="1" t="n">
        <v>44882</v>
      </c>
      <c r="E4270" s="1" t="n">
        <v>46316</v>
      </c>
      <c r="F4270" t="inlineStr">
        <is>
          <t>KRONOBERGS LÄN</t>
        </is>
      </c>
      <c r="G4270" t="inlineStr">
        <is>
          <t>ÄLMHULT</t>
        </is>
      </c>
      <c r="I4270" t="n">
        <v>7.4</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8939-2024</t>
        </is>
      </c>
      <c r="B4271" t="inlineStr">
        <is>
          <t>avverkningsanmälan</t>
        </is>
      </c>
      <c r="C4271" t="inlineStr">
        <is>
          <t>Föryngringsavverkning</t>
        </is>
      </c>
      <c r="D4271" s="1" t="n">
        <v>45357</v>
      </c>
      <c r="E4271" s="1" t="n">
        <v>46316</v>
      </c>
      <c r="F4271" t="inlineStr">
        <is>
          <t>KRONOBERGS LÄN</t>
        </is>
      </c>
      <c r="G4271" t="inlineStr">
        <is>
          <t>MARKARYD</t>
        </is>
      </c>
      <c r="I4271" t="n">
        <v>0.9</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9617-2024</t>
        </is>
      </c>
      <c r="B4272" t="inlineStr">
        <is>
          <t>avverkningsanmälan</t>
        </is>
      </c>
      <c r="C4272" t="inlineStr">
        <is>
          <t>Föryngringsavverkning</t>
        </is>
      </c>
      <c r="D4272" s="1" t="n">
        <v>45361</v>
      </c>
      <c r="E4272" s="1" t="n">
        <v>46316</v>
      </c>
      <c r="F4272" t="inlineStr">
        <is>
          <t>KRONOBERGS LÄN</t>
        </is>
      </c>
      <c r="G4272" t="inlineStr">
        <is>
          <t>MARKARYD</t>
        </is>
      </c>
      <c r="I4272" t="n">
        <v>1</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32725-2026</t>
        </is>
      </c>
      <c r="B4273" t="inlineStr">
        <is>
          <t>avverkningsanmälan</t>
        </is>
      </c>
      <c r="C4273" t="inlineStr">
        <is>
          <t>Föryngringsavverkning</t>
        </is>
      </c>
      <c r="D4273" s="1" t="n">
        <v>46241</v>
      </c>
      <c r="E4273" s="1" t="n">
        <v>46316</v>
      </c>
      <c r="F4273" t="inlineStr">
        <is>
          <t>KRONOBERGS LÄN</t>
        </is>
      </c>
      <c r="G4273" t="inlineStr">
        <is>
          <t>UPPVIDINGE</t>
        </is>
      </c>
      <c r="I4273" t="n">
        <v>0.4</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45275-2023</t>
        </is>
      </c>
      <c r="B4274" t="inlineStr">
        <is>
          <t>avverkningsanmälan</t>
        </is>
      </c>
      <c r="C4274" t="inlineStr">
        <is>
          <t>Föryngringsavverkning</t>
        </is>
      </c>
      <c r="D4274" s="1" t="n">
        <v>45191</v>
      </c>
      <c r="E4274" s="1" t="n">
        <v>46316</v>
      </c>
      <c r="F4274" t="inlineStr">
        <is>
          <t>KRONOBERGS LÄN</t>
        </is>
      </c>
      <c r="G4274" t="inlineStr">
        <is>
          <t>MARKARYD</t>
        </is>
      </c>
      <c r="I4274" t="n">
        <v>2.5</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41566-2023</t>
        </is>
      </c>
      <c r="B4275" t="inlineStr">
        <is>
          <t>avverkningsanmälan</t>
        </is>
      </c>
      <c r="C4275" t="inlineStr">
        <is>
          <t>Föryngringsavverkning</t>
        </is>
      </c>
      <c r="D4275" s="1" t="n">
        <v>45175</v>
      </c>
      <c r="E4275" s="1" t="n">
        <v>46316</v>
      </c>
      <c r="F4275" t="inlineStr">
        <is>
          <t>KRONOBERGS LÄN</t>
        </is>
      </c>
      <c r="G4275" t="inlineStr">
        <is>
          <t>ÄLMHULT</t>
        </is>
      </c>
      <c r="I4275" t="n">
        <v>2.8</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32823-2026</t>
        </is>
      </c>
      <c r="B4276" t="inlineStr">
        <is>
          <t>avverkningsanmälan</t>
        </is>
      </c>
      <c r="C4276" t="inlineStr">
        <is>
          <t>Föryngringsavverkning</t>
        </is>
      </c>
      <c r="D4276" s="1" t="n">
        <v>46242</v>
      </c>
      <c r="E4276" s="1" t="n">
        <v>46316</v>
      </c>
      <c r="F4276" t="inlineStr">
        <is>
          <t>KRONOBERGS LÄN</t>
        </is>
      </c>
      <c r="G4276" t="inlineStr">
        <is>
          <t>UPPVIDINGE</t>
        </is>
      </c>
      <c r="I4276" t="n">
        <v>1.1</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41577-2023</t>
        </is>
      </c>
      <c r="B4277" t="inlineStr">
        <is>
          <t>avverkningsanmälan</t>
        </is>
      </c>
      <c r="C4277" t="inlineStr">
        <is>
          <t>Avverkning för annat ändamål</t>
        </is>
      </c>
      <c r="D4277" s="1" t="n">
        <v>45175</v>
      </c>
      <c r="E4277" s="1" t="n">
        <v>46316</v>
      </c>
      <c r="F4277" t="inlineStr">
        <is>
          <t>KRONOBERGS LÄN</t>
        </is>
      </c>
      <c r="G4277" t="inlineStr">
        <is>
          <t>ÄLMHULT</t>
        </is>
      </c>
      <c r="I4277" t="n">
        <v>0.9</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8901-2024</t>
        </is>
      </c>
      <c r="B4278" t="inlineStr">
        <is>
          <t>avverkningsanmälan</t>
        </is>
      </c>
      <c r="C4278" t="inlineStr">
        <is>
          <t>Föryngringsavverkning</t>
        </is>
      </c>
      <c r="D4278" s="1" t="n">
        <v>45357</v>
      </c>
      <c r="E4278" s="1" t="n">
        <v>46316</v>
      </c>
      <c r="F4278" t="inlineStr">
        <is>
          <t>KRONOBERGS LÄN</t>
        </is>
      </c>
      <c r="G4278" t="inlineStr">
        <is>
          <t>LJUNGBY</t>
        </is>
      </c>
      <c r="I4278" t="n">
        <v>5.1</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64854-2023</t>
        </is>
      </c>
      <c r="B4279" t="inlineStr">
        <is>
          <t>avverkningsanmälan</t>
        </is>
      </c>
      <c r="C4279" t="inlineStr">
        <is>
          <t>Föryngringsavverkning</t>
        </is>
      </c>
      <c r="D4279" s="1" t="n">
        <v>45282</v>
      </c>
      <c r="E4279" s="1" t="n">
        <v>46316</v>
      </c>
      <c r="F4279" t="inlineStr">
        <is>
          <t>KRONOBERGS LÄN</t>
        </is>
      </c>
      <c r="G4279" t="inlineStr">
        <is>
          <t>MARKARYD</t>
        </is>
      </c>
      <c r="I4279" t="n">
        <v>0.7</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38911-2026</t>
        </is>
      </c>
      <c r="B4280" t="inlineStr">
        <is>
          <t>avverkningsanmälan</t>
        </is>
      </c>
      <c r="C4280" t="inlineStr">
        <is>
          <t>Föryngringsavverkning</t>
        </is>
      </c>
      <c r="D4280" s="1" t="n">
        <v>46286</v>
      </c>
      <c r="E4280" s="1" t="n">
        <v>46316</v>
      </c>
      <c r="F4280" t="inlineStr">
        <is>
          <t>KRONOBERGS LÄN</t>
        </is>
      </c>
      <c r="G4280" t="inlineStr">
        <is>
          <t>ALVESTA</t>
        </is>
      </c>
      <c r="I4280" t="n">
        <v>1.5</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13362-2023</t>
        </is>
      </c>
      <c r="B4281" t="inlineStr">
        <is>
          <t>avverkningsanmälan</t>
        </is>
      </c>
      <c r="C4281" t="inlineStr">
        <is>
          <t>Föryngringsavverkning</t>
        </is>
      </c>
      <c r="D4281" s="1" t="n">
        <v>45005</v>
      </c>
      <c r="E4281" s="1" t="n">
        <v>46316</v>
      </c>
      <c r="F4281" t="inlineStr">
        <is>
          <t>KRONOBERGS LÄN</t>
        </is>
      </c>
      <c r="G4281" t="inlineStr">
        <is>
          <t>ALVESTA</t>
        </is>
      </c>
      <c r="I4281" t="n">
        <v>2.1</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33002-2026</t>
        </is>
      </c>
      <c r="B4282" t="inlineStr">
        <is>
          <t>avverkningsanmälan</t>
        </is>
      </c>
      <c r="C4282" t="inlineStr">
        <is>
          <t>Föryngringsavverkning</t>
        </is>
      </c>
      <c r="D4282" s="1" t="n">
        <v>46244</v>
      </c>
      <c r="E4282" s="1" t="n">
        <v>46316</v>
      </c>
      <c r="F4282" t="inlineStr">
        <is>
          <t>KRONOBERGS LÄN</t>
        </is>
      </c>
      <c r="G4282" t="inlineStr">
        <is>
          <t>VÄXJÖ</t>
        </is>
      </c>
      <c r="H4282" t="inlineStr">
        <is>
          <t>Kyrkan</t>
        </is>
      </c>
      <c r="I4282" t="n">
        <v>3.8</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33005-2026</t>
        </is>
      </c>
      <c r="B4283" t="inlineStr">
        <is>
          <t>avverkningsanmälan</t>
        </is>
      </c>
      <c r="C4283" t="inlineStr">
        <is>
          <t>Föryngringsavverkning</t>
        </is>
      </c>
      <c r="D4283" s="1" t="n">
        <v>46244</v>
      </c>
      <c r="E4283" s="1" t="n">
        <v>46316</v>
      </c>
      <c r="F4283" t="inlineStr">
        <is>
          <t>KRONOBERGS LÄN</t>
        </is>
      </c>
      <c r="G4283" t="inlineStr">
        <is>
          <t>VÄXJÖ</t>
        </is>
      </c>
      <c r="H4283" t="inlineStr">
        <is>
          <t>Kyrkan</t>
        </is>
      </c>
      <c r="I4283" t="n">
        <v>5.5</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22123-2022</t>
        </is>
      </c>
      <c r="B4284" t="inlineStr">
        <is>
          <t>avverkningsanmälan</t>
        </is>
      </c>
      <c r="C4284" t="inlineStr">
        <is>
          <t>Föryngringsavverkning</t>
        </is>
      </c>
      <c r="D4284" s="1" t="n">
        <v>44712</v>
      </c>
      <c r="E4284" s="1" t="n">
        <v>46316</v>
      </c>
      <c r="F4284" t="inlineStr">
        <is>
          <t>KRONOBERGS LÄN</t>
        </is>
      </c>
      <c r="G4284" t="inlineStr">
        <is>
          <t>LJUNGBY</t>
        </is>
      </c>
      <c r="I4284" t="n">
        <v>2.4</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12115-2023</t>
        </is>
      </c>
      <c r="B4285" t="inlineStr">
        <is>
          <t>avverkningsanmälan</t>
        </is>
      </c>
      <c r="C4285" t="inlineStr">
        <is>
          <t>Föryngringsavverkning</t>
        </is>
      </c>
      <c r="D4285" s="1" t="n">
        <v>44998</v>
      </c>
      <c r="E4285" s="1" t="n">
        <v>46316</v>
      </c>
      <c r="F4285" t="inlineStr">
        <is>
          <t>KRONOBERGS LÄN</t>
        </is>
      </c>
      <c r="G4285" t="inlineStr">
        <is>
          <t>VÄXJÖ</t>
        </is>
      </c>
      <c r="I4285" t="n">
        <v>1.2</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39125-2026</t>
        </is>
      </c>
      <c r="B4286" t="inlineStr">
        <is>
          <t>avverkningsanmälan</t>
        </is>
      </c>
      <c r="C4286" t="inlineStr">
        <is>
          <t>Föryngringsavverkning</t>
        </is>
      </c>
      <c r="D4286" s="1" t="n">
        <v>46287</v>
      </c>
      <c r="E4286" s="1" t="n">
        <v>46316</v>
      </c>
      <c r="F4286" t="inlineStr">
        <is>
          <t>KRONOBERGS LÄN</t>
        </is>
      </c>
      <c r="G4286" t="inlineStr">
        <is>
          <t>LJUNGBY</t>
        </is>
      </c>
      <c r="I4286" t="n">
        <v>0.6</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33084-2026</t>
        </is>
      </c>
      <c r="B4287" t="inlineStr">
        <is>
          <t>avverkningsanmälan</t>
        </is>
      </c>
      <c r="C4287" t="inlineStr">
        <is>
          <t>Föryngringsavverkning</t>
        </is>
      </c>
      <c r="D4287" s="1" t="n">
        <v>46244</v>
      </c>
      <c r="E4287" s="1" t="n">
        <v>46316</v>
      </c>
      <c r="F4287" t="inlineStr">
        <is>
          <t>KRONOBERGS LÄN</t>
        </is>
      </c>
      <c r="G4287" t="inlineStr">
        <is>
          <t>VÄXJÖ</t>
        </is>
      </c>
      <c r="I4287" t="n">
        <v>5.9</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32764-2026</t>
        </is>
      </c>
      <c r="B4288" t="inlineStr">
        <is>
          <t>avverkningsanmälan</t>
        </is>
      </c>
      <c r="C4288" t="inlineStr">
        <is>
          <t>Föryngringsavverkning</t>
        </is>
      </c>
      <c r="D4288" s="1" t="n">
        <v>46241</v>
      </c>
      <c r="E4288" s="1" t="n">
        <v>46316</v>
      </c>
      <c r="F4288" t="inlineStr">
        <is>
          <t>KRONOBERGS LÄN</t>
        </is>
      </c>
      <c r="G4288" t="inlineStr">
        <is>
          <t>LESSEBO</t>
        </is>
      </c>
      <c r="I4288" t="n">
        <v>3.6</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32952-2026</t>
        </is>
      </c>
      <c r="B4289" t="inlineStr">
        <is>
          <t>avverkningsanmälan</t>
        </is>
      </c>
      <c r="C4289" t="inlineStr">
        <is>
          <t>Föryngringsavverkning</t>
        </is>
      </c>
      <c r="D4289" s="1" t="n">
        <v>46244</v>
      </c>
      <c r="E4289" s="1" t="n">
        <v>46316</v>
      </c>
      <c r="F4289" t="inlineStr">
        <is>
          <t>KRONOBERGS LÄN</t>
        </is>
      </c>
      <c r="G4289" t="inlineStr">
        <is>
          <t>ALVESTA</t>
        </is>
      </c>
      <c r="I4289" t="n">
        <v>1</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50568-2023</t>
        </is>
      </c>
      <c r="B4290" t="inlineStr">
        <is>
          <t>avverkningsanmälan</t>
        </is>
      </c>
      <c r="C4290" t="inlineStr">
        <is>
          <t>Föryngringsavverkning</t>
        </is>
      </c>
      <c r="D4290" s="1" t="n">
        <v>45217</v>
      </c>
      <c r="E4290" s="1" t="n">
        <v>46316</v>
      </c>
      <c r="F4290" t="inlineStr">
        <is>
          <t>KRONOBERGS LÄN</t>
        </is>
      </c>
      <c r="G4290" t="inlineStr">
        <is>
          <t>LJUNGBY</t>
        </is>
      </c>
      <c r="I4290" t="n">
        <v>2.7</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32843-2026</t>
        </is>
      </c>
      <c r="B4291" t="inlineStr">
        <is>
          <t>avverkningsanmälan</t>
        </is>
      </c>
      <c r="C4291" t="inlineStr">
        <is>
          <t>Föryngringsavverkning</t>
        </is>
      </c>
      <c r="D4291" s="1" t="n">
        <v>46244</v>
      </c>
      <c r="E4291" s="1" t="n">
        <v>46316</v>
      </c>
      <c r="F4291" t="inlineStr">
        <is>
          <t>KRONOBERGS LÄN</t>
        </is>
      </c>
      <c r="G4291" t="inlineStr">
        <is>
          <t>LJUNGBY</t>
        </is>
      </c>
      <c r="I4291" t="n">
        <v>3.2</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18207-2025</t>
        </is>
      </c>
      <c r="B4292" t="inlineStr">
        <is>
          <t>avverkningsanmälan</t>
        </is>
      </c>
      <c r="C4292" t="inlineStr">
        <is>
          <t>Föryngringsavverkning</t>
        </is>
      </c>
      <c r="D4292" s="1" t="n">
        <v>45761</v>
      </c>
      <c r="E4292" s="1" t="n">
        <v>46316</v>
      </c>
      <c r="F4292" t="inlineStr">
        <is>
          <t>KRONOBERGS LÄN</t>
        </is>
      </c>
      <c r="G4292" t="inlineStr">
        <is>
          <t>LESSEBO</t>
        </is>
      </c>
      <c r="H4292" t="inlineStr">
        <is>
          <t>Sveaskog</t>
        </is>
      </c>
      <c r="I4292" t="n">
        <v>1</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18211-2025</t>
        </is>
      </c>
      <c r="B4293" t="inlineStr">
        <is>
          <t>avverkningsanmälan</t>
        </is>
      </c>
      <c r="C4293" t="inlineStr">
        <is>
          <t>Föryngringsavverkning</t>
        </is>
      </c>
      <c r="D4293" s="1" t="n">
        <v>45761</v>
      </c>
      <c r="E4293" s="1" t="n">
        <v>46316</v>
      </c>
      <c r="F4293" t="inlineStr">
        <is>
          <t>KRONOBERGS LÄN</t>
        </is>
      </c>
      <c r="G4293" t="inlineStr">
        <is>
          <t>LESSEBO</t>
        </is>
      </c>
      <c r="H4293" t="inlineStr">
        <is>
          <t>Sveaskog</t>
        </is>
      </c>
      <c r="I4293" t="n">
        <v>0.7</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17010-2023</t>
        </is>
      </c>
      <c r="B4294" t="inlineStr">
        <is>
          <t>avverkningsanmälan</t>
        </is>
      </c>
      <c r="C4294" t="inlineStr">
        <is>
          <t>Föryngringsavverkning</t>
        </is>
      </c>
      <c r="D4294" s="1" t="n">
        <v>45034</v>
      </c>
      <c r="E4294" s="1" t="n">
        <v>46316</v>
      </c>
      <c r="F4294" t="inlineStr">
        <is>
          <t>KRONOBERGS LÄN</t>
        </is>
      </c>
      <c r="G4294" t="inlineStr">
        <is>
          <t>TINGSRYD</t>
        </is>
      </c>
      <c r="I4294" t="n">
        <v>0.9</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16022-2023</t>
        </is>
      </c>
      <c r="B4295" t="inlineStr">
        <is>
          <t>avverkningsanmälan</t>
        </is>
      </c>
      <c r="C4295" t="inlineStr">
        <is>
          <t>Avverkning för annat ändamål</t>
        </is>
      </c>
      <c r="D4295" s="1" t="n">
        <v>45026</v>
      </c>
      <c r="E4295" s="1" t="n">
        <v>46316</v>
      </c>
      <c r="F4295" t="inlineStr">
        <is>
          <t>KRONOBERGS LÄN</t>
        </is>
      </c>
      <c r="G4295" t="inlineStr">
        <is>
          <t>MARKARYD</t>
        </is>
      </c>
      <c r="I4295" t="n">
        <v>1.6</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33102-2026</t>
        </is>
      </c>
      <c r="B4296" t="inlineStr">
        <is>
          <t>avverkningsanmälan</t>
        </is>
      </c>
      <c r="C4296" t="inlineStr">
        <is>
          <t>Föryngringsavverkning</t>
        </is>
      </c>
      <c r="D4296" s="1" t="n">
        <v>46244</v>
      </c>
      <c r="E4296" s="1" t="n">
        <v>46316</v>
      </c>
      <c r="F4296" t="inlineStr">
        <is>
          <t>KRONOBERGS LÄN</t>
        </is>
      </c>
      <c r="G4296" t="inlineStr">
        <is>
          <t>MARKARYD</t>
        </is>
      </c>
      <c r="H4296" t="inlineStr">
        <is>
          <t>Kyrkan</t>
        </is>
      </c>
      <c r="I4296" t="n">
        <v>5.8</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32768-2026</t>
        </is>
      </c>
      <c r="B4297" t="inlineStr">
        <is>
          <t>avverkningsanmälan</t>
        </is>
      </c>
      <c r="C4297" t="inlineStr">
        <is>
          <t>Föryngringsavverkning</t>
        </is>
      </c>
      <c r="D4297" s="1" t="n">
        <v>46241</v>
      </c>
      <c r="E4297" s="1" t="n">
        <v>46316</v>
      </c>
      <c r="F4297" t="inlineStr">
        <is>
          <t>KRONOBERGS LÄN</t>
        </is>
      </c>
      <c r="G4297" t="inlineStr">
        <is>
          <t>LESSEBO</t>
        </is>
      </c>
      <c r="I4297" t="n">
        <v>3.3</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32787-2026</t>
        </is>
      </c>
      <c r="B4298" t="inlineStr">
        <is>
          <t>avverkningsanmälan</t>
        </is>
      </c>
      <c r="C4298" t="inlineStr">
        <is>
          <t>Föryngringsavverkning</t>
        </is>
      </c>
      <c r="D4298" s="1" t="n">
        <v>46241</v>
      </c>
      <c r="E4298" s="1" t="n">
        <v>46316</v>
      </c>
      <c r="F4298" t="inlineStr">
        <is>
          <t>KRONOBERGS LÄN</t>
        </is>
      </c>
      <c r="G4298" t="inlineStr">
        <is>
          <t>ALVESTA</t>
        </is>
      </c>
      <c r="I4298" t="n">
        <v>1.8</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32792-2026</t>
        </is>
      </c>
      <c r="B4299" t="inlineStr">
        <is>
          <t>avverkningsanmälan</t>
        </is>
      </c>
      <c r="C4299" t="inlineStr">
        <is>
          <t>Föryngringsavverkning</t>
        </is>
      </c>
      <c r="D4299" s="1" t="n">
        <v>46241</v>
      </c>
      <c r="E4299" s="1" t="n">
        <v>46316</v>
      </c>
      <c r="F4299" t="inlineStr">
        <is>
          <t>KRONOBERGS LÄN</t>
        </is>
      </c>
      <c r="G4299" t="inlineStr">
        <is>
          <t>ALVESTA</t>
        </is>
      </c>
      <c r="I4299" t="n">
        <v>1.8</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32794-2026</t>
        </is>
      </c>
      <c r="B4300" t="inlineStr">
        <is>
          <t>avverkningsanmälan</t>
        </is>
      </c>
      <c r="C4300" t="inlineStr">
        <is>
          <t>Föryngringsavverkning</t>
        </is>
      </c>
      <c r="D4300" s="1" t="n">
        <v>46241</v>
      </c>
      <c r="E4300" s="1" t="n">
        <v>46316</v>
      </c>
      <c r="F4300" t="inlineStr">
        <is>
          <t>KRONOBERGS LÄN</t>
        </is>
      </c>
      <c r="G4300" t="inlineStr">
        <is>
          <t>ALVESTA</t>
        </is>
      </c>
      <c r="I4300" t="n">
        <v>1.8</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32798-2026</t>
        </is>
      </c>
      <c r="B4301" t="inlineStr">
        <is>
          <t>avverkningsanmälan</t>
        </is>
      </c>
      <c r="C4301" t="inlineStr">
        <is>
          <t>Föryngringsavverkning</t>
        </is>
      </c>
      <c r="D4301" s="1" t="n">
        <v>46241</v>
      </c>
      <c r="E4301" s="1" t="n">
        <v>46316</v>
      </c>
      <c r="F4301" t="inlineStr">
        <is>
          <t>KRONOBERGS LÄN</t>
        </is>
      </c>
      <c r="G4301" t="inlineStr">
        <is>
          <t>ALVESTA</t>
        </is>
      </c>
      <c r="I4301" t="n">
        <v>0.8</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50643-2023</t>
        </is>
      </c>
      <c r="B4302" t="inlineStr">
        <is>
          <t>avverkningsanmälan</t>
        </is>
      </c>
      <c r="C4302" t="inlineStr">
        <is>
          <t>Föryngringsavverkning</t>
        </is>
      </c>
      <c r="D4302" s="1" t="n">
        <v>45217</v>
      </c>
      <c r="E4302" s="1" t="n">
        <v>46316</v>
      </c>
      <c r="F4302" t="inlineStr">
        <is>
          <t>KRONOBERGS LÄN</t>
        </is>
      </c>
      <c r="G4302" t="inlineStr">
        <is>
          <t>VÄXJÖ</t>
        </is>
      </c>
      <c r="I4302" t="n">
        <v>5</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23377-2023</t>
        </is>
      </c>
      <c r="B4303" t="inlineStr">
        <is>
          <t>avverkningsanmälan</t>
        </is>
      </c>
      <c r="C4303" t="inlineStr">
        <is>
          <t>Föryngringsavverkning</t>
        </is>
      </c>
      <c r="D4303" s="1" t="n">
        <v>45076</v>
      </c>
      <c r="E4303" s="1" t="n">
        <v>46316</v>
      </c>
      <c r="F4303" t="inlineStr">
        <is>
          <t>KRONOBERGS LÄN</t>
        </is>
      </c>
      <c r="G4303" t="inlineStr">
        <is>
          <t>ÄLMHULT</t>
        </is>
      </c>
      <c r="I4303" t="n">
        <v>2.9</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23380-2023</t>
        </is>
      </c>
      <c r="B4304" t="inlineStr">
        <is>
          <t>avverkningsanmälan</t>
        </is>
      </c>
      <c r="C4304" t="inlineStr">
        <is>
          <t>Föryngringsavverkning</t>
        </is>
      </c>
      <c r="D4304" s="1" t="n">
        <v>45076</v>
      </c>
      <c r="E4304" s="1" t="n">
        <v>46316</v>
      </c>
      <c r="F4304" t="inlineStr">
        <is>
          <t>KRONOBERGS LÄN</t>
        </is>
      </c>
      <c r="G4304" t="inlineStr">
        <is>
          <t>ÄLMHULT</t>
        </is>
      </c>
      <c r="I4304" t="n">
        <v>2.8</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50942-2023</t>
        </is>
      </c>
      <c r="B4305" t="inlineStr">
        <is>
          <t>avverkningsanmälan</t>
        </is>
      </c>
      <c r="C4305" t="inlineStr">
        <is>
          <t>Föryngringsavverkning</t>
        </is>
      </c>
      <c r="D4305" s="1" t="n">
        <v>45218</v>
      </c>
      <c r="E4305" s="1" t="n">
        <v>46316</v>
      </c>
      <c r="F4305" t="inlineStr">
        <is>
          <t>KRONOBERGS LÄN</t>
        </is>
      </c>
      <c r="G4305" t="inlineStr">
        <is>
          <t>MARKARYD</t>
        </is>
      </c>
      <c r="I4305" t="n">
        <v>2.2</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50976-2023</t>
        </is>
      </c>
      <c r="B4306" t="inlineStr">
        <is>
          <t>avverkningsanmälan</t>
        </is>
      </c>
      <c r="C4306" t="inlineStr">
        <is>
          <t>Föryngringsavverkning</t>
        </is>
      </c>
      <c r="D4306" s="1" t="n">
        <v>45218</v>
      </c>
      <c r="E4306" s="1" t="n">
        <v>46316</v>
      </c>
      <c r="F4306" t="inlineStr">
        <is>
          <t>KRONOBERGS LÄN</t>
        </is>
      </c>
      <c r="G4306" t="inlineStr">
        <is>
          <t>ALVESTA</t>
        </is>
      </c>
      <c r="I4306" t="n">
        <v>0.5</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33098-2026</t>
        </is>
      </c>
      <c r="B4307" t="inlineStr">
        <is>
          <t>avverkningsanmälan</t>
        </is>
      </c>
      <c r="C4307" t="inlineStr">
        <is>
          <t>Föryngringsavverkning</t>
        </is>
      </c>
      <c r="D4307" s="1" t="n">
        <v>46244</v>
      </c>
      <c r="E4307" s="1" t="n">
        <v>46316</v>
      </c>
      <c r="F4307" t="inlineStr">
        <is>
          <t>KRONOBERGS LÄN</t>
        </is>
      </c>
      <c r="G4307" t="inlineStr">
        <is>
          <t>VÄXJÖ</t>
        </is>
      </c>
      <c r="H4307" t="inlineStr">
        <is>
          <t>Kyrkan</t>
        </is>
      </c>
      <c r="I4307" t="n">
        <v>4.2</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33123-2026</t>
        </is>
      </c>
      <c r="B4308" t="inlineStr">
        <is>
          <t>avverkningsanmälan</t>
        </is>
      </c>
      <c r="C4308" t="inlineStr">
        <is>
          <t>Föryngringsavverkning</t>
        </is>
      </c>
      <c r="D4308" s="1" t="n">
        <v>46244</v>
      </c>
      <c r="E4308" s="1" t="n">
        <v>46316</v>
      </c>
      <c r="F4308" t="inlineStr">
        <is>
          <t>KRONOBERGS LÄN</t>
        </is>
      </c>
      <c r="G4308" t="inlineStr">
        <is>
          <t>VÄXJÖ</t>
        </is>
      </c>
      <c r="H4308" t="inlineStr">
        <is>
          <t>Kyrkan</t>
        </is>
      </c>
      <c r="I4308" t="n">
        <v>1.5</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14400-2024</t>
        </is>
      </c>
      <c r="B4309" t="inlineStr">
        <is>
          <t>avverkningsanmälan</t>
        </is>
      </c>
      <c r="C4309" t="inlineStr">
        <is>
          <t>Föryngringsavverkning</t>
        </is>
      </c>
      <c r="D4309" s="1" t="n">
        <v>45394</v>
      </c>
      <c r="E4309" s="1" t="n">
        <v>46316</v>
      </c>
      <c r="F4309" t="inlineStr">
        <is>
          <t>KRONOBERGS LÄN</t>
        </is>
      </c>
      <c r="G4309" t="inlineStr">
        <is>
          <t>TINGSRYD</t>
        </is>
      </c>
      <c r="I4309" t="n">
        <v>0.8</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17256-2026</t>
        </is>
      </c>
      <c r="B4310" t="inlineStr">
        <is>
          <t>avverkningsanmälan</t>
        </is>
      </c>
      <c r="C4310" t="inlineStr">
        <is>
          <t>Föryngringsavverkning</t>
        </is>
      </c>
      <c r="D4310" s="1" t="n">
        <v>46119</v>
      </c>
      <c r="E4310" s="1" t="n">
        <v>46316</v>
      </c>
      <c r="F4310" t="inlineStr">
        <is>
          <t>KRONOBERGS LÄN</t>
        </is>
      </c>
      <c r="G4310" t="inlineStr">
        <is>
          <t>LJUNGBY</t>
        </is>
      </c>
      <c r="H4310" t="inlineStr">
        <is>
          <t>Sveaskog</t>
        </is>
      </c>
      <c r="I4310" t="n">
        <v>5.1</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54072-2024</t>
        </is>
      </c>
      <c r="B4311" t="inlineStr">
        <is>
          <t>avverkningsanmälan</t>
        </is>
      </c>
      <c r="C4311" t="inlineStr">
        <is>
          <t>Föryngringsavverkning</t>
        </is>
      </c>
      <c r="D4311" s="1" t="n">
        <v>45615</v>
      </c>
      <c r="E4311" s="1" t="n">
        <v>46316</v>
      </c>
      <c r="F4311" t="inlineStr">
        <is>
          <t>KRONOBERGS LÄN</t>
        </is>
      </c>
      <c r="G4311" t="inlineStr">
        <is>
          <t>UPPVIDINGE</t>
        </is>
      </c>
      <c r="I4311" t="n">
        <v>1.8</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10858-2023</t>
        </is>
      </c>
      <c r="B4312" t="inlineStr">
        <is>
          <t>avverkningsanmälan</t>
        </is>
      </c>
      <c r="C4312" t="inlineStr">
        <is>
          <t>Föryngringsavverkning</t>
        </is>
      </c>
      <c r="D4312" s="1" t="n">
        <v>44991</v>
      </c>
      <c r="E4312" s="1" t="n">
        <v>46316</v>
      </c>
      <c r="F4312" t="inlineStr">
        <is>
          <t>KRONOBERGS LÄN</t>
        </is>
      </c>
      <c r="G4312" t="inlineStr">
        <is>
          <t>ALVESTA</t>
        </is>
      </c>
      <c r="I4312" t="n">
        <v>0.5</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39033-2026</t>
        </is>
      </c>
      <c r="B4313" t="inlineStr">
        <is>
          <t>avverkningsanmälan</t>
        </is>
      </c>
      <c r="C4313" t="inlineStr">
        <is>
          <t>Föryngringsavverkning</t>
        </is>
      </c>
      <c r="D4313" s="1" t="n">
        <v>46287</v>
      </c>
      <c r="E4313" s="1" t="n">
        <v>46316</v>
      </c>
      <c r="F4313" t="inlineStr">
        <is>
          <t>KRONOBERGS LÄN</t>
        </is>
      </c>
      <c r="G4313" t="inlineStr">
        <is>
          <t>ALVESTA</t>
        </is>
      </c>
      <c r="I4313" t="n">
        <v>2.4</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24905-2023</t>
        </is>
      </c>
      <c r="B4314" t="inlineStr">
        <is>
          <t>avverkningsanmälan</t>
        </is>
      </c>
      <c r="C4314" t="inlineStr">
        <is>
          <t>Föryngringsavverkning</t>
        </is>
      </c>
      <c r="D4314" s="1" t="n">
        <v>45085</v>
      </c>
      <c r="E4314" s="1" t="n">
        <v>46316</v>
      </c>
      <c r="F4314" t="inlineStr">
        <is>
          <t>KRONOBERGS LÄN</t>
        </is>
      </c>
      <c r="G4314" t="inlineStr">
        <is>
          <t>VÄXJÖ</t>
        </is>
      </c>
      <c r="I4314" t="n">
        <v>1.2</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33128-2026</t>
        </is>
      </c>
      <c r="B4315" t="inlineStr">
        <is>
          <t>avverkningsanmälan</t>
        </is>
      </c>
      <c r="C4315" t="inlineStr">
        <is>
          <t>Föryngringsavverkning</t>
        </is>
      </c>
      <c r="D4315" s="1" t="n">
        <v>46244</v>
      </c>
      <c r="E4315" s="1" t="n">
        <v>46316</v>
      </c>
      <c r="F4315" t="inlineStr">
        <is>
          <t>KRONOBERGS LÄN</t>
        </is>
      </c>
      <c r="G4315" t="inlineStr">
        <is>
          <t>VÄXJÖ</t>
        </is>
      </c>
      <c r="H4315" t="inlineStr">
        <is>
          <t>Kyrkan</t>
        </is>
      </c>
      <c r="I4315" t="n">
        <v>0.6</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24932-2023</t>
        </is>
      </c>
      <c r="B4316" t="inlineStr">
        <is>
          <t>avverkningsanmälan</t>
        </is>
      </c>
      <c r="C4316" t="inlineStr">
        <is>
          <t>Avverkning för annat ändamål</t>
        </is>
      </c>
      <c r="D4316" s="1" t="n">
        <v>45085</v>
      </c>
      <c r="E4316" s="1" t="n">
        <v>46316</v>
      </c>
      <c r="F4316" t="inlineStr">
        <is>
          <t>KRONOBERGS LÄN</t>
        </is>
      </c>
      <c r="G4316" t="inlineStr">
        <is>
          <t>UPPVIDINGE</t>
        </is>
      </c>
      <c r="I4316" t="n">
        <v>0.8</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32821-2026</t>
        </is>
      </c>
      <c r="B4317" t="inlineStr">
        <is>
          <t>avverkningsanmälan</t>
        </is>
      </c>
      <c r="C4317" t="inlineStr">
        <is>
          <t>Föryngringsavverkning</t>
        </is>
      </c>
      <c r="D4317" s="1" t="n">
        <v>46242</v>
      </c>
      <c r="E4317" s="1" t="n">
        <v>46316</v>
      </c>
      <c r="F4317" t="inlineStr">
        <is>
          <t>KRONOBERGS LÄN</t>
        </is>
      </c>
      <c r="G4317" t="inlineStr">
        <is>
          <t>UPPVIDINGE</t>
        </is>
      </c>
      <c r="I4317" t="n">
        <v>1</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32771-2026</t>
        </is>
      </c>
      <c r="B4318" t="inlineStr">
        <is>
          <t>avverkningsanmälan</t>
        </is>
      </c>
      <c r="C4318" t="inlineStr">
        <is>
          <t>Föryngringsavverkning</t>
        </is>
      </c>
      <c r="D4318" s="1" t="n">
        <v>46241</v>
      </c>
      <c r="E4318" s="1" t="n">
        <v>46316</v>
      </c>
      <c r="F4318" t="inlineStr">
        <is>
          <t>KRONOBERGS LÄN</t>
        </is>
      </c>
      <c r="G4318" t="inlineStr">
        <is>
          <t>LESSEBO</t>
        </is>
      </c>
      <c r="I4318" t="n">
        <v>1.5</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32793-2026</t>
        </is>
      </c>
      <c r="B4319" t="inlineStr">
        <is>
          <t>avverkningsanmälan</t>
        </is>
      </c>
      <c r="C4319" t="inlineStr">
        <is>
          <t>Föryngringsavverkning</t>
        </is>
      </c>
      <c r="D4319" s="1" t="n">
        <v>46241</v>
      </c>
      <c r="E4319" s="1" t="n">
        <v>46316</v>
      </c>
      <c r="F4319" t="inlineStr">
        <is>
          <t>KRONOBERGS LÄN</t>
        </is>
      </c>
      <c r="G4319" t="inlineStr">
        <is>
          <t>ALVESTA</t>
        </is>
      </c>
      <c r="I4319" t="n">
        <v>2.2</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32799-2026</t>
        </is>
      </c>
      <c r="B4320" t="inlineStr">
        <is>
          <t>avverkningsanmälan</t>
        </is>
      </c>
      <c r="C4320" t="inlineStr">
        <is>
          <t>Föryngringsavverkning</t>
        </is>
      </c>
      <c r="D4320" s="1" t="n">
        <v>46241</v>
      </c>
      <c r="E4320" s="1" t="n">
        <v>46316</v>
      </c>
      <c r="F4320" t="inlineStr">
        <is>
          <t>KRONOBERGS LÄN</t>
        </is>
      </c>
      <c r="G4320" t="inlineStr">
        <is>
          <t>ALVESTA</t>
        </is>
      </c>
      <c r="I4320" t="n">
        <v>3.5</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32837-2026</t>
        </is>
      </c>
      <c r="B4321" t="inlineStr">
        <is>
          <t>avverkningsanmälan</t>
        </is>
      </c>
      <c r="C4321" t="inlineStr">
        <is>
          <t>Föryngringsavverkning</t>
        </is>
      </c>
      <c r="D4321" s="1" t="n">
        <v>46244</v>
      </c>
      <c r="E4321" s="1" t="n">
        <v>46316</v>
      </c>
      <c r="F4321" t="inlineStr">
        <is>
          <t>KRONOBERGS LÄN</t>
        </is>
      </c>
      <c r="G4321" t="inlineStr">
        <is>
          <t>ALVESTA</t>
        </is>
      </c>
      <c r="I4321" t="n">
        <v>3</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51210-2022</t>
        </is>
      </c>
      <c r="B4322" t="inlineStr">
        <is>
          <t>avverkningsanmälan</t>
        </is>
      </c>
      <c r="C4322" t="inlineStr">
        <is>
          <t>Föryngringsavverkning</t>
        </is>
      </c>
      <c r="D4322" s="1" t="n">
        <v>44868</v>
      </c>
      <c r="E4322" s="1" t="n">
        <v>46316</v>
      </c>
      <c r="F4322" t="inlineStr">
        <is>
          <t>KRONOBERGS LÄN</t>
        </is>
      </c>
      <c r="G4322" t="inlineStr">
        <is>
          <t>ALVESTA</t>
        </is>
      </c>
      <c r="I4322" t="n">
        <v>1.6</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10613-2022</t>
        </is>
      </c>
      <c r="B4323" t="inlineStr">
        <is>
          <t>avverkningsanmälan</t>
        </is>
      </c>
      <c r="C4323" t="inlineStr">
        <is>
          <t>Föryngringsavverkning</t>
        </is>
      </c>
      <c r="D4323" s="1" t="n">
        <v>44624</v>
      </c>
      <c r="E4323" s="1" t="n">
        <v>46316</v>
      </c>
      <c r="F4323" t="inlineStr">
        <is>
          <t>KRONOBERGS LÄN</t>
        </is>
      </c>
      <c r="G4323" t="inlineStr">
        <is>
          <t>TINGSRYD</t>
        </is>
      </c>
      <c r="I4323" t="n">
        <v>7.1</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8037-2022</t>
        </is>
      </c>
      <c r="B4324" t="inlineStr">
        <is>
          <t>avverkningsanmälan</t>
        </is>
      </c>
      <c r="C4324" t="inlineStr">
        <is>
          <t>Föryngringsavverkning</t>
        </is>
      </c>
      <c r="D4324" s="1" t="n">
        <v>44609</v>
      </c>
      <c r="E4324" s="1" t="n">
        <v>46316</v>
      </c>
      <c r="F4324" t="inlineStr">
        <is>
          <t>KRONOBERGS LÄN</t>
        </is>
      </c>
      <c r="G4324" t="inlineStr">
        <is>
          <t>VÄXJÖ</t>
        </is>
      </c>
      <c r="I4324" t="n">
        <v>0.8</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172-2023</t>
        </is>
      </c>
      <c r="B4325" t="inlineStr">
        <is>
          <t>avverkningsanmälan</t>
        </is>
      </c>
      <c r="C4325" t="inlineStr">
        <is>
          <t>Föryngringsavverkning</t>
        </is>
      </c>
      <c r="D4325" s="1" t="n">
        <v>44928</v>
      </c>
      <c r="E4325" s="1" t="n">
        <v>46316</v>
      </c>
      <c r="F4325" t="inlineStr">
        <is>
          <t>KRONOBERGS LÄN</t>
        </is>
      </c>
      <c r="G4325" t="inlineStr">
        <is>
          <t>TINGSRYD</t>
        </is>
      </c>
      <c r="I4325" t="n">
        <v>1.5</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62209-2023</t>
        </is>
      </c>
      <c r="B4326" t="inlineStr">
        <is>
          <t>avverkningsanmälan</t>
        </is>
      </c>
      <c r="C4326" t="inlineStr">
        <is>
          <t>Föryngringsavverkning</t>
        </is>
      </c>
      <c r="D4326" s="1" t="n">
        <v>45267</v>
      </c>
      <c r="E4326" s="1" t="n">
        <v>46316</v>
      </c>
      <c r="F4326" t="inlineStr">
        <is>
          <t>KRONOBERGS LÄN</t>
        </is>
      </c>
      <c r="G4326" t="inlineStr">
        <is>
          <t>TINGSRYD</t>
        </is>
      </c>
      <c r="I4326" t="n">
        <v>0.8</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642-2024</t>
        </is>
      </c>
      <c r="B4327" t="inlineStr">
        <is>
          <t>avverkningsanmälan</t>
        </is>
      </c>
      <c r="C4327" t="inlineStr">
        <is>
          <t>Avverkning för att bevara och utveckla /försöksver</t>
        </is>
      </c>
      <c r="D4327" s="1" t="n">
        <v>45299</v>
      </c>
      <c r="E4327" s="1" t="n">
        <v>46316</v>
      </c>
      <c r="F4327" t="inlineStr">
        <is>
          <t>KRONOBERGS LÄN</t>
        </is>
      </c>
      <c r="G4327" t="inlineStr">
        <is>
          <t>LESSEBO</t>
        </is>
      </c>
      <c r="H4327" t="inlineStr">
        <is>
          <t>Sveaskog</t>
        </is>
      </c>
      <c r="I4327" t="n">
        <v>1.1</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12916-2026</t>
        </is>
      </c>
      <c r="B4328" t="inlineStr">
        <is>
          <t>avverkningsanmälan</t>
        </is>
      </c>
      <c r="C4328" t="inlineStr">
        <is>
          <t>Föryngringsavverkning</t>
        </is>
      </c>
      <c r="D4328" s="1" t="n">
        <v>46092</v>
      </c>
      <c r="E4328" s="1" t="n">
        <v>46316</v>
      </c>
      <c r="F4328" t="inlineStr">
        <is>
          <t>KRONOBERGS LÄN</t>
        </is>
      </c>
      <c r="G4328" t="inlineStr">
        <is>
          <t>ÄLMHULT</t>
        </is>
      </c>
      <c r="I4328" t="n">
        <v>29.1</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54882-2024</t>
        </is>
      </c>
      <c r="B4329" t="inlineStr">
        <is>
          <t>avverkningsanmälan</t>
        </is>
      </c>
      <c r="C4329" t="inlineStr">
        <is>
          <t>Föryngringsavverkning</t>
        </is>
      </c>
      <c r="D4329" s="1" t="n">
        <v>45618</v>
      </c>
      <c r="E4329" s="1" t="n">
        <v>46316</v>
      </c>
      <c r="F4329" t="inlineStr">
        <is>
          <t>KRONOBERGS LÄN</t>
        </is>
      </c>
      <c r="G4329" t="inlineStr">
        <is>
          <t>LJUNGBY</t>
        </is>
      </c>
      <c r="I4329" t="n">
        <v>0.7</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6479-2022</t>
        </is>
      </c>
      <c r="B4330" t="inlineStr">
        <is>
          <t>avverkningsanmälan</t>
        </is>
      </c>
      <c r="C4330" t="inlineStr">
        <is>
          <t>Föryngringsavverkning</t>
        </is>
      </c>
      <c r="D4330" s="1" t="n">
        <v>44601</v>
      </c>
      <c r="E4330" s="1" t="n">
        <v>46316</v>
      </c>
      <c r="F4330" t="inlineStr">
        <is>
          <t>KRONOBERGS LÄN</t>
        </is>
      </c>
      <c r="G4330" t="inlineStr">
        <is>
          <t>ALVESTA</t>
        </is>
      </c>
      <c r="I4330" t="n">
        <v>0.7</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61444-2023</t>
        </is>
      </c>
      <c r="B4331" t="inlineStr">
        <is>
          <t>avverkningsanmälan</t>
        </is>
      </c>
      <c r="C4331" t="inlineStr">
        <is>
          <t>Föryngringsavverkning</t>
        </is>
      </c>
      <c r="D4331" s="1" t="n">
        <v>45264</v>
      </c>
      <c r="E4331" s="1" t="n">
        <v>46316</v>
      </c>
      <c r="F4331" t="inlineStr">
        <is>
          <t>KRONOBERGS LÄN</t>
        </is>
      </c>
      <c r="G4331" t="inlineStr">
        <is>
          <t>TINGSRYD</t>
        </is>
      </c>
      <c r="I4331" t="n">
        <v>1.8</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33121-2026</t>
        </is>
      </c>
      <c r="B4332" t="inlineStr">
        <is>
          <t>avverkningsanmälan</t>
        </is>
      </c>
      <c r="C4332" t="inlineStr">
        <is>
          <t>Föryngringsavverkning</t>
        </is>
      </c>
      <c r="D4332" s="1" t="n">
        <v>46244</v>
      </c>
      <c r="E4332" s="1" t="n">
        <v>46316</v>
      </c>
      <c r="F4332" t="inlineStr">
        <is>
          <t>KRONOBERGS LÄN</t>
        </is>
      </c>
      <c r="G4332" t="inlineStr">
        <is>
          <t>VÄXJÖ</t>
        </is>
      </c>
      <c r="H4332" t="inlineStr">
        <is>
          <t>Kyrkan</t>
        </is>
      </c>
      <c r="I4332" t="n">
        <v>2.7</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31603-2023</t>
        </is>
      </c>
      <c r="B4333" t="inlineStr">
        <is>
          <t>avverkningsanmälan</t>
        </is>
      </c>
      <c r="C4333" t="inlineStr">
        <is>
          <t>Föryngringsavverkning</t>
        </is>
      </c>
      <c r="D4333" s="1" t="n">
        <v>45117</v>
      </c>
      <c r="E4333" s="1" t="n">
        <v>46316</v>
      </c>
      <c r="F4333" t="inlineStr">
        <is>
          <t>KRONOBERGS LÄN</t>
        </is>
      </c>
      <c r="G4333" t="inlineStr">
        <is>
          <t>MARKARYD</t>
        </is>
      </c>
      <c r="H4333" t="inlineStr">
        <is>
          <t>Naturvårdsverket</t>
        </is>
      </c>
      <c r="I4333" t="n">
        <v>4.9</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39076-2026</t>
        </is>
      </c>
      <c r="B4334" t="inlineStr">
        <is>
          <t>avverkningsanmälan</t>
        </is>
      </c>
      <c r="C4334" t="inlineStr">
        <is>
          <t>Föryngringsavverkning</t>
        </is>
      </c>
      <c r="D4334" s="1" t="n">
        <v>46287</v>
      </c>
      <c r="E4334" s="1" t="n">
        <v>46316</v>
      </c>
      <c r="F4334" t="inlineStr">
        <is>
          <t>KRONOBERGS LÄN</t>
        </is>
      </c>
      <c r="G4334" t="inlineStr">
        <is>
          <t>LJUNGBY</t>
        </is>
      </c>
      <c r="I4334" t="n">
        <v>1.2</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32760-2026</t>
        </is>
      </c>
      <c r="B4335" t="inlineStr">
        <is>
          <t>avverkningsanmälan</t>
        </is>
      </c>
      <c r="C4335" t="inlineStr">
        <is>
          <t>Föryngringsavverkning</t>
        </is>
      </c>
      <c r="D4335" s="1" t="n">
        <v>46241</v>
      </c>
      <c r="E4335" s="1" t="n">
        <v>46316</v>
      </c>
      <c r="F4335" t="inlineStr">
        <is>
          <t>KRONOBERGS LÄN</t>
        </is>
      </c>
      <c r="G4335" t="inlineStr">
        <is>
          <t>LESSEBO</t>
        </is>
      </c>
      <c r="I4335" t="n">
        <v>0.5</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32869-2026</t>
        </is>
      </c>
      <c r="B4336" t="inlineStr">
        <is>
          <t>avverkningsanmälan</t>
        </is>
      </c>
      <c r="C4336" t="inlineStr">
        <is>
          <t>Föryngringsavverkning</t>
        </is>
      </c>
      <c r="D4336" s="1" t="n">
        <v>46244</v>
      </c>
      <c r="E4336" s="1" t="n">
        <v>46316</v>
      </c>
      <c r="F4336" t="inlineStr">
        <is>
          <t>KRONOBERGS LÄN</t>
        </is>
      </c>
      <c r="G4336" t="inlineStr">
        <is>
          <t>LJUNGBY</t>
        </is>
      </c>
      <c r="I4336" t="n">
        <v>3.7</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32877-2026</t>
        </is>
      </c>
      <c r="B4337" t="inlineStr">
        <is>
          <t>avverkningsanmälan</t>
        </is>
      </c>
      <c r="C4337" t="inlineStr">
        <is>
          <t>Föryngringsavverkning</t>
        </is>
      </c>
      <c r="D4337" s="1" t="n">
        <v>46244</v>
      </c>
      <c r="E4337" s="1" t="n">
        <v>46316</v>
      </c>
      <c r="F4337" t="inlineStr">
        <is>
          <t>KRONOBERGS LÄN</t>
        </is>
      </c>
      <c r="G4337" t="inlineStr">
        <is>
          <t>TINGSRYD</t>
        </is>
      </c>
      <c r="I4337" t="n">
        <v>1.2</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20571-2022</t>
        </is>
      </c>
      <c r="B4338" t="inlineStr">
        <is>
          <t>avverkningsanmälan</t>
        </is>
      </c>
      <c r="C4338" t="inlineStr">
        <is>
          <t>Föryngringsavverkning</t>
        </is>
      </c>
      <c r="D4338" s="1" t="n">
        <v>44700</v>
      </c>
      <c r="E4338" s="1" t="n">
        <v>46316</v>
      </c>
      <c r="F4338" t="inlineStr">
        <is>
          <t>KRONOBERGS LÄN</t>
        </is>
      </c>
      <c r="G4338" t="inlineStr">
        <is>
          <t>MARKARYD</t>
        </is>
      </c>
      <c r="I4338" t="n">
        <v>1.6</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2808-2024</t>
        </is>
      </c>
      <c r="B4339" t="inlineStr">
        <is>
          <t>avverkningsanmälan</t>
        </is>
      </c>
      <c r="C4339" t="inlineStr">
        <is>
          <t>Föryngringsavverkning</t>
        </is>
      </c>
      <c r="D4339" s="1" t="n">
        <v>45314</v>
      </c>
      <c r="E4339" s="1" t="n">
        <v>46316</v>
      </c>
      <c r="F4339" t="inlineStr">
        <is>
          <t>KRONOBERGS LÄN</t>
        </is>
      </c>
      <c r="G4339" t="inlineStr">
        <is>
          <t>TINGSRYD</t>
        </is>
      </c>
      <c r="I4339" t="n">
        <v>3.6</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8123-2024</t>
        </is>
      </c>
      <c r="B4340" t="inlineStr">
        <is>
          <t>avverkningsanmälan</t>
        </is>
      </c>
      <c r="C4340" t="inlineStr">
        <is>
          <t>Föryngringsavverkning</t>
        </is>
      </c>
      <c r="D4340" s="1" t="n">
        <v>45351</v>
      </c>
      <c r="E4340" s="1" t="n">
        <v>46316</v>
      </c>
      <c r="F4340" t="inlineStr">
        <is>
          <t>KRONOBERGS LÄN</t>
        </is>
      </c>
      <c r="G4340" t="inlineStr">
        <is>
          <t>UPPVIDINGE</t>
        </is>
      </c>
      <c r="I4340" t="n">
        <v>7</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29182-2026</t>
        </is>
      </c>
      <c r="B4341" t="inlineStr">
        <is>
          <t>avverkningsanmälan</t>
        </is>
      </c>
      <c r="C4341" t="inlineStr">
        <is>
          <t>Föryngringsavverkning</t>
        </is>
      </c>
      <c r="D4341" s="1" t="n">
        <v>46202</v>
      </c>
      <c r="E4341" s="1" t="n">
        <v>46316</v>
      </c>
      <c r="F4341" t="inlineStr">
        <is>
          <t>KRONOBERGS LÄN</t>
        </is>
      </c>
      <c r="G4341" t="inlineStr">
        <is>
          <t>TINGSRYD</t>
        </is>
      </c>
      <c r="I4341" t="n">
        <v>1.1</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42209-2024</t>
        </is>
      </c>
      <c r="B4342" t="inlineStr">
        <is>
          <t>avverkningsanmälan</t>
        </is>
      </c>
      <c r="C4342" t="inlineStr">
        <is>
          <t>Föryngringsavverkning</t>
        </is>
      </c>
      <c r="D4342" s="1" t="n">
        <v>45562</v>
      </c>
      <c r="E4342" s="1" t="n">
        <v>46316</v>
      </c>
      <c r="F4342" t="inlineStr">
        <is>
          <t>KRONOBERGS LÄN</t>
        </is>
      </c>
      <c r="G4342" t="inlineStr">
        <is>
          <t>LJUNGBY</t>
        </is>
      </c>
      <c r="H4342" t="inlineStr">
        <is>
          <t>Sveaskog</t>
        </is>
      </c>
      <c r="I4342" t="n">
        <v>6.8</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39405-2026</t>
        </is>
      </c>
      <c r="B4343" t="inlineStr">
        <is>
          <t>avverkningsanmälan</t>
        </is>
      </c>
      <c r="C4343" t="inlineStr">
        <is>
          <t>Föryngringsavverkning</t>
        </is>
      </c>
      <c r="D4343" s="1" t="n">
        <v>46288</v>
      </c>
      <c r="E4343" s="1" t="n">
        <v>46316</v>
      </c>
      <c r="F4343" t="inlineStr">
        <is>
          <t>KRONOBERGS LÄN</t>
        </is>
      </c>
      <c r="G4343" t="inlineStr">
        <is>
          <t>ALVESTA</t>
        </is>
      </c>
      <c r="I4343" t="n">
        <v>3.5</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39412-2026</t>
        </is>
      </c>
      <c r="B4344" t="inlineStr">
        <is>
          <t>avverkningsanmälan</t>
        </is>
      </c>
      <c r="C4344" t="inlineStr">
        <is>
          <t>Föryngringsavverkning</t>
        </is>
      </c>
      <c r="D4344" s="1" t="n">
        <v>46288</v>
      </c>
      <c r="E4344" s="1" t="n">
        <v>46316</v>
      </c>
      <c r="F4344" t="inlineStr">
        <is>
          <t>KRONOBERGS LÄN</t>
        </is>
      </c>
      <c r="G4344" t="inlineStr">
        <is>
          <t>VÄXJÖ</t>
        </is>
      </c>
      <c r="I4344" t="n">
        <v>3.2</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60043-2024</t>
        </is>
      </c>
      <c r="B4345" t="inlineStr">
        <is>
          <t>avverkningsanmälan</t>
        </is>
      </c>
      <c r="C4345" t="inlineStr">
        <is>
          <t>Föryngringsavverkning</t>
        </is>
      </c>
      <c r="D4345" s="1" t="n">
        <v>45642</v>
      </c>
      <c r="E4345" s="1" t="n">
        <v>46316</v>
      </c>
      <c r="F4345" t="inlineStr">
        <is>
          <t>KRONOBERGS LÄN</t>
        </is>
      </c>
      <c r="G4345" t="inlineStr">
        <is>
          <t>UPPVIDINGE</t>
        </is>
      </c>
      <c r="H4345" t="inlineStr">
        <is>
          <t>Sveaskog</t>
        </is>
      </c>
      <c r="I4345" t="n">
        <v>0.8</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31844-2024</t>
        </is>
      </c>
      <c r="B4346" t="inlineStr">
        <is>
          <t>avverkningsanmälan</t>
        </is>
      </c>
      <c r="C4346" t="inlineStr">
        <is>
          <t>Föryngringsavverkning</t>
        </is>
      </c>
      <c r="D4346" s="1" t="n">
        <v>45509</v>
      </c>
      <c r="E4346" s="1" t="n">
        <v>46316</v>
      </c>
      <c r="F4346" t="inlineStr">
        <is>
          <t>KRONOBERGS LÄN</t>
        </is>
      </c>
      <c r="G4346" t="inlineStr">
        <is>
          <t>LJUNGBY</t>
        </is>
      </c>
      <c r="H4346" t="inlineStr">
        <is>
          <t>Sveaskog</t>
        </is>
      </c>
      <c r="I4346" t="n">
        <v>1.8</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61968-2024</t>
        </is>
      </c>
      <c r="B4347" t="inlineStr">
        <is>
          <t>avverkningsanmälan</t>
        </is>
      </c>
      <c r="C4347" t="inlineStr">
        <is>
          <t>Föryngringsavverkning</t>
        </is>
      </c>
      <c r="D4347" s="1" t="n">
        <v>45653</v>
      </c>
      <c r="E4347" s="1" t="n">
        <v>46316</v>
      </c>
      <c r="F4347" t="inlineStr">
        <is>
          <t>KRONOBERGS LÄN</t>
        </is>
      </c>
      <c r="G4347" t="inlineStr">
        <is>
          <t>ÄLMHULT</t>
        </is>
      </c>
      <c r="I4347" t="n">
        <v>0.6</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10929-2025</t>
        </is>
      </c>
      <c r="B4348" t="inlineStr">
        <is>
          <t>avverkningsanmälan</t>
        </is>
      </c>
      <c r="C4348" t="inlineStr">
        <is>
          <t>Föryngringsavverkning</t>
        </is>
      </c>
      <c r="D4348" s="1" t="n">
        <v>45722</v>
      </c>
      <c r="E4348" s="1" t="n">
        <v>46316</v>
      </c>
      <c r="F4348" t="inlineStr">
        <is>
          <t>KRONOBERGS LÄN</t>
        </is>
      </c>
      <c r="G4348" t="inlineStr">
        <is>
          <t>VÄXJÖ</t>
        </is>
      </c>
      <c r="I4348" t="n">
        <v>1.4</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33093-2026</t>
        </is>
      </c>
      <c r="B4349" t="inlineStr">
        <is>
          <t>avverkningsanmälan</t>
        </is>
      </c>
      <c r="C4349" t="inlineStr">
        <is>
          <t>Föryngringsavverkning</t>
        </is>
      </c>
      <c r="D4349" s="1" t="n">
        <v>46245</v>
      </c>
      <c r="E4349" s="1" t="n">
        <v>46316</v>
      </c>
      <c r="F4349" t="inlineStr">
        <is>
          <t>KRONOBERGS LÄN</t>
        </is>
      </c>
      <c r="G4349" t="inlineStr">
        <is>
          <t>VÄXJÖ</t>
        </is>
      </c>
      <c r="I4349" t="n">
        <v>2.1</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33105-2026</t>
        </is>
      </c>
      <c r="B4350" t="inlineStr">
        <is>
          <t>avverkningsanmälan</t>
        </is>
      </c>
      <c r="C4350" t="inlineStr">
        <is>
          <t>Föryngringsavverkning</t>
        </is>
      </c>
      <c r="D4350" s="1" t="n">
        <v>46245</v>
      </c>
      <c r="E4350" s="1" t="n">
        <v>46316</v>
      </c>
      <c r="F4350" t="inlineStr">
        <is>
          <t>KRONOBERGS LÄN</t>
        </is>
      </c>
      <c r="G4350" t="inlineStr">
        <is>
          <t>ÄLMHULT</t>
        </is>
      </c>
      <c r="I4350" t="n">
        <v>3.3</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68212-2021</t>
        </is>
      </c>
      <c r="B4351" t="inlineStr">
        <is>
          <t>avverkningsanmälan</t>
        </is>
      </c>
      <c r="C4351" t="inlineStr">
        <is>
          <t>Föryngringsavverkning</t>
        </is>
      </c>
      <c r="D4351" s="1" t="n">
        <v>44526</v>
      </c>
      <c r="E4351" s="1" t="n">
        <v>46316</v>
      </c>
      <c r="F4351" t="inlineStr">
        <is>
          <t>KRONOBERGS LÄN</t>
        </is>
      </c>
      <c r="G4351" t="inlineStr">
        <is>
          <t>ÄLMHULT</t>
        </is>
      </c>
      <c r="I4351" t="n">
        <v>1.1</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64776-2023</t>
        </is>
      </c>
      <c r="B4352" t="inlineStr">
        <is>
          <t>avverkningsanmälan</t>
        </is>
      </c>
      <c r="C4352" t="inlineStr">
        <is>
          <t>Föryngringsavverkning</t>
        </is>
      </c>
      <c r="D4352" s="1" t="n">
        <v>45281</v>
      </c>
      <c r="E4352" s="1" t="n">
        <v>46316</v>
      </c>
      <c r="F4352" t="inlineStr">
        <is>
          <t>KRONOBERGS LÄN</t>
        </is>
      </c>
      <c r="G4352" t="inlineStr">
        <is>
          <t>MARKARYD</t>
        </is>
      </c>
      <c r="H4352" t="inlineStr">
        <is>
          <t>Kyrkan</t>
        </is>
      </c>
      <c r="I4352" t="n">
        <v>0.8</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39167-2026</t>
        </is>
      </c>
      <c r="B4353" t="inlineStr">
        <is>
          <t>avverkningsanmälan</t>
        </is>
      </c>
      <c r="C4353" t="inlineStr">
        <is>
          <t>Föryngringsavverkning</t>
        </is>
      </c>
      <c r="D4353" s="1" t="n">
        <v>46287</v>
      </c>
      <c r="E4353" s="1" t="n">
        <v>46316</v>
      </c>
      <c r="F4353" t="inlineStr">
        <is>
          <t>KRONOBERGS LÄN</t>
        </is>
      </c>
      <c r="G4353" t="inlineStr">
        <is>
          <t>ÄLMHULT</t>
        </is>
      </c>
      <c r="I4353" t="n">
        <v>5.5</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33261-2026</t>
        </is>
      </c>
      <c r="B4354" t="inlineStr">
        <is>
          <t>avverkningsanmälan</t>
        </is>
      </c>
      <c r="C4354" t="inlineStr">
        <is>
          <t>Föryngringsavverkning</t>
        </is>
      </c>
      <c r="D4354" s="1" t="n">
        <v>46246</v>
      </c>
      <c r="E4354" s="1" t="n">
        <v>46316</v>
      </c>
      <c r="F4354" t="inlineStr">
        <is>
          <t>KRONOBERGS LÄN</t>
        </is>
      </c>
      <c r="G4354" t="inlineStr">
        <is>
          <t>ÄLMHULT</t>
        </is>
      </c>
      <c r="I4354" t="n">
        <v>1.2</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7678-2025</t>
        </is>
      </c>
      <c r="B4355" t="inlineStr">
        <is>
          <t>avverkningsanmälan</t>
        </is>
      </c>
      <c r="C4355" t="inlineStr">
        <is>
          <t>Föryngringsavverkning</t>
        </is>
      </c>
      <c r="D4355" s="1" t="n">
        <v>45706</v>
      </c>
      <c r="E4355" s="1" t="n">
        <v>46316</v>
      </c>
      <c r="F4355" t="inlineStr">
        <is>
          <t>KRONOBERGS LÄN</t>
        </is>
      </c>
      <c r="G4355" t="inlineStr">
        <is>
          <t>UPPVIDINGE</t>
        </is>
      </c>
      <c r="I4355" t="n">
        <v>2.7</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33290-2026</t>
        </is>
      </c>
      <c r="B4356" t="inlineStr">
        <is>
          <t>avverkningsanmälan</t>
        </is>
      </c>
      <c r="C4356" t="inlineStr">
        <is>
          <t>Föryngringsavverkning</t>
        </is>
      </c>
      <c r="D4356" s="1" t="n">
        <v>46246</v>
      </c>
      <c r="E4356" s="1" t="n">
        <v>46316</v>
      </c>
      <c r="F4356" t="inlineStr">
        <is>
          <t>KRONOBERGS LÄN</t>
        </is>
      </c>
      <c r="G4356" t="inlineStr">
        <is>
          <t>ALVESTA</t>
        </is>
      </c>
      <c r="I4356" t="n">
        <v>1.7</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41482-2024</t>
        </is>
      </c>
      <c r="B4357" t="inlineStr">
        <is>
          <t>avverkningsanmälan</t>
        </is>
      </c>
      <c r="C4357" t="inlineStr">
        <is>
          <t>Föryngringsavverkning</t>
        </is>
      </c>
      <c r="D4357" s="1" t="n">
        <v>45560</v>
      </c>
      <c r="E4357" s="1" t="n">
        <v>46316</v>
      </c>
      <c r="F4357" t="inlineStr">
        <is>
          <t>KRONOBERGS LÄN</t>
        </is>
      </c>
      <c r="G4357" t="inlineStr">
        <is>
          <t>VÄXJÖ</t>
        </is>
      </c>
      <c r="I4357" t="n">
        <v>0.5</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53497-2022</t>
        </is>
      </c>
      <c r="B4358" t="inlineStr">
        <is>
          <t>avverkningsanmälan</t>
        </is>
      </c>
      <c r="C4358" t="inlineStr">
        <is>
          <t>Föryngringsavverkning</t>
        </is>
      </c>
      <c r="D4358" s="1" t="n">
        <v>44875</v>
      </c>
      <c r="E4358" s="1" t="n">
        <v>46316</v>
      </c>
      <c r="F4358" t="inlineStr">
        <is>
          <t>KRONOBERGS LÄN</t>
        </is>
      </c>
      <c r="G4358" t="inlineStr">
        <is>
          <t>TINGSRYD</t>
        </is>
      </c>
      <c r="I4358" t="n">
        <v>3</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18845-2024</t>
        </is>
      </c>
      <c r="B4359" t="inlineStr">
        <is>
          <t>avverkningsanmälan</t>
        </is>
      </c>
      <c r="C4359" t="inlineStr">
        <is>
          <t>Föryngringsavverkning</t>
        </is>
      </c>
      <c r="D4359" s="1" t="n">
        <v>45426</v>
      </c>
      <c r="E4359" s="1" t="n">
        <v>46316</v>
      </c>
      <c r="F4359" t="inlineStr">
        <is>
          <t>KRONOBERGS LÄN</t>
        </is>
      </c>
      <c r="G4359" t="inlineStr">
        <is>
          <t>ALVESTA</t>
        </is>
      </c>
      <c r="I4359" t="n">
        <v>1</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59696-2022</t>
        </is>
      </c>
      <c r="B4360" t="inlineStr">
        <is>
          <t>avverkningsanmälan</t>
        </is>
      </c>
      <c r="C4360" t="inlineStr">
        <is>
          <t>Föryngringsavverkning</t>
        </is>
      </c>
      <c r="D4360" s="1" t="n">
        <v>44908</v>
      </c>
      <c r="E4360" s="1" t="n">
        <v>46316</v>
      </c>
      <c r="F4360" t="inlineStr">
        <is>
          <t>KRONOBERGS LÄN</t>
        </is>
      </c>
      <c r="G4360" t="inlineStr">
        <is>
          <t>LJUNGBY</t>
        </is>
      </c>
      <c r="H4360" t="inlineStr">
        <is>
          <t>Sveaskog</t>
        </is>
      </c>
      <c r="I4360" t="n">
        <v>0.5</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39102-2026</t>
        </is>
      </c>
      <c r="B4361" t="inlineStr">
        <is>
          <t>avverkningsanmälan</t>
        </is>
      </c>
      <c r="C4361" t="inlineStr">
        <is>
          <t>Föryngringsavverkning</t>
        </is>
      </c>
      <c r="D4361" s="1" t="n">
        <v>46287</v>
      </c>
      <c r="E4361" s="1" t="n">
        <v>46316</v>
      </c>
      <c r="F4361" t="inlineStr">
        <is>
          <t>KRONOBERGS LÄN</t>
        </is>
      </c>
      <c r="G4361" t="inlineStr">
        <is>
          <t>ÄLMHULT</t>
        </is>
      </c>
      <c r="I4361" t="n">
        <v>5.8</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33129-2026</t>
        </is>
      </c>
      <c r="B4362" t="inlineStr">
        <is>
          <t>avverkningsanmälan</t>
        </is>
      </c>
      <c r="C4362" t="inlineStr">
        <is>
          <t>Föryngringsavverkning</t>
        </is>
      </c>
      <c r="D4362" s="1" t="n">
        <v>46245</v>
      </c>
      <c r="E4362" s="1" t="n">
        <v>46316</v>
      </c>
      <c r="F4362" t="inlineStr">
        <is>
          <t>KRONOBERGS LÄN</t>
        </is>
      </c>
      <c r="G4362" t="inlineStr">
        <is>
          <t>VÄXJÖ</t>
        </is>
      </c>
      <c r="I4362" t="n">
        <v>1.7</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33224-2026</t>
        </is>
      </c>
      <c r="B4363" t="inlineStr">
        <is>
          <t>avverkningsanmälan</t>
        </is>
      </c>
      <c r="C4363" t="inlineStr">
        <is>
          <t>Föryngringsavverkning</t>
        </is>
      </c>
      <c r="D4363" s="1" t="n">
        <v>46246</v>
      </c>
      <c r="E4363" s="1" t="n">
        <v>46316</v>
      </c>
      <c r="F4363" t="inlineStr">
        <is>
          <t>KRONOBERGS LÄN</t>
        </is>
      </c>
      <c r="G4363" t="inlineStr">
        <is>
          <t>LJUNGBY</t>
        </is>
      </c>
      <c r="I4363" t="n">
        <v>3.5</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63078-2021</t>
        </is>
      </c>
      <c r="B4364" t="inlineStr">
        <is>
          <t>avverkningsanmälan</t>
        </is>
      </c>
      <c r="C4364" t="inlineStr">
        <is>
          <t>Föryngringsavverkning</t>
        </is>
      </c>
      <c r="D4364" s="1" t="n">
        <v>44505</v>
      </c>
      <c r="E4364" s="1" t="n">
        <v>46316</v>
      </c>
      <c r="F4364" t="inlineStr">
        <is>
          <t>KRONOBERGS LÄN</t>
        </is>
      </c>
      <c r="G4364" t="inlineStr">
        <is>
          <t>TINGSRYD</t>
        </is>
      </c>
      <c r="I4364" t="n">
        <v>1.2</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42361-2022</t>
        </is>
      </c>
      <c r="B4365" t="inlineStr">
        <is>
          <t>avverkningsanmälan</t>
        </is>
      </c>
      <c r="C4365" t="inlineStr">
        <is>
          <t>Föryngringsavverkning</t>
        </is>
      </c>
      <c r="D4365" s="1" t="n">
        <v>44831</v>
      </c>
      <c r="E4365" s="1" t="n">
        <v>46316</v>
      </c>
      <c r="F4365" t="inlineStr">
        <is>
          <t>KRONOBERGS LÄN</t>
        </is>
      </c>
      <c r="G4365" t="inlineStr">
        <is>
          <t>VÄXJÖ</t>
        </is>
      </c>
      <c r="I4365" t="n">
        <v>1</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56008-2023</t>
        </is>
      </c>
      <c r="B4366" t="inlineStr">
        <is>
          <t>avverkningsanmälan</t>
        </is>
      </c>
      <c r="C4366" t="inlineStr">
        <is>
          <t>Föryngringsavverkning</t>
        </is>
      </c>
      <c r="D4366" s="1" t="n">
        <v>45240</v>
      </c>
      <c r="E4366" s="1" t="n">
        <v>46316</v>
      </c>
      <c r="F4366" t="inlineStr">
        <is>
          <t>KRONOBERGS LÄN</t>
        </is>
      </c>
      <c r="G4366" t="inlineStr">
        <is>
          <t>MARKARYD</t>
        </is>
      </c>
      <c r="I4366" t="n">
        <v>2.9</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31592-2026</t>
        </is>
      </c>
      <c r="B4367" t="inlineStr">
        <is>
          <t>avverkningsanmälan</t>
        </is>
      </c>
      <c r="C4367" t="inlineStr">
        <is>
          <t>Föryngringsavverkning</t>
        </is>
      </c>
      <c r="D4367" s="1" t="n">
        <v>46224</v>
      </c>
      <c r="E4367" s="1" t="n">
        <v>46316</v>
      </c>
      <c r="F4367" t="inlineStr">
        <is>
          <t>KRONOBERGS LÄN</t>
        </is>
      </c>
      <c r="G4367" t="inlineStr">
        <is>
          <t>LJUNGBY</t>
        </is>
      </c>
      <c r="I4367" t="n">
        <v>2.2</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21987-2023</t>
        </is>
      </c>
      <c r="B4368" t="inlineStr">
        <is>
          <t>avverkningsanmälan</t>
        </is>
      </c>
      <c r="C4368" t="inlineStr">
        <is>
          <t>Föryngringsavverkning</t>
        </is>
      </c>
      <c r="D4368" s="1" t="n">
        <v>45068</v>
      </c>
      <c r="E4368" s="1" t="n">
        <v>46316</v>
      </c>
      <c r="F4368" t="inlineStr">
        <is>
          <t>KRONOBERGS LÄN</t>
        </is>
      </c>
      <c r="G4368" t="inlineStr">
        <is>
          <t>ALVESTA</t>
        </is>
      </c>
      <c r="I4368" t="n">
        <v>2.1</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33475-2026</t>
        </is>
      </c>
      <c r="B4369" t="inlineStr">
        <is>
          <t>avverkningsanmälan</t>
        </is>
      </c>
      <c r="C4369" t="inlineStr">
        <is>
          <t>Föryngringsavverkning</t>
        </is>
      </c>
      <c r="D4369" s="1" t="n">
        <v>46246</v>
      </c>
      <c r="E4369" s="1" t="n">
        <v>46316</v>
      </c>
      <c r="F4369" t="inlineStr">
        <is>
          <t>KRONOBERGS LÄN</t>
        </is>
      </c>
      <c r="G4369" t="inlineStr">
        <is>
          <t>LJUNGBY</t>
        </is>
      </c>
      <c r="I4369" t="n">
        <v>0.7</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39317-2026</t>
        </is>
      </c>
      <c r="B4370" t="inlineStr">
        <is>
          <t>avverkningsanmälan</t>
        </is>
      </c>
      <c r="C4370" t="inlineStr">
        <is>
          <t>Föryngringsavverkning</t>
        </is>
      </c>
      <c r="D4370" s="1" t="n">
        <v>46288</v>
      </c>
      <c r="E4370" s="1" t="n">
        <v>46316</v>
      </c>
      <c r="F4370" t="inlineStr">
        <is>
          <t>KRONOBERGS LÄN</t>
        </is>
      </c>
      <c r="G4370" t="inlineStr">
        <is>
          <t>MARKARYD</t>
        </is>
      </c>
      <c r="I4370" t="n">
        <v>3.2</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39407-2026</t>
        </is>
      </c>
      <c r="B4371" t="inlineStr">
        <is>
          <t>avverkningsanmälan</t>
        </is>
      </c>
      <c r="C4371" t="inlineStr">
        <is>
          <t>Föryngringsavverkning</t>
        </is>
      </c>
      <c r="D4371" s="1" t="n">
        <v>46288</v>
      </c>
      <c r="E4371" s="1" t="n">
        <v>46316</v>
      </c>
      <c r="F4371" t="inlineStr">
        <is>
          <t>KRONOBERGS LÄN</t>
        </is>
      </c>
      <c r="G4371" t="inlineStr">
        <is>
          <t>ALVESTA</t>
        </is>
      </c>
      <c r="I4371" t="n">
        <v>3.8</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53188-2024</t>
        </is>
      </c>
      <c r="B4372" t="inlineStr">
        <is>
          <t>avverkningsanmälan</t>
        </is>
      </c>
      <c r="C4372" t="inlineStr">
        <is>
          <t>Föryngringsavverkning</t>
        </is>
      </c>
      <c r="D4372" s="1" t="n">
        <v>45611</v>
      </c>
      <c r="E4372" s="1" t="n">
        <v>46316</v>
      </c>
      <c r="F4372" t="inlineStr">
        <is>
          <t>KRONOBERGS LÄN</t>
        </is>
      </c>
      <c r="G4372" t="inlineStr">
        <is>
          <t>VÄXJÖ</t>
        </is>
      </c>
      <c r="I4372" t="n">
        <v>0.7</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53203-2024</t>
        </is>
      </c>
      <c r="B4373" t="inlineStr">
        <is>
          <t>avverkningsanmälan</t>
        </is>
      </c>
      <c r="C4373" t="inlineStr">
        <is>
          <t>Föryngringsavverkning</t>
        </is>
      </c>
      <c r="D4373" s="1" t="n">
        <v>45612</v>
      </c>
      <c r="E4373" s="1" t="n">
        <v>46316</v>
      </c>
      <c r="F4373" t="inlineStr">
        <is>
          <t>KRONOBERGS LÄN</t>
        </is>
      </c>
      <c r="G4373" t="inlineStr">
        <is>
          <t>ÄLMHULT</t>
        </is>
      </c>
      <c r="I4373" t="n">
        <v>1.3</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39651-2026</t>
        </is>
      </c>
      <c r="B4374" t="inlineStr">
        <is>
          <t>avverkningsanmälan</t>
        </is>
      </c>
      <c r="C4374" t="inlineStr">
        <is>
          <t>Föryngringsavverkning</t>
        </is>
      </c>
      <c r="D4374" s="1" t="n">
        <v>46289</v>
      </c>
      <c r="E4374" s="1" t="n">
        <v>46316</v>
      </c>
      <c r="F4374" t="inlineStr">
        <is>
          <t>KRONOBERGS LÄN</t>
        </is>
      </c>
      <c r="G4374" t="inlineStr">
        <is>
          <t>VÄXJÖ</t>
        </is>
      </c>
      <c r="I4374" t="n">
        <v>0.8</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39056-2026</t>
        </is>
      </c>
      <c r="B4375" t="inlineStr">
        <is>
          <t>avverkningsanmälan</t>
        </is>
      </c>
      <c r="C4375" t="inlineStr">
        <is>
          <t>Föryngringsavverkning</t>
        </is>
      </c>
      <c r="D4375" s="1" t="n">
        <v>46287</v>
      </c>
      <c r="E4375" s="1" t="n">
        <v>46316</v>
      </c>
      <c r="F4375" t="inlineStr">
        <is>
          <t>KRONOBERGS LÄN</t>
        </is>
      </c>
      <c r="G4375" t="inlineStr">
        <is>
          <t>ÄLMHULT</t>
        </is>
      </c>
      <c r="I4375" t="n">
        <v>4.2</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3238-2025</t>
        </is>
      </c>
      <c r="B4376" t="inlineStr">
        <is>
          <t>avverkningsanmälan</t>
        </is>
      </c>
      <c r="C4376" t="inlineStr">
        <is>
          <t>Föryngringsavverkning</t>
        </is>
      </c>
      <c r="D4376" s="1" t="n">
        <v>45679</v>
      </c>
      <c r="E4376" s="1" t="n">
        <v>46316</v>
      </c>
      <c r="F4376" t="inlineStr">
        <is>
          <t>KRONOBERGS LÄN</t>
        </is>
      </c>
      <c r="G4376" t="inlineStr">
        <is>
          <t>VÄXJÖ</t>
        </is>
      </c>
      <c r="I4376" t="n">
        <v>1.1</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39226-2026</t>
        </is>
      </c>
      <c r="B4377" t="inlineStr">
        <is>
          <t>avverkningsanmälan</t>
        </is>
      </c>
      <c r="C4377" t="inlineStr">
        <is>
          <t>Föryngringsavverkning</t>
        </is>
      </c>
      <c r="D4377" s="1" t="n">
        <v>46287</v>
      </c>
      <c r="E4377" s="1" t="n">
        <v>46316</v>
      </c>
      <c r="F4377" t="inlineStr">
        <is>
          <t>KRONOBERGS LÄN</t>
        </is>
      </c>
      <c r="G4377" t="inlineStr">
        <is>
          <t>ÄLMHULT</t>
        </is>
      </c>
      <c r="I4377" t="n">
        <v>7.3</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39652-2026</t>
        </is>
      </c>
      <c r="B4378" t="inlineStr">
        <is>
          <t>avverkningsanmälan</t>
        </is>
      </c>
      <c r="C4378" t="inlineStr">
        <is>
          <t>Föryngringsavverkning</t>
        </is>
      </c>
      <c r="D4378" s="1" t="n">
        <v>46289</v>
      </c>
      <c r="E4378" s="1" t="n">
        <v>46316</v>
      </c>
      <c r="F4378" t="inlineStr">
        <is>
          <t>KRONOBERGS LÄN</t>
        </is>
      </c>
      <c r="G4378" t="inlineStr">
        <is>
          <t>VÄXJÖ</t>
        </is>
      </c>
      <c r="I4378" t="n">
        <v>0.9</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53278-2024</t>
        </is>
      </c>
      <c r="B4379" t="inlineStr">
        <is>
          <t>avverkningsanmälan</t>
        </is>
      </c>
      <c r="C4379" t="inlineStr">
        <is>
          <t>Föryngringsavverkning</t>
        </is>
      </c>
      <c r="D4379" s="1" t="n">
        <v>45614</v>
      </c>
      <c r="E4379" s="1" t="n">
        <v>46316</v>
      </c>
      <c r="F4379" t="inlineStr">
        <is>
          <t>KRONOBERGS LÄN</t>
        </is>
      </c>
      <c r="G4379" t="inlineStr">
        <is>
          <t>TINGSRYD</t>
        </is>
      </c>
      <c r="I4379" t="n">
        <v>0.6</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39225-2026</t>
        </is>
      </c>
      <c r="B4380" t="inlineStr">
        <is>
          <t>avverkningsanmälan</t>
        </is>
      </c>
      <c r="C4380" t="inlineStr">
        <is>
          <t>Föryngringsavverkning</t>
        </is>
      </c>
      <c r="D4380" s="1" t="n">
        <v>46287</v>
      </c>
      <c r="E4380" s="1" t="n">
        <v>46316</v>
      </c>
      <c r="F4380" t="inlineStr">
        <is>
          <t>KRONOBERGS LÄN</t>
        </is>
      </c>
      <c r="G4380" t="inlineStr">
        <is>
          <t>ÄLMHULT</t>
        </is>
      </c>
      <c r="I4380" t="n">
        <v>1</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9866-2022</t>
        </is>
      </c>
      <c r="B4381" t="inlineStr">
        <is>
          <t>avverkningsanmälan</t>
        </is>
      </c>
      <c r="C4381" t="inlineStr">
        <is>
          <t>Föryngringsavverkning</t>
        </is>
      </c>
      <c r="D4381" s="1" t="n">
        <v>44620</v>
      </c>
      <c r="E4381" s="1" t="n">
        <v>46316</v>
      </c>
      <c r="F4381" t="inlineStr">
        <is>
          <t>KRONOBERGS LÄN</t>
        </is>
      </c>
      <c r="G4381" t="inlineStr">
        <is>
          <t>TINGSRYD</t>
        </is>
      </c>
      <c r="H4381" t="inlineStr">
        <is>
          <t>Kommuner</t>
        </is>
      </c>
      <c r="I4381" t="n">
        <v>0.8</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57938-2023</t>
        </is>
      </c>
      <c r="B4382" t="inlineStr">
        <is>
          <t>avverkningsanmälan</t>
        </is>
      </c>
      <c r="C4382" t="inlineStr">
        <is>
          <t>Föryngringsavverkning</t>
        </is>
      </c>
      <c r="D4382" s="1" t="n">
        <v>45247</v>
      </c>
      <c r="E4382" s="1" t="n">
        <v>46316</v>
      </c>
      <c r="F4382" t="inlineStr">
        <is>
          <t>KRONOBERGS LÄN</t>
        </is>
      </c>
      <c r="G4382" t="inlineStr">
        <is>
          <t>ALVESTA</t>
        </is>
      </c>
      <c r="I4382" t="n">
        <v>0.9</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39535-2026</t>
        </is>
      </c>
      <c r="B4383" t="inlineStr">
        <is>
          <t>avverkningsanmälan</t>
        </is>
      </c>
      <c r="C4383" t="inlineStr">
        <is>
          <t>Föryngringsavverkning</t>
        </is>
      </c>
      <c r="D4383" s="1" t="n">
        <v>46289</v>
      </c>
      <c r="E4383" s="1" t="n">
        <v>46316</v>
      </c>
      <c r="F4383" t="inlineStr">
        <is>
          <t>KRONOBERGS LÄN</t>
        </is>
      </c>
      <c r="G4383" t="inlineStr">
        <is>
          <t>LJUNGBY</t>
        </is>
      </c>
      <c r="I4383" t="n">
        <v>1</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61119-2023</t>
        </is>
      </c>
      <c r="B4384" t="inlineStr">
        <is>
          <t>avverkningsanmälan</t>
        </is>
      </c>
      <c r="C4384" t="inlineStr">
        <is>
          <t>Föryngringsavverkning</t>
        </is>
      </c>
      <c r="D4384" s="1" t="n">
        <v>45261</v>
      </c>
      <c r="E4384" s="1" t="n">
        <v>46316</v>
      </c>
      <c r="F4384" t="inlineStr">
        <is>
          <t>KRONOBERGS LÄN</t>
        </is>
      </c>
      <c r="G4384" t="inlineStr">
        <is>
          <t>TINGSRYD</t>
        </is>
      </c>
      <c r="I4384" t="n">
        <v>1.1</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2693-2025</t>
        </is>
      </c>
      <c r="B4385" t="inlineStr">
        <is>
          <t>avverkningsanmälan</t>
        </is>
      </c>
      <c r="C4385" t="inlineStr">
        <is>
          <t>Föryngringsavverkning</t>
        </is>
      </c>
      <c r="D4385" s="1" t="n">
        <v>45677</v>
      </c>
      <c r="E4385" s="1" t="n">
        <v>46316</v>
      </c>
      <c r="F4385" t="inlineStr">
        <is>
          <t>KRONOBERGS LÄN</t>
        </is>
      </c>
      <c r="G4385" t="inlineStr">
        <is>
          <t>LJUNGBY</t>
        </is>
      </c>
      <c r="I4385" t="n">
        <v>0.5</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3278-2025</t>
        </is>
      </c>
      <c r="B4386" t="inlineStr">
        <is>
          <t>avverkningsanmälan</t>
        </is>
      </c>
      <c r="C4386" t="inlineStr">
        <is>
          <t>Föryngringsavverkning</t>
        </is>
      </c>
      <c r="D4386" s="1" t="n">
        <v>45679</v>
      </c>
      <c r="E4386" s="1" t="n">
        <v>46316</v>
      </c>
      <c r="F4386" t="inlineStr">
        <is>
          <t>KRONOBERGS LÄN</t>
        </is>
      </c>
      <c r="G4386" t="inlineStr">
        <is>
          <t>VÄXJÖ</t>
        </is>
      </c>
      <c r="I4386" t="n">
        <v>0.2</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16584-2023</t>
        </is>
      </c>
      <c r="B4387" t="inlineStr">
        <is>
          <t>avverkningsanmälan</t>
        </is>
      </c>
      <c r="C4387" t="inlineStr">
        <is>
          <t>Föryngringsavverkning</t>
        </is>
      </c>
      <c r="D4387" s="1" t="n">
        <v>45030</v>
      </c>
      <c r="E4387" s="1" t="n">
        <v>46316</v>
      </c>
      <c r="F4387" t="inlineStr">
        <is>
          <t>KRONOBERGS LÄN</t>
        </is>
      </c>
      <c r="G4387" t="inlineStr">
        <is>
          <t>VÄXJÖ</t>
        </is>
      </c>
      <c r="I4387" t="n">
        <v>3.7</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39293-2026</t>
        </is>
      </c>
      <c r="B4388" t="inlineStr">
        <is>
          <t>avverkningsanmälan</t>
        </is>
      </c>
      <c r="C4388" t="inlineStr">
        <is>
          <t>Föryngringsavverkning</t>
        </is>
      </c>
      <c r="D4388" s="1" t="n">
        <v>46288</v>
      </c>
      <c r="E4388" s="1" t="n">
        <v>46316</v>
      </c>
      <c r="F4388" t="inlineStr">
        <is>
          <t>KRONOBERGS LÄN</t>
        </is>
      </c>
      <c r="G4388" t="inlineStr">
        <is>
          <t>VÄXJÖ</t>
        </is>
      </c>
      <c r="I4388" t="n">
        <v>1</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39350-2026</t>
        </is>
      </c>
      <c r="B4389" t="inlineStr">
        <is>
          <t>avverkningsanmälan</t>
        </is>
      </c>
      <c r="C4389" t="inlineStr">
        <is>
          <t>Föryngringsavverkning</t>
        </is>
      </c>
      <c r="D4389" s="1" t="n">
        <v>46288</v>
      </c>
      <c r="E4389" s="1" t="n">
        <v>46316</v>
      </c>
      <c r="F4389" t="inlineStr">
        <is>
          <t>KRONOBERGS LÄN</t>
        </is>
      </c>
      <c r="G4389" t="inlineStr">
        <is>
          <t>LESSEBO</t>
        </is>
      </c>
      <c r="I4389" t="n">
        <v>3.2</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38697-2026</t>
        </is>
      </c>
      <c r="B4390" t="inlineStr">
        <is>
          <t>avverkningsanmälan</t>
        </is>
      </c>
      <c r="C4390" t="inlineStr">
        <is>
          <t>Föryngringsavverkning</t>
        </is>
      </c>
      <c r="D4390" s="1" t="n">
        <v>46283</v>
      </c>
      <c r="E4390" s="1" t="n">
        <v>46316</v>
      </c>
      <c r="F4390" t="inlineStr">
        <is>
          <t>KRONOBERGS LÄN</t>
        </is>
      </c>
      <c r="G4390" t="inlineStr">
        <is>
          <t>ÄLMHULT</t>
        </is>
      </c>
      <c r="I4390" t="n">
        <v>9.800000000000001</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56660-2024</t>
        </is>
      </c>
      <c r="B4391" t="inlineStr">
        <is>
          <t>avverkningsanmälan</t>
        </is>
      </c>
      <c r="C4391" t="inlineStr">
        <is>
          <t>Föryngringsavverkning</t>
        </is>
      </c>
      <c r="D4391" s="1" t="n">
        <v>45625</v>
      </c>
      <c r="E4391" s="1" t="n">
        <v>46316</v>
      </c>
      <c r="F4391" t="inlineStr">
        <is>
          <t>KRONOBERGS LÄN</t>
        </is>
      </c>
      <c r="G4391" t="inlineStr">
        <is>
          <t>ÄLMHULT</t>
        </is>
      </c>
      <c r="I4391" t="n">
        <v>4.7</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56665-2024</t>
        </is>
      </c>
      <c r="B4392" t="inlineStr">
        <is>
          <t>avverkningsanmälan</t>
        </is>
      </c>
      <c r="C4392" t="inlineStr">
        <is>
          <t>Föryngringsavverkning</t>
        </is>
      </c>
      <c r="D4392" s="1" t="n">
        <v>45625</v>
      </c>
      <c r="E4392" s="1" t="n">
        <v>46316</v>
      </c>
      <c r="F4392" t="inlineStr">
        <is>
          <t>KRONOBERGS LÄN</t>
        </is>
      </c>
      <c r="G4392" t="inlineStr">
        <is>
          <t>MARKARYD</t>
        </is>
      </c>
      <c r="I4392" t="n">
        <v>2.8</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53458-2024</t>
        </is>
      </c>
      <c r="B4393" t="inlineStr">
        <is>
          <t>avverkningsanmälan</t>
        </is>
      </c>
      <c r="C4393" t="inlineStr">
        <is>
          <t>Föryngringsavverkning</t>
        </is>
      </c>
      <c r="D4393" s="1" t="n">
        <v>45614</v>
      </c>
      <c r="E4393" s="1" t="n">
        <v>46316</v>
      </c>
      <c r="F4393" t="inlineStr">
        <is>
          <t>KRONOBERGS LÄN</t>
        </is>
      </c>
      <c r="G4393" t="inlineStr">
        <is>
          <t>ALVESTA</t>
        </is>
      </c>
      <c r="I4393" t="n">
        <v>1.5</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53459-2024</t>
        </is>
      </c>
      <c r="B4394" t="inlineStr">
        <is>
          <t>avverkningsanmälan</t>
        </is>
      </c>
      <c r="C4394" t="inlineStr">
        <is>
          <t>Föryngringsavverkning</t>
        </is>
      </c>
      <c r="D4394" s="1" t="n">
        <v>45614</v>
      </c>
      <c r="E4394" s="1" t="n">
        <v>46316</v>
      </c>
      <c r="F4394" t="inlineStr">
        <is>
          <t>KRONOBERGS LÄN</t>
        </is>
      </c>
      <c r="G4394" t="inlineStr">
        <is>
          <t>ALVESTA</t>
        </is>
      </c>
      <c r="I4394" t="n">
        <v>1</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33097-2026</t>
        </is>
      </c>
      <c r="B4395" t="inlineStr">
        <is>
          <t>avverkningsanmälan</t>
        </is>
      </c>
      <c r="C4395" t="inlineStr">
        <is>
          <t>Föryngringsavverkning</t>
        </is>
      </c>
      <c r="D4395" s="1" t="n">
        <v>46245</v>
      </c>
      <c r="E4395" s="1" t="n">
        <v>46316</v>
      </c>
      <c r="F4395" t="inlineStr">
        <is>
          <t>KRONOBERGS LÄN</t>
        </is>
      </c>
      <c r="G4395" t="inlineStr">
        <is>
          <t>ÄLMHULT</t>
        </is>
      </c>
      <c r="I4395" t="n">
        <v>1.4</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33238-2026</t>
        </is>
      </c>
      <c r="B4396" t="inlineStr">
        <is>
          <t>avverkningsanmälan</t>
        </is>
      </c>
      <c r="C4396" t="inlineStr">
        <is>
          <t>Föryngringsavverkning</t>
        </is>
      </c>
      <c r="D4396" s="1" t="n">
        <v>46246</v>
      </c>
      <c r="E4396" s="1" t="n">
        <v>46316</v>
      </c>
      <c r="F4396" t="inlineStr">
        <is>
          <t>KRONOBERGS LÄN</t>
        </is>
      </c>
      <c r="G4396" t="inlineStr">
        <is>
          <t>VÄXJÖ</t>
        </is>
      </c>
      <c r="H4396" t="inlineStr">
        <is>
          <t>Övriga Aktiebolag</t>
        </is>
      </c>
      <c r="I4396" t="n">
        <v>1</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39218-2026</t>
        </is>
      </c>
      <c r="B4397" t="inlineStr">
        <is>
          <t>avverkningsanmälan</t>
        </is>
      </c>
      <c r="C4397" t="inlineStr">
        <is>
          <t>Föryngringsavverkning</t>
        </is>
      </c>
      <c r="D4397" s="1" t="n">
        <v>46287</v>
      </c>
      <c r="E4397" s="1" t="n">
        <v>46316</v>
      </c>
      <c r="F4397" t="inlineStr">
        <is>
          <t>KRONOBERGS LÄN</t>
        </is>
      </c>
      <c r="G4397" t="inlineStr">
        <is>
          <t>ÄLMHULT</t>
        </is>
      </c>
      <c r="I4397" t="n">
        <v>0.8</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39250-2026</t>
        </is>
      </c>
      <c r="B4398" t="inlineStr">
        <is>
          <t>avverkningsanmälan</t>
        </is>
      </c>
      <c r="C4398" t="inlineStr">
        <is>
          <t>Föryngringsavverkning</t>
        </is>
      </c>
      <c r="D4398" s="1" t="n">
        <v>46288</v>
      </c>
      <c r="E4398" s="1" t="n">
        <v>46316</v>
      </c>
      <c r="F4398" t="inlineStr">
        <is>
          <t>KRONOBERGS LÄN</t>
        </is>
      </c>
      <c r="G4398" t="inlineStr">
        <is>
          <t>LESSEBO</t>
        </is>
      </c>
      <c r="I4398" t="n">
        <v>0.8</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12663-2024</t>
        </is>
      </c>
      <c r="B4399" t="inlineStr">
        <is>
          <t>avverkningsanmälan</t>
        </is>
      </c>
      <c r="C4399" t="inlineStr">
        <is>
          <t>Föryngringsavverkning</t>
        </is>
      </c>
      <c r="D4399" s="1" t="n">
        <v>45384</v>
      </c>
      <c r="E4399" s="1" t="n">
        <v>46316</v>
      </c>
      <c r="F4399" t="inlineStr">
        <is>
          <t>KRONOBERGS LÄN</t>
        </is>
      </c>
      <c r="G4399" t="inlineStr">
        <is>
          <t>TINGSRYD</t>
        </is>
      </c>
      <c r="I4399" t="n">
        <v>3.4</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38823-2022</t>
        </is>
      </c>
      <c r="B4400" t="inlineStr">
        <is>
          <t>avverkningsanmälan</t>
        </is>
      </c>
      <c r="C4400" t="inlineStr">
        <is>
          <t>Föryngringsavverkning</t>
        </is>
      </c>
      <c r="D4400" s="1" t="n">
        <v>44816</v>
      </c>
      <c r="E4400" s="1" t="n">
        <v>46316</v>
      </c>
      <c r="F4400" t="inlineStr">
        <is>
          <t>KRONOBERGS LÄN</t>
        </is>
      </c>
      <c r="G4400" t="inlineStr">
        <is>
          <t>ÄLMHULT</t>
        </is>
      </c>
      <c r="I4400" t="n">
        <v>1</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20567-2024</t>
        </is>
      </c>
      <c r="B4401" t="inlineStr">
        <is>
          <t>avverkningsanmälan</t>
        </is>
      </c>
      <c r="C4401" t="inlineStr">
        <is>
          <t>Föryngringsavverkning</t>
        </is>
      </c>
      <c r="D4401" s="1" t="n">
        <v>45436</v>
      </c>
      <c r="E4401" s="1" t="n">
        <v>46316</v>
      </c>
      <c r="F4401" t="inlineStr">
        <is>
          <t>KRONOBERGS LÄN</t>
        </is>
      </c>
      <c r="G4401" t="inlineStr">
        <is>
          <t>TINGSRYD</t>
        </is>
      </c>
      <c r="I4401" t="n">
        <v>1.8</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39950-2026</t>
        </is>
      </c>
      <c r="B4402" t="inlineStr">
        <is>
          <t>avverkningsanmälan</t>
        </is>
      </c>
      <c r="C4402" t="inlineStr">
        <is>
          <t>Föryngringsavverkning</t>
        </is>
      </c>
      <c r="D4402" s="1" t="n">
        <v>46290</v>
      </c>
      <c r="E4402" s="1" t="n">
        <v>46316</v>
      </c>
      <c r="F4402" t="inlineStr">
        <is>
          <t>KRONOBERGS LÄN</t>
        </is>
      </c>
      <c r="G4402" t="inlineStr">
        <is>
          <t>MARKARYD</t>
        </is>
      </c>
      <c r="I4402" t="n">
        <v>1.5</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780-2024</t>
        </is>
      </c>
      <c r="B4403" t="inlineStr">
        <is>
          <t>avverkningsanmälan</t>
        </is>
      </c>
      <c r="C4403" t="inlineStr">
        <is>
          <t>Föryngringsavverkning</t>
        </is>
      </c>
      <c r="D4403" s="1" t="n">
        <v>45300</v>
      </c>
      <c r="E4403" s="1" t="n">
        <v>46316</v>
      </c>
      <c r="F4403" t="inlineStr">
        <is>
          <t>KRONOBERGS LÄN</t>
        </is>
      </c>
      <c r="G4403" t="inlineStr">
        <is>
          <t>VÄXJÖ</t>
        </is>
      </c>
      <c r="I4403" t="n">
        <v>0.5</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43320-2024</t>
        </is>
      </c>
      <c r="B4404" t="inlineStr">
        <is>
          <t>avverkningsanmälan</t>
        </is>
      </c>
      <c r="C4404" t="inlineStr">
        <is>
          <t>Föryngringsavverkning</t>
        </is>
      </c>
      <c r="D4404" s="1" t="n">
        <v>45568</v>
      </c>
      <c r="E4404" s="1" t="n">
        <v>46316</v>
      </c>
      <c r="F4404" t="inlineStr">
        <is>
          <t>KRONOBERGS LÄN</t>
        </is>
      </c>
      <c r="G4404" t="inlineStr">
        <is>
          <t>LJUNGBY</t>
        </is>
      </c>
      <c r="I4404" t="n">
        <v>1.2</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33441-2026</t>
        </is>
      </c>
      <c r="B4405" t="inlineStr">
        <is>
          <t>avverkningsanmälan</t>
        </is>
      </c>
      <c r="C4405" t="inlineStr">
        <is>
          <t>Föryngringsavverkning</t>
        </is>
      </c>
      <c r="D4405" s="1" t="n">
        <v>46247</v>
      </c>
      <c r="E4405" s="1" t="n">
        <v>46316</v>
      </c>
      <c r="F4405" t="inlineStr">
        <is>
          <t>KRONOBERGS LÄN</t>
        </is>
      </c>
      <c r="G4405" t="inlineStr">
        <is>
          <t>ÄLMHULT</t>
        </is>
      </c>
      <c r="I4405" t="n">
        <v>0.8</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20275-2026</t>
        </is>
      </c>
      <c r="B4406" t="inlineStr">
        <is>
          <t>avverkningsanmälan</t>
        </is>
      </c>
      <c r="C4406" t="inlineStr">
        <is>
          <t>Föryngringsavverkning</t>
        </is>
      </c>
      <c r="D4406" s="1" t="n">
        <v>46139</v>
      </c>
      <c r="E4406" s="1" t="n">
        <v>46316</v>
      </c>
      <c r="F4406" t="inlineStr">
        <is>
          <t>KRONOBERGS LÄN</t>
        </is>
      </c>
      <c r="G4406" t="inlineStr">
        <is>
          <t>UPPVIDINGE</t>
        </is>
      </c>
      <c r="I4406" t="n">
        <v>4.1</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22335-2026</t>
        </is>
      </c>
      <c r="B4407" t="inlineStr">
        <is>
          <t>avverkningsanmälan</t>
        </is>
      </c>
      <c r="C4407" t="inlineStr">
        <is>
          <t>Föryngringsavverkning</t>
        </is>
      </c>
      <c r="D4407" s="1" t="n">
        <v>46154</v>
      </c>
      <c r="E4407" s="1" t="n">
        <v>46316</v>
      </c>
      <c r="F4407" t="inlineStr">
        <is>
          <t>KRONOBERGS LÄN</t>
        </is>
      </c>
      <c r="G4407" t="inlineStr">
        <is>
          <t>ÄLMHULT</t>
        </is>
      </c>
      <c r="I4407" t="n">
        <v>2</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44502-2025</t>
        </is>
      </c>
      <c r="B4408" t="inlineStr">
        <is>
          <t>avverkningsanmälan</t>
        </is>
      </c>
      <c r="C4408" t="inlineStr">
        <is>
          <t>Föryngringsavverkning</t>
        </is>
      </c>
      <c r="D4408" s="1" t="n">
        <v>45916</v>
      </c>
      <c r="E4408" s="1" t="n">
        <v>46316</v>
      </c>
      <c r="F4408" t="inlineStr">
        <is>
          <t>KRONOBERGS LÄN</t>
        </is>
      </c>
      <c r="G4408" t="inlineStr">
        <is>
          <t>ÄLMHULT</t>
        </is>
      </c>
      <c r="I4408" t="n">
        <v>3</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39798-2026</t>
        </is>
      </c>
      <c r="B4409" t="inlineStr">
        <is>
          <t>avverkningsanmälan</t>
        </is>
      </c>
      <c r="C4409" t="inlineStr">
        <is>
          <t>Föryngringsavverkning</t>
        </is>
      </c>
      <c r="D4409" s="1" t="n">
        <v>46290</v>
      </c>
      <c r="E4409" s="1" t="n">
        <v>46316</v>
      </c>
      <c r="F4409" t="inlineStr">
        <is>
          <t>KRONOBERGS LÄN</t>
        </is>
      </c>
      <c r="G4409" t="inlineStr">
        <is>
          <t>ÄLMHULT</t>
        </is>
      </c>
      <c r="I4409" t="n">
        <v>0.9</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21263-2026</t>
        </is>
      </c>
      <c r="B4410" t="inlineStr">
        <is>
          <t>avverkningsanmälan</t>
        </is>
      </c>
      <c r="C4410" t="inlineStr">
        <is>
          <t>Föryngringsavverkning</t>
        </is>
      </c>
      <c r="D4410" s="1" t="n">
        <v>46147</v>
      </c>
      <c r="E4410" s="1" t="n">
        <v>46316</v>
      </c>
      <c r="F4410" t="inlineStr">
        <is>
          <t>KRONOBERGS LÄN</t>
        </is>
      </c>
      <c r="G4410" t="inlineStr">
        <is>
          <t>TINGSRYD</t>
        </is>
      </c>
      <c r="I4410" t="n">
        <v>3.1</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14391-2024</t>
        </is>
      </c>
      <c r="B4411" t="inlineStr">
        <is>
          <t>avverkningsanmälan</t>
        </is>
      </c>
      <c r="C4411" t="inlineStr">
        <is>
          <t>Föryngringsavverkning</t>
        </is>
      </c>
      <c r="D4411" s="1" t="n">
        <v>45394</v>
      </c>
      <c r="E4411" s="1" t="n">
        <v>46316</v>
      </c>
      <c r="F4411" t="inlineStr">
        <is>
          <t>KRONOBERGS LÄN</t>
        </is>
      </c>
      <c r="G4411" t="inlineStr">
        <is>
          <t>TINGSRYD</t>
        </is>
      </c>
      <c r="I4411" t="n">
        <v>0.5</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52190-2023</t>
        </is>
      </c>
      <c r="B4412" t="inlineStr">
        <is>
          <t>avverkningsanmälan</t>
        </is>
      </c>
      <c r="C4412" t="inlineStr">
        <is>
          <t>Avverkning för annat ändamål</t>
        </is>
      </c>
      <c r="D4412" s="1" t="n">
        <v>45224</v>
      </c>
      <c r="E4412" s="1" t="n">
        <v>46316</v>
      </c>
      <c r="F4412" t="inlineStr">
        <is>
          <t>KRONOBERGS LÄN</t>
        </is>
      </c>
      <c r="G4412" t="inlineStr">
        <is>
          <t>UPPVIDINGE</t>
        </is>
      </c>
      <c r="H4412" t="inlineStr">
        <is>
          <t>Kommuner</t>
        </is>
      </c>
      <c r="I4412" t="n">
        <v>2.5</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39701-2026</t>
        </is>
      </c>
      <c r="B4413" t="inlineStr">
        <is>
          <t>avverkningsanmälan</t>
        </is>
      </c>
      <c r="C4413" t="inlineStr">
        <is>
          <t>Föryngringsavverkning</t>
        </is>
      </c>
      <c r="D4413" s="1" t="n">
        <v>46290</v>
      </c>
      <c r="E4413" s="1" t="n">
        <v>46316</v>
      </c>
      <c r="F4413" t="inlineStr">
        <is>
          <t>KRONOBERGS LÄN</t>
        </is>
      </c>
      <c r="G4413" t="inlineStr">
        <is>
          <t>ALVESTA</t>
        </is>
      </c>
      <c r="I4413" t="n">
        <v>0.8</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8798-2023</t>
        </is>
      </c>
      <c r="B4414" t="inlineStr">
        <is>
          <t>avverkningsanmälan</t>
        </is>
      </c>
      <c r="C4414" t="inlineStr">
        <is>
          <t>Föryngringsavverkning</t>
        </is>
      </c>
      <c r="D4414" s="1" t="n">
        <v>44978</v>
      </c>
      <c r="E4414" s="1" t="n">
        <v>46316</v>
      </c>
      <c r="F4414" t="inlineStr">
        <is>
          <t>KRONOBERGS LÄN</t>
        </is>
      </c>
      <c r="G4414" t="inlineStr">
        <is>
          <t>LJUNGBY</t>
        </is>
      </c>
      <c r="I4414" t="n">
        <v>1.1</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3580-2025</t>
        </is>
      </c>
      <c r="B4415" t="inlineStr">
        <is>
          <t>avverkningsanmälan</t>
        </is>
      </c>
      <c r="C4415" t="inlineStr">
        <is>
          <t>Föryngringsavverkning</t>
        </is>
      </c>
      <c r="D4415" s="1" t="n">
        <v>45680</v>
      </c>
      <c r="E4415" s="1" t="n">
        <v>46316</v>
      </c>
      <c r="F4415" t="inlineStr">
        <is>
          <t>KRONOBERGS LÄN</t>
        </is>
      </c>
      <c r="G4415" t="inlineStr">
        <is>
          <t>ALVESTA</t>
        </is>
      </c>
      <c r="I4415" t="n">
        <v>0.5</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31343-2022</t>
        </is>
      </c>
      <c r="B4416" t="inlineStr">
        <is>
          <t>avverkningsanmälan</t>
        </is>
      </c>
      <c r="C4416" t="inlineStr">
        <is>
          <t>Föryngringsavverkning</t>
        </is>
      </c>
      <c r="D4416" s="1" t="n">
        <v>44774</v>
      </c>
      <c r="E4416" s="1" t="n">
        <v>46316</v>
      </c>
      <c r="F4416" t="inlineStr">
        <is>
          <t>KRONOBERGS LÄN</t>
        </is>
      </c>
      <c r="G4416" t="inlineStr">
        <is>
          <t>VÄXJÖ</t>
        </is>
      </c>
      <c r="I4416" t="n">
        <v>3.1</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6597-2026</t>
        </is>
      </c>
      <c r="B4417" t="inlineStr">
        <is>
          <t>avverkningsanmälan</t>
        </is>
      </c>
      <c r="C4417" t="inlineStr">
        <is>
          <t>Föryngringsavverkning</t>
        </is>
      </c>
      <c r="D4417" s="1" t="n">
        <v>46056</v>
      </c>
      <c r="E4417" s="1" t="n">
        <v>46316</v>
      </c>
      <c r="F4417" t="inlineStr">
        <is>
          <t>KRONOBERGS LÄN</t>
        </is>
      </c>
      <c r="G4417" t="inlineStr">
        <is>
          <t>VÄXJÖ</t>
        </is>
      </c>
      <c r="I4417" t="n">
        <v>1.6</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33397-2023</t>
        </is>
      </c>
      <c r="B4418" t="inlineStr">
        <is>
          <t>avverkningsanmälan</t>
        </is>
      </c>
      <c r="C4418" t="inlineStr">
        <is>
          <t>Föryngringsavverkning</t>
        </is>
      </c>
      <c r="D4418" s="1" t="n">
        <v>45128</v>
      </c>
      <c r="E4418" s="1" t="n">
        <v>46316</v>
      </c>
      <c r="F4418" t="inlineStr">
        <is>
          <t>KRONOBERGS LÄN</t>
        </is>
      </c>
      <c r="G4418" t="inlineStr">
        <is>
          <t>VÄXJÖ</t>
        </is>
      </c>
      <c r="I4418" t="n">
        <v>0.6</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33398-2023</t>
        </is>
      </c>
      <c r="B4419" t="inlineStr">
        <is>
          <t>avverkningsanmälan</t>
        </is>
      </c>
      <c r="C4419" t="inlineStr">
        <is>
          <t>Föryngringsavverkning</t>
        </is>
      </c>
      <c r="D4419" s="1" t="n">
        <v>45128</v>
      </c>
      <c r="E4419" s="1" t="n">
        <v>46316</v>
      </c>
      <c r="F4419" t="inlineStr">
        <is>
          <t>KRONOBERGS LÄN</t>
        </is>
      </c>
      <c r="G4419" t="inlineStr">
        <is>
          <t>VÄXJÖ</t>
        </is>
      </c>
      <c r="I4419" t="n">
        <v>1.8</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30438-2023</t>
        </is>
      </c>
      <c r="B4420" t="inlineStr">
        <is>
          <t>avverkningsanmälan</t>
        </is>
      </c>
      <c r="C4420" t="inlineStr">
        <is>
          <t>Föryngringsavverkning</t>
        </is>
      </c>
      <c r="D4420" s="1" t="n">
        <v>45111</v>
      </c>
      <c r="E4420" s="1" t="n">
        <v>46316</v>
      </c>
      <c r="F4420" t="inlineStr">
        <is>
          <t>KRONOBERGS LÄN</t>
        </is>
      </c>
      <c r="G4420" t="inlineStr">
        <is>
          <t>VÄXJÖ</t>
        </is>
      </c>
      <c r="I4420" t="n">
        <v>2.5</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49618-2023</t>
        </is>
      </c>
      <c r="B4421" t="inlineStr">
        <is>
          <t>avverkningsanmälan</t>
        </is>
      </c>
      <c r="C4421" t="inlineStr">
        <is>
          <t>Föryngringsavverkning</t>
        </is>
      </c>
      <c r="D4421" s="1" t="n">
        <v>45211</v>
      </c>
      <c r="E4421" s="1" t="n">
        <v>46316</v>
      </c>
      <c r="F4421" t="inlineStr">
        <is>
          <t>KRONOBERGS LÄN</t>
        </is>
      </c>
      <c r="G4421" t="inlineStr">
        <is>
          <t>UPPVIDINGE</t>
        </is>
      </c>
      <c r="I4421" t="n">
        <v>0.4</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49833-2025</t>
        </is>
      </c>
      <c r="B4422" t="inlineStr">
        <is>
          <t>avverkningsanmälan</t>
        </is>
      </c>
      <c r="C4422" t="inlineStr">
        <is>
          <t>Föryngringsavverkning</t>
        </is>
      </c>
      <c r="D4422" s="1" t="n">
        <v>45940</v>
      </c>
      <c r="E4422" s="1" t="n">
        <v>46316</v>
      </c>
      <c r="F4422" t="inlineStr">
        <is>
          <t>KRONOBERGS LÄN</t>
        </is>
      </c>
      <c r="G4422" t="inlineStr">
        <is>
          <t>LJUNGBY</t>
        </is>
      </c>
      <c r="I4422" t="n">
        <v>0.9</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51764-2023</t>
        </is>
      </c>
      <c r="B4423" t="inlineStr">
        <is>
          <t>avverkningsanmälan</t>
        </is>
      </c>
      <c r="C4423" t="inlineStr">
        <is>
          <t>Föryngringsavverkning</t>
        </is>
      </c>
      <c r="D4423" s="1" t="n">
        <v>45222</v>
      </c>
      <c r="E4423" s="1" t="n">
        <v>46316</v>
      </c>
      <c r="F4423" t="inlineStr">
        <is>
          <t>KRONOBERGS LÄN</t>
        </is>
      </c>
      <c r="G4423" t="inlineStr">
        <is>
          <t>ÄLMHULT</t>
        </is>
      </c>
      <c r="I4423" t="n">
        <v>1.9</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59368-2024</t>
        </is>
      </c>
      <c r="B4424" t="inlineStr">
        <is>
          <t>avverkningsanmälan</t>
        </is>
      </c>
      <c r="C4424" t="inlineStr">
        <is>
          <t>Avverkning för annat ändamål</t>
        </is>
      </c>
      <c r="D4424" s="1" t="n">
        <v>45638</v>
      </c>
      <c r="E4424" s="1" t="n">
        <v>46316</v>
      </c>
      <c r="F4424" t="inlineStr">
        <is>
          <t>KRONOBERGS LÄN</t>
        </is>
      </c>
      <c r="G4424" t="inlineStr">
        <is>
          <t>VÄXJÖ</t>
        </is>
      </c>
      <c r="I4424" t="n">
        <v>0.4</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49578-2023</t>
        </is>
      </c>
      <c r="B4425" t="inlineStr">
        <is>
          <t>avverkningsanmälan</t>
        </is>
      </c>
      <c r="C4425" t="inlineStr">
        <is>
          <t>Föryngringsavverkning</t>
        </is>
      </c>
      <c r="D4425" s="1" t="n">
        <v>45211</v>
      </c>
      <c r="E4425" s="1" t="n">
        <v>46316</v>
      </c>
      <c r="F4425" t="inlineStr">
        <is>
          <t>KRONOBERGS LÄN</t>
        </is>
      </c>
      <c r="G4425" t="inlineStr">
        <is>
          <t>ÄLMHULT</t>
        </is>
      </c>
      <c r="I4425" t="n">
        <v>0.5</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36871-2023</t>
        </is>
      </c>
      <c r="B4426" t="inlineStr">
        <is>
          <t>avverkningsanmälan</t>
        </is>
      </c>
      <c r="C4426" t="inlineStr">
        <is>
          <t>Föryngringsavverkning</t>
        </is>
      </c>
      <c r="D4426" s="1" t="n">
        <v>45154</v>
      </c>
      <c r="E4426" s="1" t="n">
        <v>46316</v>
      </c>
      <c r="F4426" t="inlineStr">
        <is>
          <t>KRONOBERGS LÄN</t>
        </is>
      </c>
      <c r="G4426" t="inlineStr">
        <is>
          <t>UPPVIDINGE</t>
        </is>
      </c>
      <c r="I4426" t="n">
        <v>0.5</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33688-2026</t>
        </is>
      </c>
      <c r="B4427" t="inlineStr">
        <is>
          <t>avverkningsanmälan</t>
        </is>
      </c>
      <c r="C4427" t="inlineStr">
        <is>
          <t>Föryngringsavverkning</t>
        </is>
      </c>
      <c r="D4427" s="1" t="n">
        <v>46248</v>
      </c>
      <c r="E4427" s="1" t="n">
        <v>46316</v>
      </c>
      <c r="F4427" t="inlineStr">
        <is>
          <t>KRONOBERGS LÄN</t>
        </is>
      </c>
      <c r="G4427" t="inlineStr">
        <is>
          <t>ÄLMHULT</t>
        </is>
      </c>
      <c r="I4427" t="n">
        <v>3.5</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20377-2024</t>
        </is>
      </c>
      <c r="B4428" t="inlineStr">
        <is>
          <t>avverkningsanmälan</t>
        </is>
      </c>
      <c r="C4428" t="inlineStr">
        <is>
          <t>Föryngringsavverkning</t>
        </is>
      </c>
      <c r="D4428" s="1" t="n">
        <v>45435</v>
      </c>
      <c r="E4428" s="1" t="n">
        <v>46316</v>
      </c>
      <c r="F4428" t="inlineStr">
        <is>
          <t>KRONOBERGS LÄN</t>
        </is>
      </c>
      <c r="G4428" t="inlineStr">
        <is>
          <t>ÄLMHULT</t>
        </is>
      </c>
      <c r="I4428" t="n">
        <v>1.2</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20380-2024</t>
        </is>
      </c>
      <c r="B4429" t="inlineStr">
        <is>
          <t>avverkningsanmälan</t>
        </is>
      </c>
      <c r="C4429" t="inlineStr">
        <is>
          <t>Föryngringsavverkning</t>
        </is>
      </c>
      <c r="D4429" s="1" t="n">
        <v>45435</v>
      </c>
      <c r="E4429" s="1" t="n">
        <v>46316</v>
      </c>
      <c r="F4429" t="inlineStr">
        <is>
          <t>KRONOBERGS LÄN</t>
        </is>
      </c>
      <c r="G4429" t="inlineStr">
        <is>
          <t>ÄLMHULT</t>
        </is>
      </c>
      <c r="I4429" t="n">
        <v>0.7</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20382-2024</t>
        </is>
      </c>
      <c r="B4430" t="inlineStr">
        <is>
          <t>avverkningsanmälan</t>
        </is>
      </c>
      <c r="C4430" t="inlineStr">
        <is>
          <t>Föryngringsavverkning</t>
        </is>
      </c>
      <c r="D4430" s="1" t="n">
        <v>45435</v>
      </c>
      <c r="E4430" s="1" t="n">
        <v>46316</v>
      </c>
      <c r="F4430" t="inlineStr">
        <is>
          <t>KRONOBERGS LÄN</t>
        </is>
      </c>
      <c r="G4430" t="inlineStr">
        <is>
          <t>ÄLMHULT</t>
        </is>
      </c>
      <c r="I4430" t="n">
        <v>0.8</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40022-2026</t>
        </is>
      </c>
      <c r="B4431" t="inlineStr">
        <is>
          <t>avverkningsanmälan</t>
        </is>
      </c>
      <c r="C4431" t="inlineStr">
        <is>
          <t>Föryngringsavverkning</t>
        </is>
      </c>
      <c r="D4431" s="1" t="n">
        <v>46293</v>
      </c>
      <c r="E4431" s="1" t="n">
        <v>46316</v>
      </c>
      <c r="F4431" t="inlineStr">
        <is>
          <t>KRONOBERGS LÄN</t>
        </is>
      </c>
      <c r="G4431" t="inlineStr">
        <is>
          <t>TINGSRYD</t>
        </is>
      </c>
      <c r="I4431" t="n">
        <v>8.5</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24248-2026</t>
        </is>
      </c>
      <c r="B4432" t="inlineStr">
        <is>
          <t>avverkningsanmälan</t>
        </is>
      </c>
      <c r="C4432" t="inlineStr">
        <is>
          <t>Föryngringsavverkning</t>
        </is>
      </c>
      <c r="D4432" s="1" t="n">
        <v>46168</v>
      </c>
      <c r="E4432" s="1" t="n">
        <v>46316</v>
      </c>
      <c r="F4432" t="inlineStr">
        <is>
          <t>KRONOBERGS LÄN</t>
        </is>
      </c>
      <c r="G4432" t="inlineStr">
        <is>
          <t>ÄLMHULT</t>
        </is>
      </c>
      <c r="I4432" t="n">
        <v>4.3</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60487-2022</t>
        </is>
      </c>
      <c r="B4433" t="inlineStr">
        <is>
          <t>avverkningsanmälan</t>
        </is>
      </c>
      <c r="C4433" t="inlineStr">
        <is>
          <t>Föryngringsavverkning</t>
        </is>
      </c>
      <c r="D4433" s="1" t="n">
        <v>44911</v>
      </c>
      <c r="E4433" s="1" t="n">
        <v>46316</v>
      </c>
      <c r="F4433" t="inlineStr">
        <is>
          <t>KRONOBERGS LÄN</t>
        </is>
      </c>
      <c r="G4433" t="inlineStr">
        <is>
          <t>ÄLMHULT</t>
        </is>
      </c>
      <c r="I4433" t="n">
        <v>2</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60499-2022</t>
        </is>
      </c>
      <c r="B4434" t="inlineStr">
        <is>
          <t>avverkningsanmälan</t>
        </is>
      </c>
      <c r="C4434" t="inlineStr">
        <is>
          <t>Föryngringsavverkning</t>
        </is>
      </c>
      <c r="D4434" s="1" t="n">
        <v>44911</v>
      </c>
      <c r="E4434" s="1" t="n">
        <v>46316</v>
      </c>
      <c r="F4434" t="inlineStr">
        <is>
          <t>KRONOBERGS LÄN</t>
        </is>
      </c>
      <c r="G4434" t="inlineStr">
        <is>
          <t>TINGSRYD</t>
        </is>
      </c>
      <c r="I4434" t="n">
        <v>0.6</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13326-2024</t>
        </is>
      </c>
      <c r="B4435" t="inlineStr">
        <is>
          <t>avverkningsanmälan</t>
        </is>
      </c>
      <c r="C4435" t="inlineStr">
        <is>
          <t>Föryngringsavverkning</t>
        </is>
      </c>
      <c r="D4435" s="1" t="n">
        <v>45386</v>
      </c>
      <c r="E4435" s="1" t="n">
        <v>46316</v>
      </c>
      <c r="F4435" t="inlineStr">
        <is>
          <t>KRONOBERGS LÄN</t>
        </is>
      </c>
      <c r="G4435" t="inlineStr">
        <is>
          <t>VÄXJÖ</t>
        </is>
      </c>
      <c r="I4435" t="n">
        <v>0.9</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34013-2026</t>
        </is>
      </c>
      <c r="B4436" t="inlineStr">
        <is>
          <t>avverkningsanmälan</t>
        </is>
      </c>
      <c r="C4436" t="inlineStr">
        <is>
          <t>Föryngringsavverkning</t>
        </is>
      </c>
      <c r="D4436" s="1" t="n">
        <v>46251</v>
      </c>
      <c r="E4436" s="1" t="n">
        <v>46316</v>
      </c>
      <c r="F4436" t="inlineStr">
        <is>
          <t>KRONOBERGS LÄN</t>
        </is>
      </c>
      <c r="G4436" t="inlineStr">
        <is>
          <t>ÄLMHULT</t>
        </is>
      </c>
      <c r="H4436" t="inlineStr">
        <is>
          <t>Kyrkan</t>
        </is>
      </c>
      <c r="I4436" t="n">
        <v>1.3</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33673-2026</t>
        </is>
      </c>
      <c r="B4437" t="inlineStr">
        <is>
          <t>avverkningsanmälan</t>
        </is>
      </c>
      <c r="C4437" t="inlineStr">
        <is>
          <t>Föryngringsavverkning</t>
        </is>
      </c>
      <c r="D4437" s="1" t="n">
        <v>46248</v>
      </c>
      <c r="E4437" s="1" t="n">
        <v>46316</v>
      </c>
      <c r="F4437" t="inlineStr">
        <is>
          <t>KRONOBERGS LÄN</t>
        </is>
      </c>
      <c r="G4437" t="inlineStr">
        <is>
          <t>ÄLMHULT</t>
        </is>
      </c>
      <c r="I4437" t="n">
        <v>0.6</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39239-2023</t>
        </is>
      </c>
      <c r="B4438" t="inlineStr">
        <is>
          <t>avverkningsanmälan</t>
        </is>
      </c>
      <c r="C4438" t="inlineStr">
        <is>
          <t>Föryngringsavverkning</t>
        </is>
      </c>
      <c r="D4438" s="1" t="n">
        <v>45162</v>
      </c>
      <c r="E4438" s="1" t="n">
        <v>46316</v>
      </c>
      <c r="F4438" t="inlineStr">
        <is>
          <t>KRONOBERGS LÄN</t>
        </is>
      </c>
      <c r="G4438" t="inlineStr">
        <is>
          <t>UPPVIDINGE</t>
        </is>
      </c>
      <c r="I4438" t="n">
        <v>1.8</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57020-2025</t>
        </is>
      </c>
      <c r="B4439" t="inlineStr">
        <is>
          <t>avverkningsanmälan</t>
        </is>
      </c>
      <c r="C4439" t="inlineStr">
        <is>
          <t>Föryngringsavverkning</t>
        </is>
      </c>
      <c r="D4439" s="1" t="n">
        <v>45978</v>
      </c>
      <c r="E4439" s="1" t="n">
        <v>46316</v>
      </c>
      <c r="F4439" t="inlineStr">
        <is>
          <t>KRONOBERGS LÄN</t>
        </is>
      </c>
      <c r="G4439" t="inlineStr">
        <is>
          <t>TINGSRYD</t>
        </is>
      </c>
      <c r="I4439" t="n">
        <v>2.6</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39976-2026</t>
        </is>
      </c>
      <c r="B4440" t="inlineStr">
        <is>
          <t>avverkningsanmälan</t>
        </is>
      </c>
      <c r="C4440" t="inlineStr">
        <is>
          <t>Föryngringsavverkning</t>
        </is>
      </c>
      <c r="D4440" s="1" t="n">
        <v>46292</v>
      </c>
      <c r="E4440" s="1" t="n">
        <v>46316</v>
      </c>
      <c r="F4440" t="inlineStr">
        <is>
          <t>KRONOBERGS LÄN</t>
        </is>
      </c>
      <c r="G4440" t="inlineStr">
        <is>
          <t>LJUNGBY</t>
        </is>
      </c>
      <c r="I4440" t="n">
        <v>1.5</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1495-2024</t>
        </is>
      </c>
      <c r="B4441" t="inlineStr">
        <is>
          <t>avverkningsanmälan</t>
        </is>
      </c>
      <c r="C4441" t="inlineStr">
        <is>
          <t>Föryngringsavverkning</t>
        </is>
      </c>
      <c r="D4441" s="1" t="n">
        <v>45305</v>
      </c>
      <c r="E4441" s="1" t="n">
        <v>46316</v>
      </c>
      <c r="F4441" t="inlineStr">
        <is>
          <t>KRONOBERGS LÄN</t>
        </is>
      </c>
      <c r="G4441" t="inlineStr">
        <is>
          <t>ALVESTA</t>
        </is>
      </c>
      <c r="I4441" t="n">
        <v>2.3</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38860-2024</t>
        </is>
      </c>
      <c r="B4442" t="inlineStr">
        <is>
          <t>avverkningsanmälan</t>
        </is>
      </c>
      <c r="C4442" t="inlineStr">
        <is>
          <t>Avverkning för annat ändamål</t>
        </is>
      </c>
      <c r="D4442" s="1" t="n">
        <v>45547</v>
      </c>
      <c r="E4442" s="1" t="n">
        <v>46316</v>
      </c>
      <c r="F4442" t="inlineStr">
        <is>
          <t>KRONOBERGS LÄN</t>
        </is>
      </c>
      <c r="G4442" t="inlineStr">
        <is>
          <t>UPPVIDINGE</t>
        </is>
      </c>
      <c r="I4442" t="n">
        <v>0.3</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4727-2025</t>
        </is>
      </c>
      <c r="B4443" t="inlineStr">
        <is>
          <t>avverkningsanmälan</t>
        </is>
      </c>
      <c r="C4443" t="inlineStr">
        <is>
          <t>Föryngringsavverkning</t>
        </is>
      </c>
      <c r="D4443" s="1" t="n">
        <v>45688</v>
      </c>
      <c r="E4443" s="1" t="n">
        <v>46316</v>
      </c>
      <c r="F4443" t="inlineStr">
        <is>
          <t>KRONOBERGS LÄN</t>
        </is>
      </c>
      <c r="G4443" t="inlineStr">
        <is>
          <t>UPPVIDINGE</t>
        </is>
      </c>
      <c r="I4443" t="n">
        <v>0.9</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40067-2026</t>
        </is>
      </c>
      <c r="B4444" t="inlineStr">
        <is>
          <t>avverkningsanmälan</t>
        </is>
      </c>
      <c r="C4444" t="inlineStr">
        <is>
          <t>Föryngringsavverkning</t>
        </is>
      </c>
      <c r="D4444" s="1" t="n">
        <v>46293</v>
      </c>
      <c r="E4444" s="1" t="n">
        <v>46316</v>
      </c>
      <c r="F4444" t="inlineStr">
        <is>
          <t>KRONOBERGS LÄN</t>
        </is>
      </c>
      <c r="G4444" t="inlineStr">
        <is>
          <t>ÄLMHULT</t>
        </is>
      </c>
      <c r="H4444" t="inlineStr">
        <is>
          <t>Sveaskog</t>
        </is>
      </c>
      <c r="I4444" t="n">
        <v>1</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39094-2023</t>
        </is>
      </c>
      <c r="B4445" t="inlineStr">
        <is>
          <t>avverkningsanmälan</t>
        </is>
      </c>
      <c r="C4445" t="inlineStr">
        <is>
          <t>Föryngringsavverkning</t>
        </is>
      </c>
      <c r="D4445" s="1" t="n">
        <v>45164</v>
      </c>
      <c r="E4445" s="1" t="n">
        <v>46316</v>
      </c>
      <c r="F4445" t="inlineStr">
        <is>
          <t>KRONOBERGS LÄN</t>
        </is>
      </c>
      <c r="G4445" t="inlineStr">
        <is>
          <t>UPPVIDINGE</t>
        </is>
      </c>
      <c r="I4445" t="n">
        <v>0.8</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39122-2023</t>
        </is>
      </c>
      <c r="B4446" t="inlineStr">
        <is>
          <t>avverkningsanmälan</t>
        </is>
      </c>
      <c r="C4446" t="inlineStr">
        <is>
          <t>Föryngringsavverkning</t>
        </is>
      </c>
      <c r="D4446" s="1" t="n">
        <v>45165</v>
      </c>
      <c r="E4446" s="1" t="n">
        <v>46316</v>
      </c>
      <c r="F4446" t="inlineStr">
        <is>
          <t>KRONOBERGS LÄN</t>
        </is>
      </c>
      <c r="G4446" t="inlineStr">
        <is>
          <t>VÄXJÖ</t>
        </is>
      </c>
      <c r="I4446" t="n">
        <v>4.9</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49589-2024</t>
        </is>
      </c>
      <c r="B4447" t="inlineStr">
        <is>
          <t>avverkningsanmälan</t>
        </is>
      </c>
      <c r="C4447" t="inlineStr">
        <is>
          <t>Föryngringsavverkning</t>
        </is>
      </c>
      <c r="D4447" s="1" t="n">
        <v>45596</v>
      </c>
      <c r="E4447" s="1" t="n">
        <v>46316</v>
      </c>
      <c r="F4447" t="inlineStr">
        <is>
          <t>KRONOBERGS LÄN</t>
        </is>
      </c>
      <c r="G4447" t="inlineStr">
        <is>
          <t>UPPVIDINGE</t>
        </is>
      </c>
      <c r="I4447" t="n">
        <v>0.4</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33445-2026</t>
        </is>
      </c>
      <c r="B4448" t="inlineStr">
        <is>
          <t>avverkningsanmälan</t>
        </is>
      </c>
      <c r="C4448" t="inlineStr">
        <is>
          <t>Föryngringsavverkning</t>
        </is>
      </c>
      <c r="D4448" s="1" t="n">
        <v>46247</v>
      </c>
      <c r="E4448" s="1" t="n">
        <v>46316</v>
      </c>
      <c r="F4448" t="inlineStr">
        <is>
          <t>KRONOBERGS LÄN</t>
        </is>
      </c>
      <c r="G4448" t="inlineStr">
        <is>
          <t>ÄLMHULT</t>
        </is>
      </c>
      <c r="I4448" t="n">
        <v>0.5</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33076-2023</t>
        </is>
      </c>
      <c r="B4449" t="inlineStr">
        <is>
          <t>avverkningsanmälan</t>
        </is>
      </c>
      <c r="C4449" t="inlineStr">
        <is>
          <t>Avverkning för annat ändamål</t>
        </is>
      </c>
      <c r="D4449" s="1" t="n">
        <v>45126</v>
      </c>
      <c r="E4449" s="1" t="n">
        <v>46316</v>
      </c>
      <c r="F4449" t="inlineStr">
        <is>
          <t>KRONOBERGS LÄN</t>
        </is>
      </c>
      <c r="G4449" t="inlineStr">
        <is>
          <t>LESSEBO</t>
        </is>
      </c>
      <c r="I4449" t="n">
        <v>1.7</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15770-2025</t>
        </is>
      </c>
      <c r="B4450" t="inlineStr">
        <is>
          <t>avverkningsanmälan</t>
        </is>
      </c>
      <c r="C4450" t="inlineStr">
        <is>
          <t>Föryngringsavverkning</t>
        </is>
      </c>
      <c r="D4450" s="1" t="n">
        <v>45748</v>
      </c>
      <c r="E4450" s="1" t="n">
        <v>46316</v>
      </c>
      <c r="F4450" t="inlineStr">
        <is>
          <t>KRONOBERGS LÄN</t>
        </is>
      </c>
      <c r="G4450" t="inlineStr">
        <is>
          <t>ÄLMHULT</t>
        </is>
      </c>
      <c r="I4450" t="n">
        <v>3.4</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1051-2026</t>
        </is>
      </c>
      <c r="B4451" t="inlineStr">
        <is>
          <t>avverkningsanmälan</t>
        </is>
      </c>
      <c r="C4451" t="inlineStr">
        <is>
          <t>Föryngringsavverkning</t>
        </is>
      </c>
      <c r="D4451" s="1" t="n">
        <v>46030</v>
      </c>
      <c r="E4451" s="1" t="n">
        <v>46316</v>
      </c>
      <c r="F4451" t="inlineStr">
        <is>
          <t>KRONOBERGS LÄN</t>
        </is>
      </c>
      <c r="G4451" t="inlineStr">
        <is>
          <t>ÄLMHULT</t>
        </is>
      </c>
      <c r="I4451" t="n">
        <v>1.5</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40056-2026</t>
        </is>
      </c>
      <c r="B4452" t="inlineStr">
        <is>
          <t>avverkningsanmälan</t>
        </is>
      </c>
      <c r="C4452" t="inlineStr">
        <is>
          <t>Föryngringsavverkning</t>
        </is>
      </c>
      <c r="D4452" s="1" t="n">
        <v>46293</v>
      </c>
      <c r="E4452" s="1" t="n">
        <v>46316</v>
      </c>
      <c r="F4452" t="inlineStr">
        <is>
          <t>KRONOBERGS LÄN</t>
        </is>
      </c>
      <c r="G4452" t="inlineStr">
        <is>
          <t>TINGSRYD</t>
        </is>
      </c>
      <c r="I4452" t="n">
        <v>2.9</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40063-2026</t>
        </is>
      </c>
      <c r="B4453" t="inlineStr">
        <is>
          <t>avverkningsanmälan</t>
        </is>
      </c>
      <c r="C4453" t="inlineStr">
        <is>
          <t>Föryngringsavverkning</t>
        </is>
      </c>
      <c r="D4453" s="1" t="n">
        <v>46293</v>
      </c>
      <c r="E4453" s="1" t="n">
        <v>46316</v>
      </c>
      <c r="F4453" t="inlineStr">
        <is>
          <t>KRONOBERGS LÄN</t>
        </is>
      </c>
      <c r="G4453" t="inlineStr">
        <is>
          <t>TINGSRYD</t>
        </is>
      </c>
      <c r="I4453" t="n">
        <v>1.1</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40065-2026</t>
        </is>
      </c>
      <c r="B4454" t="inlineStr">
        <is>
          <t>avverkningsanmälan</t>
        </is>
      </c>
      <c r="C4454" t="inlineStr">
        <is>
          <t>Föryngringsavverkning</t>
        </is>
      </c>
      <c r="D4454" s="1" t="n">
        <v>46293</v>
      </c>
      <c r="E4454" s="1" t="n">
        <v>46316</v>
      </c>
      <c r="F4454" t="inlineStr">
        <is>
          <t>KRONOBERGS LÄN</t>
        </is>
      </c>
      <c r="G4454" t="inlineStr">
        <is>
          <t>ALVESTA</t>
        </is>
      </c>
      <c r="I4454" t="n">
        <v>3.3</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46139-2023</t>
        </is>
      </c>
      <c r="B4455" t="inlineStr">
        <is>
          <t>avverkningsanmälan</t>
        </is>
      </c>
      <c r="C4455" t="inlineStr">
        <is>
          <t>Föryngringsavverkning</t>
        </is>
      </c>
      <c r="D4455" s="1" t="n">
        <v>45196</v>
      </c>
      <c r="E4455" s="1" t="n">
        <v>46316</v>
      </c>
      <c r="F4455" t="inlineStr">
        <is>
          <t>KRONOBERGS LÄN</t>
        </is>
      </c>
      <c r="G4455" t="inlineStr">
        <is>
          <t>MARKARYD</t>
        </is>
      </c>
      <c r="I4455" t="n">
        <v>0.8</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28176-2023</t>
        </is>
      </c>
      <c r="B4456" t="inlineStr">
        <is>
          <t>avverkningsanmälan</t>
        </is>
      </c>
      <c r="C4456" t="inlineStr">
        <is>
          <t>Föryngringsavverkning</t>
        </is>
      </c>
      <c r="D4456" s="1" t="n">
        <v>45099</v>
      </c>
      <c r="E4456" s="1" t="n">
        <v>46316</v>
      </c>
      <c r="F4456" t="inlineStr">
        <is>
          <t>KRONOBERGS LÄN</t>
        </is>
      </c>
      <c r="G4456" t="inlineStr">
        <is>
          <t>TINGSRYD</t>
        </is>
      </c>
      <c r="I4456" t="n">
        <v>0.6</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40525-2024</t>
        </is>
      </c>
      <c r="B4457" t="inlineStr">
        <is>
          <t>avverkningsanmälan</t>
        </is>
      </c>
      <c r="C4457" t="inlineStr">
        <is>
          <t>Föryngringsavverkning</t>
        </is>
      </c>
      <c r="D4457" s="1" t="n">
        <v>45555</v>
      </c>
      <c r="E4457" s="1" t="n">
        <v>46316</v>
      </c>
      <c r="F4457" t="inlineStr">
        <is>
          <t>KRONOBERGS LÄN</t>
        </is>
      </c>
      <c r="G4457" t="inlineStr">
        <is>
          <t>VÄXJÖ</t>
        </is>
      </c>
      <c r="I4457" t="n">
        <v>1.3</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37184-2023</t>
        </is>
      </c>
      <c r="B4458" t="inlineStr">
        <is>
          <t>avverkningsanmälan</t>
        </is>
      </c>
      <c r="C4458" t="inlineStr">
        <is>
          <t>Föryngringsavverkning</t>
        </is>
      </c>
      <c r="D4458" s="1" t="n">
        <v>45155</v>
      </c>
      <c r="E4458" s="1" t="n">
        <v>46316</v>
      </c>
      <c r="F4458" t="inlineStr">
        <is>
          <t>KRONOBERGS LÄN</t>
        </is>
      </c>
      <c r="G4458" t="inlineStr">
        <is>
          <t>TINGSRYD</t>
        </is>
      </c>
      <c r="I4458" t="n">
        <v>0.5</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54068-2024</t>
        </is>
      </c>
      <c r="B4459" t="inlineStr">
        <is>
          <t>avverkningsanmälan</t>
        </is>
      </c>
      <c r="C4459" t="inlineStr">
        <is>
          <t>Föryngringsavverkning</t>
        </is>
      </c>
      <c r="D4459" s="1" t="n">
        <v>45615</v>
      </c>
      <c r="E4459" s="1" t="n">
        <v>46316</v>
      </c>
      <c r="F4459" t="inlineStr">
        <is>
          <t>KRONOBERGS LÄN</t>
        </is>
      </c>
      <c r="G4459" t="inlineStr">
        <is>
          <t>UPPVIDINGE</t>
        </is>
      </c>
      <c r="I4459" t="n">
        <v>1.8</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12339-2024</t>
        </is>
      </c>
      <c r="B4460" t="inlineStr">
        <is>
          <t>avverkningsanmälan</t>
        </is>
      </c>
      <c r="C4460" t="inlineStr">
        <is>
          <t>Föryngringsavverkning</t>
        </is>
      </c>
      <c r="D4460" s="1" t="n">
        <v>45378</v>
      </c>
      <c r="E4460" s="1" t="n">
        <v>46316</v>
      </c>
      <c r="F4460" t="inlineStr">
        <is>
          <t>KRONOBERGS LÄN</t>
        </is>
      </c>
      <c r="G4460" t="inlineStr">
        <is>
          <t>ÄLMHULT</t>
        </is>
      </c>
      <c r="I4460" t="n">
        <v>2.8</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34719-2023</t>
        </is>
      </c>
      <c r="B4461" t="inlineStr">
        <is>
          <t>avverkningsanmälan</t>
        </is>
      </c>
      <c r="C4461" t="inlineStr">
        <is>
          <t>Föryngringsavverkning</t>
        </is>
      </c>
      <c r="D4461" s="1" t="n">
        <v>45141</v>
      </c>
      <c r="E4461" s="1" t="n">
        <v>46316</v>
      </c>
      <c r="F4461" t="inlineStr">
        <is>
          <t>KRONOBERGS LÄN</t>
        </is>
      </c>
      <c r="G4461" t="inlineStr">
        <is>
          <t>VÄXJÖ</t>
        </is>
      </c>
      <c r="I4461" t="n">
        <v>1</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34744-2023</t>
        </is>
      </c>
      <c r="B4462" t="inlineStr">
        <is>
          <t>avverkningsanmälan</t>
        </is>
      </c>
      <c r="C4462" t="inlineStr">
        <is>
          <t>Föryngringsavverkning</t>
        </is>
      </c>
      <c r="D4462" s="1" t="n">
        <v>45141</v>
      </c>
      <c r="E4462" s="1" t="n">
        <v>46316</v>
      </c>
      <c r="F4462" t="inlineStr">
        <is>
          <t>KRONOBERGS LÄN</t>
        </is>
      </c>
      <c r="G4462" t="inlineStr">
        <is>
          <t>VÄXJÖ</t>
        </is>
      </c>
      <c r="I4462" t="n">
        <v>2.7</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34794-2023</t>
        </is>
      </c>
      <c r="B4463" t="inlineStr">
        <is>
          <t>avverkningsanmälan</t>
        </is>
      </c>
      <c r="C4463" t="inlineStr">
        <is>
          <t>Föryngringsavverkning</t>
        </is>
      </c>
      <c r="D4463" s="1" t="n">
        <v>45141</v>
      </c>
      <c r="E4463" s="1" t="n">
        <v>46316</v>
      </c>
      <c r="F4463" t="inlineStr">
        <is>
          <t>KRONOBERGS LÄN</t>
        </is>
      </c>
      <c r="G4463" t="inlineStr">
        <is>
          <t>ÄLMHULT</t>
        </is>
      </c>
      <c r="I4463" t="n">
        <v>1.6</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58686-2022</t>
        </is>
      </c>
      <c r="B4464" t="inlineStr">
        <is>
          <t>avverkningsanmälan</t>
        </is>
      </c>
      <c r="C4464" t="inlineStr">
        <is>
          <t>Föryngringsavverkning</t>
        </is>
      </c>
      <c r="D4464" s="1" t="n">
        <v>44902</v>
      </c>
      <c r="E4464" s="1" t="n">
        <v>46316</v>
      </c>
      <c r="F4464" t="inlineStr">
        <is>
          <t>KRONOBERGS LÄN</t>
        </is>
      </c>
      <c r="G4464" t="inlineStr">
        <is>
          <t>MARKARYD</t>
        </is>
      </c>
      <c r="I4464" t="n">
        <v>3.4</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38759-2024</t>
        </is>
      </c>
      <c r="B4465" t="inlineStr">
        <is>
          <t>avverkningsanmälan</t>
        </is>
      </c>
      <c r="C4465" t="inlineStr">
        <is>
          <t>Föryngringsavverkning</t>
        </is>
      </c>
      <c r="D4465" s="1" t="n">
        <v>45547</v>
      </c>
      <c r="E4465" s="1" t="n">
        <v>46316</v>
      </c>
      <c r="F4465" t="inlineStr">
        <is>
          <t>KRONOBERGS LÄN</t>
        </is>
      </c>
      <c r="G4465" t="inlineStr">
        <is>
          <t>TINGSRYD</t>
        </is>
      </c>
      <c r="I4465" t="n">
        <v>1</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39799-2026</t>
        </is>
      </c>
      <c r="B4466" t="inlineStr">
        <is>
          <t>avverkningsanmälan</t>
        </is>
      </c>
      <c r="C4466" t="inlineStr">
        <is>
          <t>Föryngringsavverkning</t>
        </is>
      </c>
      <c r="D4466" s="1" t="n">
        <v>46290</v>
      </c>
      <c r="E4466" s="1" t="n">
        <v>46316</v>
      </c>
      <c r="F4466" t="inlineStr">
        <is>
          <t>KRONOBERGS LÄN</t>
        </is>
      </c>
      <c r="G4466" t="inlineStr">
        <is>
          <t>ÄLMHULT</t>
        </is>
      </c>
      <c r="I4466" t="n">
        <v>0.8</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11807-2024</t>
        </is>
      </c>
      <c r="B4467" t="inlineStr">
        <is>
          <t>avverkningsanmälan</t>
        </is>
      </c>
      <c r="C4467" t="inlineStr">
        <is>
          <t>Föryngringsavverkning</t>
        </is>
      </c>
      <c r="D4467" s="1" t="n">
        <v>45375</v>
      </c>
      <c r="E4467" s="1" t="n">
        <v>46316</v>
      </c>
      <c r="F4467" t="inlineStr">
        <is>
          <t>KRONOBERGS LÄN</t>
        </is>
      </c>
      <c r="G4467" t="inlineStr">
        <is>
          <t>UPPVIDINGE</t>
        </is>
      </c>
      <c r="I4467" t="n">
        <v>1</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62518-2023</t>
        </is>
      </c>
      <c r="B4468" t="inlineStr">
        <is>
          <t>avverkningsanmälan</t>
        </is>
      </c>
      <c r="C4468" t="inlineStr">
        <is>
          <t>Föryngringsavverkning</t>
        </is>
      </c>
      <c r="D4468" s="1" t="n">
        <v>45268</v>
      </c>
      <c r="E4468" s="1" t="n">
        <v>46316</v>
      </c>
      <c r="F4468" t="inlineStr">
        <is>
          <t>KRONOBERGS LÄN</t>
        </is>
      </c>
      <c r="G4468" t="inlineStr">
        <is>
          <t>MARKARYD</t>
        </is>
      </c>
      <c r="H4468" t="inlineStr">
        <is>
          <t>Sveaskog</t>
        </is>
      </c>
      <c r="I4468" t="n">
        <v>1.9</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45666-2024</t>
        </is>
      </c>
      <c r="B4469" t="inlineStr">
        <is>
          <t>avverkningsanmälan</t>
        </is>
      </c>
      <c r="C4469" t="inlineStr">
        <is>
          <t>Föryngringsavverkning</t>
        </is>
      </c>
      <c r="D4469" s="1" t="n">
        <v>45579</v>
      </c>
      <c r="E4469" s="1" t="n">
        <v>46316</v>
      </c>
      <c r="F4469" t="inlineStr">
        <is>
          <t>KRONOBERGS LÄN</t>
        </is>
      </c>
      <c r="G4469" t="inlineStr">
        <is>
          <t>TINGSRYD</t>
        </is>
      </c>
      <c r="I4469" t="n">
        <v>2.2</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7269-2025</t>
        </is>
      </c>
      <c r="B4470" t="inlineStr">
        <is>
          <t>avverkningsanmälan</t>
        </is>
      </c>
      <c r="C4470" t="inlineStr">
        <is>
          <t>Föryngringsavverkning</t>
        </is>
      </c>
      <c r="D4470" s="1" t="n">
        <v>45702</v>
      </c>
      <c r="E4470" s="1" t="n">
        <v>46316</v>
      </c>
      <c r="F4470" t="inlineStr">
        <is>
          <t>KRONOBERGS LÄN</t>
        </is>
      </c>
      <c r="G4470" t="inlineStr">
        <is>
          <t>LJUNGBY</t>
        </is>
      </c>
      <c r="I4470" t="n">
        <v>0.4</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43462-2024</t>
        </is>
      </c>
      <c r="B4471" t="inlineStr">
        <is>
          <t>avverkningsanmälan</t>
        </is>
      </c>
      <c r="C4471" t="inlineStr">
        <is>
          <t>Föryngringsavverkning</t>
        </is>
      </c>
      <c r="D4471" s="1" t="n">
        <v>45568</v>
      </c>
      <c r="E4471" s="1" t="n">
        <v>46316</v>
      </c>
      <c r="F4471" t="inlineStr">
        <is>
          <t>KRONOBERGS LÄN</t>
        </is>
      </c>
      <c r="G4471" t="inlineStr">
        <is>
          <t>TINGSRYD</t>
        </is>
      </c>
      <c r="I4471" t="n">
        <v>2.4</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33105-2023</t>
        </is>
      </c>
      <c r="B4472" t="inlineStr">
        <is>
          <t>avverkningsanmälan</t>
        </is>
      </c>
      <c r="C4472" t="inlineStr">
        <is>
          <t>Avverkning för annat ändamål</t>
        </is>
      </c>
      <c r="D4472" s="1" t="n">
        <v>45126</v>
      </c>
      <c r="E4472" s="1" t="n">
        <v>46316</v>
      </c>
      <c r="F4472" t="inlineStr">
        <is>
          <t>KRONOBERGS LÄN</t>
        </is>
      </c>
      <c r="G4472" t="inlineStr">
        <is>
          <t>LJUNGBY</t>
        </is>
      </c>
      <c r="I4472" t="n">
        <v>1.4</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64083-2025</t>
        </is>
      </c>
      <c r="B4473" t="inlineStr">
        <is>
          <t>avverkningsanmälan</t>
        </is>
      </c>
      <c r="C4473" t="inlineStr">
        <is>
          <t>Föryngringsavverkning</t>
        </is>
      </c>
      <c r="D4473" s="1" t="n">
        <v>46021</v>
      </c>
      <c r="E4473" s="1" t="n">
        <v>46316</v>
      </c>
      <c r="F4473" t="inlineStr">
        <is>
          <t>KRONOBERGS LÄN</t>
        </is>
      </c>
      <c r="G4473" t="inlineStr">
        <is>
          <t>VÄXJÖ</t>
        </is>
      </c>
      <c r="I4473" t="n">
        <v>0.8</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47386-2024</t>
        </is>
      </c>
      <c r="B4474" t="inlineStr">
        <is>
          <t>avverkningsanmälan</t>
        </is>
      </c>
      <c r="C4474" t="inlineStr">
        <is>
          <t>Föryngringsavverkning</t>
        </is>
      </c>
      <c r="D4474" s="1" t="n">
        <v>45587</v>
      </c>
      <c r="E4474" s="1" t="n">
        <v>46316</v>
      </c>
      <c r="F4474" t="inlineStr">
        <is>
          <t>KRONOBERGS LÄN</t>
        </is>
      </c>
      <c r="G4474" t="inlineStr">
        <is>
          <t>LESSEBO</t>
        </is>
      </c>
      <c r="I4474" t="n">
        <v>1.2</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63927-2021</t>
        </is>
      </c>
      <c r="B4475" t="inlineStr">
        <is>
          <t>avverkningsanmälan</t>
        </is>
      </c>
      <c r="C4475" t="inlineStr">
        <is>
          <t>Föryngringsavverkning</t>
        </is>
      </c>
      <c r="D4475" s="1" t="n">
        <v>44509</v>
      </c>
      <c r="E4475" s="1" t="n">
        <v>46316</v>
      </c>
      <c r="F4475" t="inlineStr">
        <is>
          <t>KRONOBERGS LÄN</t>
        </is>
      </c>
      <c r="G4475" t="inlineStr">
        <is>
          <t>LESSEBO</t>
        </is>
      </c>
      <c r="H4475" t="inlineStr">
        <is>
          <t>Sveaskog</t>
        </is>
      </c>
      <c r="I4475" t="n">
        <v>2.6</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60350-2021</t>
        </is>
      </c>
      <c r="B4476" t="inlineStr">
        <is>
          <t>avverkningsanmälan</t>
        </is>
      </c>
      <c r="C4476" t="inlineStr">
        <is>
          <t>Föryngringsavverkning</t>
        </is>
      </c>
      <c r="D4476" s="1" t="n">
        <v>44496</v>
      </c>
      <c r="E4476" s="1" t="n">
        <v>46316</v>
      </c>
      <c r="F4476" t="inlineStr">
        <is>
          <t>KRONOBERGS LÄN</t>
        </is>
      </c>
      <c r="G4476" t="inlineStr">
        <is>
          <t>VÄXJÖ</t>
        </is>
      </c>
      <c r="I4476" t="n">
        <v>0.4</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11188-2023</t>
        </is>
      </c>
      <c r="B4477" t="inlineStr">
        <is>
          <t>avverkningsanmälan</t>
        </is>
      </c>
      <c r="C4477" t="inlineStr">
        <is>
          <t>Föryngringsavverkning</t>
        </is>
      </c>
      <c r="D4477" s="1" t="n">
        <v>44992</v>
      </c>
      <c r="E4477" s="1" t="n">
        <v>46316</v>
      </c>
      <c r="F4477" t="inlineStr">
        <is>
          <t>KRONOBERGS LÄN</t>
        </is>
      </c>
      <c r="G4477" t="inlineStr">
        <is>
          <t>ÄLMHULT</t>
        </is>
      </c>
      <c r="I4477" t="n">
        <v>0.6</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11222-2023</t>
        </is>
      </c>
      <c r="B4478" t="inlineStr">
        <is>
          <t>avverkningsanmälan</t>
        </is>
      </c>
      <c r="C4478" t="inlineStr">
        <is>
          <t>Föryngringsavverkning</t>
        </is>
      </c>
      <c r="D4478" s="1" t="n">
        <v>44992</v>
      </c>
      <c r="E4478" s="1" t="n">
        <v>46316</v>
      </c>
      <c r="F4478" t="inlineStr">
        <is>
          <t>KRONOBERGS LÄN</t>
        </is>
      </c>
      <c r="G4478" t="inlineStr">
        <is>
          <t>ÄLMHULT</t>
        </is>
      </c>
      <c r="I4478" t="n">
        <v>1.1</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424-2024</t>
        </is>
      </c>
      <c r="B4479" t="inlineStr">
        <is>
          <t>avverkningsanmälan</t>
        </is>
      </c>
      <c r="C4479" t="inlineStr">
        <is>
          <t>Föryngringsavverkning</t>
        </is>
      </c>
      <c r="D4479" s="1" t="n">
        <v>45296</v>
      </c>
      <c r="E4479" s="1" t="n">
        <v>46316</v>
      </c>
      <c r="F4479" t="inlineStr">
        <is>
          <t>KRONOBERGS LÄN</t>
        </is>
      </c>
      <c r="G4479" t="inlineStr">
        <is>
          <t>MARKARYD</t>
        </is>
      </c>
      <c r="I4479" t="n">
        <v>0.4</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11515-2025</t>
        </is>
      </c>
      <c r="B4480" t="inlineStr">
        <is>
          <t>avverkningsanmälan</t>
        </is>
      </c>
      <c r="C4480" t="inlineStr">
        <is>
          <t>Föryngringsavverkning</t>
        </is>
      </c>
      <c r="D4480" s="1" t="n">
        <v>45726</v>
      </c>
      <c r="E4480" s="1" t="n">
        <v>46316</v>
      </c>
      <c r="F4480" t="inlineStr">
        <is>
          <t>KRONOBERGS LÄN</t>
        </is>
      </c>
      <c r="G4480" t="inlineStr">
        <is>
          <t>ALVESTA</t>
        </is>
      </c>
      <c r="I4480" t="n">
        <v>2.2</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20058-2025</t>
        </is>
      </c>
      <c r="B4481" t="inlineStr">
        <is>
          <t>avverkningsanmälan</t>
        </is>
      </c>
      <c r="C4481" t="inlineStr">
        <is>
          <t>Föryngringsavverkning</t>
        </is>
      </c>
      <c r="D4481" s="1" t="n">
        <v>45772</v>
      </c>
      <c r="E4481" s="1" t="n">
        <v>46316</v>
      </c>
      <c r="F4481" t="inlineStr">
        <is>
          <t>KRONOBERGS LÄN</t>
        </is>
      </c>
      <c r="G4481" t="inlineStr">
        <is>
          <t>TINGSRYD</t>
        </is>
      </c>
      <c r="I4481" t="n">
        <v>3.6</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53226-2024</t>
        </is>
      </c>
      <c r="B4482" t="inlineStr">
        <is>
          <t>avverkningsanmälan</t>
        </is>
      </c>
      <c r="C4482" t="inlineStr">
        <is>
          <t>Föryngringsavverkning</t>
        </is>
      </c>
      <c r="D4482" s="1" t="n">
        <v>45613</v>
      </c>
      <c r="E4482" s="1" t="n">
        <v>46316</v>
      </c>
      <c r="F4482" t="inlineStr">
        <is>
          <t>KRONOBERGS LÄN</t>
        </is>
      </c>
      <c r="G4482" t="inlineStr">
        <is>
          <t>ALVESTA</t>
        </is>
      </c>
      <c r="I4482" t="n">
        <v>0.5</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40083-2026</t>
        </is>
      </c>
      <c r="B4483" t="inlineStr">
        <is>
          <t>avverkningsanmälan</t>
        </is>
      </c>
      <c r="C4483" t="inlineStr">
        <is>
          <t>Föryngringsavverkning</t>
        </is>
      </c>
      <c r="D4483" s="1" t="n">
        <v>46293</v>
      </c>
      <c r="E4483" s="1" t="n">
        <v>46316</v>
      </c>
      <c r="F4483" t="inlineStr">
        <is>
          <t>KRONOBERGS LÄN</t>
        </is>
      </c>
      <c r="G4483" t="inlineStr">
        <is>
          <t>ALVESTA</t>
        </is>
      </c>
      <c r="I4483" t="n">
        <v>1.5</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43858-2022</t>
        </is>
      </c>
      <c r="B4484" t="inlineStr">
        <is>
          <t>avverkningsanmälan</t>
        </is>
      </c>
      <c r="C4484" t="inlineStr">
        <is>
          <t>Föryngringsavverkning</t>
        </is>
      </c>
      <c r="D4484" s="1" t="n">
        <v>44838</v>
      </c>
      <c r="E4484" s="1" t="n">
        <v>46316</v>
      </c>
      <c r="F4484" t="inlineStr">
        <is>
          <t>KRONOBERGS LÄN</t>
        </is>
      </c>
      <c r="G4484" t="inlineStr">
        <is>
          <t>TINGSRYD</t>
        </is>
      </c>
      <c r="I4484" t="n">
        <v>2.9</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23713-2024</t>
        </is>
      </c>
      <c r="B4485" t="inlineStr">
        <is>
          <t>avverkningsanmälan</t>
        </is>
      </c>
      <c r="C4485" t="inlineStr">
        <is>
          <t>Föryngringsavverkning</t>
        </is>
      </c>
      <c r="D4485" s="1" t="n">
        <v>45454</v>
      </c>
      <c r="E4485" s="1" t="n">
        <v>46316</v>
      </c>
      <c r="F4485" t="inlineStr">
        <is>
          <t>KRONOBERGS LÄN</t>
        </is>
      </c>
      <c r="G4485" t="inlineStr">
        <is>
          <t>UPPVIDINGE</t>
        </is>
      </c>
      <c r="I4485" t="n">
        <v>0.7</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45624-2024</t>
        </is>
      </c>
      <c r="B4486" t="inlineStr">
        <is>
          <t>avverkningsanmälan</t>
        </is>
      </c>
      <c r="C4486" t="inlineStr">
        <is>
          <t>Föryngringsavverkning</t>
        </is>
      </c>
      <c r="D4486" s="1" t="n">
        <v>45579</v>
      </c>
      <c r="E4486" s="1" t="n">
        <v>46316</v>
      </c>
      <c r="F4486" t="inlineStr">
        <is>
          <t>KRONOBERGS LÄN</t>
        </is>
      </c>
      <c r="G4486" t="inlineStr">
        <is>
          <t>VÄXJÖ</t>
        </is>
      </c>
      <c r="I4486" t="n">
        <v>0.7</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47425-2023</t>
        </is>
      </c>
      <c r="B4487" t="inlineStr">
        <is>
          <t>avverkningsanmälan</t>
        </is>
      </c>
      <c r="C4487" t="inlineStr">
        <is>
          <t>Föryngringsavverkning</t>
        </is>
      </c>
      <c r="D4487" s="1" t="n">
        <v>45202</v>
      </c>
      <c r="E4487" s="1" t="n">
        <v>46316</v>
      </c>
      <c r="F4487" t="inlineStr">
        <is>
          <t>KRONOBERGS LÄN</t>
        </is>
      </c>
      <c r="G4487" t="inlineStr">
        <is>
          <t>ÄLMHULT</t>
        </is>
      </c>
      <c r="I4487" t="n">
        <v>2.9</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24787-2023</t>
        </is>
      </c>
      <c r="B4488" t="inlineStr">
        <is>
          <t>avverkningsanmälan</t>
        </is>
      </c>
      <c r="C4488" t="inlineStr">
        <is>
          <t>Föryngringsavverkning</t>
        </is>
      </c>
      <c r="D4488" s="1" t="n">
        <v>45084</v>
      </c>
      <c r="E4488" s="1" t="n">
        <v>46316</v>
      </c>
      <c r="F4488" t="inlineStr">
        <is>
          <t>KRONOBERGS LÄN</t>
        </is>
      </c>
      <c r="G4488" t="inlineStr">
        <is>
          <t>LJUNGBY</t>
        </is>
      </c>
      <c r="I4488" t="n">
        <v>2.6</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48277-2022</t>
        </is>
      </c>
      <c r="B4489" t="inlineStr">
        <is>
          <t>avverkningsanmälan</t>
        </is>
      </c>
      <c r="C4489" t="inlineStr">
        <is>
          <t>Föryngringsavverkning</t>
        </is>
      </c>
      <c r="D4489" s="1" t="n">
        <v>44858</v>
      </c>
      <c r="E4489" s="1" t="n">
        <v>46316</v>
      </c>
      <c r="F4489" t="inlineStr">
        <is>
          <t>KRONOBERGS LÄN</t>
        </is>
      </c>
      <c r="G4489" t="inlineStr">
        <is>
          <t>UPPVIDINGE</t>
        </is>
      </c>
      <c r="I4489" t="n">
        <v>1.6</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15756-2024</t>
        </is>
      </c>
      <c r="B4490" t="inlineStr">
        <is>
          <t>avverkningsanmälan</t>
        </is>
      </c>
      <c r="C4490" t="inlineStr">
        <is>
          <t>Föryngringsavverkning</t>
        </is>
      </c>
      <c r="D4490" s="1" t="n">
        <v>45404</v>
      </c>
      <c r="E4490" s="1" t="n">
        <v>46316</v>
      </c>
      <c r="F4490" t="inlineStr">
        <is>
          <t>KRONOBERGS LÄN</t>
        </is>
      </c>
      <c r="G4490" t="inlineStr">
        <is>
          <t>UPPVIDINGE</t>
        </is>
      </c>
      <c r="I4490" t="n">
        <v>0.2</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10697-2025</t>
        </is>
      </c>
      <c r="B4491" t="inlineStr">
        <is>
          <t>avverkningsanmälan</t>
        </is>
      </c>
      <c r="C4491" t="inlineStr">
        <is>
          <t>Föryngringsavverkning</t>
        </is>
      </c>
      <c r="D4491" s="1" t="n">
        <v>45722</v>
      </c>
      <c r="E4491" s="1" t="n">
        <v>46316</v>
      </c>
      <c r="F4491" t="inlineStr">
        <is>
          <t>KRONOBERGS LÄN</t>
        </is>
      </c>
      <c r="G4491" t="inlineStr">
        <is>
          <t>LJUNGBY</t>
        </is>
      </c>
      <c r="I4491" t="n">
        <v>0.3</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33882-2022</t>
        </is>
      </c>
      <c r="B4492" t="inlineStr">
        <is>
          <t>avverkningsanmälan</t>
        </is>
      </c>
      <c r="C4492" t="inlineStr">
        <is>
          <t>Föryngringsavverkning</t>
        </is>
      </c>
      <c r="D4492" s="1" t="n">
        <v>44790</v>
      </c>
      <c r="E4492" s="1" t="n">
        <v>46316</v>
      </c>
      <c r="F4492" t="inlineStr">
        <is>
          <t>KRONOBERGS LÄN</t>
        </is>
      </c>
      <c r="G4492" t="inlineStr">
        <is>
          <t>MARKARYD</t>
        </is>
      </c>
      <c r="I4492" t="n">
        <v>3</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3840-2022</t>
        </is>
      </c>
      <c r="B4493" t="inlineStr">
        <is>
          <t>avverkningsanmälan</t>
        </is>
      </c>
      <c r="C4493" t="inlineStr">
        <is>
          <t>Föryngringsavverkning</t>
        </is>
      </c>
      <c r="D4493" s="1" t="n">
        <v>44587</v>
      </c>
      <c r="E4493" s="1" t="n">
        <v>46316</v>
      </c>
      <c r="F4493" t="inlineStr">
        <is>
          <t>KRONOBERGS LÄN</t>
        </is>
      </c>
      <c r="G4493" t="inlineStr">
        <is>
          <t>MARKARYD</t>
        </is>
      </c>
      <c r="I4493" t="n">
        <v>6.4</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25011-2023</t>
        </is>
      </c>
      <c r="B4494" t="inlineStr">
        <is>
          <t>avverkningsanmälan</t>
        </is>
      </c>
      <c r="C4494" t="inlineStr">
        <is>
          <t>Föryngringsavverkning</t>
        </is>
      </c>
      <c r="D4494" s="1" t="n">
        <v>45085</v>
      </c>
      <c r="E4494" s="1" t="n">
        <v>46316</v>
      </c>
      <c r="F4494" t="inlineStr">
        <is>
          <t>KRONOBERGS LÄN</t>
        </is>
      </c>
      <c r="G4494" t="inlineStr">
        <is>
          <t>MARKARYD</t>
        </is>
      </c>
      <c r="I4494" t="n">
        <v>3.7</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2471-2025</t>
        </is>
      </c>
      <c r="B4495" t="inlineStr">
        <is>
          <t>avverkningsanmälan</t>
        </is>
      </c>
      <c r="C4495" t="inlineStr">
        <is>
          <t>Föryngringsavverkning</t>
        </is>
      </c>
      <c r="D4495" s="1" t="n">
        <v>45674</v>
      </c>
      <c r="E4495" s="1" t="n">
        <v>46316</v>
      </c>
      <c r="F4495" t="inlineStr">
        <is>
          <t>KRONOBERGS LÄN</t>
        </is>
      </c>
      <c r="G4495" t="inlineStr">
        <is>
          <t>TINGSRYD</t>
        </is>
      </c>
      <c r="I4495" t="n">
        <v>0.6</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61274-2021</t>
        </is>
      </c>
      <c r="B4496" t="inlineStr">
        <is>
          <t>avverkningsanmälan</t>
        </is>
      </c>
      <c r="C4496" t="inlineStr">
        <is>
          <t>Föryngringsavverkning</t>
        </is>
      </c>
      <c r="D4496" s="1" t="n">
        <v>44498</v>
      </c>
      <c r="E4496" s="1" t="n">
        <v>46316</v>
      </c>
      <c r="F4496" t="inlineStr">
        <is>
          <t>KRONOBERGS LÄN</t>
        </is>
      </c>
      <c r="G4496" t="inlineStr">
        <is>
          <t>MARKARYD</t>
        </is>
      </c>
      <c r="I4496" t="n">
        <v>1.7</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40565-2026</t>
        </is>
      </c>
      <c r="B4497" t="inlineStr">
        <is>
          <t>avverkningsanmälan</t>
        </is>
      </c>
      <c r="C4497" t="inlineStr">
        <is>
          <t>Föryngringsavverkning</t>
        </is>
      </c>
      <c r="D4497" s="1" t="n">
        <v>46295</v>
      </c>
      <c r="E4497" s="1" t="n">
        <v>46316</v>
      </c>
      <c r="F4497" t="inlineStr">
        <is>
          <t>KRONOBERGS LÄN</t>
        </is>
      </c>
      <c r="G4497" t="inlineStr">
        <is>
          <t>VÄXJÖ</t>
        </is>
      </c>
      <c r="H4497" t="inlineStr">
        <is>
          <t>Kyrkan</t>
        </is>
      </c>
      <c r="I4497" t="n">
        <v>0.7</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40395-2026</t>
        </is>
      </c>
      <c r="B4498" t="inlineStr">
        <is>
          <t>avverkningsanmälan</t>
        </is>
      </c>
      <c r="C4498" t="inlineStr">
        <is>
          <t>Föryngringsavverkning</t>
        </is>
      </c>
      <c r="D4498" s="1" t="n">
        <v>46294</v>
      </c>
      <c r="E4498" s="1" t="n">
        <v>46316</v>
      </c>
      <c r="F4498" t="inlineStr">
        <is>
          <t>KRONOBERGS LÄN</t>
        </is>
      </c>
      <c r="G4498" t="inlineStr">
        <is>
          <t>VÄXJÖ</t>
        </is>
      </c>
      <c r="I4498" t="n">
        <v>1.6</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16781-2025</t>
        </is>
      </c>
      <c r="B4499" t="inlineStr">
        <is>
          <t>avverkningsanmälan</t>
        </is>
      </c>
      <c r="C4499" t="inlineStr">
        <is>
          <t>Föryngringsavverkning</t>
        </is>
      </c>
      <c r="D4499" s="1" t="n">
        <v>45754</v>
      </c>
      <c r="E4499" s="1" t="n">
        <v>46316</v>
      </c>
      <c r="F4499" t="inlineStr">
        <is>
          <t>KRONOBERGS LÄN</t>
        </is>
      </c>
      <c r="G4499" t="inlineStr">
        <is>
          <t>VÄXJÖ</t>
        </is>
      </c>
      <c r="I4499" t="n">
        <v>0.7</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59082-2024</t>
        </is>
      </c>
      <c r="B4500" t="inlineStr">
        <is>
          <t>avverkningsanmälan</t>
        </is>
      </c>
      <c r="C4500" t="inlineStr">
        <is>
          <t>Föryngringsavverkning</t>
        </is>
      </c>
      <c r="D4500" s="1" t="n">
        <v>45637</v>
      </c>
      <c r="E4500" s="1" t="n">
        <v>46316</v>
      </c>
      <c r="F4500" t="inlineStr">
        <is>
          <t>KRONOBERGS LÄN</t>
        </is>
      </c>
      <c r="G4500" t="inlineStr">
        <is>
          <t>TINGSRYD</t>
        </is>
      </c>
      <c r="H4500" t="inlineStr">
        <is>
          <t>Övriga Aktiebolag</t>
        </is>
      </c>
      <c r="I4500" t="n">
        <v>0.6</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59092-2024</t>
        </is>
      </c>
      <c r="B4501" t="inlineStr">
        <is>
          <t>avverkningsanmälan</t>
        </is>
      </c>
      <c r="C4501" t="inlineStr">
        <is>
          <t>Föryngringsavverkning</t>
        </is>
      </c>
      <c r="D4501" s="1" t="n">
        <v>45637</v>
      </c>
      <c r="E4501" s="1" t="n">
        <v>46316</v>
      </c>
      <c r="F4501" t="inlineStr">
        <is>
          <t>KRONOBERGS LÄN</t>
        </is>
      </c>
      <c r="G4501" t="inlineStr">
        <is>
          <t>TINGSRYD</t>
        </is>
      </c>
      <c r="H4501" t="inlineStr">
        <is>
          <t>Övriga Aktiebolag</t>
        </is>
      </c>
      <c r="I4501" t="n">
        <v>2</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40318-2026</t>
        </is>
      </c>
      <c r="B4502" t="inlineStr">
        <is>
          <t>avverkningsanmälan</t>
        </is>
      </c>
      <c r="C4502" t="inlineStr">
        <is>
          <t>Föryngringsavverkning</t>
        </is>
      </c>
      <c r="D4502" s="1" t="n">
        <v>46294</v>
      </c>
      <c r="E4502" s="1" t="n">
        <v>46316</v>
      </c>
      <c r="F4502" t="inlineStr">
        <is>
          <t>KRONOBERGS LÄN</t>
        </is>
      </c>
      <c r="G4502" t="inlineStr">
        <is>
          <t>ÄLMHULT</t>
        </is>
      </c>
      <c r="I4502" t="n">
        <v>1</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20662-2022</t>
        </is>
      </c>
      <c r="B4503" t="inlineStr">
        <is>
          <t>avverkningsanmälan</t>
        </is>
      </c>
      <c r="C4503" t="inlineStr">
        <is>
          <t>Föryngringsavverkning</t>
        </is>
      </c>
      <c r="D4503" s="1" t="n">
        <v>44700</v>
      </c>
      <c r="E4503" s="1" t="n">
        <v>46316</v>
      </c>
      <c r="F4503" t="inlineStr">
        <is>
          <t>KRONOBERGS LÄN</t>
        </is>
      </c>
      <c r="G4503" t="inlineStr">
        <is>
          <t>TINGSRYD</t>
        </is>
      </c>
      <c r="I4503" t="n">
        <v>2.7</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34085-2026</t>
        </is>
      </c>
      <c r="B4504" t="inlineStr">
        <is>
          <t>avverkningsanmälan</t>
        </is>
      </c>
      <c r="C4504" t="inlineStr">
        <is>
          <t>Föryngringsavverkning</t>
        </is>
      </c>
      <c r="D4504" s="1" t="n">
        <v>46252</v>
      </c>
      <c r="E4504" s="1" t="n">
        <v>46316</v>
      </c>
      <c r="F4504" t="inlineStr">
        <is>
          <t>KRONOBERGS LÄN</t>
        </is>
      </c>
      <c r="G4504" t="inlineStr">
        <is>
          <t>LJUNGBY</t>
        </is>
      </c>
      <c r="I4504" t="n">
        <v>1.6</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47897-2024</t>
        </is>
      </c>
      <c r="B4505" t="inlineStr">
        <is>
          <t>avverkningsanmälan</t>
        </is>
      </c>
      <c r="C4505" t="inlineStr">
        <is>
          <t>Föryngringsavverkning</t>
        </is>
      </c>
      <c r="D4505" s="1" t="n">
        <v>45588</v>
      </c>
      <c r="E4505" s="1" t="n">
        <v>46316</v>
      </c>
      <c r="F4505" t="inlineStr">
        <is>
          <t>KRONOBERGS LÄN</t>
        </is>
      </c>
      <c r="G4505" t="inlineStr">
        <is>
          <t>ÄLMHULT</t>
        </is>
      </c>
      <c r="I4505" t="n">
        <v>0.6</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39603-2022</t>
        </is>
      </c>
      <c r="B4506" t="inlineStr">
        <is>
          <t>avverkningsanmälan</t>
        </is>
      </c>
      <c r="C4506" t="inlineStr">
        <is>
          <t>Föryngringsavverkning</t>
        </is>
      </c>
      <c r="D4506" s="1" t="n">
        <v>44818</v>
      </c>
      <c r="E4506" s="1" t="n">
        <v>46316</v>
      </c>
      <c r="F4506" t="inlineStr">
        <is>
          <t>KRONOBERGS LÄN</t>
        </is>
      </c>
      <c r="G4506" t="inlineStr">
        <is>
          <t>LESSEBO</t>
        </is>
      </c>
      <c r="I4506" t="n">
        <v>1.7</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16727-2025</t>
        </is>
      </c>
      <c r="B4507" t="inlineStr">
        <is>
          <t>avverkningsanmälan</t>
        </is>
      </c>
      <c r="C4507" t="inlineStr">
        <is>
          <t>Avverkning för annat ändamål</t>
        </is>
      </c>
      <c r="D4507" s="1" t="n">
        <v>45754</v>
      </c>
      <c r="E4507" s="1" t="n">
        <v>46316</v>
      </c>
      <c r="F4507" t="inlineStr">
        <is>
          <t>KRONOBERGS LÄN</t>
        </is>
      </c>
      <c r="G4507" t="inlineStr">
        <is>
          <t>LJUNGBY</t>
        </is>
      </c>
      <c r="I4507" t="n">
        <v>0.8</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57574-2023</t>
        </is>
      </c>
      <c r="B4508" t="inlineStr">
        <is>
          <t>avverkningsanmälan</t>
        </is>
      </c>
      <c r="C4508" t="inlineStr">
        <is>
          <t>Föryngringsavverkning</t>
        </is>
      </c>
      <c r="D4508" s="1" t="n">
        <v>45246</v>
      </c>
      <c r="E4508" s="1" t="n">
        <v>46316</v>
      </c>
      <c r="F4508" t="inlineStr">
        <is>
          <t>KRONOBERGS LÄN</t>
        </is>
      </c>
      <c r="G4508" t="inlineStr">
        <is>
          <t>ÄLMHULT</t>
        </is>
      </c>
      <c r="I4508" t="n">
        <v>0.5</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16751-2025</t>
        </is>
      </c>
      <c r="B4509" t="inlineStr">
        <is>
          <t>avverkningsanmälan</t>
        </is>
      </c>
      <c r="C4509" t="inlineStr">
        <is>
          <t>Föryngringsavverkning</t>
        </is>
      </c>
      <c r="D4509" s="1" t="n">
        <v>45754</v>
      </c>
      <c r="E4509" s="1" t="n">
        <v>46316</v>
      </c>
      <c r="F4509" t="inlineStr">
        <is>
          <t>KRONOBERGS LÄN</t>
        </is>
      </c>
      <c r="G4509" t="inlineStr">
        <is>
          <t>VÄXJÖ</t>
        </is>
      </c>
      <c r="I4509" t="n">
        <v>1</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37164-2022</t>
        </is>
      </c>
      <c r="B4510" t="inlineStr">
        <is>
          <t>avverkningsanmälan</t>
        </is>
      </c>
      <c r="C4510" t="inlineStr">
        <is>
          <t>Föryngringsavverkning</t>
        </is>
      </c>
      <c r="D4510" s="1" t="n">
        <v>44806</v>
      </c>
      <c r="E4510" s="1" t="n">
        <v>46316</v>
      </c>
      <c r="F4510" t="inlineStr">
        <is>
          <t>KRONOBERGS LÄN</t>
        </is>
      </c>
      <c r="G4510" t="inlineStr">
        <is>
          <t>LJUNGBY</t>
        </is>
      </c>
      <c r="I4510" t="n">
        <v>1.1</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6556-2022</t>
        </is>
      </c>
      <c r="B4511" t="inlineStr">
        <is>
          <t>avverkningsanmälan</t>
        </is>
      </c>
      <c r="C4511" t="inlineStr">
        <is>
          <t>Föryngringsavverkning</t>
        </is>
      </c>
      <c r="D4511" s="1" t="n">
        <v>44601</v>
      </c>
      <c r="E4511" s="1" t="n">
        <v>46316</v>
      </c>
      <c r="F4511" t="inlineStr">
        <is>
          <t>KRONOBERGS LÄN</t>
        </is>
      </c>
      <c r="G4511" t="inlineStr">
        <is>
          <t>MARKARYD</t>
        </is>
      </c>
      <c r="H4511" t="inlineStr">
        <is>
          <t>Kommuner</t>
        </is>
      </c>
      <c r="I4511" t="n">
        <v>2.8</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6561-2022</t>
        </is>
      </c>
      <c r="B4512" t="inlineStr">
        <is>
          <t>avverkningsanmälan</t>
        </is>
      </c>
      <c r="C4512" t="inlineStr">
        <is>
          <t>Föryngringsavverkning</t>
        </is>
      </c>
      <c r="D4512" s="1" t="n">
        <v>44601</v>
      </c>
      <c r="E4512" s="1" t="n">
        <v>46316</v>
      </c>
      <c r="F4512" t="inlineStr">
        <is>
          <t>KRONOBERGS LÄN</t>
        </is>
      </c>
      <c r="G4512" t="inlineStr">
        <is>
          <t>MARKARYD</t>
        </is>
      </c>
      <c r="H4512" t="inlineStr">
        <is>
          <t>Kommuner</t>
        </is>
      </c>
      <c r="I4512" t="n">
        <v>1.8</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33113-2023</t>
        </is>
      </c>
      <c r="B4513" t="inlineStr">
        <is>
          <t>avverkningsanmälan</t>
        </is>
      </c>
      <c r="C4513" t="inlineStr">
        <is>
          <t>Föryngringsavverkning</t>
        </is>
      </c>
      <c r="D4513" s="1" t="n">
        <v>45114</v>
      </c>
      <c r="E4513" s="1" t="n">
        <v>46316</v>
      </c>
      <c r="F4513" t="inlineStr">
        <is>
          <t>KRONOBERGS LÄN</t>
        </is>
      </c>
      <c r="G4513" t="inlineStr">
        <is>
          <t>ALVESTA</t>
        </is>
      </c>
      <c r="I4513" t="n">
        <v>2.5</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33637-2026</t>
        </is>
      </c>
      <c r="B4514" t="inlineStr">
        <is>
          <t>avverkningsanmälan</t>
        </is>
      </c>
      <c r="C4514" t="inlineStr">
        <is>
          <t>Föryngringsavverkning</t>
        </is>
      </c>
      <c r="D4514" s="1" t="n">
        <v>46247</v>
      </c>
      <c r="E4514" s="1" t="n">
        <v>46316</v>
      </c>
      <c r="F4514" t="inlineStr">
        <is>
          <t>KRONOBERGS LÄN</t>
        </is>
      </c>
      <c r="G4514" t="inlineStr">
        <is>
          <t>UPPVIDINGE</t>
        </is>
      </c>
      <c r="H4514" t="inlineStr">
        <is>
          <t>Kyrkan</t>
        </is>
      </c>
      <c r="I4514" t="n">
        <v>2.7</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40316-2026</t>
        </is>
      </c>
      <c r="B4515" t="inlineStr">
        <is>
          <t>avverkningsanmälan</t>
        </is>
      </c>
      <c r="C4515" t="inlineStr">
        <is>
          <t>Föryngringsavverkning</t>
        </is>
      </c>
      <c r="D4515" s="1" t="n">
        <v>46294</v>
      </c>
      <c r="E4515" s="1" t="n">
        <v>46316</v>
      </c>
      <c r="F4515" t="inlineStr">
        <is>
          <t>KRONOBERGS LÄN</t>
        </is>
      </c>
      <c r="G4515" t="inlineStr">
        <is>
          <t>UPPVIDINGE</t>
        </is>
      </c>
      <c r="I4515" t="n">
        <v>5.3</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40344-2026</t>
        </is>
      </c>
      <c r="B4516" t="inlineStr">
        <is>
          <t>avverkningsanmälan</t>
        </is>
      </c>
      <c r="C4516" t="inlineStr">
        <is>
          <t>Föryngringsavverkning</t>
        </is>
      </c>
      <c r="D4516" s="1" t="n">
        <v>46293</v>
      </c>
      <c r="E4516" s="1" t="n">
        <v>46316</v>
      </c>
      <c r="F4516" t="inlineStr">
        <is>
          <t>KRONOBERGS LÄN</t>
        </is>
      </c>
      <c r="G4516" t="inlineStr">
        <is>
          <t>UPPVIDINGE</t>
        </is>
      </c>
      <c r="I4516" t="n">
        <v>1.2</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33946-2026</t>
        </is>
      </c>
      <c r="B4517" t="inlineStr">
        <is>
          <t>avverkningsanmälan</t>
        </is>
      </c>
      <c r="C4517" t="inlineStr">
        <is>
          <t>Föryngringsavverkning</t>
        </is>
      </c>
      <c r="D4517" s="1" t="n">
        <v>46252</v>
      </c>
      <c r="E4517" s="1" t="n">
        <v>46316</v>
      </c>
      <c r="F4517" t="inlineStr">
        <is>
          <t>KRONOBERGS LÄN</t>
        </is>
      </c>
      <c r="G4517" t="inlineStr">
        <is>
          <t>ALVESTA</t>
        </is>
      </c>
      <c r="I4517" t="n">
        <v>0.7</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40358-2026</t>
        </is>
      </c>
      <c r="B4518" t="inlineStr">
        <is>
          <t>avverkningsanmälan</t>
        </is>
      </c>
      <c r="C4518" t="inlineStr">
        <is>
          <t>Föryngringsavverkning</t>
        </is>
      </c>
      <c r="D4518" s="1" t="n">
        <v>46293</v>
      </c>
      <c r="E4518" s="1" t="n">
        <v>46316</v>
      </c>
      <c r="F4518" t="inlineStr">
        <is>
          <t>KRONOBERGS LÄN</t>
        </is>
      </c>
      <c r="G4518" t="inlineStr">
        <is>
          <t>UPPVIDINGE</t>
        </is>
      </c>
      <c r="I4518" t="n">
        <v>9</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50183-2022</t>
        </is>
      </c>
      <c r="B4519" t="inlineStr">
        <is>
          <t>avverkningsanmälan</t>
        </is>
      </c>
      <c r="C4519" t="inlineStr">
        <is>
          <t>Föryngringsavverkning</t>
        </is>
      </c>
      <c r="D4519" s="1" t="n">
        <v>44865</v>
      </c>
      <c r="E4519" s="1" t="n">
        <v>46316</v>
      </c>
      <c r="F4519" t="inlineStr">
        <is>
          <t>KRONOBERGS LÄN</t>
        </is>
      </c>
      <c r="G4519" t="inlineStr">
        <is>
          <t>ÄLMHULT</t>
        </is>
      </c>
      <c r="I4519" t="n">
        <v>1.5</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1116-2022</t>
        </is>
      </c>
      <c r="B4520" t="inlineStr">
        <is>
          <t>avverkningsanmälan</t>
        </is>
      </c>
      <c r="C4520" t="inlineStr">
        <is>
          <t>Föryngringsavverkning</t>
        </is>
      </c>
      <c r="D4520" s="1" t="n">
        <v>44572</v>
      </c>
      <c r="E4520" s="1" t="n">
        <v>46316</v>
      </c>
      <c r="F4520" t="inlineStr">
        <is>
          <t>KRONOBERGS LÄN</t>
        </is>
      </c>
      <c r="G4520" t="inlineStr">
        <is>
          <t>MARKARYD</t>
        </is>
      </c>
      <c r="I4520" t="n">
        <v>2.2</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18379-2024</t>
        </is>
      </c>
      <c r="B4521" t="inlineStr">
        <is>
          <t>avverkningsanmälan</t>
        </is>
      </c>
      <c r="C4521" t="inlineStr">
        <is>
          <t>Föryngringsavverkning</t>
        </is>
      </c>
      <c r="D4521" s="1" t="n">
        <v>45424</v>
      </c>
      <c r="E4521" s="1" t="n">
        <v>46316</v>
      </c>
      <c r="F4521" t="inlineStr">
        <is>
          <t>KRONOBERGS LÄN</t>
        </is>
      </c>
      <c r="G4521" t="inlineStr">
        <is>
          <t>TINGSRYD</t>
        </is>
      </c>
      <c r="I4521" t="n">
        <v>1.6</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28090-2024</t>
        </is>
      </c>
      <c r="B4522" t="inlineStr">
        <is>
          <t>avverkningsanmälan</t>
        </is>
      </c>
      <c r="C4522" t="inlineStr">
        <is>
          <t>Föryngringsavverkning</t>
        </is>
      </c>
      <c r="D4522" s="1" t="n">
        <v>45476</v>
      </c>
      <c r="E4522" s="1" t="n">
        <v>46316</v>
      </c>
      <c r="F4522" t="inlineStr">
        <is>
          <t>KRONOBERGS LÄN</t>
        </is>
      </c>
      <c r="G4522" t="inlineStr">
        <is>
          <t>UPPVIDINGE</t>
        </is>
      </c>
      <c r="I4522" t="n">
        <v>4.6</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33962-2026</t>
        </is>
      </c>
      <c r="B4523" t="inlineStr">
        <is>
          <t>avverkningsanmälan</t>
        </is>
      </c>
      <c r="C4523" t="inlineStr">
        <is>
          <t>Föryngringsavverkning</t>
        </is>
      </c>
      <c r="D4523" s="1" t="n">
        <v>46252</v>
      </c>
      <c r="E4523" s="1" t="n">
        <v>46316</v>
      </c>
      <c r="F4523" t="inlineStr">
        <is>
          <t>KRONOBERGS LÄN</t>
        </is>
      </c>
      <c r="G4523" t="inlineStr">
        <is>
          <t>VÄXJÖ</t>
        </is>
      </c>
      <c r="I4523" t="n">
        <v>1.3</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40560-2026</t>
        </is>
      </c>
      <c r="B4524" t="inlineStr">
        <is>
          <t>avverkningsanmälan</t>
        </is>
      </c>
      <c r="C4524" t="inlineStr">
        <is>
          <t>Föryngringsavverkning</t>
        </is>
      </c>
      <c r="D4524" s="1" t="n">
        <v>46295</v>
      </c>
      <c r="E4524" s="1" t="n">
        <v>46316</v>
      </c>
      <c r="F4524" t="inlineStr">
        <is>
          <t>KRONOBERGS LÄN</t>
        </is>
      </c>
      <c r="G4524" t="inlineStr">
        <is>
          <t>UPPVIDINGE</t>
        </is>
      </c>
      <c r="I4524" t="n">
        <v>3.7</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55982-2023</t>
        </is>
      </c>
      <c r="B4525" t="inlineStr">
        <is>
          <t>avverkningsanmälan</t>
        </is>
      </c>
      <c r="C4525" t="inlineStr">
        <is>
          <t>Föryngringsavverkning</t>
        </is>
      </c>
      <c r="D4525" s="1" t="n">
        <v>45240</v>
      </c>
      <c r="E4525" s="1" t="n">
        <v>46316</v>
      </c>
      <c r="F4525" t="inlineStr">
        <is>
          <t>KRONOBERGS LÄN</t>
        </is>
      </c>
      <c r="G4525" t="inlineStr">
        <is>
          <t>TINGSRYD</t>
        </is>
      </c>
      <c r="I4525" t="n">
        <v>6.9</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14365-2023</t>
        </is>
      </c>
      <c r="B4526" t="inlineStr">
        <is>
          <t>avverkningsanmälan</t>
        </is>
      </c>
      <c r="C4526" t="inlineStr">
        <is>
          <t>Föryngringsavverkning</t>
        </is>
      </c>
      <c r="D4526" s="1" t="n">
        <v>45012</v>
      </c>
      <c r="E4526" s="1" t="n">
        <v>46316</v>
      </c>
      <c r="F4526" t="inlineStr">
        <is>
          <t>KRONOBERGS LÄN</t>
        </is>
      </c>
      <c r="G4526" t="inlineStr">
        <is>
          <t>VÄXJÖ</t>
        </is>
      </c>
      <c r="I4526" t="n">
        <v>2.5</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67565-2021</t>
        </is>
      </c>
      <c r="B4527" t="inlineStr">
        <is>
          <t>avverkningsanmälan</t>
        </is>
      </c>
      <c r="C4527" t="inlineStr">
        <is>
          <t>Föryngringsavverkning</t>
        </is>
      </c>
      <c r="D4527" s="1" t="n">
        <v>44524</v>
      </c>
      <c r="E4527" s="1" t="n">
        <v>46316</v>
      </c>
      <c r="F4527" t="inlineStr">
        <is>
          <t>KRONOBERGS LÄN</t>
        </is>
      </c>
      <c r="G4527" t="inlineStr">
        <is>
          <t>TINGSRYD</t>
        </is>
      </c>
      <c r="I4527" t="n">
        <v>0.9</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40361-2026</t>
        </is>
      </c>
      <c r="B4528" t="inlineStr">
        <is>
          <t>avverkningsanmälan</t>
        </is>
      </c>
      <c r="C4528" t="inlineStr">
        <is>
          <t>Föryngringsavverkning</t>
        </is>
      </c>
      <c r="D4528" s="1" t="n">
        <v>46293</v>
      </c>
      <c r="E4528" s="1" t="n">
        <v>46316</v>
      </c>
      <c r="F4528" t="inlineStr">
        <is>
          <t>KRONOBERGS LÄN</t>
        </is>
      </c>
      <c r="G4528" t="inlineStr">
        <is>
          <t>UPPVIDINGE</t>
        </is>
      </c>
      <c r="I4528" t="n">
        <v>5.5</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40389-2026</t>
        </is>
      </c>
      <c r="B4529" t="inlineStr">
        <is>
          <t>avverkningsanmälan</t>
        </is>
      </c>
      <c r="C4529" t="inlineStr">
        <is>
          <t>Föryngringsavverkning</t>
        </is>
      </c>
      <c r="D4529" s="1" t="n">
        <v>46294</v>
      </c>
      <c r="E4529" s="1" t="n">
        <v>46316</v>
      </c>
      <c r="F4529" t="inlineStr">
        <is>
          <t>KRONOBERGS LÄN</t>
        </is>
      </c>
      <c r="G4529" t="inlineStr">
        <is>
          <t>VÄXJÖ</t>
        </is>
      </c>
      <c r="I4529" t="n">
        <v>2.1</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40341-2026</t>
        </is>
      </c>
      <c r="B4530" t="inlineStr">
        <is>
          <t>avverkningsanmälan</t>
        </is>
      </c>
      <c r="C4530" t="inlineStr">
        <is>
          <t>Föryngringsavverkning</t>
        </is>
      </c>
      <c r="D4530" s="1" t="n">
        <v>46294</v>
      </c>
      <c r="E4530" s="1" t="n">
        <v>46316</v>
      </c>
      <c r="F4530" t="inlineStr">
        <is>
          <t>KRONOBERGS LÄN</t>
        </is>
      </c>
      <c r="G4530" t="inlineStr">
        <is>
          <t>VÄXJÖ</t>
        </is>
      </c>
      <c r="I4530" t="n">
        <v>2.8</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52945-2023</t>
        </is>
      </c>
      <c r="B4531" t="inlineStr">
        <is>
          <t>avverkningsanmälan</t>
        </is>
      </c>
      <c r="C4531" t="inlineStr">
        <is>
          <t>Föryngringsavverkning</t>
        </is>
      </c>
      <c r="D4531" s="1" t="n">
        <v>45226</v>
      </c>
      <c r="E4531" s="1" t="n">
        <v>46316</v>
      </c>
      <c r="F4531" t="inlineStr">
        <is>
          <t>KRONOBERGS LÄN</t>
        </is>
      </c>
      <c r="G4531" t="inlineStr">
        <is>
          <t>TINGSRYD</t>
        </is>
      </c>
      <c r="I4531" t="n">
        <v>5.1</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52996-2023</t>
        </is>
      </c>
      <c r="B4532" t="inlineStr">
        <is>
          <t>avverkningsanmälan</t>
        </is>
      </c>
      <c r="C4532" t="inlineStr">
        <is>
          <t>Föryngringsavverkning</t>
        </is>
      </c>
      <c r="D4532" s="1" t="n">
        <v>45222</v>
      </c>
      <c r="E4532" s="1" t="n">
        <v>46316</v>
      </c>
      <c r="F4532" t="inlineStr">
        <is>
          <t>KRONOBERGS LÄN</t>
        </is>
      </c>
      <c r="G4532" t="inlineStr">
        <is>
          <t>VÄXJÖ</t>
        </is>
      </c>
      <c r="I4532" t="n">
        <v>1.1</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40370-2026</t>
        </is>
      </c>
      <c r="B4533" t="inlineStr">
        <is>
          <t>avverkningsanmälan</t>
        </is>
      </c>
      <c r="C4533" t="inlineStr">
        <is>
          <t>Föryngringsavverkning</t>
        </is>
      </c>
      <c r="D4533" s="1" t="n">
        <v>46293</v>
      </c>
      <c r="E4533" s="1" t="n">
        <v>46316</v>
      </c>
      <c r="F4533" t="inlineStr">
        <is>
          <t>KRONOBERGS LÄN</t>
        </is>
      </c>
      <c r="G4533" t="inlineStr">
        <is>
          <t>UPPVIDINGE</t>
        </is>
      </c>
      <c r="I4533" t="n">
        <v>2.5</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40404-2026</t>
        </is>
      </c>
      <c r="B4534" t="inlineStr">
        <is>
          <t>avverkningsanmälan</t>
        </is>
      </c>
      <c r="C4534" t="inlineStr">
        <is>
          <t>Föryngringsavverkning</t>
        </is>
      </c>
      <c r="D4534" s="1" t="n">
        <v>46294</v>
      </c>
      <c r="E4534" s="1" t="n">
        <v>46316</v>
      </c>
      <c r="F4534" t="inlineStr">
        <is>
          <t>KRONOBERGS LÄN</t>
        </is>
      </c>
      <c r="G4534" t="inlineStr">
        <is>
          <t>VÄXJÖ</t>
        </is>
      </c>
      <c r="I4534" t="n">
        <v>2.1</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20120-2022</t>
        </is>
      </c>
      <c r="B4535" t="inlineStr">
        <is>
          <t>avverkningsanmälan</t>
        </is>
      </c>
      <c r="C4535" t="inlineStr">
        <is>
          <t>Föryngringsavverkning</t>
        </is>
      </c>
      <c r="D4535" s="1" t="n">
        <v>44698</v>
      </c>
      <c r="E4535" s="1" t="n">
        <v>46316</v>
      </c>
      <c r="F4535" t="inlineStr">
        <is>
          <t>KRONOBERGS LÄN</t>
        </is>
      </c>
      <c r="G4535" t="inlineStr">
        <is>
          <t>ÄLMHULT</t>
        </is>
      </c>
      <c r="I4535" t="n">
        <v>11.9</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40426-2026</t>
        </is>
      </c>
      <c r="B4536" t="inlineStr">
        <is>
          <t>avverkningsanmälan</t>
        </is>
      </c>
      <c r="C4536" t="inlineStr">
        <is>
          <t>Föryngringsavverkning</t>
        </is>
      </c>
      <c r="D4536" s="1" t="n">
        <v>46294</v>
      </c>
      <c r="E4536" s="1" t="n">
        <v>46316</v>
      </c>
      <c r="F4536" t="inlineStr">
        <is>
          <t>KRONOBERGS LÄN</t>
        </is>
      </c>
      <c r="G4536" t="inlineStr">
        <is>
          <t>LESSEBO</t>
        </is>
      </c>
      <c r="I4536" t="n">
        <v>6.2</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40433-2026</t>
        </is>
      </c>
      <c r="B4537" t="inlineStr">
        <is>
          <t>avverkningsanmälan</t>
        </is>
      </c>
      <c r="C4537" t="inlineStr">
        <is>
          <t>Föryngringsavverkning</t>
        </is>
      </c>
      <c r="D4537" s="1" t="n">
        <v>46293</v>
      </c>
      <c r="E4537" s="1" t="n">
        <v>46316</v>
      </c>
      <c r="F4537" t="inlineStr">
        <is>
          <t>KRONOBERGS LÄN</t>
        </is>
      </c>
      <c r="G4537" t="inlineStr">
        <is>
          <t>UPPVIDINGE</t>
        </is>
      </c>
      <c r="I4537" t="n">
        <v>1.6</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2806-2024</t>
        </is>
      </c>
      <c r="B4538" t="inlineStr">
        <is>
          <t>avverkningsanmälan</t>
        </is>
      </c>
      <c r="C4538" t="inlineStr">
        <is>
          <t>Föryngringsavverkning</t>
        </is>
      </c>
      <c r="D4538" s="1" t="n">
        <v>45314</v>
      </c>
      <c r="E4538" s="1" t="n">
        <v>46316</v>
      </c>
      <c r="F4538" t="inlineStr">
        <is>
          <t>KRONOBERGS LÄN</t>
        </is>
      </c>
      <c r="G4538" t="inlineStr">
        <is>
          <t>TINGSRYD</t>
        </is>
      </c>
      <c r="I4538" t="n">
        <v>1.9</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40479-2026</t>
        </is>
      </c>
      <c r="B4539" t="inlineStr">
        <is>
          <t>avverkningsanmälan</t>
        </is>
      </c>
      <c r="C4539" t="inlineStr">
        <is>
          <t>Föryngringsavverkning</t>
        </is>
      </c>
      <c r="D4539" s="1" t="n">
        <v>46295</v>
      </c>
      <c r="E4539" s="1" t="n">
        <v>46316</v>
      </c>
      <c r="F4539" t="inlineStr">
        <is>
          <t>KRONOBERGS LÄN</t>
        </is>
      </c>
      <c r="G4539" t="inlineStr">
        <is>
          <t>ÄLMHULT</t>
        </is>
      </c>
      <c r="I4539" t="n">
        <v>0.9</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14247-2023</t>
        </is>
      </c>
      <c r="B4540" t="inlineStr">
        <is>
          <t>avverkningsanmälan</t>
        </is>
      </c>
      <c r="C4540" t="inlineStr">
        <is>
          <t>Föryngringsavverkning</t>
        </is>
      </c>
      <c r="D4540" s="1" t="n">
        <v>45009</v>
      </c>
      <c r="E4540" s="1" t="n">
        <v>46316</v>
      </c>
      <c r="F4540" t="inlineStr">
        <is>
          <t>KRONOBERGS LÄN</t>
        </is>
      </c>
      <c r="G4540" t="inlineStr">
        <is>
          <t>TINGSRYD</t>
        </is>
      </c>
      <c r="H4540" t="inlineStr">
        <is>
          <t>Sveaskog</t>
        </is>
      </c>
      <c r="I4540" t="n">
        <v>3.5</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44672-2023</t>
        </is>
      </c>
      <c r="B4541" t="inlineStr">
        <is>
          <t>avverkningsanmälan</t>
        </is>
      </c>
      <c r="C4541" t="inlineStr">
        <is>
          <t>Föryngringsavverkning</t>
        </is>
      </c>
      <c r="D4541" s="1" t="n">
        <v>45189</v>
      </c>
      <c r="E4541" s="1" t="n">
        <v>46316</v>
      </c>
      <c r="F4541" t="inlineStr">
        <is>
          <t>KRONOBERGS LÄN</t>
        </is>
      </c>
      <c r="G4541" t="inlineStr">
        <is>
          <t>ÄLMHULT</t>
        </is>
      </c>
      <c r="I4541" t="n">
        <v>1.9</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40320-2026</t>
        </is>
      </c>
      <c r="B4542" t="inlineStr">
        <is>
          <t>avverkningsanmälan</t>
        </is>
      </c>
      <c r="C4542" t="inlineStr">
        <is>
          <t>Föryngringsavverkning</t>
        </is>
      </c>
      <c r="D4542" s="1" t="n">
        <v>46294</v>
      </c>
      <c r="E4542" s="1" t="n">
        <v>46316</v>
      </c>
      <c r="F4542" t="inlineStr">
        <is>
          <t>KRONOBERGS LÄN</t>
        </is>
      </c>
      <c r="G4542" t="inlineStr">
        <is>
          <t>ÄLMHULT</t>
        </is>
      </c>
      <c r="I4542" t="n">
        <v>1.6</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40324-2026</t>
        </is>
      </c>
      <c r="B4543" t="inlineStr">
        <is>
          <t>avverkningsanmälan</t>
        </is>
      </c>
      <c r="C4543" t="inlineStr">
        <is>
          <t>Föryngringsavverkning</t>
        </is>
      </c>
      <c r="D4543" s="1" t="n">
        <v>46293</v>
      </c>
      <c r="E4543" s="1" t="n">
        <v>46316</v>
      </c>
      <c r="F4543" t="inlineStr">
        <is>
          <t>KRONOBERGS LÄN</t>
        </is>
      </c>
      <c r="G4543" t="inlineStr">
        <is>
          <t>UPPVIDINGE</t>
        </is>
      </c>
      <c r="I4543" t="n">
        <v>3.8</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33223-2023</t>
        </is>
      </c>
      <c r="B4544" t="inlineStr">
        <is>
          <t>avverkningsanmälan</t>
        </is>
      </c>
      <c r="C4544" t="inlineStr">
        <is>
          <t>Föryngringsavverkning</t>
        </is>
      </c>
      <c r="D4544" s="1" t="n">
        <v>45127</v>
      </c>
      <c r="E4544" s="1" t="n">
        <v>46316</v>
      </c>
      <c r="F4544" t="inlineStr">
        <is>
          <t>KRONOBERGS LÄN</t>
        </is>
      </c>
      <c r="G4544" t="inlineStr">
        <is>
          <t>VÄXJÖ</t>
        </is>
      </c>
      <c r="I4544" t="n">
        <v>0.8</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37359-2024</t>
        </is>
      </c>
      <c r="B4545" t="inlineStr">
        <is>
          <t>avverkningsanmälan</t>
        </is>
      </c>
      <c r="C4545" t="inlineStr">
        <is>
          <t>Föryngringsavverkning</t>
        </is>
      </c>
      <c r="D4545" s="1" t="n">
        <v>45540</v>
      </c>
      <c r="E4545" s="1" t="n">
        <v>46316</v>
      </c>
      <c r="F4545" t="inlineStr">
        <is>
          <t>KRONOBERGS LÄN</t>
        </is>
      </c>
      <c r="G4545" t="inlineStr">
        <is>
          <t>TINGSRYD</t>
        </is>
      </c>
      <c r="I4545" t="n">
        <v>1.1</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40441-2026</t>
        </is>
      </c>
      <c r="B4546" t="inlineStr">
        <is>
          <t>avverkningsanmälan</t>
        </is>
      </c>
      <c r="C4546" t="inlineStr">
        <is>
          <t>Föryngringsavverkning</t>
        </is>
      </c>
      <c r="D4546" s="1" t="n">
        <v>46293</v>
      </c>
      <c r="E4546" s="1" t="n">
        <v>46316</v>
      </c>
      <c r="F4546" t="inlineStr">
        <is>
          <t>KRONOBERGS LÄN</t>
        </is>
      </c>
      <c r="G4546" t="inlineStr">
        <is>
          <t>UPPVIDINGE</t>
        </is>
      </c>
      <c r="I4546" t="n">
        <v>4.9</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40444-2026</t>
        </is>
      </c>
      <c r="B4547" t="inlineStr">
        <is>
          <t>avverkningsanmälan</t>
        </is>
      </c>
      <c r="C4547" t="inlineStr">
        <is>
          <t>Föryngringsavverkning</t>
        </is>
      </c>
      <c r="D4547" s="1" t="n">
        <v>46294</v>
      </c>
      <c r="E4547" s="1" t="n">
        <v>46316</v>
      </c>
      <c r="F4547" t="inlineStr">
        <is>
          <t>KRONOBERGS LÄN</t>
        </is>
      </c>
      <c r="G4547" t="inlineStr">
        <is>
          <t>VÄXJÖ</t>
        </is>
      </c>
      <c r="I4547" t="n">
        <v>0.5</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40450-2026</t>
        </is>
      </c>
      <c r="B4548" t="inlineStr">
        <is>
          <t>avverkningsanmälan</t>
        </is>
      </c>
      <c r="C4548" t="inlineStr">
        <is>
          <t>Föryngringsavverkning</t>
        </is>
      </c>
      <c r="D4548" s="1" t="n">
        <v>46293</v>
      </c>
      <c r="E4548" s="1" t="n">
        <v>46316</v>
      </c>
      <c r="F4548" t="inlineStr">
        <is>
          <t>KRONOBERGS LÄN</t>
        </is>
      </c>
      <c r="G4548" t="inlineStr">
        <is>
          <t>UPPVIDINGE</t>
        </is>
      </c>
      <c r="I4548" t="n">
        <v>4.6</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11509-2024</t>
        </is>
      </c>
      <c r="B4549" t="inlineStr">
        <is>
          <t>avverkningsanmälan</t>
        </is>
      </c>
      <c r="C4549" t="inlineStr">
        <is>
          <t>Föryngringsavverkning</t>
        </is>
      </c>
      <c r="D4549" s="1" t="n">
        <v>45372</v>
      </c>
      <c r="E4549" s="1" t="n">
        <v>46316</v>
      </c>
      <c r="F4549" t="inlineStr">
        <is>
          <t>KRONOBERGS LÄN</t>
        </is>
      </c>
      <c r="G4549" t="inlineStr">
        <is>
          <t>LJUNGBY</t>
        </is>
      </c>
      <c r="I4549" t="n">
        <v>0.4</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40484-2026</t>
        </is>
      </c>
      <c r="B4550" t="inlineStr">
        <is>
          <t>avverkningsanmälan</t>
        </is>
      </c>
      <c r="C4550" t="inlineStr">
        <is>
          <t>Föryngringsavverkning</t>
        </is>
      </c>
      <c r="D4550" s="1" t="n">
        <v>46295</v>
      </c>
      <c r="E4550" s="1" t="n">
        <v>46316</v>
      </c>
      <c r="F4550" t="inlineStr">
        <is>
          <t>KRONOBERGS LÄN</t>
        </is>
      </c>
      <c r="G4550" t="inlineStr">
        <is>
          <t>ÄLMHULT</t>
        </is>
      </c>
      <c r="I4550" t="n">
        <v>2</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40249-2026</t>
        </is>
      </c>
      <c r="B4551" t="inlineStr">
        <is>
          <t>avverkningsanmälan</t>
        </is>
      </c>
      <c r="C4551" t="inlineStr">
        <is>
          <t>Föryngringsavverkning</t>
        </is>
      </c>
      <c r="D4551" s="1" t="n">
        <v>46294</v>
      </c>
      <c r="E4551" s="1" t="n">
        <v>46316</v>
      </c>
      <c r="F4551" t="inlineStr">
        <is>
          <t>KRONOBERGS LÄN</t>
        </is>
      </c>
      <c r="G4551" t="inlineStr">
        <is>
          <t>VÄXJÖ</t>
        </is>
      </c>
      <c r="I4551" t="n">
        <v>4.3</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40317-2026</t>
        </is>
      </c>
      <c r="B4552" t="inlineStr">
        <is>
          <t>avverkningsanmälan</t>
        </is>
      </c>
      <c r="C4552" t="inlineStr">
        <is>
          <t>Föryngringsavverkning</t>
        </is>
      </c>
      <c r="D4552" s="1" t="n">
        <v>46294</v>
      </c>
      <c r="E4552" s="1" t="n">
        <v>46316</v>
      </c>
      <c r="F4552" t="inlineStr">
        <is>
          <t>KRONOBERGS LÄN</t>
        </is>
      </c>
      <c r="G4552" t="inlineStr">
        <is>
          <t>ÄLMHULT</t>
        </is>
      </c>
      <c r="I4552" t="n">
        <v>4.7</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12260-2023</t>
        </is>
      </c>
      <c r="B4553" t="inlineStr">
        <is>
          <t>avverkningsanmälan</t>
        </is>
      </c>
      <c r="C4553" t="inlineStr">
        <is>
          <t>Föryngringsavverkning</t>
        </is>
      </c>
      <c r="D4553" s="1" t="n">
        <v>44998</v>
      </c>
      <c r="E4553" s="1" t="n">
        <v>46316</v>
      </c>
      <c r="F4553" t="inlineStr">
        <is>
          <t>KRONOBERGS LÄN</t>
        </is>
      </c>
      <c r="G4553" t="inlineStr">
        <is>
          <t>ALVESTA</t>
        </is>
      </c>
      <c r="I4553" t="n">
        <v>0.8</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34202-2026</t>
        </is>
      </c>
      <c r="B4554" t="inlineStr">
        <is>
          <t>avverkningsanmälan</t>
        </is>
      </c>
      <c r="C4554" t="inlineStr">
        <is>
          <t>Föryngringsavverkning</t>
        </is>
      </c>
      <c r="D4554" s="1" t="n">
        <v>46253</v>
      </c>
      <c r="E4554" s="1" t="n">
        <v>46316</v>
      </c>
      <c r="F4554" t="inlineStr">
        <is>
          <t>KRONOBERGS LÄN</t>
        </is>
      </c>
      <c r="G4554" t="inlineStr">
        <is>
          <t>VÄXJÖ</t>
        </is>
      </c>
      <c r="I4554" t="n">
        <v>1.5</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50906-2022</t>
        </is>
      </c>
      <c r="B4555" t="inlineStr">
        <is>
          <t>avverkningsanmälan</t>
        </is>
      </c>
      <c r="C4555" t="inlineStr">
        <is>
          <t>Föryngringsavverkning</t>
        </is>
      </c>
      <c r="D4555" s="1" t="n">
        <v>44867</v>
      </c>
      <c r="E4555" s="1" t="n">
        <v>46316</v>
      </c>
      <c r="F4555" t="inlineStr">
        <is>
          <t>KRONOBERGS LÄN</t>
        </is>
      </c>
      <c r="G4555" t="inlineStr">
        <is>
          <t>VÄXJÖ</t>
        </is>
      </c>
      <c r="I4555" t="n">
        <v>1.3</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3338-2023</t>
        </is>
      </c>
      <c r="B4556" t="inlineStr">
        <is>
          <t>avverkningsanmälan</t>
        </is>
      </c>
      <c r="C4556" t="inlineStr">
        <is>
          <t>Föryngringsavverkning</t>
        </is>
      </c>
      <c r="D4556" s="1" t="n">
        <v>44949</v>
      </c>
      <c r="E4556" s="1" t="n">
        <v>46316</v>
      </c>
      <c r="F4556" t="inlineStr">
        <is>
          <t>KRONOBERGS LÄN</t>
        </is>
      </c>
      <c r="G4556" t="inlineStr">
        <is>
          <t>TINGSRYD</t>
        </is>
      </c>
      <c r="I4556" t="n">
        <v>0.7</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32509-2023</t>
        </is>
      </c>
      <c r="B4557" t="inlineStr">
        <is>
          <t>avverkningsanmälan</t>
        </is>
      </c>
      <c r="C4557" t="inlineStr">
        <is>
          <t>Föryngringsavverkning</t>
        </is>
      </c>
      <c r="D4557" s="1" t="n">
        <v>45121</v>
      </c>
      <c r="E4557" s="1" t="n">
        <v>46316</v>
      </c>
      <c r="F4557" t="inlineStr">
        <is>
          <t>KRONOBERGS LÄN</t>
        </is>
      </c>
      <c r="G4557" t="inlineStr">
        <is>
          <t>LJUNGBY</t>
        </is>
      </c>
      <c r="I4557" t="n">
        <v>2.5</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33839-2026</t>
        </is>
      </c>
      <c r="B4558" t="inlineStr">
        <is>
          <t>avverkningsanmälan</t>
        </is>
      </c>
      <c r="C4558" t="inlineStr">
        <is>
          <t>Föryngringsavverkning</t>
        </is>
      </c>
      <c r="D4558" s="1" t="n">
        <v>46251</v>
      </c>
      <c r="E4558" s="1" t="n">
        <v>46316</v>
      </c>
      <c r="F4558" t="inlineStr">
        <is>
          <t>KRONOBERGS LÄN</t>
        </is>
      </c>
      <c r="G4558" t="inlineStr">
        <is>
          <t>LJUNGBY</t>
        </is>
      </c>
      <c r="I4558" t="n">
        <v>1.7</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4823-2022</t>
        </is>
      </c>
      <c r="B4559" t="inlineStr">
        <is>
          <t>avverkningsanmälan</t>
        </is>
      </c>
      <c r="C4559" t="inlineStr">
        <is>
          <t>Föryngringsavverkning</t>
        </is>
      </c>
      <c r="D4559" s="1" t="n">
        <v>44592</v>
      </c>
      <c r="E4559" s="1" t="n">
        <v>46316</v>
      </c>
      <c r="F4559" t="inlineStr">
        <is>
          <t>KRONOBERGS LÄN</t>
        </is>
      </c>
      <c r="G4559" t="inlineStr">
        <is>
          <t>UPPVIDINGE</t>
        </is>
      </c>
      <c r="I4559" t="n">
        <v>2.3</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40355-2026</t>
        </is>
      </c>
      <c r="B4560" t="inlineStr">
        <is>
          <t>avverkningsanmälan</t>
        </is>
      </c>
      <c r="C4560" t="inlineStr">
        <is>
          <t>Föryngringsavverkning</t>
        </is>
      </c>
      <c r="D4560" s="1" t="n">
        <v>46293</v>
      </c>
      <c r="E4560" s="1" t="n">
        <v>46316</v>
      </c>
      <c r="F4560" t="inlineStr">
        <is>
          <t>KRONOBERGS LÄN</t>
        </is>
      </c>
      <c r="G4560" t="inlineStr">
        <is>
          <t>UPPVIDINGE</t>
        </is>
      </c>
      <c r="I4560" t="n">
        <v>2</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33893-2026</t>
        </is>
      </c>
      <c r="B4561" t="inlineStr">
        <is>
          <t>avverkningsanmälan</t>
        </is>
      </c>
      <c r="C4561" t="inlineStr">
        <is>
          <t>Föryngringsavverkning</t>
        </is>
      </c>
      <c r="D4561" s="1" t="n">
        <v>46251</v>
      </c>
      <c r="E4561" s="1" t="n">
        <v>46316</v>
      </c>
      <c r="F4561" t="inlineStr">
        <is>
          <t>KRONOBERGS LÄN</t>
        </is>
      </c>
      <c r="G4561" t="inlineStr">
        <is>
          <t>ÄLMHULT</t>
        </is>
      </c>
      <c r="I4561" t="n">
        <v>1.1</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40242-2026</t>
        </is>
      </c>
      <c r="B4562" t="inlineStr">
        <is>
          <t>avverkningsanmälan</t>
        </is>
      </c>
      <c r="C4562" t="inlineStr">
        <is>
          <t>Föryngringsavverkning</t>
        </is>
      </c>
      <c r="D4562" s="1" t="n">
        <v>46294</v>
      </c>
      <c r="E4562" s="1" t="n">
        <v>46316</v>
      </c>
      <c r="F4562" t="inlineStr">
        <is>
          <t>KRONOBERGS LÄN</t>
        </is>
      </c>
      <c r="G4562" t="inlineStr">
        <is>
          <t>TINGSRYD</t>
        </is>
      </c>
      <c r="I4562" t="n">
        <v>1.2</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38547-2024</t>
        </is>
      </c>
      <c r="B4563" t="inlineStr">
        <is>
          <t>avverkningsanmälan</t>
        </is>
      </c>
      <c r="C4563" t="inlineStr">
        <is>
          <t>Föryngringsavverkning</t>
        </is>
      </c>
      <c r="D4563" s="1" t="n">
        <v>45546</v>
      </c>
      <c r="E4563" s="1" t="n">
        <v>46316</v>
      </c>
      <c r="F4563" t="inlineStr">
        <is>
          <t>KRONOBERGS LÄN</t>
        </is>
      </c>
      <c r="G4563" t="inlineStr">
        <is>
          <t>UPPVIDINGE</t>
        </is>
      </c>
      <c r="I4563" t="n">
        <v>3.8</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24457-2023</t>
        </is>
      </c>
      <c r="B4564" t="inlineStr">
        <is>
          <t>avverkningsanmälan</t>
        </is>
      </c>
      <c r="C4564" t="inlineStr">
        <is>
          <t>Föryngringsavverkning</t>
        </is>
      </c>
      <c r="D4564" s="1" t="n">
        <v>45082</v>
      </c>
      <c r="E4564" s="1" t="n">
        <v>46316</v>
      </c>
      <c r="F4564" t="inlineStr">
        <is>
          <t>KRONOBERGS LÄN</t>
        </is>
      </c>
      <c r="G4564" t="inlineStr">
        <is>
          <t>UPPVIDINGE</t>
        </is>
      </c>
      <c r="I4564" t="n">
        <v>0.4</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32264-2026</t>
        </is>
      </c>
      <c r="B4565" t="inlineStr">
        <is>
          <t>avverkningsanmälan</t>
        </is>
      </c>
      <c r="C4565" t="inlineStr">
        <is>
          <t>Föryngringsavverkning</t>
        </is>
      </c>
      <c r="D4565" s="1" t="n">
        <v>46237</v>
      </c>
      <c r="E4565" s="1" t="n">
        <v>46316</v>
      </c>
      <c r="F4565" t="inlineStr">
        <is>
          <t>KRONOBERGS LÄN</t>
        </is>
      </c>
      <c r="G4565" t="inlineStr">
        <is>
          <t>VÄXJÖ</t>
        </is>
      </c>
      <c r="I4565" t="n">
        <v>2.9</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2426-2023</t>
        </is>
      </c>
      <c r="B4566" t="inlineStr">
        <is>
          <t>avverkningsanmälan</t>
        </is>
      </c>
      <c r="C4566" t="inlineStr">
        <is>
          <t>Föryngringsavverkning</t>
        </is>
      </c>
      <c r="D4566" s="1" t="n">
        <v>44943</v>
      </c>
      <c r="E4566" s="1" t="n">
        <v>46316</v>
      </c>
      <c r="F4566" t="inlineStr">
        <is>
          <t>KRONOBERGS LÄN</t>
        </is>
      </c>
      <c r="G4566" t="inlineStr">
        <is>
          <t>ALVESTA</t>
        </is>
      </c>
      <c r="I4566" t="n">
        <v>3.1</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40338-2026</t>
        </is>
      </c>
      <c r="B4567" t="inlineStr">
        <is>
          <t>avverkningsanmälan</t>
        </is>
      </c>
      <c r="C4567" t="inlineStr">
        <is>
          <t>Föryngringsavverkning</t>
        </is>
      </c>
      <c r="D4567" s="1" t="n">
        <v>46294</v>
      </c>
      <c r="E4567" s="1" t="n">
        <v>46316</v>
      </c>
      <c r="F4567" t="inlineStr">
        <is>
          <t>KRONOBERGS LÄN</t>
        </is>
      </c>
      <c r="G4567" t="inlineStr">
        <is>
          <t>LJUNGBY</t>
        </is>
      </c>
      <c r="I4567" t="n">
        <v>1.7</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33894-2026</t>
        </is>
      </c>
      <c r="B4568" t="inlineStr">
        <is>
          <t>avverkningsanmälan</t>
        </is>
      </c>
      <c r="C4568" t="inlineStr">
        <is>
          <t>Föryngringsavverkning</t>
        </is>
      </c>
      <c r="D4568" s="1" t="n">
        <v>46251</v>
      </c>
      <c r="E4568" s="1" t="n">
        <v>46316</v>
      </c>
      <c r="F4568" t="inlineStr">
        <is>
          <t>KRONOBERGS LÄN</t>
        </is>
      </c>
      <c r="G4568" t="inlineStr">
        <is>
          <t>ÄLMHULT</t>
        </is>
      </c>
      <c r="I4568" t="n">
        <v>2.3</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34921-2023</t>
        </is>
      </c>
      <c r="B4569" t="inlineStr">
        <is>
          <t>avverkningsanmälan</t>
        </is>
      </c>
      <c r="C4569" t="inlineStr">
        <is>
          <t>Föryngringsavverkning</t>
        </is>
      </c>
      <c r="D4569" s="1" t="n">
        <v>45141</v>
      </c>
      <c r="E4569" s="1" t="n">
        <v>46316</v>
      </c>
      <c r="F4569" t="inlineStr">
        <is>
          <t>KRONOBERGS LÄN</t>
        </is>
      </c>
      <c r="G4569" t="inlineStr">
        <is>
          <t>MARKARYD</t>
        </is>
      </c>
      <c r="H4569" t="inlineStr">
        <is>
          <t>Kyrkan</t>
        </is>
      </c>
      <c r="I4569" t="n">
        <v>7.5</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39761-2024</t>
        </is>
      </c>
      <c r="B4570" t="inlineStr">
        <is>
          <t>avverkningsanmälan</t>
        </is>
      </c>
      <c r="C4570" t="inlineStr">
        <is>
          <t>Föryngringsavverkning</t>
        </is>
      </c>
      <c r="D4570" s="1" t="n">
        <v>45552</v>
      </c>
      <c r="E4570" s="1" t="n">
        <v>46316</v>
      </c>
      <c r="F4570" t="inlineStr">
        <is>
          <t>KRONOBERGS LÄN</t>
        </is>
      </c>
      <c r="G4570" t="inlineStr">
        <is>
          <t>VÄXJÖ</t>
        </is>
      </c>
      <c r="I4570" t="n">
        <v>1.3</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40334-2026</t>
        </is>
      </c>
      <c r="B4571" t="inlineStr">
        <is>
          <t>avverkningsanmälan</t>
        </is>
      </c>
      <c r="C4571" t="inlineStr">
        <is>
          <t>Föryngringsavverkning</t>
        </is>
      </c>
      <c r="D4571" s="1" t="n">
        <v>46293</v>
      </c>
      <c r="E4571" s="1" t="n">
        <v>46316</v>
      </c>
      <c r="F4571" t="inlineStr">
        <is>
          <t>KRONOBERGS LÄN</t>
        </is>
      </c>
      <c r="G4571" t="inlineStr">
        <is>
          <t>UPPVIDINGE</t>
        </is>
      </c>
      <c r="I4571" t="n">
        <v>0.7</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33791-2026</t>
        </is>
      </c>
      <c r="B4572" t="inlineStr">
        <is>
          <t>avverkningsanmälan</t>
        </is>
      </c>
      <c r="C4572" t="inlineStr">
        <is>
          <t>Föryngringsavverkning</t>
        </is>
      </c>
      <c r="D4572" s="1" t="n">
        <v>46251</v>
      </c>
      <c r="E4572" s="1" t="n">
        <v>46316</v>
      </c>
      <c r="F4572" t="inlineStr">
        <is>
          <t>KRONOBERGS LÄN</t>
        </is>
      </c>
      <c r="G4572" t="inlineStr">
        <is>
          <t>TINGSRYD</t>
        </is>
      </c>
      <c r="H4572" t="inlineStr">
        <is>
          <t>Övriga Aktiebolag</t>
        </is>
      </c>
      <c r="I4572" t="n">
        <v>6.9</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40342-2026</t>
        </is>
      </c>
      <c r="B4573" t="inlineStr">
        <is>
          <t>avverkningsanmälan</t>
        </is>
      </c>
      <c r="C4573" t="inlineStr">
        <is>
          <t>Föryngringsavverkning</t>
        </is>
      </c>
      <c r="D4573" s="1" t="n">
        <v>46293</v>
      </c>
      <c r="E4573" s="1" t="n">
        <v>46316</v>
      </c>
      <c r="F4573" t="inlineStr">
        <is>
          <t>KRONOBERGS LÄN</t>
        </is>
      </c>
      <c r="G4573" t="inlineStr">
        <is>
          <t>UPPVIDINGE</t>
        </is>
      </c>
      <c r="I4573" t="n">
        <v>0.6</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40349-2026</t>
        </is>
      </c>
      <c r="B4574" t="inlineStr">
        <is>
          <t>avverkningsanmälan</t>
        </is>
      </c>
      <c r="C4574" t="inlineStr">
        <is>
          <t>Föryngringsavverkning</t>
        </is>
      </c>
      <c r="D4574" s="1" t="n">
        <v>46293</v>
      </c>
      <c r="E4574" s="1" t="n">
        <v>46316</v>
      </c>
      <c r="F4574" t="inlineStr">
        <is>
          <t>KRONOBERGS LÄN</t>
        </is>
      </c>
      <c r="G4574" t="inlineStr">
        <is>
          <t>UPPVIDINGE</t>
        </is>
      </c>
      <c r="I4574" t="n">
        <v>2.6</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9687-2024</t>
        </is>
      </c>
      <c r="B4575" t="inlineStr">
        <is>
          <t>avverkningsanmälan</t>
        </is>
      </c>
      <c r="C4575" t="inlineStr">
        <is>
          <t>Avverkning för annat ändamål</t>
        </is>
      </c>
      <c r="D4575" s="1" t="n">
        <v>45362</v>
      </c>
      <c r="E4575" s="1" t="n">
        <v>46316</v>
      </c>
      <c r="F4575" t="inlineStr">
        <is>
          <t>KRONOBERGS LÄN</t>
        </is>
      </c>
      <c r="G4575" t="inlineStr">
        <is>
          <t>ALVESTA</t>
        </is>
      </c>
      <c r="I4575" t="n">
        <v>0.1</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40360-2026</t>
        </is>
      </c>
      <c r="B4576" t="inlineStr">
        <is>
          <t>avverkningsanmälan</t>
        </is>
      </c>
      <c r="C4576" t="inlineStr">
        <is>
          <t>Föryngringsavverkning</t>
        </is>
      </c>
      <c r="D4576" s="1" t="n">
        <v>46293</v>
      </c>
      <c r="E4576" s="1" t="n">
        <v>46316</v>
      </c>
      <c r="F4576" t="inlineStr">
        <is>
          <t>KRONOBERGS LÄN</t>
        </is>
      </c>
      <c r="G4576" t="inlineStr">
        <is>
          <t>UPPVIDINGE</t>
        </is>
      </c>
      <c r="I4576" t="n">
        <v>4.1</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40362-2026</t>
        </is>
      </c>
      <c r="B4577" t="inlineStr">
        <is>
          <t>avverkningsanmälan</t>
        </is>
      </c>
      <c r="C4577" t="inlineStr">
        <is>
          <t>Föryngringsavverkning</t>
        </is>
      </c>
      <c r="D4577" s="1" t="n">
        <v>46293</v>
      </c>
      <c r="E4577" s="1" t="n">
        <v>46316</v>
      </c>
      <c r="F4577" t="inlineStr">
        <is>
          <t>KRONOBERGS LÄN</t>
        </is>
      </c>
      <c r="G4577" t="inlineStr">
        <is>
          <t>UPPVIDINGE</t>
        </is>
      </c>
      <c r="I4577" t="n">
        <v>1.4</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40377-2026</t>
        </is>
      </c>
      <c r="B4578" t="inlineStr">
        <is>
          <t>avverkningsanmälan</t>
        </is>
      </c>
      <c r="C4578" t="inlineStr">
        <is>
          <t>Föryngringsavverkning</t>
        </is>
      </c>
      <c r="D4578" s="1" t="n">
        <v>46293</v>
      </c>
      <c r="E4578" s="1" t="n">
        <v>46316</v>
      </c>
      <c r="F4578" t="inlineStr">
        <is>
          <t>KRONOBERGS LÄN</t>
        </is>
      </c>
      <c r="G4578" t="inlineStr">
        <is>
          <t>UPPVIDINGE</t>
        </is>
      </c>
      <c r="I4578" t="n">
        <v>13.3</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54963-2023</t>
        </is>
      </c>
      <c r="B4579" t="inlineStr">
        <is>
          <t>avverkningsanmälan</t>
        </is>
      </c>
      <c r="C4579" t="inlineStr">
        <is>
          <t>Avverkning för annat ändamål</t>
        </is>
      </c>
      <c r="D4579" s="1" t="n">
        <v>45236</v>
      </c>
      <c r="E4579" s="1" t="n">
        <v>46316</v>
      </c>
      <c r="F4579" t="inlineStr">
        <is>
          <t>KRONOBERGS LÄN</t>
        </is>
      </c>
      <c r="G4579" t="inlineStr">
        <is>
          <t>TINGSRYD</t>
        </is>
      </c>
      <c r="I4579" t="n">
        <v>0.6</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58054-2023</t>
        </is>
      </c>
      <c r="B4580" t="inlineStr">
        <is>
          <t>avverkningsanmälan</t>
        </is>
      </c>
      <c r="C4580" t="inlineStr">
        <is>
          <t>Föryngringsavverkning</t>
        </is>
      </c>
      <c r="D4580" s="1" t="n">
        <v>45247</v>
      </c>
      <c r="E4580" s="1" t="n">
        <v>46316</v>
      </c>
      <c r="F4580" t="inlineStr">
        <is>
          <t>KRONOBERGS LÄN</t>
        </is>
      </c>
      <c r="G4580" t="inlineStr">
        <is>
          <t>VÄXJÖ</t>
        </is>
      </c>
      <c r="I4580" t="n">
        <v>0.9</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40932-2026</t>
        </is>
      </c>
      <c r="B4581" t="inlineStr">
        <is>
          <t>avverkningsanmälan</t>
        </is>
      </c>
      <c r="C4581" t="inlineStr">
        <is>
          <t>Föryngringsavverkning</t>
        </is>
      </c>
      <c r="D4581" s="1" t="n">
        <v>46297</v>
      </c>
      <c r="E4581" s="1" t="n">
        <v>46316</v>
      </c>
      <c r="F4581" t="inlineStr">
        <is>
          <t>KRONOBERGS LÄN</t>
        </is>
      </c>
      <c r="G4581" t="inlineStr">
        <is>
          <t>MARKARYD</t>
        </is>
      </c>
      <c r="I4581" t="n">
        <v>2.1</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27843-2022</t>
        </is>
      </c>
      <c r="B4582" t="inlineStr">
        <is>
          <t>avverkningsanmälan</t>
        </is>
      </c>
      <c r="C4582" t="inlineStr">
        <is>
          <t>Föryngringsavverkning</t>
        </is>
      </c>
      <c r="D4582" s="1" t="n">
        <v>44743</v>
      </c>
      <c r="E4582" s="1" t="n">
        <v>46316</v>
      </c>
      <c r="F4582" t="inlineStr">
        <is>
          <t>KRONOBERGS LÄN</t>
        </is>
      </c>
      <c r="G4582" t="inlineStr">
        <is>
          <t>LJUNGBY</t>
        </is>
      </c>
      <c r="I4582" t="n">
        <v>1.4</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51513-2024</t>
        </is>
      </c>
      <c r="B4583" t="inlineStr">
        <is>
          <t>avverkningsanmälan</t>
        </is>
      </c>
      <c r="C4583" t="inlineStr">
        <is>
          <t>Föryngringsavverkning</t>
        </is>
      </c>
      <c r="D4583" s="1" t="n">
        <v>45604</v>
      </c>
      <c r="E4583" s="1" t="n">
        <v>46316</v>
      </c>
      <c r="F4583" t="inlineStr">
        <is>
          <t>KRONOBERGS LÄN</t>
        </is>
      </c>
      <c r="G4583" t="inlineStr">
        <is>
          <t>UPPVIDINGE</t>
        </is>
      </c>
      <c r="H4583" t="inlineStr">
        <is>
          <t>Sveaskog</t>
        </is>
      </c>
      <c r="I4583" t="n">
        <v>1</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51515-2024</t>
        </is>
      </c>
      <c r="B4584" t="inlineStr">
        <is>
          <t>avverkningsanmälan</t>
        </is>
      </c>
      <c r="C4584" t="inlineStr">
        <is>
          <t>Föryngringsavverkning</t>
        </is>
      </c>
      <c r="D4584" s="1" t="n">
        <v>45604</v>
      </c>
      <c r="E4584" s="1" t="n">
        <v>46316</v>
      </c>
      <c r="F4584" t="inlineStr">
        <is>
          <t>KRONOBERGS LÄN</t>
        </is>
      </c>
      <c r="G4584" t="inlineStr">
        <is>
          <t>UPPVIDINGE</t>
        </is>
      </c>
      <c r="H4584" t="inlineStr">
        <is>
          <t>Sveaskog</t>
        </is>
      </c>
      <c r="I4584" t="n">
        <v>0.7</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49002-2024</t>
        </is>
      </c>
      <c r="B4585" t="inlineStr">
        <is>
          <t>avverkningsanmälan</t>
        </is>
      </c>
      <c r="C4585" t="inlineStr">
        <is>
          <t>Föryngringsavverkning</t>
        </is>
      </c>
      <c r="D4585" s="1" t="n">
        <v>45594</v>
      </c>
      <c r="E4585" s="1" t="n">
        <v>46316</v>
      </c>
      <c r="F4585" t="inlineStr">
        <is>
          <t>KRONOBERGS LÄN</t>
        </is>
      </c>
      <c r="G4585" t="inlineStr">
        <is>
          <t>VÄXJÖ</t>
        </is>
      </c>
      <c r="H4585" t="inlineStr">
        <is>
          <t>Sveaskog</t>
        </is>
      </c>
      <c r="I4585" t="n">
        <v>0.9</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51516-2024</t>
        </is>
      </c>
      <c r="B4586" t="inlineStr">
        <is>
          <t>avverkningsanmälan</t>
        </is>
      </c>
      <c r="C4586" t="inlineStr">
        <is>
          <t>Föryngringsavverkning</t>
        </is>
      </c>
      <c r="D4586" s="1" t="n">
        <v>45604</v>
      </c>
      <c r="E4586" s="1" t="n">
        <v>46316</v>
      </c>
      <c r="F4586" t="inlineStr">
        <is>
          <t>KRONOBERGS LÄN</t>
        </is>
      </c>
      <c r="G4586" t="inlineStr">
        <is>
          <t>UPPVIDINGE</t>
        </is>
      </c>
      <c r="H4586" t="inlineStr">
        <is>
          <t>Sveaskog</t>
        </is>
      </c>
      <c r="I4586" t="n">
        <v>0.6</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10939-2023</t>
        </is>
      </c>
      <c r="B4587" t="inlineStr">
        <is>
          <t>avverkningsanmälan</t>
        </is>
      </c>
      <c r="C4587" t="inlineStr">
        <is>
          <t>Föryngringsavverkning</t>
        </is>
      </c>
      <c r="D4587" s="1" t="n">
        <v>44991</v>
      </c>
      <c r="E4587" s="1" t="n">
        <v>46316</v>
      </c>
      <c r="F4587" t="inlineStr">
        <is>
          <t>KRONOBERGS LÄN</t>
        </is>
      </c>
      <c r="G4587" t="inlineStr">
        <is>
          <t>LJUNGBY</t>
        </is>
      </c>
      <c r="I4587" t="n">
        <v>1.1</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11843-2024</t>
        </is>
      </c>
      <c r="B4588" t="inlineStr">
        <is>
          <t>avverkningsanmälan</t>
        </is>
      </c>
      <c r="C4588" t="inlineStr">
        <is>
          <t>Föryngringsavverkning</t>
        </is>
      </c>
      <c r="D4588" s="1" t="n">
        <v>45376</v>
      </c>
      <c r="E4588" s="1" t="n">
        <v>46316</v>
      </c>
      <c r="F4588" t="inlineStr">
        <is>
          <t>KRONOBERGS LÄN</t>
        </is>
      </c>
      <c r="G4588" t="inlineStr">
        <is>
          <t>LESSEBO</t>
        </is>
      </c>
      <c r="H4588" t="inlineStr">
        <is>
          <t>Kommuner</t>
        </is>
      </c>
      <c r="I4588" t="n">
        <v>0.6</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14940-2024</t>
        </is>
      </c>
      <c r="B4589" t="inlineStr">
        <is>
          <t>avverkningsanmälan</t>
        </is>
      </c>
      <c r="C4589" t="inlineStr">
        <is>
          <t>Föryngringsavverkning</t>
        </is>
      </c>
      <c r="D4589" s="1" t="n">
        <v>45398</v>
      </c>
      <c r="E4589" s="1" t="n">
        <v>46316</v>
      </c>
      <c r="F4589" t="inlineStr">
        <is>
          <t>KRONOBERGS LÄN</t>
        </is>
      </c>
      <c r="G4589" t="inlineStr">
        <is>
          <t>LESSEBO</t>
        </is>
      </c>
      <c r="I4589" t="n">
        <v>1</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43988-2022</t>
        </is>
      </c>
      <c r="B4590" t="inlineStr">
        <is>
          <t>avverkningsanmälan</t>
        </is>
      </c>
      <c r="C4590" t="inlineStr">
        <is>
          <t>Föryngringsavverkning</t>
        </is>
      </c>
      <c r="D4590" s="1" t="n">
        <v>44838</v>
      </c>
      <c r="E4590" s="1" t="n">
        <v>46316</v>
      </c>
      <c r="F4590" t="inlineStr">
        <is>
          <t>KRONOBERGS LÄN</t>
        </is>
      </c>
      <c r="G4590" t="inlineStr">
        <is>
          <t>UPPVIDINGE</t>
        </is>
      </c>
      <c r="I4590" t="n">
        <v>12.2</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8265-2024</t>
        </is>
      </c>
      <c r="B4591" t="inlineStr">
        <is>
          <t>avverkningsanmälan</t>
        </is>
      </c>
      <c r="C4591" t="inlineStr">
        <is>
          <t>Föryngringsavverkning</t>
        </is>
      </c>
      <c r="D4591" s="1" t="n">
        <v>45352</v>
      </c>
      <c r="E4591" s="1" t="n">
        <v>46316</v>
      </c>
      <c r="F4591" t="inlineStr">
        <is>
          <t>KRONOBERGS LÄN</t>
        </is>
      </c>
      <c r="G4591" t="inlineStr">
        <is>
          <t>ÄLMHULT</t>
        </is>
      </c>
      <c r="H4591" t="inlineStr">
        <is>
          <t>Sveaskog</t>
        </is>
      </c>
      <c r="I4591" t="n">
        <v>0.4</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18575-2022</t>
        </is>
      </c>
      <c r="B4592" t="inlineStr">
        <is>
          <t>avverkningsanmälan</t>
        </is>
      </c>
      <c r="C4592" t="inlineStr">
        <is>
          <t>Föryngringsavverkning</t>
        </is>
      </c>
      <c r="D4592" s="1" t="n">
        <v>44687</v>
      </c>
      <c r="E4592" s="1" t="n">
        <v>46316</v>
      </c>
      <c r="F4592" t="inlineStr">
        <is>
          <t>KRONOBERGS LÄN</t>
        </is>
      </c>
      <c r="G4592" t="inlineStr">
        <is>
          <t>ÄLMHULT</t>
        </is>
      </c>
      <c r="I4592" t="n">
        <v>1.1</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60770-2024</t>
        </is>
      </c>
      <c r="B4593" t="inlineStr">
        <is>
          <t>avverkningsanmälan</t>
        </is>
      </c>
      <c r="C4593" t="inlineStr">
        <is>
          <t>Föryngringsavverkning</t>
        </is>
      </c>
      <c r="D4593" s="1" t="n">
        <v>45644</v>
      </c>
      <c r="E4593" s="1" t="n">
        <v>46316</v>
      </c>
      <c r="F4593" t="inlineStr">
        <is>
          <t>KRONOBERGS LÄN</t>
        </is>
      </c>
      <c r="G4593" t="inlineStr">
        <is>
          <t>ALVESTA</t>
        </is>
      </c>
      <c r="I4593" t="n">
        <v>0.5</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34820-2026</t>
        </is>
      </c>
      <c r="B4594" t="inlineStr">
        <is>
          <t>avverkningsanmälan</t>
        </is>
      </c>
      <c r="C4594" t="inlineStr">
        <is>
          <t>Föryngringsavverkning</t>
        </is>
      </c>
      <c r="D4594" s="1" t="n">
        <v>46255</v>
      </c>
      <c r="E4594" s="1" t="n">
        <v>46316</v>
      </c>
      <c r="F4594" t="inlineStr">
        <is>
          <t>KRONOBERGS LÄN</t>
        </is>
      </c>
      <c r="G4594" t="inlineStr">
        <is>
          <t>LESSEBO</t>
        </is>
      </c>
      <c r="H4594" t="inlineStr">
        <is>
          <t>Kyrkan</t>
        </is>
      </c>
      <c r="I4594" t="n">
        <v>0.6</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40738-2026</t>
        </is>
      </c>
      <c r="B4595" t="inlineStr">
        <is>
          <t>avverkningsanmälan</t>
        </is>
      </c>
      <c r="C4595" t="inlineStr">
        <is>
          <t>Föryngringsavverkning</t>
        </is>
      </c>
      <c r="D4595" s="1" t="n">
        <v>46296</v>
      </c>
      <c r="E4595" s="1" t="n">
        <v>46316</v>
      </c>
      <c r="F4595" t="inlineStr">
        <is>
          <t>KRONOBERGS LÄN</t>
        </is>
      </c>
      <c r="G4595" t="inlineStr">
        <is>
          <t>VÄXJÖ</t>
        </is>
      </c>
      <c r="I4595" t="n">
        <v>0.5</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17286-2023</t>
        </is>
      </c>
      <c r="B4596" t="inlineStr">
        <is>
          <t>avverkningsanmälan</t>
        </is>
      </c>
      <c r="C4596" t="inlineStr">
        <is>
          <t>Föryngringsavverkning</t>
        </is>
      </c>
      <c r="D4596" s="1" t="n">
        <v>45035</v>
      </c>
      <c r="E4596" s="1" t="n">
        <v>46316</v>
      </c>
      <c r="F4596" t="inlineStr">
        <is>
          <t>KRONOBERGS LÄN</t>
        </is>
      </c>
      <c r="G4596" t="inlineStr">
        <is>
          <t>LJUNGBY</t>
        </is>
      </c>
      <c r="I4596" t="n">
        <v>10.4</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53256-2024</t>
        </is>
      </c>
      <c r="B4597" t="inlineStr">
        <is>
          <t>avverkningsanmälan</t>
        </is>
      </c>
      <c r="C4597" t="inlineStr">
        <is>
          <t>Föryngringsavverkning</t>
        </is>
      </c>
      <c r="D4597" s="1" t="n">
        <v>45614</v>
      </c>
      <c r="E4597" s="1" t="n">
        <v>46316</v>
      </c>
      <c r="F4597" t="inlineStr">
        <is>
          <t>KRONOBERGS LÄN</t>
        </is>
      </c>
      <c r="G4597" t="inlineStr">
        <is>
          <t>TINGSRYD</t>
        </is>
      </c>
      <c r="I4597" t="n">
        <v>1.5</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53345-2024</t>
        </is>
      </c>
      <c r="B4598" t="inlineStr">
        <is>
          <t>avverkningsanmälan</t>
        </is>
      </c>
      <c r="C4598" t="inlineStr">
        <is>
          <t>Föryngringsavverkning</t>
        </is>
      </c>
      <c r="D4598" s="1" t="n">
        <v>45614</v>
      </c>
      <c r="E4598" s="1" t="n">
        <v>46316</v>
      </c>
      <c r="F4598" t="inlineStr">
        <is>
          <t>KRONOBERGS LÄN</t>
        </is>
      </c>
      <c r="G4598" t="inlineStr">
        <is>
          <t>LJUNGBY</t>
        </is>
      </c>
      <c r="I4598" t="n">
        <v>4.9</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16429-2024</t>
        </is>
      </c>
      <c r="B4599" t="inlineStr">
        <is>
          <t>avverkningsanmälan</t>
        </is>
      </c>
      <c r="C4599" t="inlineStr">
        <is>
          <t>Föryngringsavverkning</t>
        </is>
      </c>
      <c r="D4599" s="1" t="n">
        <v>45407</v>
      </c>
      <c r="E4599" s="1" t="n">
        <v>46316</v>
      </c>
      <c r="F4599" t="inlineStr">
        <is>
          <t>KRONOBERGS LÄN</t>
        </is>
      </c>
      <c r="G4599" t="inlineStr">
        <is>
          <t>MARKARYD</t>
        </is>
      </c>
      <c r="I4599" t="n">
        <v>1.3</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62245-2022</t>
        </is>
      </c>
      <c r="B4600" t="inlineStr">
        <is>
          <t>avverkningsanmälan</t>
        </is>
      </c>
      <c r="C4600" t="inlineStr">
        <is>
          <t>Föryngringsavverkning</t>
        </is>
      </c>
      <c r="D4600" s="1" t="n">
        <v>44922</v>
      </c>
      <c r="E4600" s="1" t="n">
        <v>46316</v>
      </c>
      <c r="F4600" t="inlineStr">
        <is>
          <t>KRONOBERGS LÄN</t>
        </is>
      </c>
      <c r="G4600" t="inlineStr">
        <is>
          <t>VÄXJÖ</t>
        </is>
      </c>
      <c r="I4600" t="n">
        <v>0.7</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25918-2024</t>
        </is>
      </c>
      <c r="B4601" t="inlineStr">
        <is>
          <t>avverkningsanmälan</t>
        </is>
      </c>
      <c r="C4601" t="inlineStr">
        <is>
          <t>Föryngringsavverkning</t>
        </is>
      </c>
      <c r="D4601" s="1" t="n">
        <v>45467</v>
      </c>
      <c r="E4601" s="1" t="n">
        <v>46316</v>
      </c>
      <c r="F4601" t="inlineStr">
        <is>
          <t>KRONOBERGS LÄN</t>
        </is>
      </c>
      <c r="G4601" t="inlineStr">
        <is>
          <t>ÄLMHULT</t>
        </is>
      </c>
      <c r="I4601" t="n">
        <v>3.6</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19187-2023</t>
        </is>
      </c>
      <c r="B4602" t="inlineStr">
        <is>
          <t>avverkningsanmälan</t>
        </is>
      </c>
      <c r="C4602" t="inlineStr">
        <is>
          <t>Avverkning för annat ändamål</t>
        </is>
      </c>
      <c r="D4602" s="1" t="n">
        <v>45048</v>
      </c>
      <c r="E4602" s="1" t="n">
        <v>46316</v>
      </c>
      <c r="F4602" t="inlineStr">
        <is>
          <t>KRONOBERGS LÄN</t>
        </is>
      </c>
      <c r="G4602" t="inlineStr">
        <is>
          <t>VÄXJÖ</t>
        </is>
      </c>
      <c r="I4602" t="n">
        <v>1.5</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20001-2023</t>
        </is>
      </c>
      <c r="B4603" t="inlineStr">
        <is>
          <t>avverkningsanmälan</t>
        </is>
      </c>
      <c r="C4603" t="inlineStr">
        <is>
          <t>Föryngringsavverkning</t>
        </is>
      </c>
      <c r="D4603" s="1" t="n">
        <v>45054</v>
      </c>
      <c r="E4603" s="1" t="n">
        <v>46316</v>
      </c>
      <c r="F4603" t="inlineStr">
        <is>
          <t>KRONOBERGS LÄN</t>
        </is>
      </c>
      <c r="G4603" t="inlineStr">
        <is>
          <t>MARKARYD</t>
        </is>
      </c>
      <c r="I4603" t="n">
        <v>2</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22156-2023</t>
        </is>
      </c>
      <c r="B4604" t="inlineStr">
        <is>
          <t>avverkningsanmälan</t>
        </is>
      </c>
      <c r="C4604" t="inlineStr">
        <is>
          <t>Föryngringsavverkning</t>
        </is>
      </c>
      <c r="D4604" s="1" t="n">
        <v>45069</v>
      </c>
      <c r="E4604" s="1" t="n">
        <v>46316</v>
      </c>
      <c r="F4604" t="inlineStr">
        <is>
          <t>KRONOBERGS LÄN</t>
        </is>
      </c>
      <c r="G4604" t="inlineStr">
        <is>
          <t>MARKARYD</t>
        </is>
      </c>
      <c r="I4604" t="n">
        <v>2.8</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48024-2023</t>
        </is>
      </c>
      <c r="B4605" t="inlineStr">
        <is>
          <t>avverkningsanmälan</t>
        </is>
      </c>
      <c r="C4605" t="inlineStr">
        <is>
          <t>Föryngringsavverkning</t>
        </is>
      </c>
      <c r="D4605" s="1" t="n">
        <v>45204</v>
      </c>
      <c r="E4605" s="1" t="n">
        <v>46316</v>
      </c>
      <c r="F4605" t="inlineStr">
        <is>
          <t>KRONOBERGS LÄN</t>
        </is>
      </c>
      <c r="G4605" t="inlineStr">
        <is>
          <t>UPPVIDINGE</t>
        </is>
      </c>
      <c r="I4605" t="n">
        <v>3.7</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34164-2026</t>
        </is>
      </c>
      <c r="B4606" t="inlineStr">
        <is>
          <t>avverkningsanmälan</t>
        </is>
      </c>
      <c r="C4606" t="inlineStr">
        <is>
          <t>Föryngringsavverkning</t>
        </is>
      </c>
      <c r="D4606" s="1" t="n">
        <v>46253</v>
      </c>
      <c r="E4606" s="1" t="n">
        <v>46316</v>
      </c>
      <c r="F4606" t="inlineStr">
        <is>
          <t>KRONOBERGS LÄN</t>
        </is>
      </c>
      <c r="G4606" t="inlineStr">
        <is>
          <t>UPPVIDINGE</t>
        </is>
      </c>
      <c r="I4606" t="n">
        <v>2.4</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40764-2026</t>
        </is>
      </c>
      <c r="B4607" t="inlineStr">
        <is>
          <t>avverkningsanmälan</t>
        </is>
      </c>
      <c r="C4607" t="inlineStr">
        <is>
          <t>Föryngringsavverkning</t>
        </is>
      </c>
      <c r="D4607" s="1" t="n">
        <v>46296</v>
      </c>
      <c r="E4607" s="1" t="n">
        <v>46316</v>
      </c>
      <c r="F4607" t="inlineStr">
        <is>
          <t>KRONOBERGS LÄN</t>
        </is>
      </c>
      <c r="G4607" t="inlineStr">
        <is>
          <t>VÄXJÖ</t>
        </is>
      </c>
      <c r="I4607" t="n">
        <v>3.3</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40767-2026</t>
        </is>
      </c>
      <c r="B4608" t="inlineStr">
        <is>
          <t>avverkningsanmälan</t>
        </is>
      </c>
      <c r="C4608" t="inlineStr">
        <is>
          <t>Föryngringsavverkning</t>
        </is>
      </c>
      <c r="D4608" s="1" t="n">
        <v>46296</v>
      </c>
      <c r="E4608" s="1" t="n">
        <v>46316</v>
      </c>
      <c r="F4608" t="inlineStr">
        <is>
          <t>KRONOBERGS LÄN</t>
        </is>
      </c>
      <c r="G4608" t="inlineStr">
        <is>
          <t>VÄXJÖ</t>
        </is>
      </c>
      <c r="I4608" t="n">
        <v>0.7</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49565-2023</t>
        </is>
      </c>
      <c r="B4609" t="inlineStr">
        <is>
          <t>avverkningsanmälan</t>
        </is>
      </c>
      <c r="C4609" t="inlineStr">
        <is>
          <t>Föryngringsavverkning</t>
        </is>
      </c>
      <c r="D4609" s="1" t="n">
        <v>45211</v>
      </c>
      <c r="E4609" s="1" t="n">
        <v>46316</v>
      </c>
      <c r="F4609" t="inlineStr">
        <is>
          <t>KRONOBERGS LÄN</t>
        </is>
      </c>
      <c r="G4609" t="inlineStr">
        <is>
          <t>ÄLMHULT</t>
        </is>
      </c>
      <c r="I4609" t="n">
        <v>1.5</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48228-2023</t>
        </is>
      </c>
      <c r="B4610" t="inlineStr">
        <is>
          <t>avverkningsanmälan</t>
        </is>
      </c>
      <c r="C4610" t="inlineStr">
        <is>
          <t>Föryngringsavverkning</t>
        </is>
      </c>
      <c r="D4610" s="1" t="n">
        <v>45205</v>
      </c>
      <c r="E4610" s="1" t="n">
        <v>46316</v>
      </c>
      <c r="F4610" t="inlineStr">
        <is>
          <t>KRONOBERGS LÄN</t>
        </is>
      </c>
      <c r="G4610" t="inlineStr">
        <is>
          <t>VÄXJÖ</t>
        </is>
      </c>
      <c r="I4610" t="n">
        <v>1.1</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5274-2025</t>
        </is>
      </c>
      <c r="B4611" t="inlineStr">
        <is>
          <t>avverkningsanmälan</t>
        </is>
      </c>
      <c r="C4611" t="inlineStr">
        <is>
          <t>Föryngringsavverkning</t>
        </is>
      </c>
      <c r="D4611" s="1" t="n">
        <v>45692</v>
      </c>
      <c r="E4611" s="1" t="n">
        <v>46316</v>
      </c>
      <c r="F4611" t="inlineStr">
        <is>
          <t>KRONOBERGS LÄN</t>
        </is>
      </c>
      <c r="G4611" t="inlineStr">
        <is>
          <t>UPPVIDINGE</t>
        </is>
      </c>
      <c r="I4611" t="n">
        <v>0.8</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43378-2024</t>
        </is>
      </c>
      <c r="B4612" t="inlineStr">
        <is>
          <t>avverkningsanmälan</t>
        </is>
      </c>
      <c r="C4612" t="inlineStr">
        <is>
          <t>Föryngringsavverkning</t>
        </is>
      </c>
      <c r="D4612" s="1" t="n">
        <v>45568</v>
      </c>
      <c r="E4612" s="1" t="n">
        <v>46316</v>
      </c>
      <c r="F4612" t="inlineStr">
        <is>
          <t>KRONOBERGS LÄN</t>
        </is>
      </c>
      <c r="G4612" t="inlineStr">
        <is>
          <t>UPPVIDINGE</t>
        </is>
      </c>
      <c r="H4612" t="inlineStr">
        <is>
          <t>Kyrkan</t>
        </is>
      </c>
      <c r="I4612" t="n">
        <v>5.5</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46864-2022</t>
        </is>
      </c>
      <c r="B4613" t="inlineStr">
        <is>
          <t>avverkningsanmälan</t>
        </is>
      </c>
      <c r="C4613" t="inlineStr">
        <is>
          <t>Föryngringsavverkning</t>
        </is>
      </c>
      <c r="D4613" s="1" t="n">
        <v>44851</v>
      </c>
      <c r="E4613" s="1" t="n">
        <v>46316</v>
      </c>
      <c r="F4613" t="inlineStr">
        <is>
          <t>KRONOBERGS LÄN</t>
        </is>
      </c>
      <c r="G4613" t="inlineStr">
        <is>
          <t>LJUNGBY</t>
        </is>
      </c>
      <c r="H4613" t="inlineStr">
        <is>
          <t>Sveaskog</t>
        </is>
      </c>
      <c r="I4613" t="n">
        <v>0.5</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40866-2026</t>
        </is>
      </c>
      <c r="B4614" t="inlineStr">
        <is>
          <t>avverkningsanmälan</t>
        </is>
      </c>
      <c r="C4614" t="inlineStr">
        <is>
          <t>Föryngringsavverkning</t>
        </is>
      </c>
      <c r="D4614" s="1" t="n">
        <v>46297</v>
      </c>
      <c r="E4614" s="1" t="n">
        <v>46316</v>
      </c>
      <c r="F4614" t="inlineStr">
        <is>
          <t>KRONOBERGS LÄN</t>
        </is>
      </c>
      <c r="G4614" t="inlineStr">
        <is>
          <t>ALVESTA</t>
        </is>
      </c>
      <c r="H4614" t="inlineStr">
        <is>
          <t>Övriga Aktiebolag</t>
        </is>
      </c>
      <c r="I4614" t="n">
        <v>4.3</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61585-2021</t>
        </is>
      </c>
      <c r="B4615" t="inlineStr">
        <is>
          <t>avverkningsanmälan</t>
        </is>
      </c>
      <c r="C4615" t="inlineStr">
        <is>
          <t>Föryngringsavverkning</t>
        </is>
      </c>
      <c r="D4615" s="1" t="n">
        <v>44501</v>
      </c>
      <c r="E4615" s="1" t="n">
        <v>46316</v>
      </c>
      <c r="F4615" t="inlineStr">
        <is>
          <t>KRONOBERGS LÄN</t>
        </is>
      </c>
      <c r="G4615" t="inlineStr">
        <is>
          <t>VÄXJÖ</t>
        </is>
      </c>
      <c r="I4615" t="n">
        <v>0.6</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40752-2026</t>
        </is>
      </c>
      <c r="B4616" t="inlineStr">
        <is>
          <t>avverkningsanmälan</t>
        </is>
      </c>
      <c r="C4616" t="inlineStr">
        <is>
          <t>Föryngringsavverkning</t>
        </is>
      </c>
      <c r="D4616" s="1" t="n">
        <v>46296</v>
      </c>
      <c r="E4616" s="1" t="n">
        <v>46316</v>
      </c>
      <c r="F4616" t="inlineStr">
        <is>
          <t>KRONOBERGS LÄN</t>
        </is>
      </c>
      <c r="G4616" t="inlineStr">
        <is>
          <t>UPPVIDINGE</t>
        </is>
      </c>
      <c r="I4616" t="n">
        <v>0.7</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22537-2026</t>
        </is>
      </c>
      <c r="B4617" t="inlineStr">
        <is>
          <t>avverkningsanmälan</t>
        </is>
      </c>
      <c r="C4617" t="inlineStr">
        <is>
          <t>Föryngringsavverkning</t>
        </is>
      </c>
      <c r="D4617" s="1" t="n">
        <v>46155</v>
      </c>
      <c r="E4617" s="1" t="n">
        <v>46316</v>
      </c>
      <c r="F4617" t="inlineStr">
        <is>
          <t>KRONOBERGS LÄN</t>
        </is>
      </c>
      <c r="G4617" t="inlineStr">
        <is>
          <t>ÄLMHULT</t>
        </is>
      </c>
      <c r="I4617" t="n">
        <v>1.1</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43903-2023</t>
        </is>
      </c>
      <c r="B4618" t="inlineStr">
        <is>
          <t>avverkningsanmälan</t>
        </is>
      </c>
      <c r="C4618" t="inlineStr">
        <is>
          <t>Föryngringsavverkning</t>
        </is>
      </c>
      <c r="D4618" s="1" t="n">
        <v>45187</v>
      </c>
      <c r="E4618" s="1" t="n">
        <v>46316</v>
      </c>
      <c r="F4618" t="inlineStr">
        <is>
          <t>KRONOBERGS LÄN</t>
        </is>
      </c>
      <c r="G4618" t="inlineStr">
        <is>
          <t>ÄLMHULT</t>
        </is>
      </c>
      <c r="I4618" t="n">
        <v>2.3</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30044-2023</t>
        </is>
      </c>
      <c r="B4619" t="inlineStr">
        <is>
          <t>avverkningsanmälan</t>
        </is>
      </c>
      <c r="C4619" t="inlineStr">
        <is>
          <t>Föryngringsavverkning</t>
        </is>
      </c>
      <c r="D4619" s="1" t="n">
        <v>45110</v>
      </c>
      <c r="E4619" s="1" t="n">
        <v>46316</v>
      </c>
      <c r="F4619" t="inlineStr">
        <is>
          <t>KRONOBERGS LÄN</t>
        </is>
      </c>
      <c r="G4619" t="inlineStr">
        <is>
          <t>TINGSRYD</t>
        </is>
      </c>
      <c r="I4619" t="n">
        <v>2.1</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22041-2026</t>
        </is>
      </c>
      <c r="B4620" t="inlineStr">
        <is>
          <t>avverkningsanmälan</t>
        </is>
      </c>
      <c r="C4620" t="inlineStr">
        <is>
          <t>Föryngringsavverkning</t>
        </is>
      </c>
      <c r="D4620" s="1" t="n">
        <v>46153</v>
      </c>
      <c r="E4620" s="1" t="n">
        <v>46316</v>
      </c>
      <c r="F4620" t="inlineStr">
        <is>
          <t>KRONOBERGS LÄN</t>
        </is>
      </c>
      <c r="G4620" t="inlineStr">
        <is>
          <t>UPPVIDINGE</t>
        </is>
      </c>
      <c r="I4620" t="n">
        <v>1.9</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11937-2023</t>
        </is>
      </c>
      <c r="B4621" t="inlineStr">
        <is>
          <t>avverkningsanmälan</t>
        </is>
      </c>
      <c r="C4621" t="inlineStr">
        <is>
          <t>Föryngringsavverkning</t>
        </is>
      </c>
      <c r="D4621" s="1" t="n">
        <v>44995</v>
      </c>
      <c r="E4621" s="1" t="n">
        <v>46316</v>
      </c>
      <c r="F4621" t="inlineStr">
        <is>
          <t>KRONOBERGS LÄN</t>
        </is>
      </c>
      <c r="G4621" t="inlineStr">
        <is>
          <t>ALVESTA</t>
        </is>
      </c>
      <c r="I4621" t="n">
        <v>1.9</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11977-2023</t>
        </is>
      </c>
      <c r="B4622" t="inlineStr">
        <is>
          <t>avverkningsanmälan</t>
        </is>
      </c>
      <c r="C4622" t="inlineStr">
        <is>
          <t>Föryngringsavverkning</t>
        </is>
      </c>
      <c r="D4622" s="1" t="n">
        <v>44994</v>
      </c>
      <c r="E4622" s="1" t="n">
        <v>46316</v>
      </c>
      <c r="F4622" t="inlineStr">
        <is>
          <t>KRONOBERGS LÄN</t>
        </is>
      </c>
      <c r="G4622" t="inlineStr">
        <is>
          <t>TINGSRYD</t>
        </is>
      </c>
      <c r="I4622" t="n">
        <v>0.6</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12015-2023</t>
        </is>
      </c>
      <c r="B4623" t="inlineStr">
        <is>
          <t>avverkningsanmälan</t>
        </is>
      </c>
      <c r="C4623" t="inlineStr">
        <is>
          <t>Föryngringsavverkning</t>
        </is>
      </c>
      <c r="D4623" s="1" t="n">
        <v>44995</v>
      </c>
      <c r="E4623" s="1" t="n">
        <v>46316</v>
      </c>
      <c r="F4623" t="inlineStr">
        <is>
          <t>KRONOBERGS LÄN</t>
        </is>
      </c>
      <c r="G4623" t="inlineStr">
        <is>
          <t>VÄXJÖ</t>
        </is>
      </c>
      <c r="I4623" t="n">
        <v>0.7</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24491-2024</t>
        </is>
      </c>
      <c r="B4624" t="inlineStr">
        <is>
          <t>avverkningsanmälan</t>
        </is>
      </c>
      <c r="C4624" t="inlineStr">
        <is>
          <t>Föryngringsavverkning</t>
        </is>
      </c>
      <c r="D4624" s="1" t="n">
        <v>45459</v>
      </c>
      <c r="E4624" s="1" t="n">
        <v>46316</v>
      </c>
      <c r="F4624" t="inlineStr">
        <is>
          <t>KRONOBERGS LÄN</t>
        </is>
      </c>
      <c r="G4624" t="inlineStr">
        <is>
          <t>UPPVIDINGE</t>
        </is>
      </c>
      <c r="I4624" t="n">
        <v>4.5</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23104-2024</t>
        </is>
      </c>
      <c r="B4625" t="inlineStr">
        <is>
          <t>avverkningsanmälan</t>
        </is>
      </c>
      <c r="C4625" t="inlineStr">
        <is>
          <t>Föryngringsavverkning</t>
        </is>
      </c>
      <c r="D4625" s="1" t="n">
        <v>45450</v>
      </c>
      <c r="E4625" s="1" t="n">
        <v>46316</v>
      </c>
      <c r="F4625" t="inlineStr">
        <is>
          <t>KRONOBERGS LÄN</t>
        </is>
      </c>
      <c r="G4625" t="inlineStr">
        <is>
          <t>ÄLMHULT</t>
        </is>
      </c>
      <c r="I4625" t="n">
        <v>0.5</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26196-2023</t>
        </is>
      </c>
      <c r="B4626" t="inlineStr">
        <is>
          <t>avverkningsanmälan</t>
        </is>
      </c>
      <c r="C4626" t="inlineStr">
        <is>
          <t>Föryngringsavverkning</t>
        </is>
      </c>
      <c r="D4626" s="1" t="n">
        <v>45091</v>
      </c>
      <c r="E4626" s="1" t="n">
        <v>46316</v>
      </c>
      <c r="F4626" t="inlineStr">
        <is>
          <t>KRONOBERGS LÄN</t>
        </is>
      </c>
      <c r="G4626" t="inlineStr">
        <is>
          <t>UPPVIDINGE</t>
        </is>
      </c>
      <c r="H4626" t="inlineStr">
        <is>
          <t>Sveaskog</t>
        </is>
      </c>
      <c r="I4626" t="n">
        <v>8.800000000000001</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40926-2026</t>
        </is>
      </c>
      <c r="B4627" t="inlineStr">
        <is>
          <t>avverkningsanmälan</t>
        </is>
      </c>
      <c r="C4627" t="inlineStr">
        <is>
          <t>Föryngringsavverkning</t>
        </is>
      </c>
      <c r="D4627" s="1" t="n">
        <v>46297</v>
      </c>
      <c r="E4627" s="1" t="n">
        <v>46316</v>
      </c>
      <c r="F4627" t="inlineStr">
        <is>
          <t>KRONOBERGS LÄN</t>
        </is>
      </c>
      <c r="G4627" t="inlineStr">
        <is>
          <t>MARKARYD</t>
        </is>
      </c>
      <c r="I4627" t="n">
        <v>6.8</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53252-2022</t>
        </is>
      </c>
      <c r="B4628" t="inlineStr">
        <is>
          <t>avverkningsanmälan</t>
        </is>
      </c>
      <c r="C4628" t="inlineStr">
        <is>
          <t>Föryngringsavverkning</t>
        </is>
      </c>
      <c r="D4628" s="1" t="n">
        <v>44876</v>
      </c>
      <c r="E4628" s="1" t="n">
        <v>46316</v>
      </c>
      <c r="F4628" t="inlineStr">
        <is>
          <t>KRONOBERGS LÄN</t>
        </is>
      </c>
      <c r="G4628" t="inlineStr">
        <is>
          <t>VÄXJÖ</t>
        </is>
      </c>
      <c r="H4628" t="inlineStr">
        <is>
          <t>Sveaskog</t>
        </is>
      </c>
      <c r="I4628" t="n">
        <v>3.6</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34125-2026</t>
        </is>
      </c>
      <c r="B4629" t="inlineStr">
        <is>
          <t>avverkningsanmälan</t>
        </is>
      </c>
      <c r="C4629" t="inlineStr">
        <is>
          <t>Föryngringsavverkning</t>
        </is>
      </c>
      <c r="D4629" s="1" t="n">
        <v>46253</v>
      </c>
      <c r="E4629" s="1" t="n">
        <v>46316</v>
      </c>
      <c r="F4629" t="inlineStr">
        <is>
          <t>KRONOBERGS LÄN</t>
        </is>
      </c>
      <c r="G4629" t="inlineStr">
        <is>
          <t>UPPVIDINGE</t>
        </is>
      </c>
      <c r="I4629" t="n">
        <v>3.9</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10675-2023</t>
        </is>
      </c>
      <c r="B4630" t="inlineStr">
        <is>
          <t>avverkningsanmälan</t>
        </is>
      </c>
      <c r="C4630" t="inlineStr">
        <is>
          <t>Föryngringsavverkning</t>
        </is>
      </c>
      <c r="D4630" s="1" t="n">
        <v>44988</v>
      </c>
      <c r="E4630" s="1" t="n">
        <v>46316</v>
      </c>
      <c r="F4630" t="inlineStr">
        <is>
          <t>KRONOBERGS LÄN</t>
        </is>
      </c>
      <c r="G4630" t="inlineStr">
        <is>
          <t>LJUNGBY</t>
        </is>
      </c>
      <c r="I4630" t="n">
        <v>0.7</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31767-2023</t>
        </is>
      </c>
      <c r="B4631" t="inlineStr">
        <is>
          <t>avverkningsanmälan</t>
        </is>
      </c>
      <c r="C4631" t="inlineStr">
        <is>
          <t>Föryngringsavverkning</t>
        </is>
      </c>
      <c r="D4631" s="1" t="n">
        <v>45118</v>
      </c>
      <c r="E4631" s="1" t="n">
        <v>46316</v>
      </c>
      <c r="F4631" t="inlineStr">
        <is>
          <t>KRONOBERGS LÄN</t>
        </is>
      </c>
      <c r="G4631" t="inlineStr">
        <is>
          <t>UPPVIDINGE</t>
        </is>
      </c>
      <c r="I4631" t="n">
        <v>2.7</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7597-2025</t>
        </is>
      </c>
      <c r="B4632" t="inlineStr">
        <is>
          <t>avverkningsanmälan</t>
        </is>
      </c>
      <c r="C4632" t="inlineStr">
        <is>
          <t>Föryngringsavverkning</t>
        </is>
      </c>
      <c r="D4632" s="1" t="n">
        <v>45705</v>
      </c>
      <c r="E4632" s="1" t="n">
        <v>46316</v>
      </c>
      <c r="F4632" t="inlineStr">
        <is>
          <t>KRONOBERGS LÄN</t>
        </is>
      </c>
      <c r="G4632" t="inlineStr">
        <is>
          <t>LJUNGBY</t>
        </is>
      </c>
      <c r="I4632" t="n">
        <v>0.6</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34476-2026</t>
        </is>
      </c>
      <c r="B4633" t="inlineStr">
        <is>
          <t>avverkningsanmälan</t>
        </is>
      </c>
      <c r="C4633" t="inlineStr">
        <is>
          <t>Föryngringsavverkning</t>
        </is>
      </c>
      <c r="D4633" s="1" t="n">
        <v>46254</v>
      </c>
      <c r="E4633" s="1" t="n">
        <v>46316</v>
      </c>
      <c r="F4633" t="inlineStr">
        <is>
          <t>KRONOBERGS LÄN</t>
        </is>
      </c>
      <c r="G4633" t="inlineStr">
        <is>
          <t>ÄLMHULT</t>
        </is>
      </c>
      <c r="I4633" t="n">
        <v>1</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34477-2026</t>
        </is>
      </c>
      <c r="B4634" t="inlineStr">
        <is>
          <t>avverkningsanmälan</t>
        </is>
      </c>
      <c r="C4634" t="inlineStr">
        <is>
          <t>Föryngringsavverkning</t>
        </is>
      </c>
      <c r="D4634" s="1" t="n">
        <v>46254</v>
      </c>
      <c r="E4634" s="1" t="n">
        <v>46316</v>
      </c>
      <c r="F4634" t="inlineStr">
        <is>
          <t>KRONOBERGS LÄN</t>
        </is>
      </c>
      <c r="G4634" t="inlineStr">
        <is>
          <t>ÄLMHULT</t>
        </is>
      </c>
      <c r="I4634" t="n">
        <v>0.6</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59265-2023</t>
        </is>
      </c>
      <c r="B4635" t="inlineStr">
        <is>
          <t>avverkningsanmälan</t>
        </is>
      </c>
      <c r="C4635" t="inlineStr">
        <is>
          <t>Föryngringsavverkning</t>
        </is>
      </c>
      <c r="D4635" s="1" t="n">
        <v>45253</v>
      </c>
      <c r="E4635" s="1" t="n">
        <v>46316</v>
      </c>
      <c r="F4635" t="inlineStr">
        <is>
          <t>KRONOBERGS LÄN</t>
        </is>
      </c>
      <c r="G4635" t="inlineStr">
        <is>
          <t>ÄLMHULT</t>
        </is>
      </c>
      <c r="I4635" t="n">
        <v>1.3</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30676-2024</t>
        </is>
      </c>
      <c r="B4636" t="inlineStr">
        <is>
          <t>avverkningsanmälan</t>
        </is>
      </c>
      <c r="C4636" t="inlineStr">
        <is>
          <t>Föryngringsavverkning</t>
        </is>
      </c>
      <c r="D4636" s="1" t="n">
        <v>45495</v>
      </c>
      <c r="E4636" s="1" t="n">
        <v>46316</v>
      </c>
      <c r="F4636" t="inlineStr">
        <is>
          <t>KRONOBERGS LÄN</t>
        </is>
      </c>
      <c r="G4636" t="inlineStr">
        <is>
          <t>VÄXJÖ</t>
        </is>
      </c>
      <c r="I4636" t="n">
        <v>0.4</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40762-2026</t>
        </is>
      </c>
      <c r="B4637" t="inlineStr">
        <is>
          <t>avverkningsanmälan</t>
        </is>
      </c>
      <c r="C4637" t="inlineStr">
        <is>
          <t>Föryngringsavverkning</t>
        </is>
      </c>
      <c r="D4637" s="1" t="n">
        <v>46296</v>
      </c>
      <c r="E4637" s="1" t="n">
        <v>46316</v>
      </c>
      <c r="F4637" t="inlineStr">
        <is>
          <t>KRONOBERGS LÄN</t>
        </is>
      </c>
      <c r="G4637" t="inlineStr">
        <is>
          <t>VÄXJÖ</t>
        </is>
      </c>
      <c r="I4637" t="n">
        <v>2</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49274-2023</t>
        </is>
      </c>
      <c r="B4638" t="inlineStr">
        <is>
          <t>avverkningsanmälan</t>
        </is>
      </c>
      <c r="C4638" t="inlineStr">
        <is>
          <t>Föryngringsavverkning</t>
        </is>
      </c>
      <c r="D4638" s="1" t="n">
        <v>45210</v>
      </c>
      <c r="E4638" s="1" t="n">
        <v>46316</v>
      </c>
      <c r="F4638" t="inlineStr">
        <is>
          <t>KRONOBERGS LÄN</t>
        </is>
      </c>
      <c r="G4638" t="inlineStr">
        <is>
          <t>MARKARYD</t>
        </is>
      </c>
      <c r="I4638" t="n">
        <v>1.9</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13409-2023</t>
        </is>
      </c>
      <c r="B4639" t="inlineStr">
        <is>
          <t>avverkningsanmälan</t>
        </is>
      </c>
      <c r="C4639" t="inlineStr">
        <is>
          <t>Föryngringsavverkning</t>
        </is>
      </c>
      <c r="D4639" s="1" t="n">
        <v>45005</v>
      </c>
      <c r="E4639" s="1" t="n">
        <v>46316</v>
      </c>
      <c r="F4639" t="inlineStr">
        <is>
          <t>KRONOBERGS LÄN</t>
        </is>
      </c>
      <c r="G4639" t="inlineStr">
        <is>
          <t>UPPVIDINGE</t>
        </is>
      </c>
      <c r="I4639" t="n">
        <v>1.4</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5943-2023</t>
        </is>
      </c>
      <c r="B4640" t="inlineStr">
        <is>
          <t>avverkningsanmälan</t>
        </is>
      </c>
      <c r="C4640" t="inlineStr">
        <is>
          <t>Föryngringsavverkning</t>
        </is>
      </c>
      <c r="D4640" s="1" t="n">
        <v>44963</v>
      </c>
      <c r="E4640" s="1" t="n">
        <v>46316</v>
      </c>
      <c r="F4640" t="inlineStr">
        <is>
          <t>KRONOBERGS LÄN</t>
        </is>
      </c>
      <c r="G4640" t="inlineStr">
        <is>
          <t>VÄXJÖ</t>
        </is>
      </c>
      <c r="I4640" t="n">
        <v>0.8</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17546-2026</t>
        </is>
      </c>
      <c r="B4641" t="inlineStr">
        <is>
          <t>avverkningsanmälan</t>
        </is>
      </c>
      <c r="C4641" t="inlineStr">
        <is>
          <t>Föryngringsavverkning</t>
        </is>
      </c>
      <c r="D4641" s="1" t="n">
        <v>46120</v>
      </c>
      <c r="E4641" s="1" t="n">
        <v>46316</v>
      </c>
      <c r="F4641" t="inlineStr">
        <is>
          <t>KRONOBERGS LÄN</t>
        </is>
      </c>
      <c r="G4641" t="inlineStr">
        <is>
          <t>TINGSRYD</t>
        </is>
      </c>
      <c r="I4641" t="n">
        <v>4</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34806-2026</t>
        </is>
      </c>
      <c r="B4642" t="inlineStr">
        <is>
          <t>avverkningsanmälan</t>
        </is>
      </c>
      <c r="C4642" t="inlineStr">
        <is>
          <t>Föryngringsavverkning</t>
        </is>
      </c>
      <c r="D4642" s="1" t="n">
        <v>46255</v>
      </c>
      <c r="E4642" s="1" t="n">
        <v>46316</v>
      </c>
      <c r="F4642" t="inlineStr">
        <is>
          <t>KRONOBERGS LÄN</t>
        </is>
      </c>
      <c r="G4642" t="inlineStr">
        <is>
          <t>LESSEBO</t>
        </is>
      </c>
      <c r="H4642" t="inlineStr">
        <is>
          <t>Kyrkan</t>
        </is>
      </c>
      <c r="I4642" t="n">
        <v>2.9</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34855-2026</t>
        </is>
      </c>
      <c r="B4643" t="inlineStr">
        <is>
          <t>avverkningsanmälan</t>
        </is>
      </c>
      <c r="C4643" t="inlineStr">
        <is>
          <t>Föryngringsavverkning</t>
        </is>
      </c>
      <c r="D4643" s="1" t="n">
        <v>46255</v>
      </c>
      <c r="E4643" s="1" t="n">
        <v>46316</v>
      </c>
      <c r="F4643" t="inlineStr">
        <is>
          <t>KRONOBERGS LÄN</t>
        </is>
      </c>
      <c r="G4643" t="inlineStr">
        <is>
          <t>LESSEBO</t>
        </is>
      </c>
      <c r="H4643" t="inlineStr">
        <is>
          <t>Kyrkan</t>
        </is>
      </c>
      <c r="I4643" t="n">
        <v>2</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10009-2022</t>
        </is>
      </c>
      <c r="B4644" t="inlineStr">
        <is>
          <t>avverkningsanmälan</t>
        </is>
      </c>
      <c r="C4644" t="inlineStr">
        <is>
          <t>Föryngringsavverkning</t>
        </is>
      </c>
      <c r="D4644" s="1" t="n">
        <v>44621</v>
      </c>
      <c r="E4644" s="1" t="n">
        <v>46316</v>
      </c>
      <c r="F4644" t="inlineStr">
        <is>
          <t>KRONOBERGS LÄN</t>
        </is>
      </c>
      <c r="G4644" t="inlineStr">
        <is>
          <t>TINGSRYD</t>
        </is>
      </c>
      <c r="I4644" t="n">
        <v>2</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7402-2025</t>
        </is>
      </c>
      <c r="B4645" t="inlineStr">
        <is>
          <t>avverkningsanmälan</t>
        </is>
      </c>
      <c r="C4645" t="inlineStr">
        <is>
          <t>Föryngringsavverkning</t>
        </is>
      </c>
      <c r="D4645" s="1" t="n">
        <v>45705</v>
      </c>
      <c r="E4645" s="1" t="n">
        <v>46316</v>
      </c>
      <c r="F4645" t="inlineStr">
        <is>
          <t>KRONOBERGS LÄN</t>
        </is>
      </c>
      <c r="G4645" t="inlineStr">
        <is>
          <t>UPPVIDINGE</t>
        </is>
      </c>
      <c r="I4645" t="n">
        <v>0.7</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29477-2023</t>
        </is>
      </c>
      <c r="B4646" t="inlineStr">
        <is>
          <t>avverkningsanmälan</t>
        </is>
      </c>
      <c r="C4646" t="inlineStr">
        <is>
          <t>Föryngringsavverkning</t>
        </is>
      </c>
      <c r="D4646" s="1" t="n">
        <v>45106</v>
      </c>
      <c r="E4646" s="1" t="n">
        <v>46316</v>
      </c>
      <c r="F4646" t="inlineStr">
        <is>
          <t>KRONOBERGS LÄN</t>
        </is>
      </c>
      <c r="G4646" t="inlineStr">
        <is>
          <t>VÄXJÖ</t>
        </is>
      </c>
      <c r="I4646" t="n">
        <v>1.4</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34286-2026</t>
        </is>
      </c>
      <c r="B4647" t="inlineStr">
        <is>
          <t>avverkningsanmälan</t>
        </is>
      </c>
      <c r="C4647" t="inlineStr">
        <is>
          <t>Föryngringsavverkning</t>
        </is>
      </c>
      <c r="D4647" s="1" t="n">
        <v>46253</v>
      </c>
      <c r="E4647" s="1" t="n">
        <v>46316</v>
      </c>
      <c r="F4647" t="inlineStr">
        <is>
          <t>KRONOBERGS LÄN</t>
        </is>
      </c>
      <c r="G4647" t="inlineStr">
        <is>
          <t>UPPVIDINGE</t>
        </is>
      </c>
      <c r="I4647" t="n">
        <v>0.9</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34300-2026</t>
        </is>
      </c>
      <c r="B4648" t="inlineStr">
        <is>
          <t>avverkningsanmälan</t>
        </is>
      </c>
      <c r="C4648" t="inlineStr">
        <is>
          <t>Avverkning för att bevara och utveckla /försöksver</t>
        </is>
      </c>
      <c r="D4648" s="1" t="n">
        <v>46253</v>
      </c>
      <c r="E4648" s="1" t="n">
        <v>46316</v>
      </c>
      <c r="F4648" t="inlineStr">
        <is>
          <t>KRONOBERGS LÄN</t>
        </is>
      </c>
      <c r="G4648" t="inlineStr">
        <is>
          <t>LJUNGBY</t>
        </is>
      </c>
      <c r="I4648" t="n">
        <v>2.9</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58747-2022</t>
        </is>
      </c>
      <c r="B4649" t="inlineStr">
        <is>
          <t>avverkningsanmälan</t>
        </is>
      </c>
      <c r="C4649" t="inlineStr">
        <is>
          <t>Föryngringsavverkning</t>
        </is>
      </c>
      <c r="D4649" s="1" t="n">
        <v>44903</v>
      </c>
      <c r="E4649" s="1" t="n">
        <v>46316</v>
      </c>
      <c r="F4649" t="inlineStr">
        <is>
          <t>KRONOBERGS LÄN</t>
        </is>
      </c>
      <c r="G4649" t="inlineStr">
        <is>
          <t>TINGSRYD</t>
        </is>
      </c>
      <c r="I4649" t="n">
        <v>1.4</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13026-2024</t>
        </is>
      </c>
      <c r="B4650" t="inlineStr">
        <is>
          <t>avverkningsanmälan</t>
        </is>
      </c>
      <c r="C4650" t="inlineStr">
        <is>
          <t>Föryngringsavverkning</t>
        </is>
      </c>
      <c r="D4650" s="1" t="n">
        <v>45385</v>
      </c>
      <c r="E4650" s="1" t="n">
        <v>46316</v>
      </c>
      <c r="F4650" t="inlineStr">
        <is>
          <t>KRONOBERGS LÄN</t>
        </is>
      </c>
      <c r="G4650" t="inlineStr">
        <is>
          <t>VÄXJÖ</t>
        </is>
      </c>
      <c r="H4650" t="inlineStr">
        <is>
          <t>Sveaskog</t>
        </is>
      </c>
      <c r="I4650" t="n">
        <v>1.4</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13028-2024</t>
        </is>
      </c>
      <c r="B4651" t="inlineStr">
        <is>
          <t>avverkningsanmälan</t>
        </is>
      </c>
      <c r="C4651" t="inlineStr">
        <is>
          <t>Föryngringsavverkning</t>
        </is>
      </c>
      <c r="D4651" s="1" t="n">
        <v>45385</v>
      </c>
      <c r="E4651" s="1" t="n">
        <v>46316</v>
      </c>
      <c r="F4651" t="inlineStr">
        <is>
          <t>KRONOBERGS LÄN</t>
        </is>
      </c>
      <c r="G4651" t="inlineStr">
        <is>
          <t>VÄXJÖ</t>
        </is>
      </c>
      <c r="H4651" t="inlineStr">
        <is>
          <t>Sveaskog</t>
        </is>
      </c>
      <c r="I4651" t="n">
        <v>0.6</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25616-2023</t>
        </is>
      </c>
      <c r="B4652" t="inlineStr">
        <is>
          <t>avverkningsanmälan</t>
        </is>
      </c>
      <c r="C4652" t="inlineStr">
        <is>
          <t>Föryngringsavverkning</t>
        </is>
      </c>
      <c r="D4652" s="1" t="n">
        <v>45089</v>
      </c>
      <c r="E4652" s="1" t="n">
        <v>46316</v>
      </c>
      <c r="F4652" t="inlineStr">
        <is>
          <t>KRONOBERGS LÄN</t>
        </is>
      </c>
      <c r="G4652" t="inlineStr">
        <is>
          <t>LJUNGBY</t>
        </is>
      </c>
      <c r="I4652" t="n">
        <v>6</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40740-2026</t>
        </is>
      </c>
      <c r="B4653" t="inlineStr">
        <is>
          <t>avverkningsanmälan</t>
        </is>
      </c>
      <c r="C4653" t="inlineStr">
        <is>
          <t>Föryngringsavverkning</t>
        </is>
      </c>
      <c r="D4653" s="1" t="n">
        <v>46296</v>
      </c>
      <c r="E4653" s="1" t="n">
        <v>46316</v>
      </c>
      <c r="F4653" t="inlineStr">
        <is>
          <t>KRONOBERGS LÄN</t>
        </is>
      </c>
      <c r="G4653" t="inlineStr">
        <is>
          <t>VÄXJÖ</t>
        </is>
      </c>
      <c r="I4653" t="n">
        <v>0.6</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40936-2026</t>
        </is>
      </c>
      <c r="B4654" t="inlineStr">
        <is>
          <t>avverkningsanmälan</t>
        </is>
      </c>
      <c r="C4654" t="inlineStr">
        <is>
          <t>Föryngringsavverkning</t>
        </is>
      </c>
      <c r="D4654" s="1" t="n">
        <v>46297</v>
      </c>
      <c r="E4654" s="1" t="n">
        <v>46316</v>
      </c>
      <c r="F4654" t="inlineStr">
        <is>
          <t>KRONOBERGS LÄN</t>
        </is>
      </c>
      <c r="G4654" t="inlineStr">
        <is>
          <t>MARKARYD</t>
        </is>
      </c>
      <c r="I4654" t="n">
        <v>6.9</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11618-2023</t>
        </is>
      </c>
      <c r="B4655" t="inlineStr">
        <is>
          <t>avverkningsanmälan</t>
        </is>
      </c>
      <c r="C4655" t="inlineStr">
        <is>
          <t>Föryngringsavverkning</t>
        </is>
      </c>
      <c r="D4655" s="1" t="n">
        <v>44994</v>
      </c>
      <c r="E4655" s="1" t="n">
        <v>46316</v>
      </c>
      <c r="F4655" t="inlineStr">
        <is>
          <t>KRONOBERGS LÄN</t>
        </is>
      </c>
      <c r="G4655" t="inlineStr">
        <is>
          <t>ALVESTA</t>
        </is>
      </c>
      <c r="I4655" t="n">
        <v>3.9</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11644-2023</t>
        </is>
      </c>
      <c r="B4656" t="inlineStr">
        <is>
          <t>avverkningsanmälan</t>
        </is>
      </c>
      <c r="C4656" t="inlineStr">
        <is>
          <t>Föryngringsavverkning</t>
        </is>
      </c>
      <c r="D4656" s="1" t="n">
        <v>44994</v>
      </c>
      <c r="E4656" s="1" t="n">
        <v>46316</v>
      </c>
      <c r="F4656" t="inlineStr">
        <is>
          <t>KRONOBERGS LÄN</t>
        </is>
      </c>
      <c r="G4656" t="inlineStr">
        <is>
          <t>UPPVIDINGE</t>
        </is>
      </c>
      <c r="I4656" t="n">
        <v>2.6</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58020-2022</t>
        </is>
      </c>
      <c r="B4657" t="inlineStr">
        <is>
          <t>avverkningsanmälan</t>
        </is>
      </c>
      <c r="C4657" t="inlineStr">
        <is>
          <t>Föryngringsavverkning</t>
        </is>
      </c>
      <c r="D4657" s="1" t="n">
        <v>44900</v>
      </c>
      <c r="E4657" s="1" t="n">
        <v>46316</v>
      </c>
      <c r="F4657" t="inlineStr">
        <is>
          <t>KRONOBERGS LÄN</t>
        </is>
      </c>
      <c r="G4657" t="inlineStr">
        <is>
          <t>VÄXJÖ</t>
        </is>
      </c>
      <c r="I4657" t="n">
        <v>0.5</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8835-2024</t>
        </is>
      </c>
      <c r="B4658" t="inlineStr">
        <is>
          <t>avverkningsanmälan</t>
        </is>
      </c>
      <c r="C4658" t="inlineStr">
        <is>
          <t>Föryngringsavverkning</t>
        </is>
      </c>
      <c r="D4658" s="1" t="n">
        <v>45356</v>
      </c>
      <c r="E4658" s="1" t="n">
        <v>46316</v>
      </c>
      <c r="F4658" t="inlineStr">
        <is>
          <t>KRONOBERGS LÄN</t>
        </is>
      </c>
      <c r="G4658" t="inlineStr">
        <is>
          <t>LJUNGBY</t>
        </is>
      </c>
      <c r="I4658" t="n">
        <v>0.8</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33959-2026</t>
        </is>
      </c>
      <c r="B4659" t="inlineStr">
        <is>
          <t>avverkningsanmälan</t>
        </is>
      </c>
      <c r="C4659" t="inlineStr">
        <is>
          <t>Föryngringsavverkning</t>
        </is>
      </c>
      <c r="D4659" s="1" t="n">
        <v>46252</v>
      </c>
      <c r="E4659" s="1" t="n">
        <v>46316</v>
      </c>
      <c r="F4659" t="inlineStr">
        <is>
          <t>KRONOBERGS LÄN</t>
        </is>
      </c>
      <c r="G4659" t="inlineStr">
        <is>
          <t>VÄXJÖ</t>
        </is>
      </c>
      <c r="I4659" t="n">
        <v>1.9</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40757-2026</t>
        </is>
      </c>
      <c r="B4660" t="inlineStr">
        <is>
          <t>avverkningsanmälan</t>
        </is>
      </c>
      <c r="C4660" t="inlineStr">
        <is>
          <t>Föryngringsavverkning</t>
        </is>
      </c>
      <c r="D4660" s="1" t="n">
        <v>46296</v>
      </c>
      <c r="E4660" s="1" t="n">
        <v>46316</v>
      </c>
      <c r="F4660" t="inlineStr">
        <is>
          <t>KRONOBERGS LÄN</t>
        </is>
      </c>
      <c r="G4660" t="inlineStr">
        <is>
          <t>LJUNGBY</t>
        </is>
      </c>
      <c r="I4660" t="n">
        <v>1.1</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40760-2026</t>
        </is>
      </c>
      <c r="B4661" t="inlineStr">
        <is>
          <t>avverkningsanmälan</t>
        </is>
      </c>
      <c r="C4661" t="inlineStr">
        <is>
          <t>Föryngringsavverkning</t>
        </is>
      </c>
      <c r="D4661" s="1" t="n">
        <v>46296</v>
      </c>
      <c r="E4661" s="1" t="n">
        <v>46316</v>
      </c>
      <c r="F4661" t="inlineStr">
        <is>
          <t>KRONOBERGS LÄN</t>
        </is>
      </c>
      <c r="G4661" t="inlineStr">
        <is>
          <t>LJUNGBY</t>
        </is>
      </c>
      <c r="I4661" t="n">
        <v>0.3</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46830-2023</t>
        </is>
      </c>
      <c r="B4662" t="inlineStr">
        <is>
          <t>avverkningsanmälan</t>
        </is>
      </c>
      <c r="C4662" t="inlineStr">
        <is>
          <t>Avverkning för annat ändamål</t>
        </is>
      </c>
      <c r="D4662" s="1" t="n">
        <v>45199</v>
      </c>
      <c r="E4662" s="1" t="n">
        <v>46316</v>
      </c>
      <c r="F4662" t="inlineStr">
        <is>
          <t>KRONOBERGS LÄN</t>
        </is>
      </c>
      <c r="G4662" t="inlineStr">
        <is>
          <t>VÄXJÖ</t>
        </is>
      </c>
      <c r="I4662" t="n">
        <v>0.8</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27778-2026</t>
        </is>
      </c>
      <c r="B4663" t="inlineStr">
        <is>
          <t>avverkningsanmälan</t>
        </is>
      </c>
      <c r="C4663" t="inlineStr">
        <is>
          <t>Föryngringsavverkning</t>
        </is>
      </c>
      <c r="D4663" s="1" t="n">
        <v>46191</v>
      </c>
      <c r="E4663" s="1" t="n">
        <v>46316</v>
      </c>
      <c r="F4663" t="inlineStr">
        <is>
          <t>KRONOBERGS LÄN</t>
        </is>
      </c>
      <c r="G4663" t="inlineStr">
        <is>
          <t>UPPVIDINGE</t>
        </is>
      </c>
      <c r="I4663" t="n">
        <v>7.5</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46981-2023</t>
        </is>
      </c>
      <c r="B4664" t="inlineStr">
        <is>
          <t>avverkningsanmälan</t>
        </is>
      </c>
      <c r="C4664" t="inlineStr">
        <is>
          <t>Föryngringsavverkning</t>
        </is>
      </c>
      <c r="D4664" s="1" t="n">
        <v>45201</v>
      </c>
      <c r="E4664" s="1" t="n">
        <v>46316</v>
      </c>
      <c r="F4664" t="inlineStr">
        <is>
          <t>KRONOBERGS LÄN</t>
        </is>
      </c>
      <c r="G4664" t="inlineStr">
        <is>
          <t>TINGSRYD</t>
        </is>
      </c>
      <c r="I4664" t="n">
        <v>1.5</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40836-2026</t>
        </is>
      </c>
      <c r="B4665" t="inlineStr">
        <is>
          <t>avverkningsanmälan</t>
        </is>
      </c>
      <c r="C4665" t="inlineStr">
        <is>
          <t>Avverkning för annat ändamål</t>
        </is>
      </c>
      <c r="D4665" s="1" t="n">
        <v>46296</v>
      </c>
      <c r="E4665" s="1" t="n">
        <v>46316</v>
      </c>
      <c r="F4665" t="inlineStr">
        <is>
          <t>KRONOBERGS LÄN</t>
        </is>
      </c>
      <c r="G4665" t="inlineStr">
        <is>
          <t>ALVESTA</t>
        </is>
      </c>
      <c r="I4665" t="n">
        <v>2</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62147-2023</t>
        </is>
      </c>
      <c r="B4666" t="inlineStr">
        <is>
          <t>avverkningsanmälan</t>
        </is>
      </c>
      <c r="C4666" t="inlineStr">
        <is>
          <t>Föryngringsavverkning</t>
        </is>
      </c>
      <c r="D4666" s="1" t="n">
        <v>45267</v>
      </c>
      <c r="E4666" s="1" t="n">
        <v>46316</v>
      </c>
      <c r="F4666" t="inlineStr">
        <is>
          <t>KRONOBERGS LÄN</t>
        </is>
      </c>
      <c r="G4666" t="inlineStr">
        <is>
          <t>ALVESTA</t>
        </is>
      </c>
      <c r="I4666" t="n">
        <v>4.6</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34285-2026</t>
        </is>
      </c>
      <c r="B4667" t="inlineStr">
        <is>
          <t>avverkningsanmälan</t>
        </is>
      </c>
      <c r="C4667" t="inlineStr">
        <is>
          <t>Föryngringsavverkning</t>
        </is>
      </c>
      <c r="D4667" s="1" t="n">
        <v>46253</v>
      </c>
      <c r="E4667" s="1" t="n">
        <v>46316</v>
      </c>
      <c r="F4667" t="inlineStr">
        <is>
          <t>KRONOBERGS LÄN</t>
        </is>
      </c>
      <c r="G4667" t="inlineStr">
        <is>
          <t>UPPVIDINGE</t>
        </is>
      </c>
      <c r="I4667" t="n">
        <v>0.8</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40686-2026</t>
        </is>
      </c>
      <c r="B4668" t="inlineStr">
        <is>
          <t>avverkningsanmälan</t>
        </is>
      </c>
      <c r="C4668" t="inlineStr">
        <is>
          <t>Föryngringsavverkning</t>
        </is>
      </c>
      <c r="D4668" s="1" t="n">
        <v>46296</v>
      </c>
      <c r="E4668" s="1" t="n">
        <v>46316</v>
      </c>
      <c r="F4668" t="inlineStr">
        <is>
          <t>KRONOBERGS LÄN</t>
        </is>
      </c>
      <c r="G4668" t="inlineStr">
        <is>
          <t>VÄXJÖ</t>
        </is>
      </c>
      <c r="I4668" t="n">
        <v>2.6</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34395-2026</t>
        </is>
      </c>
      <c r="B4669" t="inlineStr">
        <is>
          <t>avverkningsanmälan</t>
        </is>
      </c>
      <c r="C4669" t="inlineStr">
        <is>
          <t>Föryngringsavverkning</t>
        </is>
      </c>
      <c r="D4669" s="1" t="n">
        <v>46254</v>
      </c>
      <c r="E4669" s="1" t="n">
        <v>46316</v>
      </c>
      <c r="F4669" t="inlineStr">
        <is>
          <t>KRONOBERGS LÄN</t>
        </is>
      </c>
      <c r="G4669" t="inlineStr">
        <is>
          <t>LJUNGBY</t>
        </is>
      </c>
      <c r="I4669" t="n">
        <v>2.2</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4413-2022</t>
        </is>
      </c>
      <c r="B4670" t="inlineStr">
        <is>
          <t>avverkningsanmälan</t>
        </is>
      </c>
      <c r="C4670" t="inlineStr">
        <is>
          <t>Föryngringsavverkning</t>
        </is>
      </c>
      <c r="D4670" s="1" t="n">
        <v>44589</v>
      </c>
      <c r="E4670" s="1" t="n">
        <v>46316</v>
      </c>
      <c r="F4670" t="inlineStr">
        <is>
          <t>KRONOBERGS LÄN</t>
        </is>
      </c>
      <c r="G4670" t="inlineStr">
        <is>
          <t>LESSEBO</t>
        </is>
      </c>
      <c r="I4670" t="n">
        <v>2</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23353-2023</t>
        </is>
      </c>
      <c r="B4671" t="inlineStr">
        <is>
          <t>avverkningsanmälan</t>
        </is>
      </c>
      <c r="C4671" t="inlineStr">
        <is>
          <t>Föryngringsavverkning</t>
        </is>
      </c>
      <c r="D4671" s="1" t="n">
        <v>45076</v>
      </c>
      <c r="E4671" s="1" t="n">
        <v>46316</v>
      </c>
      <c r="F4671" t="inlineStr">
        <is>
          <t>KRONOBERGS LÄN</t>
        </is>
      </c>
      <c r="G4671" t="inlineStr">
        <is>
          <t>ALVESTA</t>
        </is>
      </c>
      <c r="I4671" t="n">
        <v>1.4</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22242-2023</t>
        </is>
      </c>
      <c r="B4672" t="inlineStr">
        <is>
          <t>avverkningsanmälan</t>
        </is>
      </c>
      <c r="C4672" t="inlineStr">
        <is>
          <t>Föryngringsavverkning</t>
        </is>
      </c>
      <c r="D4672" s="1" t="n">
        <v>45070</v>
      </c>
      <c r="E4672" s="1" t="n">
        <v>46316</v>
      </c>
      <c r="F4672" t="inlineStr">
        <is>
          <t>KRONOBERGS LÄN</t>
        </is>
      </c>
      <c r="G4672" t="inlineStr">
        <is>
          <t>VÄXJÖ</t>
        </is>
      </c>
      <c r="I4672" t="n">
        <v>0.8</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40744-2026</t>
        </is>
      </c>
      <c r="B4673" t="inlineStr">
        <is>
          <t>avverkningsanmälan</t>
        </is>
      </c>
      <c r="C4673" t="inlineStr">
        <is>
          <t>Föryngringsavverkning</t>
        </is>
      </c>
      <c r="D4673" s="1" t="n">
        <v>46296</v>
      </c>
      <c r="E4673" s="1" t="n">
        <v>46316</v>
      </c>
      <c r="F4673" t="inlineStr">
        <is>
          <t>KRONOBERGS LÄN</t>
        </is>
      </c>
      <c r="G4673" t="inlineStr">
        <is>
          <t>VÄXJÖ</t>
        </is>
      </c>
      <c r="I4673" t="n">
        <v>1</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22432-2026</t>
        </is>
      </c>
      <c r="B4674" t="inlineStr">
        <is>
          <t>avverkningsanmälan</t>
        </is>
      </c>
      <c r="C4674" t="inlineStr">
        <is>
          <t>Föryngringsavverkning</t>
        </is>
      </c>
      <c r="D4674" s="1" t="n">
        <v>46154</v>
      </c>
      <c r="E4674" s="1" t="n">
        <v>46316</v>
      </c>
      <c r="F4674" t="inlineStr">
        <is>
          <t>KRONOBERGS LÄN</t>
        </is>
      </c>
      <c r="G4674" t="inlineStr">
        <is>
          <t>LJUNGBY</t>
        </is>
      </c>
      <c r="I4674" t="n">
        <v>1.5</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59873-2021</t>
        </is>
      </c>
      <c r="B4675" t="inlineStr">
        <is>
          <t>avverkningsanmälan</t>
        </is>
      </c>
      <c r="C4675" t="inlineStr">
        <is>
          <t>Föryngringsavverkning</t>
        </is>
      </c>
      <c r="D4675" s="1" t="n">
        <v>44494</v>
      </c>
      <c r="E4675" s="1" t="n">
        <v>46316</v>
      </c>
      <c r="F4675" t="inlineStr">
        <is>
          <t>KRONOBERGS LÄN</t>
        </is>
      </c>
      <c r="G4675" t="inlineStr">
        <is>
          <t>VÄXJÖ</t>
        </is>
      </c>
      <c r="I4675" t="n">
        <v>1.2</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19768-2023</t>
        </is>
      </c>
      <c r="B4676" t="inlineStr">
        <is>
          <t>avverkningsanmälan</t>
        </is>
      </c>
      <c r="C4676" t="inlineStr">
        <is>
          <t>Föryngringsavverkning</t>
        </is>
      </c>
      <c r="D4676" s="1" t="n">
        <v>45051</v>
      </c>
      <c r="E4676" s="1" t="n">
        <v>46316</v>
      </c>
      <c r="F4676" t="inlineStr">
        <is>
          <t>KRONOBERGS LÄN</t>
        </is>
      </c>
      <c r="G4676" t="inlineStr">
        <is>
          <t>ÄLMHULT</t>
        </is>
      </c>
      <c r="I4676" t="n">
        <v>1</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50073-2023</t>
        </is>
      </c>
      <c r="B4677" t="inlineStr">
        <is>
          <t>avverkningsanmälan</t>
        </is>
      </c>
      <c r="C4677" t="inlineStr">
        <is>
          <t>Föryngringsavverkning</t>
        </is>
      </c>
      <c r="D4677" s="1" t="n">
        <v>45215</v>
      </c>
      <c r="E4677" s="1" t="n">
        <v>46316</v>
      </c>
      <c r="F4677" t="inlineStr">
        <is>
          <t>KRONOBERGS LÄN</t>
        </is>
      </c>
      <c r="G4677" t="inlineStr">
        <is>
          <t>ÄLMHULT</t>
        </is>
      </c>
      <c r="I4677" t="n">
        <v>0.9</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22433-2026</t>
        </is>
      </c>
      <c r="B4678" t="inlineStr">
        <is>
          <t>avverkningsanmälan</t>
        </is>
      </c>
      <c r="C4678" t="inlineStr">
        <is>
          <t>Föryngringsavverkning</t>
        </is>
      </c>
      <c r="D4678" s="1" t="n">
        <v>46154</v>
      </c>
      <c r="E4678" s="1" t="n">
        <v>46316</v>
      </c>
      <c r="F4678" t="inlineStr">
        <is>
          <t>KRONOBERGS LÄN</t>
        </is>
      </c>
      <c r="G4678" t="inlineStr">
        <is>
          <t>LJUNGBY</t>
        </is>
      </c>
      <c r="I4678" t="n">
        <v>4.1</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34984-2026</t>
        </is>
      </c>
      <c r="B4679" t="inlineStr">
        <is>
          <t>avverkningsanmälan</t>
        </is>
      </c>
      <c r="C4679" t="inlineStr">
        <is>
          <t>Föryngringsavverkning</t>
        </is>
      </c>
      <c r="D4679" s="1" t="n">
        <v>46258</v>
      </c>
      <c r="E4679" s="1" t="n">
        <v>46316</v>
      </c>
      <c r="F4679" t="inlineStr">
        <is>
          <t>KRONOBERGS LÄN</t>
        </is>
      </c>
      <c r="G4679" t="inlineStr">
        <is>
          <t>LESSEBO</t>
        </is>
      </c>
      <c r="I4679" t="n">
        <v>0.6</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5775-2026</t>
        </is>
      </c>
      <c r="B4680" t="inlineStr">
        <is>
          <t>avverkningsanmälan</t>
        </is>
      </c>
      <c r="C4680" t="inlineStr">
        <is>
          <t>Föryngringsavverkning</t>
        </is>
      </c>
      <c r="D4680" s="1" t="n">
        <v>46049</v>
      </c>
      <c r="E4680" s="1" t="n">
        <v>46316</v>
      </c>
      <c r="F4680" t="inlineStr">
        <is>
          <t>KRONOBERGS LÄN</t>
        </is>
      </c>
      <c r="G4680" t="inlineStr">
        <is>
          <t>MARKARYD</t>
        </is>
      </c>
      <c r="I4680" t="n">
        <v>2</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11029-2024</t>
        </is>
      </c>
      <c r="B4681" t="inlineStr">
        <is>
          <t>avverkningsanmälan</t>
        </is>
      </c>
      <c r="C4681" t="inlineStr">
        <is>
          <t>Föryngringsavverkning</t>
        </is>
      </c>
      <c r="D4681" s="1" t="n">
        <v>45370</v>
      </c>
      <c r="E4681" s="1" t="n">
        <v>46316</v>
      </c>
      <c r="F4681" t="inlineStr">
        <is>
          <t>KRONOBERGS LÄN</t>
        </is>
      </c>
      <c r="G4681" t="inlineStr">
        <is>
          <t>UPPVIDINGE</t>
        </is>
      </c>
      <c r="I4681" t="n">
        <v>2</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4027-2024</t>
        </is>
      </c>
      <c r="B4682" t="inlineStr">
        <is>
          <t>avverkningsanmälan</t>
        </is>
      </c>
      <c r="C4682" t="inlineStr">
        <is>
          <t>Föryngringsavverkning</t>
        </is>
      </c>
      <c r="D4682" s="1" t="n">
        <v>45323</v>
      </c>
      <c r="E4682" s="1" t="n">
        <v>46316</v>
      </c>
      <c r="F4682" t="inlineStr">
        <is>
          <t>KRONOBERGS LÄN</t>
        </is>
      </c>
      <c r="G4682" t="inlineStr">
        <is>
          <t>LJUNGBY</t>
        </is>
      </c>
      <c r="H4682" t="inlineStr">
        <is>
          <t>Kommuner</t>
        </is>
      </c>
      <c r="I4682" t="n">
        <v>1.4</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7935-2025</t>
        </is>
      </c>
      <c r="B4683" t="inlineStr">
        <is>
          <t>avverkningsanmälan</t>
        </is>
      </c>
      <c r="C4683" t="inlineStr">
        <is>
          <t>Föryngringsavverkning</t>
        </is>
      </c>
      <c r="D4683" s="1" t="n">
        <v>45707</v>
      </c>
      <c r="E4683" s="1" t="n">
        <v>46316</v>
      </c>
      <c r="F4683" t="inlineStr">
        <is>
          <t>KRONOBERGS LÄN</t>
        </is>
      </c>
      <c r="G4683" t="inlineStr">
        <is>
          <t>MARKARYD</t>
        </is>
      </c>
      <c r="I4683" t="n">
        <v>5.6</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26573-2023</t>
        </is>
      </c>
      <c r="B4684" t="inlineStr">
        <is>
          <t>avverkningsanmälan</t>
        </is>
      </c>
      <c r="C4684" t="inlineStr">
        <is>
          <t>Föryngringsavverkning</t>
        </is>
      </c>
      <c r="D4684" s="1" t="n">
        <v>45092</v>
      </c>
      <c r="E4684" s="1" t="n">
        <v>46316</v>
      </c>
      <c r="F4684" t="inlineStr">
        <is>
          <t>KRONOBERGS LÄN</t>
        </is>
      </c>
      <c r="G4684" t="inlineStr">
        <is>
          <t>ALVESTA</t>
        </is>
      </c>
      <c r="I4684" t="n">
        <v>0.8</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11686-2024</t>
        </is>
      </c>
      <c r="B4685" t="inlineStr">
        <is>
          <t>avverkningsanmälan</t>
        </is>
      </c>
      <c r="C4685" t="inlineStr">
        <is>
          <t>Föryngringsavverkning</t>
        </is>
      </c>
      <c r="D4685" s="1" t="n">
        <v>45373</v>
      </c>
      <c r="E4685" s="1" t="n">
        <v>46316</v>
      </c>
      <c r="F4685" t="inlineStr">
        <is>
          <t>KRONOBERGS LÄN</t>
        </is>
      </c>
      <c r="G4685" t="inlineStr">
        <is>
          <t>LJUNGBY</t>
        </is>
      </c>
      <c r="I4685" t="n">
        <v>2.2</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20563-2024</t>
        </is>
      </c>
      <c r="B4686" t="inlineStr">
        <is>
          <t>avverkningsanmälan</t>
        </is>
      </c>
      <c r="C4686" t="inlineStr">
        <is>
          <t>Föryngringsavverkning</t>
        </is>
      </c>
      <c r="D4686" s="1" t="n">
        <v>45436</v>
      </c>
      <c r="E4686" s="1" t="n">
        <v>46316</v>
      </c>
      <c r="F4686" t="inlineStr">
        <is>
          <t>KRONOBERGS LÄN</t>
        </is>
      </c>
      <c r="G4686" t="inlineStr">
        <is>
          <t>TINGSRYD</t>
        </is>
      </c>
      <c r="I4686" t="n">
        <v>2.5</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20131-2024</t>
        </is>
      </c>
      <c r="B4687" t="inlineStr">
        <is>
          <t>avverkningsanmälan</t>
        </is>
      </c>
      <c r="C4687" t="inlineStr">
        <is>
          <t>Föryngringsavverkning</t>
        </is>
      </c>
      <c r="D4687" s="1" t="n">
        <v>45434</v>
      </c>
      <c r="E4687" s="1" t="n">
        <v>46316</v>
      </c>
      <c r="F4687" t="inlineStr">
        <is>
          <t>KRONOBERGS LÄN</t>
        </is>
      </c>
      <c r="G4687" t="inlineStr">
        <is>
          <t>UPPVIDINGE</t>
        </is>
      </c>
      <c r="I4687" t="n">
        <v>1.4</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34707-2026</t>
        </is>
      </c>
      <c r="B4688" t="inlineStr">
        <is>
          <t>avverkningsanmälan</t>
        </is>
      </c>
      <c r="C4688" t="inlineStr">
        <is>
          <t>Föryngringsavverkning</t>
        </is>
      </c>
      <c r="D4688" s="1" t="n">
        <v>46258</v>
      </c>
      <c r="E4688" s="1" t="n">
        <v>46316</v>
      </c>
      <c r="F4688" t="inlineStr">
        <is>
          <t>KRONOBERGS LÄN</t>
        </is>
      </c>
      <c r="G4688" t="inlineStr">
        <is>
          <t>ÄLMHULT</t>
        </is>
      </c>
      <c r="I4688" t="n">
        <v>1.5</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64916-2023</t>
        </is>
      </c>
      <c r="B4689" t="inlineStr">
        <is>
          <t>avverkningsanmälan</t>
        </is>
      </c>
      <c r="C4689" t="inlineStr">
        <is>
          <t>Föryngringsavverkning</t>
        </is>
      </c>
      <c r="D4689" s="1" t="n">
        <v>45282</v>
      </c>
      <c r="E4689" s="1" t="n">
        <v>46316</v>
      </c>
      <c r="F4689" t="inlineStr">
        <is>
          <t>KRONOBERGS LÄN</t>
        </is>
      </c>
      <c r="G4689" t="inlineStr">
        <is>
          <t>MARKARYD</t>
        </is>
      </c>
      <c r="I4689" t="n">
        <v>1.3</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2042-2024</t>
        </is>
      </c>
      <c r="B4690" t="inlineStr">
        <is>
          <t>avverkningsanmälan</t>
        </is>
      </c>
      <c r="C4690" t="inlineStr">
        <is>
          <t>Föryngringsavverkning</t>
        </is>
      </c>
      <c r="D4690" s="1" t="n">
        <v>45308</v>
      </c>
      <c r="E4690" s="1" t="n">
        <v>46316</v>
      </c>
      <c r="F4690" t="inlineStr">
        <is>
          <t>KRONOBERGS LÄN</t>
        </is>
      </c>
      <c r="G4690" t="inlineStr">
        <is>
          <t>ALVESTA</t>
        </is>
      </c>
      <c r="I4690" t="n">
        <v>5.2</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41292-2026</t>
        </is>
      </c>
      <c r="B4691" t="inlineStr">
        <is>
          <t>avverkningsanmälan</t>
        </is>
      </c>
      <c r="C4691" t="inlineStr">
        <is>
          <t>Föryngringsavverkning</t>
        </is>
      </c>
      <c r="D4691" s="1" t="n">
        <v>46300</v>
      </c>
      <c r="E4691" s="1" t="n">
        <v>46316</v>
      </c>
      <c r="F4691" t="inlineStr">
        <is>
          <t>KRONOBERGS LÄN</t>
        </is>
      </c>
      <c r="G4691" t="inlineStr">
        <is>
          <t>LESSEBO</t>
        </is>
      </c>
      <c r="I4691" t="n">
        <v>1.8</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16767-2025</t>
        </is>
      </c>
      <c r="B4692" t="inlineStr">
        <is>
          <t>avverkningsanmälan</t>
        </is>
      </c>
      <c r="C4692" t="inlineStr">
        <is>
          <t>Föryngringsavverkning</t>
        </is>
      </c>
      <c r="D4692" s="1" t="n">
        <v>45754</v>
      </c>
      <c r="E4692" s="1" t="n">
        <v>46316</v>
      </c>
      <c r="F4692" t="inlineStr">
        <is>
          <t>KRONOBERGS LÄN</t>
        </is>
      </c>
      <c r="G4692" t="inlineStr">
        <is>
          <t>VÄXJÖ</t>
        </is>
      </c>
      <c r="I4692" t="n">
        <v>0.5</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34664-2026</t>
        </is>
      </c>
      <c r="B4693" t="inlineStr">
        <is>
          <t>avverkningsanmälan</t>
        </is>
      </c>
      <c r="C4693" t="inlineStr">
        <is>
          <t>Föryngringsavverkning</t>
        </is>
      </c>
      <c r="D4693" s="1" t="n">
        <v>46257</v>
      </c>
      <c r="E4693" s="1" t="n">
        <v>46316</v>
      </c>
      <c r="F4693" t="inlineStr">
        <is>
          <t>KRONOBERGS LÄN</t>
        </is>
      </c>
      <c r="G4693" t="inlineStr">
        <is>
          <t>ÄLMHULT</t>
        </is>
      </c>
      <c r="I4693" t="n">
        <v>0.5</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52167-2023</t>
        </is>
      </c>
      <c r="B4694" t="inlineStr">
        <is>
          <t>avverkningsanmälan</t>
        </is>
      </c>
      <c r="C4694" t="inlineStr">
        <is>
          <t>Föryngringsavverkning</t>
        </is>
      </c>
      <c r="D4694" s="1" t="n">
        <v>45224</v>
      </c>
      <c r="E4694" s="1" t="n">
        <v>46316</v>
      </c>
      <c r="F4694" t="inlineStr">
        <is>
          <t>KRONOBERGS LÄN</t>
        </is>
      </c>
      <c r="G4694" t="inlineStr">
        <is>
          <t>VÄXJÖ</t>
        </is>
      </c>
      <c r="I4694" t="n">
        <v>1.8</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13269-2024</t>
        </is>
      </c>
      <c r="B4695" t="inlineStr">
        <is>
          <t>avverkningsanmälan</t>
        </is>
      </c>
      <c r="C4695" t="inlineStr">
        <is>
          <t>Föryngringsavverkning</t>
        </is>
      </c>
      <c r="D4695" s="1" t="n">
        <v>45386</v>
      </c>
      <c r="E4695" s="1" t="n">
        <v>46316</v>
      </c>
      <c r="F4695" t="inlineStr">
        <is>
          <t>KRONOBERGS LÄN</t>
        </is>
      </c>
      <c r="G4695" t="inlineStr">
        <is>
          <t>TINGSRYD</t>
        </is>
      </c>
      <c r="I4695" t="n">
        <v>0.4</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41056-2026</t>
        </is>
      </c>
      <c r="B4696" t="inlineStr">
        <is>
          <t>avverkningsanmälan</t>
        </is>
      </c>
      <c r="C4696" t="inlineStr">
        <is>
          <t>Föryngringsavverkning</t>
        </is>
      </c>
      <c r="D4696" s="1" t="n">
        <v>46300</v>
      </c>
      <c r="E4696" s="1" t="n">
        <v>46316</v>
      </c>
      <c r="F4696" t="inlineStr">
        <is>
          <t>KRONOBERGS LÄN</t>
        </is>
      </c>
      <c r="G4696" t="inlineStr">
        <is>
          <t>ÄLMHULT</t>
        </is>
      </c>
      <c r="I4696" t="n">
        <v>2.8</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38880-2023</t>
        </is>
      </c>
      <c r="B4697" t="inlineStr">
        <is>
          <t>avverkningsanmälan</t>
        </is>
      </c>
      <c r="C4697" t="inlineStr">
        <is>
          <t>Avverkning för annat ändamål</t>
        </is>
      </c>
      <c r="D4697" s="1" t="n">
        <v>45161</v>
      </c>
      <c r="E4697" s="1" t="n">
        <v>46316</v>
      </c>
      <c r="F4697" t="inlineStr">
        <is>
          <t>KRONOBERGS LÄN</t>
        </is>
      </c>
      <c r="G4697" t="inlineStr">
        <is>
          <t>VÄXJÖ</t>
        </is>
      </c>
      <c r="I4697" t="n">
        <v>2.1</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38890-2023</t>
        </is>
      </c>
      <c r="B4698" t="inlineStr">
        <is>
          <t>avverkningsanmälan</t>
        </is>
      </c>
      <c r="C4698" t="inlineStr">
        <is>
          <t>Föryngringsavverkning</t>
        </is>
      </c>
      <c r="D4698" s="1" t="n">
        <v>45161</v>
      </c>
      <c r="E4698" s="1" t="n">
        <v>46316</v>
      </c>
      <c r="F4698" t="inlineStr">
        <is>
          <t>KRONOBERGS LÄN</t>
        </is>
      </c>
      <c r="G4698" t="inlineStr">
        <is>
          <t>ALVESTA</t>
        </is>
      </c>
      <c r="I4698" t="n">
        <v>4.7</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20892-2024</t>
        </is>
      </c>
      <c r="B4699" t="inlineStr">
        <is>
          <t>avverkningsanmälan</t>
        </is>
      </c>
      <c r="C4699" t="inlineStr">
        <is>
          <t>Föryngringsavverkning</t>
        </is>
      </c>
      <c r="D4699" s="1" t="n">
        <v>45439</v>
      </c>
      <c r="E4699" s="1" t="n">
        <v>46316</v>
      </c>
      <c r="F4699" t="inlineStr">
        <is>
          <t>KRONOBERGS LÄN</t>
        </is>
      </c>
      <c r="G4699" t="inlineStr">
        <is>
          <t>TINGSRYD</t>
        </is>
      </c>
      <c r="I4699" t="n">
        <v>0.8</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11080-2022</t>
        </is>
      </c>
      <c r="B4700" t="inlineStr">
        <is>
          <t>avverkningsanmälan</t>
        </is>
      </c>
      <c r="C4700" t="inlineStr">
        <is>
          <t>Föryngringsavverkning</t>
        </is>
      </c>
      <c r="D4700" s="1" t="n">
        <v>44628</v>
      </c>
      <c r="E4700" s="1" t="n">
        <v>46316</v>
      </c>
      <c r="F4700" t="inlineStr">
        <is>
          <t>KRONOBERGS LÄN</t>
        </is>
      </c>
      <c r="G4700" t="inlineStr">
        <is>
          <t>TINGSRYD</t>
        </is>
      </c>
      <c r="I4700" t="n">
        <v>1.6</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8789-2022</t>
        </is>
      </c>
      <c r="B4701" t="inlineStr">
        <is>
          <t>avverkningsanmälan</t>
        </is>
      </c>
      <c r="C4701" t="inlineStr">
        <is>
          <t>Föryngringsavverkning</t>
        </is>
      </c>
      <c r="D4701" s="1" t="n">
        <v>44614</v>
      </c>
      <c r="E4701" s="1" t="n">
        <v>46316</v>
      </c>
      <c r="F4701" t="inlineStr">
        <is>
          <t>KRONOBERGS LÄN</t>
        </is>
      </c>
      <c r="G4701" t="inlineStr">
        <is>
          <t>TINGSRYD</t>
        </is>
      </c>
      <c r="I4701" t="n">
        <v>0.8</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24029-2023</t>
        </is>
      </c>
      <c r="B4702" t="inlineStr">
        <is>
          <t>avverkningsanmälan</t>
        </is>
      </c>
      <c r="C4702" t="inlineStr">
        <is>
          <t>Föryngringsavverkning</t>
        </is>
      </c>
      <c r="D4702" s="1" t="n">
        <v>45078</v>
      </c>
      <c r="E4702" s="1" t="n">
        <v>46316</v>
      </c>
      <c r="F4702" t="inlineStr">
        <is>
          <t>KRONOBERGS LÄN</t>
        </is>
      </c>
      <c r="G4702" t="inlineStr">
        <is>
          <t>ÄLMHULT</t>
        </is>
      </c>
      <c r="I4702" t="n">
        <v>1.1</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26936-2026</t>
        </is>
      </c>
      <c r="B4703" t="inlineStr">
        <is>
          <t>avverkningsanmälan</t>
        </is>
      </c>
      <c r="C4703" t="inlineStr">
        <is>
          <t>Föryngringsavverkning</t>
        </is>
      </c>
      <c r="D4703" s="1" t="n">
        <v>46185</v>
      </c>
      <c r="E4703" s="1" t="n">
        <v>46316</v>
      </c>
      <c r="F4703" t="inlineStr">
        <is>
          <t>KRONOBERGS LÄN</t>
        </is>
      </c>
      <c r="G4703" t="inlineStr">
        <is>
          <t>UPPVIDINGE</t>
        </is>
      </c>
      <c r="I4703" t="n">
        <v>6.3</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30613-2026</t>
        </is>
      </c>
      <c r="B4704" t="inlineStr">
        <is>
          <t>avverkningsanmälan</t>
        </is>
      </c>
      <c r="C4704" t="inlineStr">
        <is>
          <t>Föryngringsavverkning</t>
        </is>
      </c>
      <c r="D4704" s="1" t="n">
        <v>46210</v>
      </c>
      <c r="E4704" s="1" t="n">
        <v>46316</v>
      </c>
      <c r="F4704" t="inlineStr">
        <is>
          <t>KRONOBERGS LÄN</t>
        </is>
      </c>
      <c r="G4704" t="inlineStr">
        <is>
          <t>MARKARYD</t>
        </is>
      </c>
      <c r="H4704" t="inlineStr">
        <is>
          <t>Kommuner</t>
        </is>
      </c>
      <c r="I4704" t="n">
        <v>1.4</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21872-2022</t>
        </is>
      </c>
      <c r="B4705" t="inlineStr">
        <is>
          <t>avverkningsanmälan</t>
        </is>
      </c>
      <c r="C4705" t="inlineStr">
        <is>
          <t>Föryngringsavverkning</t>
        </is>
      </c>
      <c r="D4705" s="1" t="n">
        <v>44711</v>
      </c>
      <c r="E4705" s="1" t="n">
        <v>46316</v>
      </c>
      <c r="F4705" t="inlineStr">
        <is>
          <t>KRONOBERGS LÄN</t>
        </is>
      </c>
      <c r="G4705" t="inlineStr">
        <is>
          <t>VÄXJÖ</t>
        </is>
      </c>
      <c r="I4705" t="n">
        <v>0.9</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41529-2026</t>
        </is>
      </c>
      <c r="B4706" t="inlineStr">
        <is>
          <t>avverkningsanmälan</t>
        </is>
      </c>
      <c r="C4706" t="inlineStr">
        <is>
          <t>Föryngringsavverkning</t>
        </is>
      </c>
      <c r="D4706" s="1" t="n">
        <v>46301</v>
      </c>
      <c r="E4706" s="1" t="n">
        <v>46316</v>
      </c>
      <c r="F4706" t="inlineStr">
        <is>
          <t>KRONOBERGS LÄN</t>
        </is>
      </c>
      <c r="G4706" t="inlineStr">
        <is>
          <t>UPPVIDINGE</t>
        </is>
      </c>
      <c r="I4706" t="n">
        <v>0.6</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32466-2022</t>
        </is>
      </c>
      <c r="B4707" t="inlineStr">
        <is>
          <t>avverkningsanmälan</t>
        </is>
      </c>
      <c r="C4707" t="inlineStr">
        <is>
          <t>Föryngringsavverkning</t>
        </is>
      </c>
      <c r="D4707" s="1" t="n">
        <v>44782</v>
      </c>
      <c r="E4707" s="1" t="n">
        <v>46316</v>
      </c>
      <c r="F4707" t="inlineStr">
        <is>
          <t>KRONOBERGS LÄN</t>
        </is>
      </c>
      <c r="G4707" t="inlineStr">
        <is>
          <t>VÄXJÖ</t>
        </is>
      </c>
      <c r="H4707" t="inlineStr">
        <is>
          <t>Kyrkan</t>
        </is>
      </c>
      <c r="I4707" t="n">
        <v>4.4</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41555-2026</t>
        </is>
      </c>
      <c r="B4708" t="inlineStr">
        <is>
          <t>avverkningsanmälan</t>
        </is>
      </c>
      <c r="C4708" t="inlineStr">
        <is>
          <t>Föryngringsavverkning</t>
        </is>
      </c>
      <c r="D4708" s="1" t="n">
        <v>46301</v>
      </c>
      <c r="E4708" s="1" t="n">
        <v>46316</v>
      </c>
      <c r="F4708" t="inlineStr">
        <is>
          <t>KRONOBERGS LÄN</t>
        </is>
      </c>
      <c r="G4708" t="inlineStr">
        <is>
          <t>VÄXJÖ</t>
        </is>
      </c>
      <c r="I4708" t="n">
        <v>2.6</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44175-2024</t>
        </is>
      </c>
      <c r="B4709" t="inlineStr">
        <is>
          <t>avverkningsanmälan</t>
        </is>
      </c>
      <c r="C4709" t="inlineStr">
        <is>
          <t>Föryngringsavverkning</t>
        </is>
      </c>
      <c r="D4709" s="1" t="n">
        <v>45572</v>
      </c>
      <c r="E4709" s="1" t="n">
        <v>46316</v>
      </c>
      <c r="F4709" t="inlineStr">
        <is>
          <t>KRONOBERGS LÄN</t>
        </is>
      </c>
      <c r="G4709" t="inlineStr">
        <is>
          <t>VÄXJÖ</t>
        </is>
      </c>
      <c r="I4709" t="n">
        <v>4.6</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32016-2023</t>
        </is>
      </c>
      <c r="B4710" t="inlineStr">
        <is>
          <t>avverkningsanmälan</t>
        </is>
      </c>
      <c r="C4710" t="inlineStr">
        <is>
          <t>Föryngringsavverkning</t>
        </is>
      </c>
      <c r="D4710" s="1" t="n">
        <v>45119</v>
      </c>
      <c r="E4710" s="1" t="n">
        <v>46316</v>
      </c>
      <c r="F4710" t="inlineStr">
        <is>
          <t>KRONOBERGS LÄN</t>
        </is>
      </c>
      <c r="G4710" t="inlineStr">
        <is>
          <t>TINGSRYD</t>
        </is>
      </c>
      <c r="I4710" t="n">
        <v>0.4</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36337-2023</t>
        </is>
      </c>
      <c r="B4711" t="inlineStr">
        <is>
          <t>avverkningsanmälan</t>
        </is>
      </c>
      <c r="C4711" t="inlineStr">
        <is>
          <t>Föryngringsavverkning</t>
        </is>
      </c>
      <c r="D4711" s="1" t="n">
        <v>45152</v>
      </c>
      <c r="E4711" s="1" t="n">
        <v>46316</v>
      </c>
      <c r="F4711" t="inlineStr">
        <is>
          <t>KRONOBERGS LÄN</t>
        </is>
      </c>
      <c r="G4711" t="inlineStr">
        <is>
          <t>TINGSRYD</t>
        </is>
      </c>
      <c r="I4711" t="n">
        <v>0.4</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34747-2026</t>
        </is>
      </c>
      <c r="B4712" t="inlineStr">
        <is>
          <t>avverkningsanmälan</t>
        </is>
      </c>
      <c r="C4712" t="inlineStr">
        <is>
          <t>Föryngringsavverkning</t>
        </is>
      </c>
      <c r="D4712" s="1" t="n">
        <v>46258</v>
      </c>
      <c r="E4712" s="1" t="n">
        <v>46316</v>
      </c>
      <c r="F4712" t="inlineStr">
        <is>
          <t>KRONOBERGS LÄN</t>
        </is>
      </c>
      <c r="G4712" t="inlineStr">
        <is>
          <t>ÄLMHULT</t>
        </is>
      </c>
      <c r="I4712" t="n">
        <v>2.3</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4065-2026</t>
        </is>
      </c>
      <c r="B4713" t="inlineStr">
        <is>
          <t>avverkningsanmälan</t>
        </is>
      </c>
      <c r="C4713" t="inlineStr">
        <is>
          <t>Föryngringsavverkning</t>
        </is>
      </c>
      <c r="D4713" s="1" t="n">
        <v>46044</v>
      </c>
      <c r="E4713" s="1" t="n">
        <v>46316</v>
      </c>
      <c r="F4713" t="inlineStr">
        <is>
          <t>KRONOBERGS LÄN</t>
        </is>
      </c>
      <c r="G4713" t="inlineStr">
        <is>
          <t>TINGSRYD</t>
        </is>
      </c>
      <c r="H4713" t="inlineStr">
        <is>
          <t>Övriga Aktiebolag</t>
        </is>
      </c>
      <c r="I4713" t="n">
        <v>2.2</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59340-2025</t>
        </is>
      </c>
      <c r="B4714" t="inlineStr">
        <is>
          <t>avverkningsanmälan</t>
        </is>
      </c>
      <c r="C4714" t="inlineStr">
        <is>
          <t>Föryngringsavverkning</t>
        </is>
      </c>
      <c r="D4714" s="1" t="n">
        <v>45989</v>
      </c>
      <c r="E4714" s="1" t="n">
        <v>46316</v>
      </c>
      <c r="F4714" t="inlineStr">
        <is>
          <t>KRONOBERGS LÄN</t>
        </is>
      </c>
      <c r="G4714" t="inlineStr">
        <is>
          <t>ALVESTA</t>
        </is>
      </c>
      <c r="I4714" t="n">
        <v>2.3</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48860-2023</t>
        </is>
      </c>
      <c r="B4715" t="inlineStr">
        <is>
          <t>avverkningsanmälan</t>
        </is>
      </c>
      <c r="C4715" t="inlineStr">
        <is>
          <t>Föryngringsavverkning</t>
        </is>
      </c>
      <c r="D4715" s="1" t="n">
        <v>45204</v>
      </c>
      <c r="E4715" s="1" t="n">
        <v>46316</v>
      </c>
      <c r="F4715" t="inlineStr">
        <is>
          <t>KRONOBERGS LÄN</t>
        </is>
      </c>
      <c r="G4715" t="inlineStr">
        <is>
          <t>VÄXJÖ</t>
        </is>
      </c>
      <c r="I4715" t="n">
        <v>1.4</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19599-2025</t>
        </is>
      </c>
      <c r="B4716" t="inlineStr">
        <is>
          <t>avverkningsanmälan</t>
        </is>
      </c>
      <c r="C4716" t="inlineStr">
        <is>
          <t>Föryngringsavverkning</t>
        </is>
      </c>
      <c r="D4716" s="1" t="n">
        <v>45770</v>
      </c>
      <c r="E4716" s="1" t="n">
        <v>46316</v>
      </c>
      <c r="F4716" t="inlineStr">
        <is>
          <t>KRONOBERGS LÄN</t>
        </is>
      </c>
      <c r="G4716" t="inlineStr">
        <is>
          <t>UPPVIDINGE</t>
        </is>
      </c>
      <c r="I4716" t="n">
        <v>2</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3531-2025</t>
        </is>
      </c>
      <c r="B4717" t="inlineStr">
        <is>
          <t>avverkningsanmälan</t>
        </is>
      </c>
      <c r="C4717" t="inlineStr">
        <is>
          <t>Föryngringsavverkning</t>
        </is>
      </c>
      <c r="D4717" s="1" t="n">
        <v>45680</v>
      </c>
      <c r="E4717" s="1" t="n">
        <v>46316</v>
      </c>
      <c r="F4717" t="inlineStr">
        <is>
          <t>KRONOBERGS LÄN</t>
        </is>
      </c>
      <c r="G4717" t="inlineStr">
        <is>
          <t>TINGSRYD</t>
        </is>
      </c>
      <c r="I4717" t="n">
        <v>0.6</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51836-2023</t>
        </is>
      </c>
      <c r="B4718" t="inlineStr">
        <is>
          <t>avverkningsanmälan</t>
        </is>
      </c>
      <c r="C4718" t="inlineStr">
        <is>
          <t>Föryngringsavverkning</t>
        </is>
      </c>
      <c r="D4718" s="1" t="n">
        <v>45223</v>
      </c>
      <c r="E4718" s="1" t="n">
        <v>46316</v>
      </c>
      <c r="F4718" t="inlineStr">
        <is>
          <t>KRONOBERGS LÄN</t>
        </is>
      </c>
      <c r="G4718" t="inlineStr">
        <is>
          <t>UPPVIDINGE</t>
        </is>
      </c>
      <c r="I4718" t="n">
        <v>1.1</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62537-2022</t>
        </is>
      </c>
      <c r="B4719" t="inlineStr">
        <is>
          <t>avverkningsanmälan</t>
        </is>
      </c>
      <c r="C4719" t="inlineStr">
        <is>
          <t>Föryngringsavverkning</t>
        </is>
      </c>
      <c r="D4719" s="1" t="n">
        <v>44924</v>
      </c>
      <c r="E4719" s="1" t="n">
        <v>46316</v>
      </c>
      <c r="F4719" t="inlineStr">
        <is>
          <t>KRONOBERGS LÄN</t>
        </is>
      </c>
      <c r="G4719" t="inlineStr">
        <is>
          <t>LJUNGBY</t>
        </is>
      </c>
      <c r="I4719" t="n">
        <v>0.7</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22671-2026</t>
        </is>
      </c>
      <c r="B4720" t="inlineStr">
        <is>
          <t>avverkningsanmälan</t>
        </is>
      </c>
      <c r="C4720" t="inlineStr">
        <is>
          <t>Föryngringsavverkning</t>
        </is>
      </c>
      <c r="D4720" s="1" t="n">
        <v>46155</v>
      </c>
      <c r="E4720" s="1" t="n">
        <v>46316</v>
      </c>
      <c r="F4720" t="inlineStr">
        <is>
          <t>KRONOBERGS LÄN</t>
        </is>
      </c>
      <c r="G4720" t="inlineStr">
        <is>
          <t>MARKARYD</t>
        </is>
      </c>
      <c r="I4720" t="n">
        <v>1.9</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11424-2024</t>
        </is>
      </c>
      <c r="B4721" t="inlineStr">
        <is>
          <t>avverkningsanmälan</t>
        </is>
      </c>
      <c r="C4721" t="inlineStr">
        <is>
          <t>Föryngringsavverkning</t>
        </is>
      </c>
      <c r="D4721" s="1" t="n">
        <v>45372</v>
      </c>
      <c r="E4721" s="1" t="n">
        <v>46316</v>
      </c>
      <c r="F4721" t="inlineStr">
        <is>
          <t>KRONOBERGS LÄN</t>
        </is>
      </c>
      <c r="G4721" t="inlineStr">
        <is>
          <t>UPPVIDINGE</t>
        </is>
      </c>
      <c r="I4721" t="n">
        <v>1.3</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44674-2024</t>
        </is>
      </c>
      <c r="B4722" t="inlineStr">
        <is>
          <t>avverkningsanmälan</t>
        </is>
      </c>
      <c r="C4722" t="inlineStr">
        <is>
          <t>Föryngringsavverkning</t>
        </is>
      </c>
      <c r="D4722" s="1" t="n">
        <v>45574</v>
      </c>
      <c r="E4722" s="1" t="n">
        <v>46316</v>
      </c>
      <c r="F4722" t="inlineStr">
        <is>
          <t>KRONOBERGS LÄN</t>
        </is>
      </c>
      <c r="G4722" t="inlineStr">
        <is>
          <t>TINGSRYD</t>
        </is>
      </c>
      <c r="I4722" t="n">
        <v>1.1</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49987-2023</t>
        </is>
      </c>
      <c r="B4723" t="inlineStr">
        <is>
          <t>avverkningsanmälan</t>
        </is>
      </c>
      <c r="C4723" t="inlineStr">
        <is>
          <t>Avverkning för annat ändamål</t>
        </is>
      </c>
      <c r="D4723" s="1" t="n">
        <v>45215</v>
      </c>
      <c r="E4723" s="1" t="n">
        <v>46316</v>
      </c>
      <c r="F4723" t="inlineStr">
        <is>
          <t>KRONOBERGS LÄN</t>
        </is>
      </c>
      <c r="G4723" t="inlineStr">
        <is>
          <t>TINGSRYD</t>
        </is>
      </c>
      <c r="I4723" t="n">
        <v>0</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44445-2024</t>
        </is>
      </c>
      <c r="B4724" t="inlineStr">
        <is>
          <t>avverkningsanmälan</t>
        </is>
      </c>
      <c r="C4724" t="inlineStr">
        <is>
          <t>Föryngringsavverkning</t>
        </is>
      </c>
      <c r="D4724" s="1" t="n">
        <v>45574</v>
      </c>
      <c r="E4724" s="1" t="n">
        <v>46316</v>
      </c>
      <c r="F4724" t="inlineStr">
        <is>
          <t>KRONOBERGS LÄN</t>
        </is>
      </c>
      <c r="G4724" t="inlineStr">
        <is>
          <t>ÄLMHULT</t>
        </is>
      </c>
      <c r="I4724" t="n">
        <v>2.6</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38856-2024</t>
        </is>
      </c>
      <c r="B4725" t="inlineStr">
        <is>
          <t>avverkningsanmälan</t>
        </is>
      </c>
      <c r="C4725" t="inlineStr">
        <is>
          <t>Avverkning för annat ändamål</t>
        </is>
      </c>
      <c r="D4725" s="1" t="n">
        <v>45547</v>
      </c>
      <c r="E4725" s="1" t="n">
        <v>46316</v>
      </c>
      <c r="F4725" t="inlineStr">
        <is>
          <t>KRONOBERGS LÄN</t>
        </is>
      </c>
      <c r="G4725" t="inlineStr">
        <is>
          <t>UPPVIDINGE</t>
        </is>
      </c>
      <c r="I4725" t="n">
        <v>0.4</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38861-2024</t>
        </is>
      </c>
      <c r="B4726" t="inlineStr">
        <is>
          <t>avverkningsanmälan</t>
        </is>
      </c>
      <c r="C4726" t="inlineStr">
        <is>
          <t>Avverkning för att bevara och utveckla /försöksver</t>
        </is>
      </c>
      <c r="D4726" s="1" t="n">
        <v>45547</v>
      </c>
      <c r="E4726" s="1" t="n">
        <v>46316</v>
      </c>
      <c r="F4726" t="inlineStr">
        <is>
          <t>KRONOBERGS LÄN</t>
        </is>
      </c>
      <c r="G4726" t="inlineStr">
        <is>
          <t>TINGSRYD</t>
        </is>
      </c>
      <c r="I4726" t="n">
        <v>1</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48801-2024</t>
        </is>
      </c>
      <c r="B4727" t="inlineStr">
        <is>
          <t>avverkningsanmälan</t>
        </is>
      </c>
      <c r="C4727" t="inlineStr">
        <is>
          <t>Föryngringsavverkning</t>
        </is>
      </c>
      <c r="D4727" s="1" t="n">
        <v>45593</v>
      </c>
      <c r="E4727" s="1" t="n">
        <v>46316</v>
      </c>
      <c r="F4727" t="inlineStr">
        <is>
          <t>KRONOBERGS LÄN</t>
        </is>
      </c>
      <c r="G4727" t="inlineStr">
        <is>
          <t>MARKARYD</t>
        </is>
      </c>
      <c r="I4727" t="n">
        <v>2.7</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13892-2026</t>
        </is>
      </c>
      <c r="B4728" t="inlineStr">
        <is>
          <t>avverkningsanmälan</t>
        </is>
      </c>
      <c r="C4728" t="inlineStr">
        <is>
          <t>Föryngringsavverkning</t>
        </is>
      </c>
      <c r="D4728" s="1" t="n">
        <v>46098</v>
      </c>
      <c r="E4728" s="1" t="n">
        <v>46316</v>
      </c>
      <c r="F4728" t="inlineStr">
        <is>
          <t>KRONOBERGS LÄN</t>
        </is>
      </c>
      <c r="G4728" t="inlineStr">
        <is>
          <t>LJUNGBY</t>
        </is>
      </c>
      <c r="I4728" t="n">
        <v>1.1</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34761-2022</t>
        </is>
      </c>
      <c r="B4729" t="inlineStr">
        <is>
          <t>avverkningsanmälan</t>
        </is>
      </c>
      <c r="C4729" t="inlineStr">
        <is>
          <t>Föryngringsavverkning</t>
        </is>
      </c>
      <c r="D4729" s="1" t="n">
        <v>44795</v>
      </c>
      <c r="E4729" s="1" t="n">
        <v>46316</v>
      </c>
      <c r="F4729" t="inlineStr">
        <is>
          <t>KRONOBERGS LÄN</t>
        </is>
      </c>
      <c r="G4729" t="inlineStr">
        <is>
          <t>TINGSRYD</t>
        </is>
      </c>
      <c r="I4729" t="n">
        <v>1.1</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53214-2024</t>
        </is>
      </c>
      <c r="B4730" t="inlineStr">
        <is>
          <t>avverkningsanmälan</t>
        </is>
      </c>
      <c r="C4730" t="inlineStr">
        <is>
          <t>Föryngringsavverkning</t>
        </is>
      </c>
      <c r="D4730" s="1" t="n">
        <v>45612</v>
      </c>
      <c r="E4730" s="1" t="n">
        <v>46316</v>
      </c>
      <c r="F4730" t="inlineStr">
        <is>
          <t>KRONOBERGS LÄN</t>
        </is>
      </c>
      <c r="G4730" t="inlineStr">
        <is>
          <t>ÄLMHULT</t>
        </is>
      </c>
      <c r="I4730" t="n">
        <v>2.8</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53214-2024</t>
        </is>
      </c>
      <c r="B4731" t="inlineStr">
        <is>
          <t>avverkningsanmälan</t>
        </is>
      </c>
      <c r="C4731" t="inlineStr">
        <is>
          <t>Föryngringsavverkning</t>
        </is>
      </c>
      <c r="D4731" s="1" t="n">
        <v>45612</v>
      </c>
      <c r="E4731" s="1" t="n">
        <v>46316</v>
      </c>
      <c r="F4731" t="inlineStr">
        <is>
          <t>KRONOBERGS LÄN</t>
        </is>
      </c>
      <c r="G4731" t="inlineStr">
        <is>
          <t>ÄLMHULT</t>
        </is>
      </c>
      <c r="I4731" t="n">
        <v>2.8</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41053-2026</t>
        </is>
      </c>
      <c r="B4732" t="inlineStr">
        <is>
          <t>avverkningsanmälan</t>
        </is>
      </c>
      <c r="C4732" t="inlineStr">
        <is>
          <t>Föryngringsavverkning</t>
        </is>
      </c>
      <c r="D4732" s="1" t="n">
        <v>46300</v>
      </c>
      <c r="E4732" s="1" t="n">
        <v>46316</v>
      </c>
      <c r="F4732" t="inlineStr">
        <is>
          <t>KRONOBERGS LÄN</t>
        </is>
      </c>
      <c r="G4732" t="inlineStr">
        <is>
          <t>UPPVIDINGE</t>
        </is>
      </c>
      <c r="I4732" t="n">
        <v>9.699999999999999</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41054-2026</t>
        </is>
      </c>
      <c r="B4733" t="inlineStr">
        <is>
          <t>avverkningsanmälan</t>
        </is>
      </c>
      <c r="C4733" t="inlineStr">
        <is>
          <t>Föryngringsavverkning</t>
        </is>
      </c>
      <c r="D4733" s="1" t="n">
        <v>46300</v>
      </c>
      <c r="E4733" s="1" t="n">
        <v>46316</v>
      </c>
      <c r="F4733" t="inlineStr">
        <is>
          <t>KRONOBERGS LÄN</t>
        </is>
      </c>
      <c r="G4733" t="inlineStr">
        <is>
          <t>ALVESTA</t>
        </is>
      </c>
      <c r="I4733" t="n">
        <v>5.8</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41055-2026</t>
        </is>
      </c>
      <c r="B4734" t="inlineStr">
        <is>
          <t>avverkningsanmälan</t>
        </is>
      </c>
      <c r="C4734" t="inlineStr">
        <is>
          <t>Föryngringsavverkning</t>
        </is>
      </c>
      <c r="D4734" s="1" t="n">
        <v>46300</v>
      </c>
      <c r="E4734" s="1" t="n">
        <v>46316</v>
      </c>
      <c r="F4734" t="inlineStr">
        <is>
          <t>KRONOBERGS LÄN</t>
        </is>
      </c>
      <c r="G4734" t="inlineStr">
        <is>
          <t>TINGSRYD</t>
        </is>
      </c>
      <c r="I4734" t="n">
        <v>3.6</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3605-2024</t>
        </is>
      </c>
      <c r="B4735" t="inlineStr">
        <is>
          <t>avverkningsanmälan</t>
        </is>
      </c>
      <c r="C4735" t="inlineStr">
        <is>
          <t>Föryngringsavverkning</t>
        </is>
      </c>
      <c r="D4735" s="1" t="n">
        <v>45320</v>
      </c>
      <c r="E4735" s="1" t="n">
        <v>46316</v>
      </c>
      <c r="F4735" t="inlineStr">
        <is>
          <t>KRONOBERGS LÄN</t>
        </is>
      </c>
      <c r="G4735" t="inlineStr">
        <is>
          <t>LESSEBO</t>
        </is>
      </c>
      <c r="I4735" t="n">
        <v>1.9</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21990-2024</t>
        </is>
      </c>
      <c r="B4736" t="inlineStr">
        <is>
          <t>avverkningsanmälan</t>
        </is>
      </c>
      <c r="C4736" t="inlineStr">
        <is>
          <t>Föryngringsavverkning</t>
        </is>
      </c>
      <c r="D4736" s="1" t="n">
        <v>45443</v>
      </c>
      <c r="E4736" s="1" t="n">
        <v>46316</v>
      </c>
      <c r="F4736" t="inlineStr">
        <is>
          <t>KRONOBERGS LÄN</t>
        </is>
      </c>
      <c r="G4736" t="inlineStr">
        <is>
          <t>VÄXJÖ</t>
        </is>
      </c>
      <c r="I4736" t="n">
        <v>0.5</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47015-2023</t>
        </is>
      </c>
      <c r="B4737" t="inlineStr">
        <is>
          <t>avverkningsanmälan</t>
        </is>
      </c>
      <c r="C4737" t="inlineStr">
        <is>
          <t>Föryngringsavverkning</t>
        </is>
      </c>
      <c r="D4737" s="1" t="n">
        <v>45201</v>
      </c>
      <c r="E4737" s="1" t="n">
        <v>46316</v>
      </c>
      <c r="F4737" t="inlineStr">
        <is>
          <t>KRONOBERGS LÄN</t>
        </is>
      </c>
      <c r="G4737" t="inlineStr">
        <is>
          <t>UPPVIDINGE</t>
        </is>
      </c>
      <c r="I4737" t="n">
        <v>1.2</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11228-2025</t>
        </is>
      </c>
      <c r="B4738" t="inlineStr">
        <is>
          <t>avverkningsanmälan</t>
        </is>
      </c>
      <c r="C4738" t="inlineStr">
        <is>
          <t>Föryngringsavverkning</t>
        </is>
      </c>
      <c r="D4738" s="1" t="n">
        <v>45726</v>
      </c>
      <c r="E4738" s="1" t="n">
        <v>46316</v>
      </c>
      <c r="F4738" t="inlineStr">
        <is>
          <t>KRONOBERGS LÄN</t>
        </is>
      </c>
      <c r="G4738" t="inlineStr">
        <is>
          <t>VÄXJÖ</t>
        </is>
      </c>
      <c r="I4738" t="n">
        <v>5.2</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34386-2023</t>
        </is>
      </c>
      <c r="B4739" t="inlineStr">
        <is>
          <t>avverkningsanmälan</t>
        </is>
      </c>
      <c r="C4739" t="inlineStr">
        <is>
          <t>Föryngringsavverkning</t>
        </is>
      </c>
      <c r="D4739" s="1" t="n">
        <v>45139</v>
      </c>
      <c r="E4739" s="1" t="n">
        <v>46316</v>
      </c>
      <c r="F4739" t="inlineStr">
        <is>
          <t>KRONOBERGS LÄN</t>
        </is>
      </c>
      <c r="G4739" t="inlineStr">
        <is>
          <t>LESSEBO</t>
        </is>
      </c>
      <c r="I4739" t="n">
        <v>0.5</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34464-2023</t>
        </is>
      </c>
      <c r="B4740" t="inlineStr">
        <is>
          <t>avverkningsanmälan</t>
        </is>
      </c>
      <c r="C4740" t="inlineStr">
        <is>
          <t>Föryngringsavverkning</t>
        </is>
      </c>
      <c r="D4740" s="1" t="n">
        <v>45139</v>
      </c>
      <c r="E4740" s="1" t="n">
        <v>46316</v>
      </c>
      <c r="F4740" t="inlineStr">
        <is>
          <t>KRONOBERGS LÄN</t>
        </is>
      </c>
      <c r="G4740" t="inlineStr">
        <is>
          <t>VÄXJÖ</t>
        </is>
      </c>
      <c r="I4740" t="n">
        <v>0.8</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41086-2026</t>
        </is>
      </c>
      <c r="B4741" t="inlineStr">
        <is>
          <t>avverkningsanmälan</t>
        </is>
      </c>
      <c r="C4741" t="inlineStr">
        <is>
          <t>Föryngringsavverkning</t>
        </is>
      </c>
      <c r="D4741" s="1" t="n">
        <v>46300</v>
      </c>
      <c r="E4741" s="1" t="n">
        <v>46316</v>
      </c>
      <c r="F4741" t="inlineStr">
        <is>
          <t>KRONOBERGS LÄN</t>
        </is>
      </c>
      <c r="G4741" t="inlineStr">
        <is>
          <t>VÄXJÖ</t>
        </is>
      </c>
      <c r="I4741" t="n">
        <v>0.7</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41098-2026</t>
        </is>
      </c>
      <c r="B4742" t="inlineStr">
        <is>
          <t>avverkningsanmälan</t>
        </is>
      </c>
      <c r="C4742" t="inlineStr">
        <is>
          <t>Föryngringsavverkning</t>
        </is>
      </c>
      <c r="D4742" s="1" t="n">
        <v>46300</v>
      </c>
      <c r="E4742" s="1" t="n">
        <v>46316</v>
      </c>
      <c r="F4742" t="inlineStr">
        <is>
          <t>KRONOBERGS LÄN</t>
        </is>
      </c>
      <c r="G4742" t="inlineStr">
        <is>
          <t>MARKARYD</t>
        </is>
      </c>
      <c r="H4742" t="inlineStr">
        <is>
          <t>Kommuner</t>
        </is>
      </c>
      <c r="I4742" t="n">
        <v>1</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69361-2021</t>
        </is>
      </c>
      <c r="B4743" t="inlineStr">
        <is>
          <t>avverkningsanmälan</t>
        </is>
      </c>
      <c r="C4743" t="inlineStr">
        <is>
          <t>Föryngringsavverkning</t>
        </is>
      </c>
      <c r="D4743" s="1" t="n">
        <v>44531</v>
      </c>
      <c r="E4743" s="1" t="n">
        <v>46316</v>
      </c>
      <c r="F4743" t="inlineStr">
        <is>
          <t>KRONOBERGS LÄN</t>
        </is>
      </c>
      <c r="G4743" t="inlineStr">
        <is>
          <t>MARKARYD</t>
        </is>
      </c>
      <c r="I4743" t="n">
        <v>2.1</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43500-2023</t>
        </is>
      </c>
      <c r="B4744" t="inlineStr">
        <is>
          <t>avverkningsanmälan</t>
        </is>
      </c>
      <c r="C4744" t="inlineStr">
        <is>
          <t>Föryngringsavverkning</t>
        </is>
      </c>
      <c r="D4744" s="1" t="n">
        <v>45184</v>
      </c>
      <c r="E4744" s="1" t="n">
        <v>46316</v>
      </c>
      <c r="F4744" t="inlineStr">
        <is>
          <t>KRONOBERGS LÄN</t>
        </is>
      </c>
      <c r="G4744" t="inlineStr">
        <is>
          <t>UPPVIDINGE</t>
        </is>
      </c>
      <c r="I4744" t="n">
        <v>1.3</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55342-2024</t>
        </is>
      </c>
      <c r="B4745" t="inlineStr">
        <is>
          <t>avverkningsanmälan</t>
        </is>
      </c>
      <c r="C4745" t="inlineStr">
        <is>
          <t>Föryngringsavverkning</t>
        </is>
      </c>
      <c r="D4745" s="1" t="n">
        <v>45621</v>
      </c>
      <c r="E4745" s="1" t="n">
        <v>46316</v>
      </c>
      <c r="F4745" t="inlineStr">
        <is>
          <t>KRONOBERGS LÄN</t>
        </is>
      </c>
      <c r="G4745" t="inlineStr">
        <is>
          <t>LJUNGBY</t>
        </is>
      </c>
      <c r="I4745" t="n">
        <v>2.4</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11643-2024</t>
        </is>
      </c>
      <c r="B4746" t="inlineStr">
        <is>
          <t>avverkningsanmälan</t>
        </is>
      </c>
      <c r="C4746" t="inlineStr">
        <is>
          <t>Föryngringsavverkning</t>
        </is>
      </c>
      <c r="D4746" s="1" t="n">
        <v>45373</v>
      </c>
      <c r="E4746" s="1" t="n">
        <v>46316</v>
      </c>
      <c r="F4746" t="inlineStr">
        <is>
          <t>KRONOBERGS LÄN</t>
        </is>
      </c>
      <c r="G4746" t="inlineStr">
        <is>
          <t>VÄXJÖ</t>
        </is>
      </c>
      <c r="I4746" t="n">
        <v>0.9</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41406-2026</t>
        </is>
      </c>
      <c r="B4747" t="inlineStr">
        <is>
          <t>avverkningsanmälan</t>
        </is>
      </c>
      <c r="C4747" t="inlineStr">
        <is>
          <t>Föryngringsavverkning</t>
        </is>
      </c>
      <c r="D4747" s="1" t="n">
        <v>46301</v>
      </c>
      <c r="E4747" s="1" t="n">
        <v>46316</v>
      </c>
      <c r="F4747" t="inlineStr">
        <is>
          <t>KRONOBERGS LÄN</t>
        </is>
      </c>
      <c r="G4747" t="inlineStr">
        <is>
          <t>TINGSRYD</t>
        </is>
      </c>
      <c r="I4747" t="n">
        <v>1.4</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29076-2026</t>
        </is>
      </c>
      <c r="B4748" t="inlineStr">
        <is>
          <t>avverkningsanmälan</t>
        </is>
      </c>
      <c r="C4748" t="inlineStr">
        <is>
          <t>Föryngringsavverkning</t>
        </is>
      </c>
      <c r="D4748" s="1" t="n">
        <v>46199</v>
      </c>
      <c r="E4748" s="1" t="n">
        <v>46316</v>
      </c>
      <c r="F4748" t="inlineStr">
        <is>
          <t>KRONOBERGS LÄN</t>
        </is>
      </c>
      <c r="G4748" t="inlineStr">
        <is>
          <t>VÄXJÖ</t>
        </is>
      </c>
      <c r="I4748" t="n">
        <v>10.8</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11195-2023</t>
        </is>
      </c>
      <c r="B4749" t="inlineStr">
        <is>
          <t>avverkningsanmälan</t>
        </is>
      </c>
      <c r="C4749" t="inlineStr">
        <is>
          <t>Föryngringsavverkning</t>
        </is>
      </c>
      <c r="D4749" s="1" t="n">
        <v>44992</v>
      </c>
      <c r="E4749" s="1" t="n">
        <v>46316</v>
      </c>
      <c r="F4749" t="inlineStr">
        <is>
          <t>KRONOBERGS LÄN</t>
        </is>
      </c>
      <c r="G4749" t="inlineStr">
        <is>
          <t>ÄLMHULT</t>
        </is>
      </c>
      <c r="I4749" t="n">
        <v>1.6</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41035-2026</t>
        </is>
      </c>
      <c r="B4750" t="inlineStr">
        <is>
          <t>avverkningsanmälan</t>
        </is>
      </c>
      <c r="C4750" t="inlineStr">
        <is>
          <t>Föryngringsavverkning</t>
        </is>
      </c>
      <c r="D4750" s="1" t="n">
        <v>46298</v>
      </c>
      <c r="E4750" s="1" t="n">
        <v>46316</v>
      </c>
      <c r="F4750" t="inlineStr">
        <is>
          <t>KRONOBERGS LÄN</t>
        </is>
      </c>
      <c r="G4750" t="inlineStr">
        <is>
          <t>LJUNGBY</t>
        </is>
      </c>
      <c r="I4750" t="n">
        <v>2.6</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22969-2024</t>
        </is>
      </c>
      <c r="B4751" t="inlineStr">
        <is>
          <t>avverkningsanmälan</t>
        </is>
      </c>
      <c r="C4751" t="inlineStr">
        <is>
          <t>Föryngringsavverkning</t>
        </is>
      </c>
      <c r="D4751" s="1" t="n">
        <v>45449</v>
      </c>
      <c r="E4751" s="1" t="n">
        <v>46316</v>
      </c>
      <c r="F4751" t="inlineStr">
        <is>
          <t>KRONOBERGS LÄN</t>
        </is>
      </c>
      <c r="G4751" t="inlineStr">
        <is>
          <t>TINGSRYD</t>
        </is>
      </c>
      <c r="I4751" t="n">
        <v>0.3</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22970-2024</t>
        </is>
      </c>
      <c r="B4752" t="inlineStr">
        <is>
          <t>avverkningsanmälan</t>
        </is>
      </c>
      <c r="C4752" t="inlineStr">
        <is>
          <t>Föryngringsavverkning</t>
        </is>
      </c>
      <c r="D4752" s="1" t="n">
        <v>45449</v>
      </c>
      <c r="E4752" s="1" t="n">
        <v>46316</v>
      </c>
      <c r="F4752" t="inlineStr">
        <is>
          <t>KRONOBERGS LÄN</t>
        </is>
      </c>
      <c r="G4752" t="inlineStr">
        <is>
          <t>TINGSRYD</t>
        </is>
      </c>
      <c r="I4752" t="n">
        <v>0.5</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55973-2023</t>
        </is>
      </c>
      <c r="B4753" t="inlineStr">
        <is>
          <t>avverkningsanmälan</t>
        </is>
      </c>
      <c r="C4753" t="inlineStr">
        <is>
          <t>Föryngringsavverkning</t>
        </is>
      </c>
      <c r="D4753" s="1" t="n">
        <v>45240</v>
      </c>
      <c r="E4753" s="1" t="n">
        <v>46316</v>
      </c>
      <c r="F4753" t="inlineStr">
        <is>
          <t>KRONOBERGS LÄN</t>
        </is>
      </c>
      <c r="G4753" t="inlineStr">
        <is>
          <t>TINGSRYD</t>
        </is>
      </c>
      <c r="I4753" t="n">
        <v>1.5</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56001-2023</t>
        </is>
      </c>
      <c r="B4754" t="inlineStr">
        <is>
          <t>avverkningsanmälan</t>
        </is>
      </c>
      <c r="C4754" t="inlineStr">
        <is>
          <t>Föryngringsavverkning</t>
        </is>
      </c>
      <c r="D4754" s="1" t="n">
        <v>45240</v>
      </c>
      <c r="E4754" s="1" t="n">
        <v>46316</v>
      </c>
      <c r="F4754" t="inlineStr">
        <is>
          <t>KRONOBERGS LÄN</t>
        </is>
      </c>
      <c r="G4754" t="inlineStr">
        <is>
          <t>TINGSRYD</t>
        </is>
      </c>
      <c r="I4754" t="n">
        <v>0.5</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34214-2024</t>
        </is>
      </c>
      <c r="B4755" t="inlineStr">
        <is>
          <t>avverkningsanmälan</t>
        </is>
      </c>
      <c r="C4755" t="inlineStr">
        <is>
          <t>Föryngringsavverkning</t>
        </is>
      </c>
      <c r="D4755" s="1" t="n">
        <v>45524</v>
      </c>
      <c r="E4755" s="1" t="n">
        <v>46316</v>
      </c>
      <c r="F4755" t="inlineStr">
        <is>
          <t>KRONOBERGS LÄN</t>
        </is>
      </c>
      <c r="G4755" t="inlineStr">
        <is>
          <t>ALVESTA</t>
        </is>
      </c>
      <c r="I4755" t="n">
        <v>1.2</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41562-2026</t>
        </is>
      </c>
      <c r="B4756" t="inlineStr">
        <is>
          <t>avverkningsanmälan</t>
        </is>
      </c>
      <c r="C4756" t="inlineStr">
        <is>
          <t>Föryngringsavverkning</t>
        </is>
      </c>
      <c r="D4756" s="1" t="n">
        <v>46301</v>
      </c>
      <c r="E4756" s="1" t="n">
        <v>46316</v>
      </c>
      <c r="F4756" t="inlineStr">
        <is>
          <t>KRONOBERGS LÄN</t>
        </is>
      </c>
      <c r="G4756" t="inlineStr">
        <is>
          <t>UPPVIDINGE</t>
        </is>
      </c>
      <c r="I4756" t="n">
        <v>0.7</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39150-2023</t>
        </is>
      </c>
      <c r="B4757" t="inlineStr">
        <is>
          <t>avverkningsanmälan</t>
        </is>
      </c>
      <c r="C4757" t="inlineStr">
        <is>
          <t>Föryngringsavverkning</t>
        </is>
      </c>
      <c r="D4757" s="1" t="n">
        <v>45166</v>
      </c>
      <c r="E4757" s="1" t="n">
        <v>46316</v>
      </c>
      <c r="F4757" t="inlineStr">
        <is>
          <t>KRONOBERGS LÄN</t>
        </is>
      </c>
      <c r="G4757" t="inlineStr">
        <is>
          <t>TINGSRYD</t>
        </is>
      </c>
      <c r="I4757" t="n">
        <v>1.5</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39151-2023</t>
        </is>
      </c>
      <c r="B4758" t="inlineStr">
        <is>
          <t>avverkningsanmälan</t>
        </is>
      </c>
      <c r="C4758" t="inlineStr">
        <is>
          <t>Föryngringsavverkning</t>
        </is>
      </c>
      <c r="D4758" s="1" t="n">
        <v>45166</v>
      </c>
      <c r="E4758" s="1" t="n">
        <v>46316</v>
      </c>
      <c r="F4758" t="inlineStr">
        <is>
          <t>KRONOBERGS LÄN</t>
        </is>
      </c>
      <c r="G4758" t="inlineStr">
        <is>
          <t>MARKARYD</t>
        </is>
      </c>
      <c r="I4758" t="n">
        <v>0.6</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49373-2023</t>
        </is>
      </c>
      <c r="B4759" t="inlineStr">
        <is>
          <t>avverkningsanmälan</t>
        </is>
      </c>
      <c r="C4759" t="inlineStr">
        <is>
          <t>Föryngringsavverkning</t>
        </is>
      </c>
      <c r="D4759" s="1" t="n">
        <v>45211</v>
      </c>
      <c r="E4759" s="1" t="n">
        <v>46316</v>
      </c>
      <c r="F4759" t="inlineStr">
        <is>
          <t>KRONOBERGS LÄN</t>
        </is>
      </c>
      <c r="G4759" t="inlineStr">
        <is>
          <t>UPPVIDINGE</t>
        </is>
      </c>
      <c r="I4759" t="n">
        <v>2.9</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53917-2022</t>
        </is>
      </c>
      <c r="B4760" t="inlineStr">
        <is>
          <t>avverkningsanmälan</t>
        </is>
      </c>
      <c r="C4760" t="inlineStr">
        <is>
          <t>Föryngringsavverkning</t>
        </is>
      </c>
      <c r="D4760" s="1" t="n">
        <v>44880</v>
      </c>
      <c r="E4760" s="1" t="n">
        <v>46316</v>
      </c>
      <c r="F4760" t="inlineStr">
        <is>
          <t>KRONOBERGS LÄN</t>
        </is>
      </c>
      <c r="G4760" t="inlineStr">
        <is>
          <t>ALVESTA</t>
        </is>
      </c>
      <c r="I4760" t="n">
        <v>0.7</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9826-2023</t>
        </is>
      </c>
      <c r="B4761" t="inlineStr">
        <is>
          <t>avverkningsanmälan</t>
        </is>
      </c>
      <c r="C4761" t="inlineStr">
        <is>
          <t>Föryngringsavverkning</t>
        </is>
      </c>
      <c r="D4761" s="1" t="n">
        <v>44984</v>
      </c>
      <c r="E4761" s="1" t="n">
        <v>46316</v>
      </c>
      <c r="F4761" t="inlineStr">
        <is>
          <t>KRONOBERGS LÄN</t>
        </is>
      </c>
      <c r="G4761" t="inlineStr">
        <is>
          <t>TINGSRYD</t>
        </is>
      </c>
      <c r="I4761" t="n">
        <v>12.4</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59492-2022</t>
        </is>
      </c>
      <c r="B4762" t="inlineStr">
        <is>
          <t>avverkningsanmälan</t>
        </is>
      </c>
      <c r="C4762" t="inlineStr">
        <is>
          <t>Föryngringsavverkning</t>
        </is>
      </c>
      <c r="D4762" s="1" t="n">
        <v>44907</v>
      </c>
      <c r="E4762" s="1" t="n">
        <v>46316</v>
      </c>
      <c r="F4762" t="inlineStr">
        <is>
          <t>KRONOBERGS LÄN</t>
        </is>
      </c>
      <c r="G4762" t="inlineStr">
        <is>
          <t>ALVESTA</t>
        </is>
      </c>
      <c r="I4762" t="n">
        <v>0.5</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41058-2026</t>
        </is>
      </c>
      <c r="B4763" t="inlineStr">
        <is>
          <t>avverkningsanmälan</t>
        </is>
      </c>
      <c r="C4763" t="inlineStr">
        <is>
          <t>Föryngringsavverkning</t>
        </is>
      </c>
      <c r="D4763" s="1" t="n">
        <v>46300</v>
      </c>
      <c r="E4763" s="1" t="n">
        <v>46316</v>
      </c>
      <c r="F4763" t="inlineStr">
        <is>
          <t>KRONOBERGS LÄN</t>
        </is>
      </c>
      <c r="G4763" t="inlineStr">
        <is>
          <t>UPPVIDINGE</t>
        </is>
      </c>
      <c r="I4763" t="n">
        <v>3</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41278-2026</t>
        </is>
      </c>
      <c r="B4764" t="inlineStr">
        <is>
          <t>avverkningsanmälan</t>
        </is>
      </c>
      <c r="C4764" t="inlineStr">
        <is>
          <t>Föryngringsavverkning</t>
        </is>
      </c>
      <c r="D4764" s="1" t="n">
        <v>46300</v>
      </c>
      <c r="E4764" s="1" t="n">
        <v>46316</v>
      </c>
      <c r="F4764" t="inlineStr">
        <is>
          <t>KRONOBERGS LÄN</t>
        </is>
      </c>
      <c r="G4764" t="inlineStr">
        <is>
          <t>VÄXJÖ</t>
        </is>
      </c>
      <c r="I4764" t="n">
        <v>2.4</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33114-2023</t>
        </is>
      </c>
      <c r="B4765" t="inlineStr">
        <is>
          <t>avverkningsanmälan</t>
        </is>
      </c>
      <c r="C4765" t="inlineStr">
        <is>
          <t>Avverkning för annat ändamål</t>
        </is>
      </c>
      <c r="D4765" s="1" t="n">
        <v>45126</v>
      </c>
      <c r="E4765" s="1" t="n">
        <v>46316</v>
      </c>
      <c r="F4765" t="inlineStr">
        <is>
          <t>KRONOBERGS LÄN</t>
        </is>
      </c>
      <c r="G4765" t="inlineStr">
        <is>
          <t>LJUNGBY</t>
        </is>
      </c>
      <c r="I4765" t="n">
        <v>0.8</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37126-2023</t>
        </is>
      </c>
      <c r="B4766" t="inlineStr">
        <is>
          <t>avverkningsanmälan</t>
        </is>
      </c>
      <c r="C4766" t="inlineStr">
        <is>
          <t>Föryngringsavverkning</t>
        </is>
      </c>
      <c r="D4766" s="1" t="n">
        <v>45155</v>
      </c>
      <c r="E4766" s="1" t="n">
        <v>46316</v>
      </c>
      <c r="F4766" t="inlineStr">
        <is>
          <t>KRONOBERGS LÄN</t>
        </is>
      </c>
      <c r="G4766" t="inlineStr">
        <is>
          <t>TINGSRYD</t>
        </is>
      </c>
      <c r="I4766" t="n">
        <v>0.9</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34661-2026</t>
        </is>
      </c>
      <c r="B4767" t="inlineStr">
        <is>
          <t>avverkningsanmälan</t>
        </is>
      </c>
      <c r="C4767" t="inlineStr">
        <is>
          <t>Föryngringsavverkning</t>
        </is>
      </c>
      <c r="D4767" s="1" t="n">
        <v>46257</v>
      </c>
      <c r="E4767" s="1" t="n">
        <v>46316</v>
      </c>
      <c r="F4767" t="inlineStr">
        <is>
          <t>KRONOBERGS LÄN</t>
        </is>
      </c>
      <c r="G4767" t="inlineStr">
        <is>
          <t>LESSEBO</t>
        </is>
      </c>
      <c r="I4767" t="n">
        <v>3.7</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59250-2023</t>
        </is>
      </c>
      <c r="B4768" t="inlineStr">
        <is>
          <t>avverkningsanmälan</t>
        </is>
      </c>
      <c r="C4768" t="inlineStr">
        <is>
          <t>Föryngringsavverkning</t>
        </is>
      </c>
      <c r="D4768" s="1" t="n">
        <v>45253</v>
      </c>
      <c r="E4768" s="1" t="n">
        <v>46316</v>
      </c>
      <c r="F4768" t="inlineStr">
        <is>
          <t>KRONOBERGS LÄN</t>
        </is>
      </c>
      <c r="G4768" t="inlineStr">
        <is>
          <t>LJUNGBY</t>
        </is>
      </c>
      <c r="I4768" t="n">
        <v>0.4</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10795-2024</t>
        </is>
      </c>
      <c r="B4769" t="inlineStr">
        <is>
          <t>avverkningsanmälan</t>
        </is>
      </c>
      <c r="C4769" t="inlineStr">
        <is>
          <t>Föryngringsavverkning</t>
        </is>
      </c>
      <c r="D4769" s="1" t="n">
        <v>45369</v>
      </c>
      <c r="E4769" s="1" t="n">
        <v>46316</v>
      </c>
      <c r="F4769" t="inlineStr">
        <is>
          <t>KRONOBERGS LÄN</t>
        </is>
      </c>
      <c r="G4769" t="inlineStr">
        <is>
          <t>VÄXJÖ</t>
        </is>
      </c>
      <c r="I4769" t="n">
        <v>0.5</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34754-2026</t>
        </is>
      </c>
      <c r="B4770" t="inlineStr">
        <is>
          <t>avverkningsanmälan</t>
        </is>
      </c>
      <c r="C4770" t="inlineStr">
        <is>
          <t>Föryngringsavverkning</t>
        </is>
      </c>
      <c r="D4770" s="1" t="n">
        <v>46258</v>
      </c>
      <c r="E4770" s="1" t="n">
        <v>46316</v>
      </c>
      <c r="F4770" t="inlineStr">
        <is>
          <t>KRONOBERGS LÄN</t>
        </is>
      </c>
      <c r="G4770" t="inlineStr">
        <is>
          <t>VÄXJÖ</t>
        </is>
      </c>
      <c r="I4770" t="n">
        <v>1</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37721-2022</t>
        </is>
      </c>
      <c r="B4771" t="inlineStr">
        <is>
          <t>avverkningsanmälan</t>
        </is>
      </c>
      <c r="C4771" t="inlineStr">
        <is>
          <t>Föryngringsavverkning</t>
        </is>
      </c>
      <c r="D4771" s="1" t="n">
        <v>44810</v>
      </c>
      <c r="E4771" s="1" t="n">
        <v>46316</v>
      </c>
      <c r="F4771" t="inlineStr">
        <is>
          <t>KRONOBERGS LÄN</t>
        </is>
      </c>
      <c r="G4771" t="inlineStr">
        <is>
          <t>LJUNGBY</t>
        </is>
      </c>
      <c r="I4771" t="n">
        <v>1.2</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26230-2026</t>
        </is>
      </c>
      <c r="B4772" t="inlineStr">
        <is>
          <t>avverkningsanmälan</t>
        </is>
      </c>
      <c r="C4772" t="inlineStr">
        <is>
          <t>Föryngringsavverkning</t>
        </is>
      </c>
      <c r="D4772" s="1" t="n">
        <v>46182</v>
      </c>
      <c r="E4772" s="1" t="n">
        <v>46316</v>
      </c>
      <c r="F4772" t="inlineStr">
        <is>
          <t>KRONOBERGS LÄN</t>
        </is>
      </c>
      <c r="G4772" t="inlineStr">
        <is>
          <t>LJUNGBY</t>
        </is>
      </c>
      <c r="I4772" t="n">
        <v>1.5</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62320-2022</t>
        </is>
      </c>
      <c r="B4773" t="inlineStr">
        <is>
          <t>avverkningsanmälan</t>
        </is>
      </c>
      <c r="C4773" t="inlineStr">
        <is>
          <t>Föryngringsavverkning</t>
        </is>
      </c>
      <c r="D4773" s="1" t="n">
        <v>44923</v>
      </c>
      <c r="E4773" s="1" t="n">
        <v>46316</v>
      </c>
      <c r="F4773" t="inlineStr">
        <is>
          <t>KRONOBERGS LÄN</t>
        </is>
      </c>
      <c r="G4773" t="inlineStr">
        <is>
          <t>UPPVIDINGE</t>
        </is>
      </c>
      <c r="I4773" t="n">
        <v>1.4</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62366-2022</t>
        </is>
      </c>
      <c r="B4774" t="inlineStr">
        <is>
          <t>avverkningsanmälan</t>
        </is>
      </c>
      <c r="C4774" t="inlineStr">
        <is>
          <t>Föryngringsavverkning</t>
        </is>
      </c>
      <c r="D4774" s="1" t="n">
        <v>44923</v>
      </c>
      <c r="E4774" s="1" t="n">
        <v>46316</v>
      </c>
      <c r="F4774" t="inlineStr">
        <is>
          <t>KRONOBERGS LÄN</t>
        </is>
      </c>
      <c r="G4774" t="inlineStr">
        <is>
          <t>LJUNGBY</t>
        </is>
      </c>
      <c r="I4774" t="n">
        <v>0</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30678-2023</t>
        </is>
      </c>
      <c r="B4775" t="inlineStr">
        <is>
          <t>avverkningsanmälan</t>
        </is>
      </c>
      <c r="C4775" t="inlineStr">
        <is>
          <t>Föryngringsavverkning</t>
        </is>
      </c>
      <c r="D4775" s="1" t="n">
        <v>45112</v>
      </c>
      <c r="E4775" s="1" t="n">
        <v>46316</v>
      </c>
      <c r="F4775" t="inlineStr">
        <is>
          <t>KRONOBERGS LÄN</t>
        </is>
      </c>
      <c r="G4775" t="inlineStr">
        <is>
          <t>TINGSRYD</t>
        </is>
      </c>
      <c r="I4775" t="n">
        <v>4.5</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33279-2023</t>
        </is>
      </c>
      <c r="B4776" t="inlineStr">
        <is>
          <t>avverkningsanmälan</t>
        </is>
      </c>
      <c r="C4776" t="inlineStr">
        <is>
          <t>Föryngringsavverkning</t>
        </is>
      </c>
      <c r="D4776" s="1" t="n">
        <v>45127</v>
      </c>
      <c r="E4776" s="1" t="n">
        <v>46316</v>
      </c>
      <c r="F4776" t="inlineStr">
        <is>
          <t>KRONOBERGS LÄN</t>
        </is>
      </c>
      <c r="G4776" t="inlineStr">
        <is>
          <t>VÄXJÖ</t>
        </is>
      </c>
      <c r="I4776" t="n">
        <v>0.8</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33283-2023</t>
        </is>
      </c>
      <c r="B4777" t="inlineStr">
        <is>
          <t>avverkningsanmälan</t>
        </is>
      </c>
      <c r="C4777" t="inlineStr">
        <is>
          <t>Föryngringsavverkning</t>
        </is>
      </c>
      <c r="D4777" s="1" t="n">
        <v>45127</v>
      </c>
      <c r="E4777" s="1" t="n">
        <v>46316</v>
      </c>
      <c r="F4777" t="inlineStr">
        <is>
          <t>KRONOBERGS LÄN</t>
        </is>
      </c>
      <c r="G4777" t="inlineStr">
        <is>
          <t>VÄXJÖ</t>
        </is>
      </c>
      <c r="I4777" t="n">
        <v>0.6</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21546-2023</t>
        </is>
      </c>
      <c r="B4778" t="inlineStr">
        <is>
          <t>avverkningsanmälan</t>
        </is>
      </c>
      <c r="C4778" t="inlineStr">
        <is>
          <t>Föryngringsavverkning</t>
        </is>
      </c>
      <c r="D4778" s="1" t="n">
        <v>45063</v>
      </c>
      <c r="E4778" s="1" t="n">
        <v>46316</v>
      </c>
      <c r="F4778" t="inlineStr">
        <is>
          <t>KRONOBERGS LÄN</t>
        </is>
      </c>
      <c r="G4778" t="inlineStr">
        <is>
          <t>LESSEBO</t>
        </is>
      </c>
      <c r="I4778" t="n">
        <v>1</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42411-2023</t>
        </is>
      </c>
      <c r="B4779" t="inlineStr">
        <is>
          <t>avverkningsanmälan</t>
        </is>
      </c>
      <c r="C4779" t="inlineStr">
        <is>
          <t>Föryngringsavverkning</t>
        </is>
      </c>
      <c r="D4779" s="1" t="n">
        <v>45180</v>
      </c>
      <c r="E4779" s="1" t="n">
        <v>46316</v>
      </c>
      <c r="F4779" t="inlineStr">
        <is>
          <t>KRONOBERGS LÄN</t>
        </is>
      </c>
      <c r="G4779" t="inlineStr">
        <is>
          <t>ALVESTA</t>
        </is>
      </c>
      <c r="I4779" t="n">
        <v>0.7</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15864-2022</t>
        </is>
      </c>
      <c r="B4780" t="inlineStr">
        <is>
          <t>avverkningsanmälan</t>
        </is>
      </c>
      <c r="C4780" t="inlineStr">
        <is>
          <t>Föryngringsavverkning</t>
        </is>
      </c>
      <c r="D4780" s="1" t="n">
        <v>44664</v>
      </c>
      <c r="E4780" s="1" t="n">
        <v>46316</v>
      </c>
      <c r="F4780" t="inlineStr">
        <is>
          <t>KRONOBERGS LÄN</t>
        </is>
      </c>
      <c r="G4780" t="inlineStr">
        <is>
          <t>LESSEBO</t>
        </is>
      </c>
      <c r="I4780" t="n">
        <v>2.7</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28445-2023</t>
        </is>
      </c>
      <c r="B4781" t="inlineStr">
        <is>
          <t>avverkningsanmälan</t>
        </is>
      </c>
      <c r="C4781" t="inlineStr">
        <is>
          <t>Föryngringsavverkning</t>
        </is>
      </c>
      <c r="D4781" s="1" t="n">
        <v>45103</v>
      </c>
      <c r="E4781" s="1" t="n">
        <v>46316</v>
      </c>
      <c r="F4781" t="inlineStr">
        <is>
          <t>KRONOBERGS LÄN</t>
        </is>
      </c>
      <c r="G4781" t="inlineStr">
        <is>
          <t>UPPVIDINGE</t>
        </is>
      </c>
      <c r="I4781" t="n">
        <v>1</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43757-2023</t>
        </is>
      </c>
      <c r="B4782" t="inlineStr">
        <is>
          <t>avverkningsanmälan</t>
        </is>
      </c>
      <c r="C4782" t="inlineStr">
        <is>
          <t>Föryngringsavverkning</t>
        </is>
      </c>
      <c r="D4782" s="1" t="n">
        <v>45187</v>
      </c>
      <c r="E4782" s="1" t="n">
        <v>46316</v>
      </c>
      <c r="F4782" t="inlineStr">
        <is>
          <t>KRONOBERGS LÄN</t>
        </is>
      </c>
      <c r="G4782" t="inlineStr">
        <is>
          <t>LJUNGBY</t>
        </is>
      </c>
      <c r="I4782" t="n">
        <v>1.7</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11438-2024</t>
        </is>
      </c>
      <c r="B4783" t="inlineStr">
        <is>
          <t>avverkningsanmälan</t>
        </is>
      </c>
      <c r="C4783" t="inlineStr">
        <is>
          <t>Föryngringsavverkning</t>
        </is>
      </c>
      <c r="D4783" s="1" t="n">
        <v>45372</v>
      </c>
      <c r="E4783" s="1" t="n">
        <v>46316</v>
      </c>
      <c r="F4783" t="inlineStr">
        <is>
          <t>KRONOBERGS LÄN</t>
        </is>
      </c>
      <c r="G4783" t="inlineStr">
        <is>
          <t>VÄXJÖ</t>
        </is>
      </c>
      <c r="I4783" t="n">
        <v>7.3</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51557-2025</t>
        </is>
      </c>
      <c r="B4784" t="inlineStr">
        <is>
          <t>avverkningsanmälan</t>
        </is>
      </c>
      <c r="C4784" t="inlineStr">
        <is>
          <t>Föryngringsavverkning</t>
        </is>
      </c>
      <c r="D4784" s="1" t="n">
        <v>45950</v>
      </c>
      <c r="E4784" s="1" t="n">
        <v>46316</v>
      </c>
      <c r="F4784" t="inlineStr">
        <is>
          <t>KRONOBERGS LÄN</t>
        </is>
      </c>
      <c r="G4784" t="inlineStr">
        <is>
          <t>TINGSRYD</t>
        </is>
      </c>
      <c r="I4784" t="n">
        <v>0.7</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51394-2023</t>
        </is>
      </c>
      <c r="B4785" t="inlineStr">
        <is>
          <t>avverkningsanmälan</t>
        </is>
      </c>
      <c r="C4785" t="inlineStr">
        <is>
          <t>Föryngringsavverkning</t>
        </is>
      </c>
      <c r="D4785" s="1" t="n">
        <v>45219</v>
      </c>
      <c r="E4785" s="1" t="n">
        <v>46316</v>
      </c>
      <c r="F4785" t="inlineStr">
        <is>
          <t>KRONOBERGS LÄN</t>
        </is>
      </c>
      <c r="G4785" t="inlineStr">
        <is>
          <t>VÄXJÖ</t>
        </is>
      </c>
      <c r="I4785" t="n">
        <v>0.5</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49017-2024</t>
        </is>
      </c>
      <c r="B4786" t="inlineStr">
        <is>
          <t>avverkningsanmälan</t>
        </is>
      </c>
      <c r="C4786" t="inlineStr">
        <is>
          <t>Föryngringsavverkning</t>
        </is>
      </c>
      <c r="D4786" s="1" t="n">
        <v>45594</v>
      </c>
      <c r="E4786" s="1" t="n">
        <v>46316</v>
      </c>
      <c r="F4786" t="inlineStr">
        <is>
          <t>KRONOBERGS LÄN</t>
        </is>
      </c>
      <c r="G4786" t="inlineStr">
        <is>
          <t>VÄXJÖ</t>
        </is>
      </c>
      <c r="H4786" t="inlineStr">
        <is>
          <t>Sveaskog</t>
        </is>
      </c>
      <c r="I4786" t="n">
        <v>1.4</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49021-2024</t>
        </is>
      </c>
      <c r="B4787" t="inlineStr">
        <is>
          <t>avverkningsanmälan</t>
        </is>
      </c>
      <c r="C4787" t="inlineStr">
        <is>
          <t>Föryngringsavverkning</t>
        </is>
      </c>
      <c r="D4787" s="1" t="n">
        <v>45594</v>
      </c>
      <c r="E4787" s="1" t="n">
        <v>46316</v>
      </c>
      <c r="F4787" t="inlineStr">
        <is>
          <t>KRONOBERGS LÄN</t>
        </is>
      </c>
      <c r="G4787" t="inlineStr">
        <is>
          <t>VÄXJÖ</t>
        </is>
      </c>
      <c r="H4787" t="inlineStr">
        <is>
          <t>Sveaskog</t>
        </is>
      </c>
      <c r="I4787" t="n">
        <v>3.6</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41932-2026</t>
        </is>
      </c>
      <c r="B4788" t="inlineStr">
        <is>
          <t>avverkningsanmälan</t>
        </is>
      </c>
      <c r="C4788" t="inlineStr">
        <is>
          <t>Föryngringsavverkning</t>
        </is>
      </c>
      <c r="D4788" s="1" t="n">
        <v>46303</v>
      </c>
      <c r="E4788" s="1" t="n">
        <v>46316</v>
      </c>
      <c r="F4788" t="inlineStr">
        <is>
          <t>KRONOBERGS LÄN</t>
        </is>
      </c>
      <c r="G4788" t="inlineStr">
        <is>
          <t>TINGSRYD</t>
        </is>
      </c>
      <c r="I4788" t="n">
        <v>0.6</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23319-2023</t>
        </is>
      </c>
      <c r="B4789" t="inlineStr">
        <is>
          <t>avverkningsanmälan</t>
        </is>
      </c>
      <c r="C4789" t="inlineStr">
        <is>
          <t>Föryngringsavverkning</t>
        </is>
      </c>
      <c r="D4789" s="1" t="n">
        <v>45076</v>
      </c>
      <c r="E4789" s="1" t="n">
        <v>46316</v>
      </c>
      <c r="F4789" t="inlineStr">
        <is>
          <t>KRONOBERGS LÄN</t>
        </is>
      </c>
      <c r="G4789" t="inlineStr">
        <is>
          <t>LJUNGBY</t>
        </is>
      </c>
      <c r="I4789" t="n">
        <v>1.9</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18823-2022</t>
        </is>
      </c>
      <c r="B4790" t="inlineStr">
        <is>
          <t>avverkningsanmälan</t>
        </is>
      </c>
      <c r="C4790" t="inlineStr">
        <is>
          <t>Föryngringsavverkning</t>
        </is>
      </c>
      <c r="D4790" s="1" t="n">
        <v>44690</v>
      </c>
      <c r="E4790" s="1" t="n">
        <v>46316</v>
      </c>
      <c r="F4790" t="inlineStr">
        <is>
          <t>KRONOBERGS LÄN</t>
        </is>
      </c>
      <c r="G4790" t="inlineStr">
        <is>
          <t>VÄXJÖ</t>
        </is>
      </c>
      <c r="I4790" t="n">
        <v>1</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35223-2026</t>
        </is>
      </c>
      <c r="B4791" t="inlineStr">
        <is>
          <t>avverkningsanmälan</t>
        </is>
      </c>
      <c r="C4791" t="inlineStr">
        <is>
          <t>Föryngringsavverkning</t>
        </is>
      </c>
      <c r="D4791" s="1" t="n">
        <v>46260</v>
      </c>
      <c r="E4791" s="1" t="n">
        <v>46316</v>
      </c>
      <c r="F4791" t="inlineStr">
        <is>
          <t>KRONOBERGS LÄN</t>
        </is>
      </c>
      <c r="G4791" t="inlineStr">
        <is>
          <t>UPPVIDINGE</t>
        </is>
      </c>
      <c r="I4791" t="n">
        <v>0.6</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35224-2026</t>
        </is>
      </c>
      <c r="B4792" t="inlineStr">
        <is>
          <t>avverkningsanmälan</t>
        </is>
      </c>
      <c r="C4792" t="inlineStr">
        <is>
          <t>Föryngringsavverkning</t>
        </is>
      </c>
      <c r="D4792" s="1" t="n">
        <v>46260</v>
      </c>
      <c r="E4792" s="1" t="n">
        <v>46316</v>
      </c>
      <c r="F4792" t="inlineStr">
        <is>
          <t>KRONOBERGS LÄN</t>
        </is>
      </c>
      <c r="G4792" t="inlineStr">
        <is>
          <t>UPPVIDINGE</t>
        </is>
      </c>
      <c r="I4792" t="n">
        <v>1.3</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56853-2023</t>
        </is>
      </c>
      <c r="B4793" t="inlineStr">
        <is>
          <t>avverkningsanmälan</t>
        </is>
      </c>
      <c r="C4793" t="inlineStr">
        <is>
          <t>Föryngringsavverkning</t>
        </is>
      </c>
      <c r="D4793" s="1" t="n">
        <v>45244</v>
      </c>
      <c r="E4793" s="1" t="n">
        <v>46316</v>
      </c>
      <c r="F4793" t="inlineStr">
        <is>
          <t>KRONOBERGS LÄN</t>
        </is>
      </c>
      <c r="G4793" t="inlineStr">
        <is>
          <t>ÄLMHULT</t>
        </is>
      </c>
      <c r="I4793" t="n">
        <v>0.5</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34209-2024</t>
        </is>
      </c>
      <c r="B4794" t="inlineStr">
        <is>
          <t>avverkningsanmälan</t>
        </is>
      </c>
      <c r="C4794" t="inlineStr">
        <is>
          <t>Föryngringsavverkning</t>
        </is>
      </c>
      <c r="D4794" s="1" t="n">
        <v>45524</v>
      </c>
      <c r="E4794" s="1" t="n">
        <v>46316</v>
      </c>
      <c r="F4794" t="inlineStr">
        <is>
          <t>KRONOBERGS LÄN</t>
        </is>
      </c>
      <c r="G4794" t="inlineStr">
        <is>
          <t>LJUNGBY</t>
        </is>
      </c>
      <c r="I4794" t="n">
        <v>12.1</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41669-2026</t>
        </is>
      </c>
      <c r="B4795" t="inlineStr">
        <is>
          <t>avverkningsanmälan</t>
        </is>
      </c>
      <c r="C4795" t="inlineStr">
        <is>
          <t>Föryngringsavverkning</t>
        </is>
      </c>
      <c r="D4795" s="1" t="n">
        <v>46301</v>
      </c>
      <c r="E4795" s="1" t="n">
        <v>46316</v>
      </c>
      <c r="F4795" t="inlineStr">
        <is>
          <t>KRONOBERGS LÄN</t>
        </is>
      </c>
      <c r="G4795" t="inlineStr">
        <is>
          <t>LJUNGBY</t>
        </is>
      </c>
      <c r="I4795" t="n">
        <v>2</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4557-2025</t>
        </is>
      </c>
      <c r="B4796" t="inlineStr">
        <is>
          <t>avverkningsanmälan</t>
        </is>
      </c>
      <c r="C4796" t="inlineStr">
        <is>
          <t>Föryngringsavverkning</t>
        </is>
      </c>
      <c r="D4796" s="1" t="n">
        <v>45687</v>
      </c>
      <c r="E4796" s="1" t="n">
        <v>46316</v>
      </c>
      <c r="F4796" t="inlineStr">
        <is>
          <t>KRONOBERGS LÄN</t>
        </is>
      </c>
      <c r="G4796" t="inlineStr">
        <is>
          <t>MARKARYD</t>
        </is>
      </c>
      <c r="I4796" t="n">
        <v>1</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4577-2025</t>
        </is>
      </c>
      <c r="B4797" t="inlineStr">
        <is>
          <t>avverkningsanmälan</t>
        </is>
      </c>
      <c r="C4797" t="inlineStr">
        <is>
          <t>Föryngringsavverkning</t>
        </is>
      </c>
      <c r="D4797" s="1" t="n">
        <v>45687</v>
      </c>
      <c r="E4797" s="1" t="n">
        <v>46316</v>
      </c>
      <c r="F4797" t="inlineStr">
        <is>
          <t>KRONOBERGS LÄN</t>
        </is>
      </c>
      <c r="G4797" t="inlineStr">
        <is>
          <t>ÄLMHULT</t>
        </is>
      </c>
      <c r="I4797" t="n">
        <v>3.3</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49078-2023</t>
        </is>
      </c>
      <c r="B4798" t="inlineStr">
        <is>
          <t>avverkningsanmälan</t>
        </is>
      </c>
      <c r="C4798" t="inlineStr">
        <is>
          <t>Föryngringsavverkning</t>
        </is>
      </c>
      <c r="D4798" s="1" t="n">
        <v>45210</v>
      </c>
      <c r="E4798" s="1" t="n">
        <v>46316</v>
      </c>
      <c r="F4798" t="inlineStr">
        <is>
          <t>KRONOBERGS LÄN</t>
        </is>
      </c>
      <c r="G4798" t="inlineStr">
        <is>
          <t>ALVESTA</t>
        </is>
      </c>
      <c r="I4798" t="n">
        <v>1.2</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12981-2024</t>
        </is>
      </c>
      <c r="B4799" t="inlineStr">
        <is>
          <t>avverkningsanmälan</t>
        </is>
      </c>
      <c r="C4799" t="inlineStr">
        <is>
          <t>Föryngringsavverkning</t>
        </is>
      </c>
      <c r="D4799" s="1" t="n">
        <v>45385</v>
      </c>
      <c r="E4799" s="1" t="n">
        <v>46316</v>
      </c>
      <c r="F4799" t="inlineStr">
        <is>
          <t>KRONOBERGS LÄN</t>
        </is>
      </c>
      <c r="G4799" t="inlineStr">
        <is>
          <t>ALVESTA</t>
        </is>
      </c>
      <c r="I4799" t="n">
        <v>1.1</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41922-2026</t>
        </is>
      </c>
      <c r="B4800" t="inlineStr">
        <is>
          <t>avverkningsanmälan</t>
        </is>
      </c>
      <c r="C4800" t="inlineStr">
        <is>
          <t>Föryngringsavverkning</t>
        </is>
      </c>
      <c r="D4800" s="1" t="n">
        <v>46303</v>
      </c>
      <c r="E4800" s="1" t="n">
        <v>46316</v>
      </c>
      <c r="F4800" t="inlineStr">
        <is>
          <t>KRONOBERGS LÄN</t>
        </is>
      </c>
      <c r="G4800" t="inlineStr">
        <is>
          <t>TINGSRYD</t>
        </is>
      </c>
      <c r="I4800" t="n">
        <v>1.2</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5616-2023</t>
        </is>
      </c>
      <c r="B4801" t="inlineStr">
        <is>
          <t>avverkningsanmälan</t>
        </is>
      </c>
      <c r="C4801" t="inlineStr">
        <is>
          <t>Föryngringsavverkning</t>
        </is>
      </c>
      <c r="D4801" s="1" t="n">
        <v>44960</v>
      </c>
      <c r="E4801" s="1" t="n">
        <v>46316</v>
      </c>
      <c r="F4801" t="inlineStr">
        <is>
          <t>KRONOBERGS LÄN</t>
        </is>
      </c>
      <c r="G4801" t="inlineStr">
        <is>
          <t>TINGSRYD</t>
        </is>
      </c>
      <c r="I4801" t="n">
        <v>1.2</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9244-2024</t>
        </is>
      </c>
      <c r="B4802" t="inlineStr">
        <is>
          <t>avverkningsanmälan</t>
        </is>
      </c>
      <c r="C4802" t="inlineStr">
        <is>
          <t>Föryngringsavverkning</t>
        </is>
      </c>
      <c r="D4802" s="1" t="n">
        <v>45358</v>
      </c>
      <c r="E4802" s="1" t="n">
        <v>46316</v>
      </c>
      <c r="F4802" t="inlineStr">
        <is>
          <t>KRONOBERGS LÄN</t>
        </is>
      </c>
      <c r="G4802" t="inlineStr">
        <is>
          <t>ALVESTA</t>
        </is>
      </c>
      <c r="I4802" t="n">
        <v>1</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9791-2022</t>
        </is>
      </c>
      <c r="B4803" t="inlineStr">
        <is>
          <t>avverkningsanmälan</t>
        </is>
      </c>
      <c r="C4803" t="inlineStr">
        <is>
          <t>Föryngringsavverkning</t>
        </is>
      </c>
      <c r="D4803" s="1" t="n">
        <v>44620</v>
      </c>
      <c r="E4803" s="1" t="n">
        <v>46316</v>
      </c>
      <c r="F4803" t="inlineStr">
        <is>
          <t>KRONOBERGS LÄN</t>
        </is>
      </c>
      <c r="G4803" t="inlineStr">
        <is>
          <t>TINGSRYD</t>
        </is>
      </c>
      <c r="I4803" t="n">
        <v>1</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41972-2026</t>
        </is>
      </c>
      <c r="B4804" t="inlineStr">
        <is>
          <t>avverkningsanmälan</t>
        </is>
      </c>
      <c r="C4804" t="inlineStr">
        <is>
          <t>Föryngringsavverkning</t>
        </is>
      </c>
      <c r="D4804" s="1" t="n">
        <v>46303</v>
      </c>
      <c r="E4804" s="1" t="n">
        <v>46316</v>
      </c>
      <c r="F4804" t="inlineStr">
        <is>
          <t>KRONOBERGS LÄN</t>
        </is>
      </c>
      <c r="G4804" t="inlineStr">
        <is>
          <t>TINGSRYD</t>
        </is>
      </c>
      <c r="I4804" t="n">
        <v>1.6</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34968-2026</t>
        </is>
      </c>
      <c r="B4805" t="inlineStr">
        <is>
          <t>avverkningsanmälan</t>
        </is>
      </c>
      <c r="C4805" t="inlineStr">
        <is>
          <t>Föryngringsavverkning</t>
        </is>
      </c>
      <c r="D4805" s="1" t="n">
        <v>46259</v>
      </c>
      <c r="E4805" s="1" t="n">
        <v>46316</v>
      </c>
      <c r="F4805" t="inlineStr">
        <is>
          <t>KRONOBERGS LÄN</t>
        </is>
      </c>
      <c r="G4805" t="inlineStr">
        <is>
          <t>ALVESTA</t>
        </is>
      </c>
      <c r="I4805" t="n">
        <v>1</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48282-2022</t>
        </is>
      </c>
      <c r="B4806" t="inlineStr">
        <is>
          <t>avverkningsanmälan</t>
        </is>
      </c>
      <c r="C4806" t="inlineStr">
        <is>
          <t>Föryngringsavverkning</t>
        </is>
      </c>
      <c r="D4806" s="1" t="n">
        <v>44858</v>
      </c>
      <c r="E4806" s="1" t="n">
        <v>46316</v>
      </c>
      <c r="F4806" t="inlineStr">
        <is>
          <t>KRONOBERGS LÄN</t>
        </is>
      </c>
      <c r="G4806" t="inlineStr">
        <is>
          <t>ÄLMHULT</t>
        </is>
      </c>
      <c r="I4806" t="n">
        <v>14.2</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50715-2022</t>
        </is>
      </c>
      <c r="B4807" t="inlineStr">
        <is>
          <t>avverkningsanmälan</t>
        </is>
      </c>
      <c r="C4807" t="inlineStr">
        <is>
          <t>Föryngringsavverkning</t>
        </is>
      </c>
      <c r="D4807" s="1" t="n">
        <v>44867</v>
      </c>
      <c r="E4807" s="1" t="n">
        <v>46316</v>
      </c>
      <c r="F4807" t="inlineStr">
        <is>
          <t>KRONOBERGS LÄN</t>
        </is>
      </c>
      <c r="G4807" t="inlineStr">
        <is>
          <t>TINGSRYD</t>
        </is>
      </c>
      <c r="I4807" t="n">
        <v>3.6</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44234-2023</t>
        </is>
      </c>
      <c r="B4808" t="inlineStr">
        <is>
          <t>avverkningsanmälan</t>
        </is>
      </c>
      <c r="C4808" t="inlineStr">
        <is>
          <t>Föryngringsavverkning</t>
        </is>
      </c>
      <c r="D4808" s="1" t="n">
        <v>45188</v>
      </c>
      <c r="E4808" s="1" t="n">
        <v>46316</v>
      </c>
      <c r="F4808" t="inlineStr">
        <is>
          <t>KRONOBERGS LÄN</t>
        </is>
      </c>
      <c r="G4808" t="inlineStr">
        <is>
          <t>TINGSRYD</t>
        </is>
      </c>
      <c r="I4808" t="n">
        <v>1.5</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25348-2025</t>
        </is>
      </c>
      <c r="B4809" t="inlineStr">
        <is>
          <t>avverkningsanmälan</t>
        </is>
      </c>
      <c r="C4809" t="inlineStr">
        <is>
          <t>Föryngringsavverkning</t>
        </is>
      </c>
      <c r="D4809" s="1" t="n">
        <v>45800</v>
      </c>
      <c r="E4809" s="1" t="n">
        <v>46316</v>
      </c>
      <c r="F4809" t="inlineStr">
        <is>
          <t>KRONOBERGS LÄN</t>
        </is>
      </c>
      <c r="G4809" t="inlineStr">
        <is>
          <t>UPPVIDINGE</t>
        </is>
      </c>
      <c r="I4809" t="n">
        <v>1.9</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28323-2023</t>
        </is>
      </c>
      <c r="B4810" t="inlineStr">
        <is>
          <t>avverkningsanmälan</t>
        </is>
      </c>
      <c r="C4810" t="inlineStr">
        <is>
          <t>Föryngringsavverkning</t>
        </is>
      </c>
      <c r="D4810" s="1" t="n">
        <v>45099</v>
      </c>
      <c r="E4810" s="1" t="n">
        <v>46316</v>
      </c>
      <c r="F4810" t="inlineStr">
        <is>
          <t>KRONOBERGS LÄN</t>
        </is>
      </c>
      <c r="G4810" t="inlineStr">
        <is>
          <t>LJUNGBY</t>
        </is>
      </c>
      <c r="I4810" t="n">
        <v>5.9</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13015-2024</t>
        </is>
      </c>
      <c r="B4811" t="inlineStr">
        <is>
          <t>avverkningsanmälan</t>
        </is>
      </c>
      <c r="C4811" t="inlineStr">
        <is>
          <t>Föryngringsavverkning</t>
        </is>
      </c>
      <c r="D4811" s="1" t="n">
        <v>45385</v>
      </c>
      <c r="E4811" s="1" t="n">
        <v>46316</v>
      </c>
      <c r="F4811" t="inlineStr">
        <is>
          <t>KRONOBERGS LÄN</t>
        </is>
      </c>
      <c r="G4811" t="inlineStr">
        <is>
          <t>VÄXJÖ</t>
        </is>
      </c>
      <c r="H4811" t="inlineStr">
        <is>
          <t>Sveaskog</t>
        </is>
      </c>
      <c r="I4811" t="n">
        <v>3.6</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10997-2022</t>
        </is>
      </c>
      <c r="B4812" t="inlineStr">
        <is>
          <t>avverkningsanmälan</t>
        </is>
      </c>
      <c r="C4812" t="inlineStr">
        <is>
          <t>Föryngringsavverkning</t>
        </is>
      </c>
      <c r="D4812" s="1" t="n">
        <v>44628</v>
      </c>
      <c r="E4812" s="1" t="n">
        <v>46316</v>
      </c>
      <c r="F4812" t="inlineStr">
        <is>
          <t>KRONOBERGS LÄN</t>
        </is>
      </c>
      <c r="G4812" t="inlineStr">
        <is>
          <t>LJUNGBY</t>
        </is>
      </c>
      <c r="I4812" t="n">
        <v>1.1</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7299-2025</t>
        </is>
      </c>
      <c r="B4813" t="inlineStr">
        <is>
          <t>avverkningsanmälan</t>
        </is>
      </c>
      <c r="C4813" t="inlineStr">
        <is>
          <t>Föryngringsavverkning</t>
        </is>
      </c>
      <c r="D4813" s="1" t="n">
        <v>45702</v>
      </c>
      <c r="E4813" s="1" t="n">
        <v>46316</v>
      </c>
      <c r="F4813" t="inlineStr">
        <is>
          <t>KRONOBERGS LÄN</t>
        </is>
      </c>
      <c r="G4813" t="inlineStr">
        <is>
          <t>VÄXJÖ</t>
        </is>
      </c>
      <c r="I4813" t="n">
        <v>1.2</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37064-2024</t>
        </is>
      </c>
      <c r="B4814" t="inlineStr">
        <is>
          <t>avverkningsanmälan</t>
        </is>
      </c>
      <c r="C4814" t="inlineStr">
        <is>
          <t>Föryngringsavverkning</t>
        </is>
      </c>
      <c r="D4814" s="1" t="n">
        <v>45539</v>
      </c>
      <c r="E4814" s="1" t="n">
        <v>46316</v>
      </c>
      <c r="F4814" t="inlineStr">
        <is>
          <t>KRONOBERGS LÄN</t>
        </is>
      </c>
      <c r="G4814" t="inlineStr">
        <is>
          <t>ÄLMHULT</t>
        </is>
      </c>
      <c r="I4814" t="n">
        <v>0.5</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10932-2024</t>
        </is>
      </c>
      <c r="B4815" t="inlineStr">
        <is>
          <t>avverkningsanmälan</t>
        </is>
      </c>
      <c r="C4815" t="inlineStr">
        <is>
          <t>Föryngringsavverkning</t>
        </is>
      </c>
      <c r="D4815" s="1" t="n">
        <v>45370</v>
      </c>
      <c r="E4815" s="1" t="n">
        <v>46316</v>
      </c>
      <c r="F4815" t="inlineStr">
        <is>
          <t>KRONOBERGS LÄN</t>
        </is>
      </c>
      <c r="G4815" t="inlineStr">
        <is>
          <t>TINGSRYD</t>
        </is>
      </c>
      <c r="I4815" t="n">
        <v>0.9</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12704-2023</t>
        </is>
      </c>
      <c r="B4816" t="inlineStr">
        <is>
          <t>avverkningsanmälan</t>
        </is>
      </c>
      <c r="C4816" t="inlineStr">
        <is>
          <t>Föryngringsavverkning</t>
        </is>
      </c>
      <c r="D4816" s="1" t="n">
        <v>45000</v>
      </c>
      <c r="E4816" s="1" t="n">
        <v>46316</v>
      </c>
      <c r="F4816" t="inlineStr">
        <is>
          <t>KRONOBERGS LÄN</t>
        </is>
      </c>
      <c r="G4816" t="inlineStr">
        <is>
          <t>VÄXJÖ</t>
        </is>
      </c>
      <c r="I4816" t="n">
        <v>3</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22221-2024</t>
        </is>
      </c>
      <c r="B4817" t="inlineStr">
        <is>
          <t>avverkningsanmälan</t>
        </is>
      </c>
      <c r="C4817" t="inlineStr">
        <is>
          <t>Föryngringsavverkning</t>
        </is>
      </c>
      <c r="D4817" s="1" t="n">
        <v>45446</v>
      </c>
      <c r="E4817" s="1" t="n">
        <v>46316</v>
      </c>
      <c r="F4817" t="inlineStr">
        <is>
          <t>KRONOBERGS LÄN</t>
        </is>
      </c>
      <c r="G4817" t="inlineStr">
        <is>
          <t>VÄXJÖ</t>
        </is>
      </c>
      <c r="I4817" t="n">
        <v>2.2</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35152-2026</t>
        </is>
      </c>
      <c r="B4818" t="inlineStr">
        <is>
          <t>avverkningsanmälan</t>
        </is>
      </c>
      <c r="C4818" t="inlineStr">
        <is>
          <t>Föryngringsavverkning</t>
        </is>
      </c>
      <c r="D4818" s="1" t="n">
        <v>46260</v>
      </c>
      <c r="E4818" s="1" t="n">
        <v>46316</v>
      </c>
      <c r="F4818" t="inlineStr">
        <is>
          <t>KRONOBERGS LÄN</t>
        </is>
      </c>
      <c r="G4818" t="inlineStr">
        <is>
          <t>VÄXJÖ</t>
        </is>
      </c>
      <c r="I4818" t="n">
        <v>1.5</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35160-2026</t>
        </is>
      </c>
      <c r="B4819" t="inlineStr">
        <is>
          <t>avverkningsanmälan</t>
        </is>
      </c>
      <c r="C4819" t="inlineStr">
        <is>
          <t>Föryngringsavverkning</t>
        </is>
      </c>
      <c r="D4819" s="1" t="n">
        <v>46260</v>
      </c>
      <c r="E4819" s="1" t="n">
        <v>46316</v>
      </c>
      <c r="F4819" t="inlineStr">
        <is>
          <t>KRONOBERGS LÄN</t>
        </is>
      </c>
      <c r="G4819" t="inlineStr">
        <is>
          <t>TINGSRYD</t>
        </is>
      </c>
      <c r="I4819" t="n">
        <v>0.7</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12804-2026</t>
        </is>
      </c>
      <c r="B4820" t="inlineStr">
        <is>
          <t>avverkningsanmälan</t>
        </is>
      </c>
      <c r="C4820" t="inlineStr">
        <is>
          <t>Föryngringsavverkning</t>
        </is>
      </c>
      <c r="D4820" s="1" t="n">
        <v>46092</v>
      </c>
      <c r="E4820" s="1" t="n">
        <v>46316</v>
      </c>
      <c r="F4820" t="inlineStr">
        <is>
          <t>KRONOBERGS LÄN</t>
        </is>
      </c>
      <c r="G4820" t="inlineStr">
        <is>
          <t>ALVESTA</t>
        </is>
      </c>
      <c r="I4820" t="n">
        <v>7.3</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6323-2024</t>
        </is>
      </c>
      <c r="B4821" t="inlineStr">
        <is>
          <t>avverkningsanmälan</t>
        </is>
      </c>
      <c r="C4821" t="inlineStr">
        <is>
          <t>Föryngringsavverkning</t>
        </is>
      </c>
      <c r="D4821" s="1" t="n">
        <v>45338</v>
      </c>
      <c r="E4821" s="1" t="n">
        <v>46316</v>
      </c>
      <c r="F4821" t="inlineStr">
        <is>
          <t>KRONOBERGS LÄN</t>
        </is>
      </c>
      <c r="G4821" t="inlineStr">
        <is>
          <t>UPPVIDINGE</t>
        </is>
      </c>
      <c r="H4821" t="inlineStr">
        <is>
          <t>Sveaskog</t>
        </is>
      </c>
      <c r="I4821" t="n">
        <v>4.5</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32072-2023</t>
        </is>
      </c>
      <c r="B4822" t="inlineStr">
        <is>
          <t>avverkningsanmälan</t>
        </is>
      </c>
      <c r="C4822" t="inlineStr">
        <is>
          <t>Föryngringsavverkning</t>
        </is>
      </c>
      <c r="D4822" s="1" t="n">
        <v>45119</v>
      </c>
      <c r="E4822" s="1" t="n">
        <v>46316</v>
      </c>
      <c r="F4822" t="inlineStr">
        <is>
          <t>KRONOBERGS LÄN</t>
        </is>
      </c>
      <c r="G4822" t="inlineStr">
        <is>
          <t>LJUNGBY</t>
        </is>
      </c>
      <c r="I4822" t="n">
        <v>1</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48268-2022</t>
        </is>
      </c>
      <c r="B4823" t="inlineStr">
        <is>
          <t>avverkningsanmälan</t>
        </is>
      </c>
      <c r="C4823" t="inlineStr">
        <is>
          <t>Föryngringsavverkning</t>
        </is>
      </c>
      <c r="D4823" s="1" t="n">
        <v>44858</v>
      </c>
      <c r="E4823" s="1" t="n">
        <v>46316</v>
      </c>
      <c r="F4823" t="inlineStr">
        <is>
          <t>KRONOBERGS LÄN</t>
        </is>
      </c>
      <c r="G4823" t="inlineStr">
        <is>
          <t>VÄXJÖ</t>
        </is>
      </c>
      <c r="I4823" t="n">
        <v>3.7</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16954-2024</t>
        </is>
      </c>
      <c r="B4824" t="inlineStr">
        <is>
          <t>avverkningsanmälan</t>
        </is>
      </c>
      <c r="C4824" t="inlineStr">
        <is>
          <t>Avverkning för att bevara och utveckla /försöksver</t>
        </is>
      </c>
      <c r="D4824" s="1" t="n">
        <v>45411</v>
      </c>
      <c r="E4824" s="1" t="n">
        <v>46316</v>
      </c>
      <c r="F4824" t="inlineStr">
        <is>
          <t>KRONOBERGS LÄN</t>
        </is>
      </c>
      <c r="G4824" t="inlineStr">
        <is>
          <t>TINGSRYD</t>
        </is>
      </c>
      <c r="H4824" t="inlineStr">
        <is>
          <t>Sveaskog</t>
        </is>
      </c>
      <c r="I4824" t="n">
        <v>0.8</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41816-2026</t>
        </is>
      </c>
      <c r="B4825" t="inlineStr">
        <is>
          <t>avverkningsanmälan</t>
        </is>
      </c>
      <c r="C4825" t="inlineStr">
        <is>
          <t>Föryngringsavverkning</t>
        </is>
      </c>
      <c r="D4825" s="1" t="n">
        <v>46303</v>
      </c>
      <c r="E4825" s="1" t="n">
        <v>46316</v>
      </c>
      <c r="F4825" t="inlineStr">
        <is>
          <t>KRONOBERGS LÄN</t>
        </is>
      </c>
      <c r="G4825" t="inlineStr">
        <is>
          <t>ÄLMHULT</t>
        </is>
      </c>
      <c r="I4825" t="n">
        <v>0.7</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45386-2022</t>
        </is>
      </c>
      <c r="B4826" t="inlineStr">
        <is>
          <t>avverkningsanmälan</t>
        </is>
      </c>
      <c r="C4826" t="inlineStr">
        <is>
          <t>Föryngringsavverkning</t>
        </is>
      </c>
      <c r="D4826" s="1" t="n">
        <v>44844</v>
      </c>
      <c r="E4826" s="1" t="n">
        <v>46316</v>
      </c>
      <c r="F4826" t="inlineStr">
        <is>
          <t>KRONOBERGS LÄN</t>
        </is>
      </c>
      <c r="G4826" t="inlineStr">
        <is>
          <t>MARKARYD</t>
        </is>
      </c>
      <c r="H4826" t="inlineStr">
        <is>
          <t>Sveaskog</t>
        </is>
      </c>
      <c r="I4826" t="n">
        <v>3.7</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45387-2022</t>
        </is>
      </c>
      <c r="B4827" t="inlineStr">
        <is>
          <t>avverkningsanmälan</t>
        </is>
      </c>
      <c r="C4827" t="inlineStr">
        <is>
          <t>Föryngringsavverkning</t>
        </is>
      </c>
      <c r="D4827" s="1" t="n">
        <v>44844</v>
      </c>
      <c r="E4827" s="1" t="n">
        <v>46316</v>
      </c>
      <c r="F4827" t="inlineStr">
        <is>
          <t>KRONOBERGS LÄN</t>
        </is>
      </c>
      <c r="G4827" t="inlineStr">
        <is>
          <t>UPPVIDINGE</t>
        </is>
      </c>
      <c r="I4827" t="n">
        <v>0.8</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41609-2026</t>
        </is>
      </c>
      <c r="B4828" t="inlineStr">
        <is>
          <t>avverkningsanmälan</t>
        </is>
      </c>
      <c r="C4828" t="inlineStr">
        <is>
          <t>Föryngringsavverkning</t>
        </is>
      </c>
      <c r="D4828" s="1" t="n">
        <v>46302</v>
      </c>
      <c r="E4828" s="1" t="n">
        <v>46316</v>
      </c>
      <c r="F4828" t="inlineStr">
        <is>
          <t>KRONOBERGS LÄN</t>
        </is>
      </c>
      <c r="G4828" t="inlineStr">
        <is>
          <t>ÄLMHULT</t>
        </is>
      </c>
      <c r="I4828" t="n">
        <v>1.8</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11215-2024</t>
        </is>
      </c>
      <c r="B4829" t="inlineStr">
        <is>
          <t>avverkningsanmälan</t>
        </is>
      </c>
      <c r="C4829" t="inlineStr">
        <is>
          <t>Föryngringsavverkning</t>
        </is>
      </c>
      <c r="D4829" s="1" t="n">
        <v>45371</v>
      </c>
      <c r="E4829" s="1" t="n">
        <v>46316</v>
      </c>
      <c r="F4829" t="inlineStr">
        <is>
          <t>KRONOBERGS LÄN</t>
        </is>
      </c>
      <c r="G4829" t="inlineStr">
        <is>
          <t>MARKARYD</t>
        </is>
      </c>
      <c r="I4829" t="n">
        <v>0.7</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23367-2026</t>
        </is>
      </c>
      <c r="B4830" t="inlineStr">
        <is>
          <t>avverkningsanmälan</t>
        </is>
      </c>
      <c r="C4830" t="inlineStr">
        <is>
          <t>Föryngringsavverkning</t>
        </is>
      </c>
      <c r="D4830" s="1" t="n">
        <v>46162</v>
      </c>
      <c r="E4830" s="1" t="n">
        <v>46316</v>
      </c>
      <c r="F4830" t="inlineStr">
        <is>
          <t>KRONOBERGS LÄN</t>
        </is>
      </c>
      <c r="G4830" t="inlineStr">
        <is>
          <t>UPPVIDINGE</t>
        </is>
      </c>
      <c r="I4830" t="n">
        <v>7.7</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52332-2024</t>
        </is>
      </c>
      <c r="B4831" t="inlineStr">
        <is>
          <t>avverkningsanmälan</t>
        </is>
      </c>
      <c r="C4831" t="inlineStr">
        <is>
          <t>Föryngringsavverkning</t>
        </is>
      </c>
      <c r="D4831" s="1" t="n">
        <v>45609</v>
      </c>
      <c r="E4831" s="1" t="n">
        <v>46316</v>
      </c>
      <c r="F4831" t="inlineStr">
        <is>
          <t>KRONOBERGS LÄN</t>
        </is>
      </c>
      <c r="G4831" t="inlineStr">
        <is>
          <t>ÄLMHULT</t>
        </is>
      </c>
      <c r="I4831" t="n">
        <v>1.1</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41689-2026</t>
        </is>
      </c>
      <c r="B4832" t="inlineStr">
        <is>
          <t>avverkningsanmälan</t>
        </is>
      </c>
      <c r="C4832" t="inlineStr">
        <is>
          <t>Föryngringsavverkning</t>
        </is>
      </c>
      <c r="D4832" s="1" t="n">
        <v>46302</v>
      </c>
      <c r="E4832" s="1" t="n">
        <v>46316</v>
      </c>
      <c r="F4832" t="inlineStr">
        <is>
          <t>KRONOBERGS LÄN</t>
        </is>
      </c>
      <c r="G4832" t="inlineStr">
        <is>
          <t>ALVESTA</t>
        </is>
      </c>
      <c r="I4832" t="n">
        <v>0.9</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69444-2021</t>
        </is>
      </c>
      <c r="B4833" t="inlineStr">
        <is>
          <t>avverkningsanmälan</t>
        </is>
      </c>
      <c r="C4833" t="inlineStr">
        <is>
          <t>Föryngringsavverkning</t>
        </is>
      </c>
      <c r="D4833" s="1" t="n">
        <v>44531</v>
      </c>
      <c r="E4833" s="1" t="n">
        <v>46316</v>
      </c>
      <c r="F4833" t="inlineStr">
        <is>
          <t>KRONOBERGS LÄN</t>
        </is>
      </c>
      <c r="G4833" t="inlineStr">
        <is>
          <t>ÄLMHULT</t>
        </is>
      </c>
      <c r="I4833" t="n">
        <v>1.7</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3333-2026</t>
        </is>
      </c>
      <c r="B4834" t="inlineStr">
        <is>
          <t>avverkningsanmälan</t>
        </is>
      </c>
      <c r="C4834" t="inlineStr">
        <is>
          <t>Föryngringsavverkning</t>
        </is>
      </c>
      <c r="D4834" s="1" t="n">
        <v>46041</v>
      </c>
      <c r="E4834" s="1" t="n">
        <v>46316</v>
      </c>
      <c r="F4834" t="inlineStr">
        <is>
          <t>KRONOBERGS LÄN</t>
        </is>
      </c>
      <c r="G4834" t="inlineStr">
        <is>
          <t>UPPVIDINGE</t>
        </is>
      </c>
      <c r="I4834" t="n">
        <v>1.6</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10755-2023</t>
        </is>
      </c>
      <c r="B4835" t="inlineStr">
        <is>
          <t>avverkningsanmälan</t>
        </is>
      </c>
      <c r="C4835" t="inlineStr">
        <is>
          <t>Föryngringsavverkning</t>
        </is>
      </c>
      <c r="D4835" s="1" t="n">
        <v>44988</v>
      </c>
      <c r="E4835" s="1" t="n">
        <v>46316</v>
      </c>
      <c r="F4835" t="inlineStr">
        <is>
          <t>KRONOBERGS LÄN</t>
        </is>
      </c>
      <c r="G4835" t="inlineStr">
        <is>
          <t>LJUNGBY</t>
        </is>
      </c>
      <c r="I4835" t="n">
        <v>2.7</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41126-2024</t>
        </is>
      </c>
      <c r="B4836" t="inlineStr">
        <is>
          <t>avverkningsanmälan</t>
        </is>
      </c>
      <c r="C4836" t="inlineStr">
        <is>
          <t>Föryngringsavverkning</t>
        </is>
      </c>
      <c r="D4836" s="1" t="n">
        <v>45559</v>
      </c>
      <c r="E4836" s="1" t="n">
        <v>46316</v>
      </c>
      <c r="F4836" t="inlineStr">
        <is>
          <t>KRONOBERGS LÄN</t>
        </is>
      </c>
      <c r="G4836" t="inlineStr">
        <is>
          <t>TINGSRYD</t>
        </is>
      </c>
      <c r="I4836" t="n">
        <v>0.6</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41787-2026</t>
        </is>
      </c>
      <c r="B4837" t="inlineStr">
        <is>
          <t>avverkningsanmälan</t>
        </is>
      </c>
      <c r="C4837" t="inlineStr">
        <is>
          <t>Föryngringsavverkning</t>
        </is>
      </c>
      <c r="D4837" s="1" t="n">
        <v>46303</v>
      </c>
      <c r="E4837" s="1" t="n">
        <v>46316</v>
      </c>
      <c r="F4837" t="inlineStr">
        <is>
          <t>KRONOBERGS LÄN</t>
        </is>
      </c>
      <c r="G4837" t="inlineStr">
        <is>
          <t>ALVESTA</t>
        </is>
      </c>
      <c r="I4837" t="n">
        <v>2.7</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38712-2022</t>
        </is>
      </c>
      <c r="B4838" t="inlineStr">
        <is>
          <t>avverkningsanmälan</t>
        </is>
      </c>
      <c r="C4838" t="inlineStr">
        <is>
          <t>Föryngringsavverkning</t>
        </is>
      </c>
      <c r="D4838" s="1" t="n">
        <v>44814</v>
      </c>
      <c r="E4838" s="1" t="n">
        <v>46316</v>
      </c>
      <c r="F4838" t="inlineStr">
        <is>
          <t>KRONOBERGS LÄN</t>
        </is>
      </c>
      <c r="G4838" t="inlineStr">
        <is>
          <t>LESSEBO</t>
        </is>
      </c>
      <c r="I4838" t="n">
        <v>0.4</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48237-2024</t>
        </is>
      </c>
      <c r="B4839" t="inlineStr">
        <is>
          <t>avverkningsanmälan</t>
        </is>
      </c>
      <c r="C4839" t="inlineStr">
        <is>
          <t>Föryngringsavverkning</t>
        </is>
      </c>
      <c r="D4839" s="1" t="n">
        <v>45590</v>
      </c>
      <c r="E4839" s="1" t="n">
        <v>46316</v>
      </c>
      <c r="F4839" t="inlineStr">
        <is>
          <t>KRONOBERGS LÄN</t>
        </is>
      </c>
      <c r="G4839" t="inlineStr">
        <is>
          <t>UPPVIDINGE</t>
        </is>
      </c>
      <c r="I4839" t="n">
        <v>0.8</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48996-2024</t>
        </is>
      </c>
      <c r="B4840" t="inlineStr">
        <is>
          <t>avverkningsanmälan</t>
        </is>
      </c>
      <c r="C4840" t="inlineStr">
        <is>
          <t>Föryngringsavverkning</t>
        </is>
      </c>
      <c r="D4840" s="1" t="n">
        <v>45594</v>
      </c>
      <c r="E4840" s="1" t="n">
        <v>46316</v>
      </c>
      <c r="F4840" t="inlineStr">
        <is>
          <t>KRONOBERGS LÄN</t>
        </is>
      </c>
      <c r="G4840" t="inlineStr">
        <is>
          <t>VÄXJÖ</t>
        </is>
      </c>
      <c r="H4840" t="inlineStr">
        <is>
          <t>Sveaskog</t>
        </is>
      </c>
      <c r="I4840" t="n">
        <v>1</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49004-2024</t>
        </is>
      </c>
      <c r="B4841" t="inlineStr">
        <is>
          <t>avverkningsanmälan</t>
        </is>
      </c>
      <c r="C4841" t="inlineStr">
        <is>
          <t>Föryngringsavverkning</t>
        </is>
      </c>
      <c r="D4841" s="1" t="n">
        <v>45594</v>
      </c>
      <c r="E4841" s="1" t="n">
        <v>46316</v>
      </c>
      <c r="F4841" t="inlineStr">
        <is>
          <t>KRONOBERGS LÄN</t>
        </is>
      </c>
      <c r="G4841" t="inlineStr">
        <is>
          <t>VÄXJÖ</t>
        </is>
      </c>
      <c r="H4841" t="inlineStr">
        <is>
          <t>Sveaskog</t>
        </is>
      </c>
      <c r="I4841" t="n">
        <v>2</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40094-2026</t>
        </is>
      </c>
      <c r="B4842" t="inlineStr">
        <is>
          <t>avverkningsanmälan</t>
        </is>
      </c>
      <c r="C4842" t="inlineStr">
        <is>
          <t>Föryngringsavverkning</t>
        </is>
      </c>
      <c r="D4842" s="1" t="n">
        <v>46293</v>
      </c>
      <c r="E4842" s="1" t="n">
        <v>46316</v>
      </c>
      <c r="F4842" t="inlineStr">
        <is>
          <t>KRONOBERGS LÄN</t>
        </is>
      </c>
      <c r="G4842" t="inlineStr">
        <is>
          <t>TINGSRYD</t>
        </is>
      </c>
      <c r="I4842" t="n">
        <v>1.6</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49007-2024</t>
        </is>
      </c>
      <c r="B4843" t="inlineStr">
        <is>
          <t>avverkningsanmälan</t>
        </is>
      </c>
      <c r="C4843" t="inlineStr">
        <is>
          <t>Föryngringsavverkning</t>
        </is>
      </c>
      <c r="D4843" s="1" t="n">
        <v>45594</v>
      </c>
      <c r="E4843" s="1" t="n">
        <v>46316</v>
      </c>
      <c r="F4843" t="inlineStr">
        <is>
          <t>KRONOBERGS LÄN</t>
        </is>
      </c>
      <c r="G4843" t="inlineStr">
        <is>
          <t>VÄXJÖ</t>
        </is>
      </c>
      <c r="H4843" t="inlineStr">
        <is>
          <t>Sveaskog</t>
        </is>
      </c>
      <c r="I4843" t="n">
        <v>0.4</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49022-2024</t>
        </is>
      </c>
      <c r="B4844" t="inlineStr">
        <is>
          <t>avverkningsanmälan</t>
        </is>
      </c>
      <c r="C4844" t="inlineStr">
        <is>
          <t>Föryngringsavverkning</t>
        </is>
      </c>
      <c r="D4844" s="1" t="n">
        <v>45594</v>
      </c>
      <c r="E4844" s="1" t="n">
        <v>46316</v>
      </c>
      <c r="F4844" t="inlineStr">
        <is>
          <t>KRONOBERGS LÄN</t>
        </is>
      </c>
      <c r="G4844" t="inlineStr">
        <is>
          <t>VÄXJÖ</t>
        </is>
      </c>
      <c r="H4844" t="inlineStr">
        <is>
          <t>Sveaskog</t>
        </is>
      </c>
      <c r="I4844" t="n">
        <v>0.8</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49025-2024</t>
        </is>
      </c>
      <c r="B4845" t="inlineStr">
        <is>
          <t>avverkningsanmälan</t>
        </is>
      </c>
      <c r="C4845" t="inlineStr">
        <is>
          <t>Föryngringsavverkning</t>
        </is>
      </c>
      <c r="D4845" s="1" t="n">
        <v>45594</v>
      </c>
      <c r="E4845" s="1" t="n">
        <v>46316</v>
      </c>
      <c r="F4845" t="inlineStr">
        <is>
          <t>KRONOBERGS LÄN</t>
        </is>
      </c>
      <c r="G4845" t="inlineStr">
        <is>
          <t>VÄXJÖ</t>
        </is>
      </c>
      <c r="H4845" t="inlineStr">
        <is>
          <t>Sveaskog</t>
        </is>
      </c>
      <c r="I4845" t="n">
        <v>0.8</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1251-2024</t>
        </is>
      </c>
      <c r="B4846" t="inlineStr">
        <is>
          <t>avverkningsanmälan</t>
        </is>
      </c>
      <c r="C4846" t="inlineStr">
        <is>
          <t>Föryngringsavverkning</t>
        </is>
      </c>
      <c r="D4846" s="1" t="n">
        <v>45302</v>
      </c>
      <c r="E4846" s="1" t="n">
        <v>46316</v>
      </c>
      <c r="F4846" t="inlineStr">
        <is>
          <t>KRONOBERGS LÄN</t>
        </is>
      </c>
      <c r="G4846" t="inlineStr">
        <is>
          <t>VÄXJÖ</t>
        </is>
      </c>
      <c r="I4846" t="n">
        <v>0.9</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1252-2024</t>
        </is>
      </c>
      <c r="B4847" t="inlineStr">
        <is>
          <t>avverkningsanmälan</t>
        </is>
      </c>
      <c r="C4847" t="inlineStr">
        <is>
          <t>Föryngringsavverkning</t>
        </is>
      </c>
      <c r="D4847" s="1" t="n">
        <v>45302</v>
      </c>
      <c r="E4847" s="1" t="n">
        <v>46316</v>
      </c>
      <c r="F4847" t="inlineStr">
        <is>
          <t>KRONOBERGS LÄN</t>
        </is>
      </c>
      <c r="G4847" t="inlineStr">
        <is>
          <t>VÄXJÖ</t>
        </is>
      </c>
      <c r="I4847" t="n">
        <v>1</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41786-2026</t>
        </is>
      </c>
      <c r="B4848" t="inlineStr">
        <is>
          <t>avverkningsanmälan</t>
        </is>
      </c>
      <c r="C4848" t="inlineStr">
        <is>
          <t>Föryngringsavverkning</t>
        </is>
      </c>
      <c r="D4848" s="1" t="n">
        <v>46303</v>
      </c>
      <c r="E4848" s="1" t="n">
        <v>46316</v>
      </c>
      <c r="F4848" t="inlineStr">
        <is>
          <t>KRONOBERGS LÄN</t>
        </is>
      </c>
      <c r="G4848" t="inlineStr">
        <is>
          <t>ALVESTA</t>
        </is>
      </c>
      <c r="I4848" t="n">
        <v>0.6</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41790-2026</t>
        </is>
      </c>
      <c r="B4849" t="inlineStr">
        <is>
          <t>avverkningsanmälan</t>
        </is>
      </c>
      <c r="C4849" t="inlineStr">
        <is>
          <t>Föryngringsavverkning</t>
        </is>
      </c>
      <c r="D4849" s="1" t="n">
        <v>46303</v>
      </c>
      <c r="E4849" s="1" t="n">
        <v>46316</v>
      </c>
      <c r="F4849" t="inlineStr">
        <is>
          <t>KRONOBERGS LÄN</t>
        </is>
      </c>
      <c r="G4849" t="inlineStr">
        <is>
          <t>ALVESTA</t>
        </is>
      </c>
      <c r="I4849" t="n">
        <v>0.6</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35222-2026</t>
        </is>
      </c>
      <c r="B4850" t="inlineStr">
        <is>
          <t>avverkningsanmälan</t>
        </is>
      </c>
      <c r="C4850" t="inlineStr">
        <is>
          <t>Föryngringsavverkning</t>
        </is>
      </c>
      <c r="D4850" s="1" t="n">
        <v>46260</v>
      </c>
      <c r="E4850" s="1" t="n">
        <v>46316</v>
      </c>
      <c r="F4850" t="inlineStr">
        <is>
          <t>KRONOBERGS LÄN</t>
        </is>
      </c>
      <c r="G4850" t="inlineStr">
        <is>
          <t>TINGSRYD</t>
        </is>
      </c>
      <c r="I4850" t="n">
        <v>1</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35225-2026</t>
        </is>
      </c>
      <c r="B4851" t="inlineStr">
        <is>
          <t>avverkningsanmälan</t>
        </is>
      </c>
      <c r="C4851" t="inlineStr">
        <is>
          <t>Föryngringsavverkning</t>
        </is>
      </c>
      <c r="D4851" s="1" t="n">
        <v>46260</v>
      </c>
      <c r="E4851" s="1" t="n">
        <v>46316</v>
      </c>
      <c r="F4851" t="inlineStr">
        <is>
          <t>KRONOBERGS LÄN</t>
        </is>
      </c>
      <c r="G4851" t="inlineStr">
        <is>
          <t>TINGSRYD</t>
        </is>
      </c>
      <c r="I4851" t="n">
        <v>2.8</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26428-2026</t>
        </is>
      </c>
      <c r="B4852" t="inlineStr">
        <is>
          <t>avverkningsanmälan</t>
        </is>
      </c>
      <c r="C4852" t="inlineStr">
        <is>
          <t>Föryngringsavverkning</t>
        </is>
      </c>
      <c r="D4852" s="1" t="n">
        <v>46183</v>
      </c>
      <c r="E4852" s="1" t="n">
        <v>46316</v>
      </c>
      <c r="F4852" t="inlineStr">
        <is>
          <t>KRONOBERGS LÄN</t>
        </is>
      </c>
      <c r="G4852" t="inlineStr">
        <is>
          <t>VÄXJÖ</t>
        </is>
      </c>
      <c r="I4852" t="n">
        <v>1.9</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30918-2023</t>
        </is>
      </c>
      <c r="B4853" t="inlineStr">
        <is>
          <t>avverkningsanmälan</t>
        </is>
      </c>
      <c r="C4853" t="inlineStr">
        <is>
          <t>Föryngringsavverkning</t>
        </is>
      </c>
      <c r="D4853" s="1" t="n">
        <v>45113</v>
      </c>
      <c r="E4853" s="1" t="n">
        <v>46316</v>
      </c>
      <c r="F4853" t="inlineStr">
        <is>
          <t>KRONOBERGS LÄN</t>
        </is>
      </c>
      <c r="G4853" t="inlineStr">
        <is>
          <t>TINGSRYD</t>
        </is>
      </c>
      <c r="I4853" t="n">
        <v>3.9</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34894-2026</t>
        </is>
      </c>
      <c r="B4854" t="inlineStr">
        <is>
          <t>avverkningsanmälan</t>
        </is>
      </c>
      <c r="C4854" t="inlineStr">
        <is>
          <t>Föryngringsavverkning</t>
        </is>
      </c>
      <c r="D4854" s="1" t="n">
        <v>46259</v>
      </c>
      <c r="E4854" s="1" t="n">
        <v>46316</v>
      </c>
      <c r="F4854" t="inlineStr">
        <is>
          <t>KRONOBERGS LÄN</t>
        </is>
      </c>
      <c r="G4854" t="inlineStr">
        <is>
          <t>LESSEBO</t>
        </is>
      </c>
      <c r="I4854" t="n">
        <v>2.4</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21746-2026</t>
        </is>
      </c>
      <c r="B4855" t="inlineStr">
        <is>
          <t>avverkningsanmälan</t>
        </is>
      </c>
      <c r="C4855" t="inlineStr">
        <is>
          <t>Föryngringsavverkning</t>
        </is>
      </c>
      <c r="D4855" s="1" t="n">
        <v>46149</v>
      </c>
      <c r="E4855" s="1" t="n">
        <v>46316</v>
      </c>
      <c r="F4855" t="inlineStr">
        <is>
          <t>KRONOBERGS LÄN</t>
        </is>
      </c>
      <c r="G4855" t="inlineStr">
        <is>
          <t>UPPVIDINGE</t>
        </is>
      </c>
      <c r="I4855" t="n">
        <v>3.8</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1361-2026</t>
        </is>
      </c>
      <c r="B4856" t="inlineStr">
        <is>
          <t>avverkningsanmälan</t>
        </is>
      </c>
      <c r="C4856" t="inlineStr">
        <is>
          <t>Föryngringsavverkning</t>
        </is>
      </c>
      <c r="D4856" s="1" t="n">
        <v>46031</v>
      </c>
      <c r="E4856" s="1" t="n">
        <v>46316</v>
      </c>
      <c r="F4856" t="inlineStr">
        <is>
          <t>KRONOBERGS LÄN</t>
        </is>
      </c>
      <c r="G4856" t="inlineStr">
        <is>
          <t>TINGSRYD</t>
        </is>
      </c>
      <c r="I4856" t="n">
        <v>1.3</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41789-2026</t>
        </is>
      </c>
      <c r="B4857" t="inlineStr">
        <is>
          <t>avverkningsanmälan</t>
        </is>
      </c>
      <c r="C4857" t="inlineStr">
        <is>
          <t>Föryngringsavverkning</t>
        </is>
      </c>
      <c r="D4857" s="1" t="n">
        <v>46303</v>
      </c>
      <c r="E4857" s="1" t="n">
        <v>46316</v>
      </c>
      <c r="F4857" t="inlineStr">
        <is>
          <t>KRONOBERGS LÄN</t>
        </is>
      </c>
      <c r="G4857" t="inlineStr">
        <is>
          <t>ALVESTA</t>
        </is>
      </c>
      <c r="I4857" t="n">
        <v>1.2</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35117-2026</t>
        </is>
      </c>
      <c r="B4858" t="inlineStr">
        <is>
          <t>avverkningsanmälan</t>
        </is>
      </c>
      <c r="C4858" t="inlineStr">
        <is>
          <t>Föryngringsavverkning</t>
        </is>
      </c>
      <c r="D4858" s="1" t="n">
        <v>46260</v>
      </c>
      <c r="E4858" s="1" t="n">
        <v>46316</v>
      </c>
      <c r="F4858" t="inlineStr">
        <is>
          <t>KRONOBERGS LÄN</t>
        </is>
      </c>
      <c r="G4858" t="inlineStr">
        <is>
          <t>UPPVIDINGE</t>
        </is>
      </c>
      <c r="I4858" t="n">
        <v>3.5</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5276-2023</t>
        </is>
      </c>
      <c r="B4859" t="inlineStr">
        <is>
          <t>avverkningsanmälan</t>
        </is>
      </c>
      <c r="C4859" t="inlineStr">
        <is>
          <t>Föryngringsavverkning</t>
        </is>
      </c>
      <c r="D4859" s="1" t="n">
        <v>44959</v>
      </c>
      <c r="E4859" s="1" t="n">
        <v>46316</v>
      </c>
      <c r="F4859" t="inlineStr">
        <is>
          <t>KRONOBERGS LÄN</t>
        </is>
      </c>
      <c r="G4859" t="inlineStr">
        <is>
          <t>VÄXJÖ</t>
        </is>
      </c>
      <c r="I4859" t="n">
        <v>1.2</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44265-2025</t>
        </is>
      </c>
      <c r="B4860" t="inlineStr">
        <is>
          <t>avverkningsanmälan</t>
        </is>
      </c>
      <c r="C4860" t="inlineStr">
        <is>
          <t>Föryngringsavverkning</t>
        </is>
      </c>
      <c r="D4860" s="1" t="n">
        <v>45916</v>
      </c>
      <c r="E4860" s="1" t="n">
        <v>46316</v>
      </c>
      <c r="F4860" t="inlineStr">
        <is>
          <t>KRONOBERGS LÄN</t>
        </is>
      </c>
      <c r="G4860" t="inlineStr">
        <is>
          <t>VÄXJÖ</t>
        </is>
      </c>
      <c r="I4860" t="n">
        <v>1.7</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53742-2023</t>
        </is>
      </c>
      <c r="B4861" t="inlineStr">
        <is>
          <t>avverkningsanmälan</t>
        </is>
      </c>
      <c r="C4861" t="inlineStr">
        <is>
          <t>Föryngringsavverkning</t>
        </is>
      </c>
      <c r="D4861" s="1" t="n">
        <v>45230</v>
      </c>
      <c r="E4861" s="1" t="n">
        <v>46316</v>
      </c>
      <c r="F4861" t="inlineStr">
        <is>
          <t>KRONOBERGS LÄN</t>
        </is>
      </c>
      <c r="G4861" t="inlineStr">
        <is>
          <t>MARKARYD</t>
        </is>
      </c>
      <c r="I4861" t="n">
        <v>1.4</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4878-2024</t>
        </is>
      </c>
      <c r="B4862" t="inlineStr">
        <is>
          <t>avverkningsanmälan</t>
        </is>
      </c>
      <c r="C4862" t="inlineStr">
        <is>
          <t>Föryngringsavverkning</t>
        </is>
      </c>
      <c r="D4862" s="1" t="n">
        <v>45329</v>
      </c>
      <c r="E4862" s="1" t="n">
        <v>46316</v>
      </c>
      <c r="F4862" t="inlineStr">
        <is>
          <t>KRONOBERGS LÄN</t>
        </is>
      </c>
      <c r="G4862" t="inlineStr">
        <is>
          <t>TINGSRYD</t>
        </is>
      </c>
      <c r="H4862" t="inlineStr">
        <is>
          <t>Kommuner</t>
        </is>
      </c>
      <c r="I4862" t="n">
        <v>1.5</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41668-2026</t>
        </is>
      </c>
      <c r="B4863" t="inlineStr">
        <is>
          <t>avverkningsanmälan</t>
        </is>
      </c>
      <c r="C4863" t="inlineStr">
        <is>
          <t>Avverkning för annat ändamål</t>
        </is>
      </c>
      <c r="D4863" s="1" t="n">
        <v>46302</v>
      </c>
      <c r="E4863" s="1" t="n">
        <v>46316</v>
      </c>
      <c r="F4863" t="inlineStr">
        <is>
          <t>KRONOBERGS LÄN</t>
        </is>
      </c>
      <c r="G4863" t="inlineStr">
        <is>
          <t>LJUNGBY</t>
        </is>
      </c>
      <c r="I4863" t="n">
        <v>5.6</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16144-2024</t>
        </is>
      </c>
      <c r="B4864" t="inlineStr">
        <is>
          <t>avverkningsanmälan</t>
        </is>
      </c>
      <c r="C4864" t="inlineStr">
        <is>
          <t>Föryngringsavverkning</t>
        </is>
      </c>
      <c r="D4864" s="1" t="n">
        <v>45406</v>
      </c>
      <c r="E4864" s="1" t="n">
        <v>46316</v>
      </c>
      <c r="F4864" t="inlineStr">
        <is>
          <t>KRONOBERGS LÄN</t>
        </is>
      </c>
      <c r="G4864" t="inlineStr">
        <is>
          <t>TINGSRYD</t>
        </is>
      </c>
      <c r="I4864" t="n">
        <v>1.7</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41813-2026</t>
        </is>
      </c>
      <c r="B4865" t="inlineStr">
        <is>
          <t>avverkningsanmälan</t>
        </is>
      </c>
      <c r="C4865" t="inlineStr">
        <is>
          <t>Föryngringsavverkning</t>
        </is>
      </c>
      <c r="D4865" s="1" t="n">
        <v>46303</v>
      </c>
      <c r="E4865" s="1" t="n">
        <v>46316</v>
      </c>
      <c r="F4865" t="inlineStr">
        <is>
          <t>KRONOBERGS LÄN</t>
        </is>
      </c>
      <c r="G4865" t="inlineStr">
        <is>
          <t>ÄLMHULT</t>
        </is>
      </c>
      <c r="I4865" t="n">
        <v>3.4</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34985-2026</t>
        </is>
      </c>
      <c r="B4866" t="inlineStr">
        <is>
          <t>avverkningsanmälan</t>
        </is>
      </c>
      <c r="C4866" t="inlineStr">
        <is>
          <t>Föryngringsavverkning</t>
        </is>
      </c>
      <c r="D4866" s="1" t="n">
        <v>46259</v>
      </c>
      <c r="E4866" s="1" t="n">
        <v>46316</v>
      </c>
      <c r="F4866" t="inlineStr">
        <is>
          <t>KRONOBERGS LÄN</t>
        </is>
      </c>
      <c r="G4866" t="inlineStr">
        <is>
          <t>LJUNGBY</t>
        </is>
      </c>
      <c r="I4866" t="n">
        <v>0.8</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56863-2022</t>
        </is>
      </c>
      <c r="B4867" t="inlineStr">
        <is>
          <t>avverkningsanmälan</t>
        </is>
      </c>
      <c r="C4867" t="inlineStr">
        <is>
          <t>Föryngringsavverkning</t>
        </is>
      </c>
      <c r="D4867" s="1" t="n">
        <v>44894</v>
      </c>
      <c r="E4867" s="1" t="n">
        <v>46316</v>
      </c>
      <c r="F4867" t="inlineStr">
        <is>
          <t>KRONOBERGS LÄN</t>
        </is>
      </c>
      <c r="G4867" t="inlineStr">
        <is>
          <t>VÄXJÖ</t>
        </is>
      </c>
      <c r="I4867" t="n">
        <v>11.1</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42227-2026</t>
        </is>
      </c>
      <c r="B4868" t="inlineStr">
        <is>
          <t>avverkningsanmälan</t>
        </is>
      </c>
      <c r="C4868" t="inlineStr">
        <is>
          <t>Föryngringsavverkning</t>
        </is>
      </c>
      <c r="D4868" s="1" t="n">
        <v>46307</v>
      </c>
      <c r="E4868" s="1" t="n">
        <v>46316</v>
      </c>
      <c r="F4868" t="inlineStr">
        <is>
          <t>KRONOBERGS LÄN</t>
        </is>
      </c>
      <c r="G4868" t="inlineStr">
        <is>
          <t>LJUNGBY</t>
        </is>
      </c>
      <c r="I4868" t="n">
        <v>0.5</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62645-2022</t>
        </is>
      </c>
      <c r="B4869" t="inlineStr">
        <is>
          <t>avverkningsanmälan</t>
        </is>
      </c>
      <c r="C4869" t="inlineStr">
        <is>
          <t>Föryngringsavverkning</t>
        </is>
      </c>
      <c r="D4869" s="1" t="n">
        <v>44925</v>
      </c>
      <c r="E4869" s="1" t="n">
        <v>46316</v>
      </c>
      <c r="F4869" t="inlineStr">
        <is>
          <t>KRONOBERGS LÄN</t>
        </is>
      </c>
      <c r="G4869" t="inlineStr">
        <is>
          <t>ALVESTA</t>
        </is>
      </c>
      <c r="I4869" t="n">
        <v>0.4</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19295-2023</t>
        </is>
      </c>
      <c r="B4870" t="inlineStr">
        <is>
          <t>avverkningsanmälan</t>
        </is>
      </c>
      <c r="C4870" t="inlineStr">
        <is>
          <t>Föryngringsavverkning</t>
        </is>
      </c>
      <c r="D4870" s="1" t="n">
        <v>45049</v>
      </c>
      <c r="E4870" s="1" t="n">
        <v>46316</v>
      </c>
      <c r="F4870" t="inlineStr">
        <is>
          <t>KRONOBERGS LÄN</t>
        </is>
      </c>
      <c r="G4870" t="inlineStr">
        <is>
          <t>ÄLMHULT</t>
        </is>
      </c>
      <c r="I4870" t="n">
        <v>0.5</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62244-2023</t>
        </is>
      </c>
      <c r="B4871" t="inlineStr">
        <is>
          <t>avverkningsanmälan</t>
        </is>
      </c>
      <c r="C4871" t="inlineStr">
        <is>
          <t>Föryngringsavverkning</t>
        </is>
      </c>
      <c r="D4871" s="1" t="n">
        <v>45267</v>
      </c>
      <c r="E4871" s="1" t="n">
        <v>46316</v>
      </c>
      <c r="F4871" t="inlineStr">
        <is>
          <t>KRONOBERGS LÄN</t>
        </is>
      </c>
      <c r="G4871" t="inlineStr">
        <is>
          <t>VÄXJÖ</t>
        </is>
      </c>
      <c r="I4871" t="n">
        <v>0.6</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51047-2023</t>
        </is>
      </c>
      <c r="B4872" t="inlineStr">
        <is>
          <t>avverkningsanmälan</t>
        </is>
      </c>
      <c r="C4872" t="inlineStr">
        <is>
          <t>Föryngringsavverkning</t>
        </is>
      </c>
      <c r="D4872" s="1" t="n">
        <v>45218</v>
      </c>
      <c r="E4872" s="1" t="n">
        <v>46316</v>
      </c>
      <c r="F4872" t="inlineStr">
        <is>
          <t>KRONOBERGS LÄN</t>
        </is>
      </c>
      <c r="G4872" t="inlineStr">
        <is>
          <t>UPPVIDINGE</t>
        </is>
      </c>
      <c r="I4872" t="n">
        <v>1.5</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16348-2023</t>
        </is>
      </c>
      <c r="B4873" t="inlineStr">
        <is>
          <t>avverkningsanmälan</t>
        </is>
      </c>
      <c r="C4873" t="inlineStr">
        <is>
          <t>Föryngringsavverkning</t>
        </is>
      </c>
      <c r="D4873" s="1" t="n">
        <v>45028</v>
      </c>
      <c r="E4873" s="1" t="n">
        <v>46316</v>
      </c>
      <c r="F4873" t="inlineStr">
        <is>
          <t>KRONOBERGS LÄN</t>
        </is>
      </c>
      <c r="G4873" t="inlineStr">
        <is>
          <t>UPPVIDINGE</t>
        </is>
      </c>
      <c r="H4873" t="inlineStr">
        <is>
          <t>Sveaskog</t>
        </is>
      </c>
      <c r="I4873" t="n">
        <v>1.6</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42368-2026</t>
        </is>
      </c>
      <c r="B4874" t="inlineStr">
        <is>
          <t>avverkningsanmälan</t>
        </is>
      </c>
      <c r="C4874" t="inlineStr">
        <is>
          <t>Föryngringsavverkning</t>
        </is>
      </c>
      <c r="D4874" s="1" t="n">
        <v>46307</v>
      </c>
      <c r="E4874" s="1" t="n">
        <v>46316</v>
      </c>
      <c r="F4874" t="inlineStr">
        <is>
          <t>KRONOBERGS LÄN</t>
        </is>
      </c>
      <c r="G4874" t="inlineStr">
        <is>
          <t>UPPVIDINGE</t>
        </is>
      </c>
      <c r="I4874" t="n">
        <v>4.3</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3444-2025</t>
        </is>
      </c>
      <c r="B4875" t="inlineStr">
        <is>
          <t>avverkningsanmälan</t>
        </is>
      </c>
      <c r="C4875" t="inlineStr">
        <is>
          <t>Föryngringsavverkning</t>
        </is>
      </c>
      <c r="D4875" s="1" t="n">
        <v>45679</v>
      </c>
      <c r="E4875" s="1" t="n">
        <v>46316</v>
      </c>
      <c r="F4875" t="inlineStr">
        <is>
          <t>KRONOBERGS LÄN</t>
        </is>
      </c>
      <c r="G4875" t="inlineStr">
        <is>
          <t>ÄLMHULT</t>
        </is>
      </c>
      <c r="I4875" t="n">
        <v>0.7</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47868-2023</t>
        </is>
      </c>
      <c r="B4876" t="inlineStr">
        <is>
          <t>avverkningsanmälan</t>
        </is>
      </c>
      <c r="C4876" t="inlineStr">
        <is>
          <t>Föryngringsavverkning</t>
        </is>
      </c>
      <c r="D4876" s="1" t="n">
        <v>45198</v>
      </c>
      <c r="E4876" s="1" t="n">
        <v>46316</v>
      </c>
      <c r="F4876" t="inlineStr">
        <is>
          <t>KRONOBERGS LÄN</t>
        </is>
      </c>
      <c r="G4876" t="inlineStr">
        <is>
          <t>VÄXJÖ</t>
        </is>
      </c>
      <c r="I4876" t="n">
        <v>1</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48559-2022</t>
        </is>
      </c>
      <c r="B4877" t="inlineStr">
        <is>
          <t>avverkningsanmälan</t>
        </is>
      </c>
      <c r="C4877" t="inlineStr">
        <is>
          <t>Föryngringsavverkning</t>
        </is>
      </c>
      <c r="D4877" s="1" t="n">
        <v>44859</v>
      </c>
      <c r="E4877" s="1" t="n">
        <v>46316</v>
      </c>
      <c r="F4877" t="inlineStr">
        <is>
          <t>KRONOBERGS LÄN</t>
        </is>
      </c>
      <c r="G4877" t="inlineStr">
        <is>
          <t>ÄLMHULT</t>
        </is>
      </c>
      <c r="I4877" t="n">
        <v>1.1</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69454-2021</t>
        </is>
      </c>
      <c r="B4878" t="inlineStr">
        <is>
          <t>avverkningsanmälan</t>
        </is>
      </c>
      <c r="C4878" t="inlineStr">
        <is>
          <t>Föryngringsavverkning</t>
        </is>
      </c>
      <c r="D4878" s="1" t="n">
        <v>44531</v>
      </c>
      <c r="E4878" s="1" t="n">
        <v>46316</v>
      </c>
      <c r="F4878" t="inlineStr">
        <is>
          <t>KRONOBERGS LÄN</t>
        </is>
      </c>
      <c r="G4878" t="inlineStr">
        <is>
          <t>ÄLMHULT</t>
        </is>
      </c>
      <c r="I4878" t="n">
        <v>3.4</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14172-2022</t>
        </is>
      </c>
      <c r="B4879" t="inlineStr">
        <is>
          <t>avverkningsanmälan</t>
        </is>
      </c>
      <c r="C4879" t="inlineStr">
        <is>
          <t>Föryngringsavverkning</t>
        </is>
      </c>
      <c r="D4879" s="1" t="n">
        <v>44651</v>
      </c>
      <c r="E4879" s="1" t="n">
        <v>46316</v>
      </c>
      <c r="F4879" t="inlineStr">
        <is>
          <t>KRONOBERGS LÄN</t>
        </is>
      </c>
      <c r="G4879" t="inlineStr">
        <is>
          <t>VÄXJÖ</t>
        </is>
      </c>
      <c r="I4879" t="n">
        <v>2.5</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56385-2022</t>
        </is>
      </c>
      <c r="B4880" t="inlineStr">
        <is>
          <t>avverkningsanmälan</t>
        </is>
      </c>
      <c r="C4880" t="inlineStr">
        <is>
          <t>Föryngringsavverkning</t>
        </is>
      </c>
      <c r="D4880" s="1" t="n">
        <v>44887</v>
      </c>
      <c r="E4880" s="1" t="n">
        <v>46316</v>
      </c>
      <c r="F4880" t="inlineStr">
        <is>
          <t>KRONOBERGS LÄN</t>
        </is>
      </c>
      <c r="G4880" t="inlineStr">
        <is>
          <t>LJUNGBY</t>
        </is>
      </c>
      <c r="I4880" t="n">
        <v>0.8</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42377-2026</t>
        </is>
      </c>
      <c r="B4881" t="inlineStr">
        <is>
          <t>avverkningsanmälan</t>
        </is>
      </c>
      <c r="C4881" t="inlineStr">
        <is>
          <t>Föryngringsavverkning</t>
        </is>
      </c>
      <c r="D4881" s="1" t="n">
        <v>46307</v>
      </c>
      <c r="E4881" s="1" t="n">
        <v>46316</v>
      </c>
      <c r="F4881" t="inlineStr">
        <is>
          <t>KRONOBERGS LÄN</t>
        </is>
      </c>
      <c r="G4881" t="inlineStr">
        <is>
          <t>TINGSRYD</t>
        </is>
      </c>
      <c r="I4881" t="n">
        <v>2</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35389-2026</t>
        </is>
      </c>
      <c r="B4882" t="inlineStr">
        <is>
          <t>avverkningsanmälan</t>
        </is>
      </c>
      <c r="C4882" t="inlineStr">
        <is>
          <t>Föryngringsavverkning</t>
        </is>
      </c>
      <c r="D4882" s="1" t="n">
        <v>46261</v>
      </c>
      <c r="E4882" s="1" t="n">
        <v>46316</v>
      </c>
      <c r="F4882" t="inlineStr">
        <is>
          <t>KRONOBERGS LÄN</t>
        </is>
      </c>
      <c r="G4882" t="inlineStr">
        <is>
          <t>VÄXJÖ</t>
        </is>
      </c>
      <c r="I4882" t="n">
        <v>2.6</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35478-2026</t>
        </is>
      </c>
      <c r="B4883" t="inlineStr">
        <is>
          <t>avverkningsanmälan</t>
        </is>
      </c>
      <c r="C4883" t="inlineStr">
        <is>
          <t>Föryngringsavverkning</t>
        </is>
      </c>
      <c r="D4883" s="1" t="n">
        <v>46262</v>
      </c>
      <c r="E4883" s="1" t="n">
        <v>46316</v>
      </c>
      <c r="F4883" t="inlineStr">
        <is>
          <t>KRONOBERGS LÄN</t>
        </is>
      </c>
      <c r="G4883" t="inlineStr">
        <is>
          <t>ÄLMHULT</t>
        </is>
      </c>
      <c r="I4883" t="n">
        <v>1.7</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29160-2023</t>
        </is>
      </c>
      <c r="B4884" t="inlineStr">
        <is>
          <t>avverkningsanmälan</t>
        </is>
      </c>
      <c r="C4884" t="inlineStr">
        <is>
          <t>Föryngringsavverkning</t>
        </is>
      </c>
      <c r="D4884" s="1" t="n">
        <v>45105</v>
      </c>
      <c r="E4884" s="1" t="n">
        <v>46316</v>
      </c>
      <c r="F4884" t="inlineStr">
        <is>
          <t>KRONOBERGS LÄN</t>
        </is>
      </c>
      <c r="G4884" t="inlineStr">
        <is>
          <t>UPPVIDINGE</t>
        </is>
      </c>
      <c r="I4884" t="n">
        <v>0.7</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51172-2022</t>
        </is>
      </c>
      <c r="B4885" t="inlineStr">
        <is>
          <t>avverkningsanmälan</t>
        </is>
      </c>
      <c r="C4885" t="inlineStr">
        <is>
          <t>Föryngringsavverkning</t>
        </is>
      </c>
      <c r="D4885" s="1" t="n">
        <v>44868</v>
      </c>
      <c r="E4885" s="1" t="n">
        <v>46316</v>
      </c>
      <c r="F4885" t="inlineStr">
        <is>
          <t>KRONOBERGS LÄN</t>
        </is>
      </c>
      <c r="G4885" t="inlineStr">
        <is>
          <t>LJUNGBY</t>
        </is>
      </c>
      <c r="I4885" t="n">
        <v>2.3</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26183-2023</t>
        </is>
      </c>
      <c r="B4886" t="inlineStr">
        <is>
          <t>avverkningsanmälan</t>
        </is>
      </c>
      <c r="C4886" t="inlineStr">
        <is>
          <t>Föryngringsavverkning</t>
        </is>
      </c>
      <c r="D4886" s="1" t="n">
        <v>45091</v>
      </c>
      <c r="E4886" s="1" t="n">
        <v>46316</v>
      </c>
      <c r="F4886" t="inlineStr">
        <is>
          <t>KRONOBERGS LÄN</t>
        </is>
      </c>
      <c r="G4886" t="inlineStr">
        <is>
          <t>TINGSRYD</t>
        </is>
      </c>
      <c r="I4886" t="n">
        <v>1.2</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13147-2024</t>
        </is>
      </c>
      <c r="B4887" t="inlineStr">
        <is>
          <t>avverkningsanmälan</t>
        </is>
      </c>
      <c r="C4887" t="inlineStr">
        <is>
          <t>Föryngringsavverkning</t>
        </is>
      </c>
      <c r="D4887" s="1" t="n">
        <v>45386</v>
      </c>
      <c r="E4887" s="1" t="n">
        <v>46316</v>
      </c>
      <c r="F4887" t="inlineStr">
        <is>
          <t>KRONOBERGS LÄN</t>
        </is>
      </c>
      <c r="G4887" t="inlineStr">
        <is>
          <t>UPPVIDINGE</t>
        </is>
      </c>
      <c r="H4887" t="inlineStr">
        <is>
          <t>Sveaskog</t>
        </is>
      </c>
      <c r="I4887" t="n">
        <v>0.8</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38595-2024</t>
        </is>
      </c>
      <c r="B4888" t="inlineStr">
        <is>
          <t>avverkningsanmälan</t>
        </is>
      </c>
      <c r="C4888" t="inlineStr">
        <is>
          <t>Föryngringsavverkning</t>
        </is>
      </c>
      <c r="D4888" s="1" t="n">
        <v>45546</v>
      </c>
      <c r="E4888" s="1" t="n">
        <v>46316</v>
      </c>
      <c r="F4888" t="inlineStr">
        <is>
          <t>KRONOBERGS LÄN</t>
        </is>
      </c>
      <c r="G4888" t="inlineStr">
        <is>
          <t>TINGSRYD</t>
        </is>
      </c>
      <c r="I4888" t="n">
        <v>3.6</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42103-2026</t>
        </is>
      </c>
      <c r="B4889" t="inlineStr">
        <is>
          <t>avverkningsanmälan</t>
        </is>
      </c>
      <c r="C4889" t="inlineStr">
        <is>
          <t>Föryngringsavverkning</t>
        </is>
      </c>
      <c r="D4889" s="1" t="n">
        <v>46304</v>
      </c>
      <c r="E4889" s="1" t="n">
        <v>46316</v>
      </c>
      <c r="F4889" t="inlineStr">
        <is>
          <t>KRONOBERGS LÄN</t>
        </is>
      </c>
      <c r="G4889" t="inlineStr">
        <is>
          <t>ALVESTA</t>
        </is>
      </c>
      <c r="I4889" t="n">
        <v>2</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4797-2025</t>
        </is>
      </c>
      <c r="B4890" t="inlineStr">
        <is>
          <t>avverkningsanmälan</t>
        </is>
      </c>
      <c r="C4890" t="inlineStr">
        <is>
          <t>Föryngringsavverkning</t>
        </is>
      </c>
      <c r="D4890" s="1" t="n">
        <v>45688</v>
      </c>
      <c r="E4890" s="1" t="n">
        <v>46316</v>
      </c>
      <c r="F4890" t="inlineStr">
        <is>
          <t>KRONOBERGS LÄN</t>
        </is>
      </c>
      <c r="G4890" t="inlineStr">
        <is>
          <t>UPPVIDINGE</t>
        </is>
      </c>
      <c r="H4890" t="inlineStr">
        <is>
          <t>Sveaskog</t>
        </is>
      </c>
      <c r="I4890" t="n">
        <v>20.5</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1093-2024</t>
        </is>
      </c>
      <c r="B4891" t="inlineStr">
        <is>
          <t>avverkningsanmälan</t>
        </is>
      </c>
      <c r="C4891" t="inlineStr">
        <is>
          <t>Föryngringsavverkning</t>
        </is>
      </c>
      <c r="D4891" s="1" t="n">
        <v>45302</v>
      </c>
      <c r="E4891" s="1" t="n">
        <v>46316</v>
      </c>
      <c r="F4891" t="inlineStr">
        <is>
          <t>KRONOBERGS LÄN</t>
        </is>
      </c>
      <c r="G4891" t="inlineStr">
        <is>
          <t>ALVESTA</t>
        </is>
      </c>
      <c r="I4891" t="n">
        <v>0.9</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61150-2025</t>
        </is>
      </c>
      <c r="B4892" t="inlineStr">
        <is>
          <t>avverkningsanmälan</t>
        </is>
      </c>
      <c r="C4892" t="inlineStr">
        <is>
          <t>Föryngringsavverkning</t>
        </is>
      </c>
      <c r="D4892" s="1" t="n">
        <v>46000</v>
      </c>
      <c r="E4892" s="1" t="n">
        <v>46316</v>
      </c>
      <c r="F4892" t="inlineStr">
        <is>
          <t>KRONOBERGS LÄN</t>
        </is>
      </c>
      <c r="G4892" t="inlineStr">
        <is>
          <t>TINGSRYD</t>
        </is>
      </c>
      <c r="I4892" t="n">
        <v>1.4</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26801-2026</t>
        </is>
      </c>
      <c r="B4893" t="inlineStr">
        <is>
          <t>avverkningsanmälan</t>
        </is>
      </c>
      <c r="C4893" t="inlineStr">
        <is>
          <t>Föryngringsavverkning</t>
        </is>
      </c>
      <c r="D4893" s="1" t="n">
        <v>46183</v>
      </c>
      <c r="E4893" s="1" t="n">
        <v>46316</v>
      </c>
      <c r="F4893" t="inlineStr">
        <is>
          <t>KRONOBERGS LÄN</t>
        </is>
      </c>
      <c r="G4893" t="inlineStr">
        <is>
          <t>VÄXJÖ</t>
        </is>
      </c>
      <c r="I4893" t="n">
        <v>1.5</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21447-2026</t>
        </is>
      </c>
      <c r="B4894" t="inlineStr">
        <is>
          <t>avverkningsanmälan</t>
        </is>
      </c>
      <c r="C4894" t="inlineStr">
        <is>
          <t>Föryngringsavverkning</t>
        </is>
      </c>
      <c r="D4894" s="1" t="n">
        <v>46148</v>
      </c>
      <c r="E4894" s="1" t="n">
        <v>46316</v>
      </c>
      <c r="F4894" t="inlineStr">
        <is>
          <t>KRONOBERGS LÄN</t>
        </is>
      </c>
      <c r="G4894" t="inlineStr">
        <is>
          <t>TINGSRYD</t>
        </is>
      </c>
      <c r="I4894" t="n">
        <v>1.9</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59985-2023</t>
        </is>
      </c>
      <c r="B4895" t="inlineStr">
        <is>
          <t>avverkningsanmälan</t>
        </is>
      </c>
      <c r="C4895" t="inlineStr">
        <is>
          <t>Föryngringsavverkning</t>
        </is>
      </c>
      <c r="D4895" s="1" t="n">
        <v>45257</v>
      </c>
      <c r="E4895" s="1" t="n">
        <v>46316</v>
      </c>
      <c r="F4895" t="inlineStr">
        <is>
          <t>KRONOBERGS LÄN</t>
        </is>
      </c>
      <c r="G4895" t="inlineStr">
        <is>
          <t>MARKARYD</t>
        </is>
      </c>
      <c r="I4895" t="n">
        <v>2.9</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33075-2023</t>
        </is>
      </c>
      <c r="B4896" t="inlineStr">
        <is>
          <t>avverkningsanmälan</t>
        </is>
      </c>
      <c r="C4896" t="inlineStr">
        <is>
          <t>Avverkning för annat ändamål</t>
        </is>
      </c>
      <c r="D4896" s="1" t="n">
        <v>45126</v>
      </c>
      <c r="E4896" s="1" t="n">
        <v>46316</v>
      </c>
      <c r="F4896" t="inlineStr">
        <is>
          <t>KRONOBERGS LÄN</t>
        </is>
      </c>
      <c r="G4896" t="inlineStr">
        <is>
          <t>LJUNGBY</t>
        </is>
      </c>
      <c r="I4896" t="n">
        <v>2.9</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323-2022</t>
        </is>
      </c>
      <c r="B4897" t="inlineStr">
        <is>
          <t>avverkningsanmälan</t>
        </is>
      </c>
      <c r="C4897" t="inlineStr">
        <is>
          <t>Föryngringsavverkning</t>
        </is>
      </c>
      <c r="D4897" s="1" t="n">
        <v>44565</v>
      </c>
      <c r="E4897" s="1" t="n">
        <v>46316</v>
      </c>
      <c r="F4897" t="inlineStr">
        <is>
          <t>KRONOBERGS LÄN</t>
        </is>
      </c>
      <c r="G4897" t="inlineStr">
        <is>
          <t>LJUNGBY</t>
        </is>
      </c>
      <c r="I4897" t="n">
        <v>1.2</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37823-2024</t>
        </is>
      </c>
      <c r="B4898" t="inlineStr">
        <is>
          <t>avverkningsanmälan</t>
        </is>
      </c>
      <c r="C4898" t="inlineStr">
        <is>
          <t>Föryngringsavverkning</t>
        </is>
      </c>
      <c r="D4898" s="1" t="n">
        <v>45544</v>
      </c>
      <c r="E4898" s="1" t="n">
        <v>46316</v>
      </c>
      <c r="F4898" t="inlineStr">
        <is>
          <t>KRONOBERGS LÄN</t>
        </is>
      </c>
      <c r="G4898" t="inlineStr">
        <is>
          <t>UPPVIDINGE</t>
        </is>
      </c>
      <c r="I4898" t="n">
        <v>3.1</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61447-2023</t>
        </is>
      </c>
      <c r="B4899" t="inlineStr">
        <is>
          <t>avverkningsanmälan</t>
        </is>
      </c>
      <c r="C4899" t="inlineStr">
        <is>
          <t>Föryngringsavverkning</t>
        </is>
      </c>
      <c r="D4899" s="1" t="n">
        <v>45264</v>
      </c>
      <c r="E4899" s="1" t="n">
        <v>46316</v>
      </c>
      <c r="F4899" t="inlineStr">
        <is>
          <t>KRONOBERGS LÄN</t>
        </is>
      </c>
      <c r="G4899" t="inlineStr">
        <is>
          <t>TINGSRYD</t>
        </is>
      </c>
      <c r="I4899" t="n">
        <v>1.7</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37839-2024</t>
        </is>
      </c>
      <c r="B4900" t="inlineStr">
        <is>
          <t>avverkningsanmälan</t>
        </is>
      </c>
      <c r="C4900" t="inlineStr">
        <is>
          <t>Föryngringsavverkning</t>
        </is>
      </c>
      <c r="D4900" s="1" t="n">
        <v>45544</v>
      </c>
      <c r="E4900" s="1" t="n">
        <v>46316</v>
      </c>
      <c r="F4900" t="inlineStr">
        <is>
          <t>KRONOBERGS LÄN</t>
        </is>
      </c>
      <c r="G4900" t="inlineStr">
        <is>
          <t>ALVESTA</t>
        </is>
      </c>
      <c r="I4900" t="n">
        <v>3.1</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44276-2023</t>
        </is>
      </c>
      <c r="B4901" t="inlineStr">
        <is>
          <t>avverkningsanmälan</t>
        </is>
      </c>
      <c r="C4901" t="inlineStr">
        <is>
          <t>Föryngringsavverkning</t>
        </is>
      </c>
      <c r="D4901" s="1" t="n">
        <v>45188</v>
      </c>
      <c r="E4901" s="1" t="n">
        <v>46316</v>
      </c>
      <c r="F4901" t="inlineStr">
        <is>
          <t>KRONOBERGS LÄN</t>
        </is>
      </c>
      <c r="G4901" t="inlineStr">
        <is>
          <t>LJUNGBY</t>
        </is>
      </c>
      <c r="I4901" t="n">
        <v>3.1</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16781-2023</t>
        </is>
      </c>
      <c r="B4902" t="inlineStr">
        <is>
          <t>avverkningsanmälan</t>
        </is>
      </c>
      <c r="C4902" t="inlineStr">
        <is>
          <t>Föryngringsavverkning</t>
        </is>
      </c>
      <c r="D4902" s="1" t="n">
        <v>45032</v>
      </c>
      <c r="E4902" s="1" t="n">
        <v>46316</v>
      </c>
      <c r="F4902" t="inlineStr">
        <is>
          <t>KRONOBERGS LÄN</t>
        </is>
      </c>
      <c r="G4902" t="inlineStr">
        <is>
          <t>ALVESTA</t>
        </is>
      </c>
      <c r="I4902" t="n">
        <v>1.7</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31753-2024</t>
        </is>
      </c>
      <c r="B4903" t="inlineStr">
        <is>
          <t>avverkningsanmälan</t>
        </is>
      </c>
      <c r="C4903" t="inlineStr">
        <is>
          <t>Föryngringsavverkning</t>
        </is>
      </c>
      <c r="D4903" s="1" t="n">
        <v>45509</v>
      </c>
      <c r="E4903" s="1" t="n">
        <v>46316</v>
      </c>
      <c r="F4903" t="inlineStr">
        <is>
          <t>KRONOBERGS LÄN</t>
        </is>
      </c>
      <c r="G4903" t="inlineStr">
        <is>
          <t>VÄXJÖ</t>
        </is>
      </c>
      <c r="I4903" t="n">
        <v>3.4</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42355-2026</t>
        </is>
      </c>
      <c r="B4904" t="inlineStr">
        <is>
          <t>avverkningsanmälan</t>
        </is>
      </c>
      <c r="C4904" t="inlineStr">
        <is>
          <t>Avverkning för annat ändamål</t>
        </is>
      </c>
      <c r="D4904" s="1" t="n">
        <v>46307</v>
      </c>
      <c r="E4904" s="1" t="n">
        <v>46316</v>
      </c>
      <c r="F4904" t="inlineStr">
        <is>
          <t>KRONOBERGS LÄN</t>
        </is>
      </c>
      <c r="G4904" t="inlineStr">
        <is>
          <t>ÄLMHULT</t>
        </is>
      </c>
      <c r="I4904" t="n">
        <v>2.4</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42357-2026</t>
        </is>
      </c>
      <c r="B4905" t="inlineStr">
        <is>
          <t>avverkningsanmälan</t>
        </is>
      </c>
      <c r="C4905" t="inlineStr">
        <is>
          <t>Föryngringsavverkning</t>
        </is>
      </c>
      <c r="D4905" s="1" t="n">
        <v>46307</v>
      </c>
      <c r="E4905" s="1" t="n">
        <v>46316</v>
      </c>
      <c r="F4905" t="inlineStr">
        <is>
          <t>KRONOBERGS LÄN</t>
        </is>
      </c>
      <c r="G4905" t="inlineStr">
        <is>
          <t>VÄXJÖ</t>
        </is>
      </c>
      <c r="I4905" t="n">
        <v>1.3</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42388-2026</t>
        </is>
      </c>
      <c r="B4906" t="inlineStr">
        <is>
          <t>avverkningsanmälan</t>
        </is>
      </c>
      <c r="C4906" t="inlineStr">
        <is>
          <t>Föryngringsavverkning</t>
        </is>
      </c>
      <c r="D4906" s="1" t="n">
        <v>46307</v>
      </c>
      <c r="E4906" s="1" t="n">
        <v>46316</v>
      </c>
      <c r="F4906" t="inlineStr">
        <is>
          <t>KRONOBERGS LÄN</t>
        </is>
      </c>
      <c r="G4906" t="inlineStr">
        <is>
          <t>VÄXJÖ</t>
        </is>
      </c>
      <c r="I4906" t="n">
        <v>2.7</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37040-2023</t>
        </is>
      </c>
      <c r="B4907" t="inlineStr">
        <is>
          <t>avverkningsanmälan</t>
        </is>
      </c>
      <c r="C4907" t="inlineStr">
        <is>
          <t>Föryngringsavverkning</t>
        </is>
      </c>
      <c r="D4907" s="1" t="n">
        <v>45155</v>
      </c>
      <c r="E4907" s="1" t="n">
        <v>46316</v>
      </c>
      <c r="F4907" t="inlineStr">
        <is>
          <t>KRONOBERGS LÄN</t>
        </is>
      </c>
      <c r="G4907" t="inlineStr">
        <is>
          <t>UPPVIDINGE</t>
        </is>
      </c>
      <c r="I4907" t="n">
        <v>1.1</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25957-2023</t>
        </is>
      </c>
      <c r="B4908" t="inlineStr">
        <is>
          <t>avverkningsanmälan</t>
        </is>
      </c>
      <c r="C4908" t="inlineStr">
        <is>
          <t>Avverkning för annat ändamål</t>
        </is>
      </c>
      <c r="D4908" s="1" t="n">
        <v>45090</v>
      </c>
      <c r="E4908" s="1" t="n">
        <v>46316</v>
      </c>
      <c r="F4908" t="inlineStr">
        <is>
          <t>KRONOBERGS LÄN</t>
        </is>
      </c>
      <c r="G4908" t="inlineStr">
        <is>
          <t>MARKARYD</t>
        </is>
      </c>
      <c r="I4908" t="n">
        <v>1.7</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42205-2026</t>
        </is>
      </c>
      <c r="B4909" t="inlineStr">
        <is>
          <t>avverkningsanmälan</t>
        </is>
      </c>
      <c r="C4909" t="inlineStr">
        <is>
          <t>Föryngringsavverkning</t>
        </is>
      </c>
      <c r="D4909" s="1" t="n">
        <v>46305</v>
      </c>
      <c r="E4909" s="1" t="n">
        <v>46316</v>
      </c>
      <c r="F4909" t="inlineStr">
        <is>
          <t>KRONOBERGS LÄN</t>
        </is>
      </c>
      <c r="G4909" t="inlineStr">
        <is>
          <t>LJUNGBY</t>
        </is>
      </c>
      <c r="I4909" t="n">
        <v>0.7</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22415-2024</t>
        </is>
      </c>
      <c r="B4910" t="inlineStr">
        <is>
          <t>avverkningsanmälan</t>
        </is>
      </c>
      <c r="C4910" t="inlineStr">
        <is>
          <t>Avverkning för annat ändamål</t>
        </is>
      </c>
      <c r="D4910" s="1" t="n">
        <v>45446</v>
      </c>
      <c r="E4910" s="1" t="n">
        <v>46316</v>
      </c>
      <c r="F4910" t="inlineStr">
        <is>
          <t>KRONOBERGS LÄN</t>
        </is>
      </c>
      <c r="G4910" t="inlineStr">
        <is>
          <t>ÄLMHULT</t>
        </is>
      </c>
      <c r="I4910" t="n">
        <v>0.8</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22500-2024</t>
        </is>
      </c>
      <c r="B4911" t="inlineStr">
        <is>
          <t>avverkningsanmälan</t>
        </is>
      </c>
      <c r="C4911" t="inlineStr">
        <is>
          <t>Föryngringsavverkning</t>
        </is>
      </c>
      <c r="D4911" s="1" t="n">
        <v>45447</v>
      </c>
      <c r="E4911" s="1" t="n">
        <v>46316</v>
      </c>
      <c r="F4911" t="inlineStr">
        <is>
          <t>KRONOBERGS LÄN</t>
        </is>
      </c>
      <c r="G4911" t="inlineStr">
        <is>
          <t>VÄXJÖ</t>
        </is>
      </c>
      <c r="I4911" t="n">
        <v>1.5</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38656-2024</t>
        </is>
      </c>
      <c r="B4912" t="inlineStr">
        <is>
          <t>avverkningsanmälan</t>
        </is>
      </c>
      <c r="C4912" t="inlineStr">
        <is>
          <t>Avverkning för annat ändamål</t>
        </is>
      </c>
      <c r="D4912" s="1" t="n">
        <v>45546</v>
      </c>
      <c r="E4912" s="1" t="n">
        <v>46316</v>
      </c>
      <c r="F4912" t="inlineStr">
        <is>
          <t>KRONOBERGS LÄN</t>
        </is>
      </c>
      <c r="G4912" t="inlineStr">
        <is>
          <t>LJUNGBY</t>
        </is>
      </c>
      <c r="I4912" t="n">
        <v>0.9</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22432-2023</t>
        </is>
      </c>
      <c r="B4913" t="inlineStr">
        <is>
          <t>avverkningsanmälan</t>
        </is>
      </c>
      <c r="C4913" t="inlineStr">
        <is>
          <t>Avverkning för annat ändamål</t>
        </is>
      </c>
      <c r="D4913" s="1" t="n">
        <v>45070</v>
      </c>
      <c r="E4913" s="1" t="n">
        <v>46316</v>
      </c>
      <c r="F4913" t="inlineStr">
        <is>
          <t>KRONOBERGS LÄN</t>
        </is>
      </c>
      <c r="G4913" t="inlineStr">
        <is>
          <t>LESSEBO</t>
        </is>
      </c>
      <c r="H4913" t="inlineStr">
        <is>
          <t>Kommuner</t>
        </is>
      </c>
      <c r="I4913" t="n">
        <v>2.9</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20130-2022</t>
        </is>
      </c>
      <c r="B4914" t="inlineStr">
        <is>
          <t>avverkningsanmälan</t>
        </is>
      </c>
      <c r="C4914" t="inlineStr">
        <is>
          <t>Föryngringsavverkning</t>
        </is>
      </c>
      <c r="D4914" s="1" t="n">
        <v>44698</v>
      </c>
      <c r="E4914" s="1" t="n">
        <v>46316</v>
      </c>
      <c r="F4914" t="inlineStr">
        <is>
          <t>KRONOBERGS LÄN</t>
        </is>
      </c>
      <c r="G4914" t="inlineStr">
        <is>
          <t>TINGSRYD</t>
        </is>
      </c>
      <c r="I4914" t="n">
        <v>1.2</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56529-2022</t>
        </is>
      </c>
      <c r="B4915" t="inlineStr">
        <is>
          <t>avverkningsanmälan</t>
        </is>
      </c>
      <c r="C4915" t="inlineStr">
        <is>
          <t>Föryngringsavverkning</t>
        </is>
      </c>
      <c r="D4915" s="1" t="n">
        <v>44893</v>
      </c>
      <c r="E4915" s="1" t="n">
        <v>46316</v>
      </c>
      <c r="F4915" t="inlineStr">
        <is>
          <t>KRONOBERGS LÄN</t>
        </is>
      </c>
      <c r="G4915" t="inlineStr">
        <is>
          <t>LESSEBO</t>
        </is>
      </c>
      <c r="I4915" t="n">
        <v>9</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54105-2024</t>
        </is>
      </c>
      <c r="B4916" t="inlineStr">
        <is>
          <t>avverkningsanmälan</t>
        </is>
      </c>
      <c r="C4916" t="inlineStr">
        <is>
          <t>Föryngringsavverkning</t>
        </is>
      </c>
      <c r="D4916" s="1" t="n">
        <v>45616</v>
      </c>
      <c r="E4916" s="1" t="n">
        <v>46316</v>
      </c>
      <c r="F4916" t="inlineStr">
        <is>
          <t>KRONOBERGS LÄN</t>
        </is>
      </c>
      <c r="G4916" t="inlineStr">
        <is>
          <t>ÄLMHULT</t>
        </is>
      </c>
      <c r="I4916" t="n">
        <v>2.3</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14230-2022</t>
        </is>
      </c>
      <c r="B4917" t="inlineStr">
        <is>
          <t>avverkningsanmälan</t>
        </is>
      </c>
      <c r="C4917" t="inlineStr">
        <is>
          <t>Föryngringsavverkning</t>
        </is>
      </c>
      <c r="D4917" s="1" t="n">
        <v>44651</v>
      </c>
      <c r="E4917" s="1" t="n">
        <v>46316</v>
      </c>
      <c r="F4917" t="inlineStr">
        <is>
          <t>KRONOBERGS LÄN</t>
        </is>
      </c>
      <c r="G4917" t="inlineStr">
        <is>
          <t>LJUNGBY</t>
        </is>
      </c>
      <c r="I4917" t="n">
        <v>2.6</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42358-2026</t>
        </is>
      </c>
      <c r="B4918" t="inlineStr">
        <is>
          <t>avverkningsanmälan</t>
        </is>
      </c>
      <c r="C4918" t="inlineStr">
        <is>
          <t>Föryngringsavverkning</t>
        </is>
      </c>
      <c r="D4918" s="1" t="n">
        <v>46307</v>
      </c>
      <c r="E4918" s="1" t="n">
        <v>46316</v>
      </c>
      <c r="F4918" t="inlineStr">
        <is>
          <t>KRONOBERGS LÄN</t>
        </is>
      </c>
      <c r="G4918" t="inlineStr">
        <is>
          <t>ÄLMHULT</t>
        </is>
      </c>
      <c r="I4918" t="n">
        <v>1.1</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50613-2023</t>
        </is>
      </c>
      <c r="B4919" t="inlineStr">
        <is>
          <t>avverkningsanmälan</t>
        </is>
      </c>
      <c r="C4919" t="inlineStr">
        <is>
          <t>Föryngringsavverkning</t>
        </is>
      </c>
      <c r="D4919" s="1" t="n">
        <v>45217</v>
      </c>
      <c r="E4919" s="1" t="n">
        <v>46316</v>
      </c>
      <c r="F4919" t="inlineStr">
        <is>
          <t>KRONOBERGS LÄN</t>
        </is>
      </c>
      <c r="G4919" t="inlineStr">
        <is>
          <t>MARKARYD</t>
        </is>
      </c>
      <c r="I4919" t="n">
        <v>6.9</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35522-2026</t>
        </is>
      </c>
      <c r="B4920" t="inlineStr">
        <is>
          <t>avverkningsanmälan</t>
        </is>
      </c>
      <c r="C4920" t="inlineStr">
        <is>
          <t>Föryngringsavverkning</t>
        </is>
      </c>
      <c r="D4920" s="1" t="n">
        <v>46262</v>
      </c>
      <c r="E4920" s="1" t="n">
        <v>46316</v>
      </c>
      <c r="F4920" t="inlineStr">
        <is>
          <t>KRONOBERGS LÄN</t>
        </is>
      </c>
      <c r="G4920" t="inlineStr">
        <is>
          <t>UPPVIDINGE</t>
        </is>
      </c>
      <c r="H4920" t="inlineStr">
        <is>
          <t>Kyrkan</t>
        </is>
      </c>
      <c r="I4920" t="n">
        <v>1.9</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10881-2022</t>
        </is>
      </c>
      <c r="B4921" t="inlineStr">
        <is>
          <t>avverkningsanmälan</t>
        </is>
      </c>
      <c r="C4921" t="inlineStr">
        <is>
          <t>Föryngringsavverkning</t>
        </is>
      </c>
      <c r="D4921" s="1" t="n">
        <v>44627</v>
      </c>
      <c r="E4921" s="1" t="n">
        <v>46316</v>
      </c>
      <c r="F4921" t="inlineStr">
        <is>
          <t>KRONOBERGS LÄN</t>
        </is>
      </c>
      <c r="G4921" t="inlineStr">
        <is>
          <t>TINGSRYD</t>
        </is>
      </c>
      <c r="I4921" t="n">
        <v>6.1</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35237-2026</t>
        </is>
      </c>
      <c r="B4922" t="inlineStr">
        <is>
          <t>avverkningsanmälan</t>
        </is>
      </c>
      <c r="C4922" t="inlineStr">
        <is>
          <t>Föryngringsavverkning</t>
        </is>
      </c>
      <c r="D4922" s="1" t="n">
        <v>46260</v>
      </c>
      <c r="E4922" s="1" t="n">
        <v>46316</v>
      </c>
      <c r="F4922" t="inlineStr">
        <is>
          <t>KRONOBERGS LÄN</t>
        </is>
      </c>
      <c r="G4922" t="inlineStr">
        <is>
          <t>UPPVIDINGE</t>
        </is>
      </c>
      <c r="I4922" t="n">
        <v>0.8</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16263-2025</t>
        </is>
      </c>
      <c r="B4923" t="inlineStr">
        <is>
          <t>avverkningsanmälan</t>
        </is>
      </c>
      <c r="C4923" t="inlineStr">
        <is>
          <t>Föryngringsavverkning</t>
        </is>
      </c>
      <c r="D4923" s="1" t="n">
        <v>45749</v>
      </c>
      <c r="E4923" s="1" t="n">
        <v>46316</v>
      </c>
      <c r="F4923" t="inlineStr">
        <is>
          <t>KRONOBERGS LÄN</t>
        </is>
      </c>
      <c r="G4923" t="inlineStr">
        <is>
          <t>UPPVIDINGE</t>
        </is>
      </c>
      <c r="H4923" t="inlineStr">
        <is>
          <t>Kyrkan</t>
        </is>
      </c>
      <c r="I4923" t="n">
        <v>3.2</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35536-2026</t>
        </is>
      </c>
      <c r="B4924" t="inlineStr">
        <is>
          <t>avverkningsanmälan</t>
        </is>
      </c>
      <c r="C4924" t="inlineStr">
        <is>
          <t>Föryngringsavverkning</t>
        </is>
      </c>
      <c r="D4924" s="1" t="n">
        <v>46262</v>
      </c>
      <c r="E4924" s="1" t="n">
        <v>46316</v>
      </c>
      <c r="F4924" t="inlineStr">
        <is>
          <t>KRONOBERGS LÄN</t>
        </is>
      </c>
      <c r="G4924" t="inlineStr">
        <is>
          <t>VÄXJÖ</t>
        </is>
      </c>
      <c r="I4924" t="n">
        <v>1.6</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35568-2026</t>
        </is>
      </c>
      <c r="B4925" t="inlineStr">
        <is>
          <t>avverkningsanmälan</t>
        </is>
      </c>
      <c r="C4925" t="inlineStr">
        <is>
          <t>Föryngringsavverkning</t>
        </is>
      </c>
      <c r="D4925" s="1" t="n">
        <v>46262</v>
      </c>
      <c r="E4925" s="1" t="n">
        <v>46316</v>
      </c>
      <c r="F4925" t="inlineStr">
        <is>
          <t>KRONOBERGS LÄN</t>
        </is>
      </c>
      <c r="G4925" t="inlineStr">
        <is>
          <t>LESSEBO</t>
        </is>
      </c>
      <c r="H4925" t="inlineStr">
        <is>
          <t>Sveaskog</t>
        </is>
      </c>
      <c r="I4925" t="n">
        <v>6.9</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42257-2026</t>
        </is>
      </c>
      <c r="B4926" t="inlineStr">
        <is>
          <t>avverkningsanmälan</t>
        </is>
      </c>
      <c r="C4926" t="inlineStr">
        <is>
          <t>Föryngringsavverkning</t>
        </is>
      </c>
      <c r="D4926" s="1" t="n">
        <v>46307</v>
      </c>
      <c r="E4926" s="1" t="n">
        <v>46316</v>
      </c>
      <c r="F4926" t="inlineStr">
        <is>
          <t>KRONOBERGS LÄN</t>
        </is>
      </c>
      <c r="G4926" t="inlineStr">
        <is>
          <t>ÄLMHULT</t>
        </is>
      </c>
      <c r="I4926" t="n">
        <v>3.4</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42275-2026</t>
        </is>
      </c>
      <c r="B4927" t="inlineStr">
        <is>
          <t>avverkningsanmälan</t>
        </is>
      </c>
      <c r="C4927" t="inlineStr">
        <is>
          <t>Föryngringsavverkning</t>
        </is>
      </c>
      <c r="D4927" s="1" t="n">
        <v>46307</v>
      </c>
      <c r="E4927" s="1" t="n">
        <v>46316</v>
      </c>
      <c r="F4927" t="inlineStr">
        <is>
          <t>KRONOBERGS LÄN</t>
        </is>
      </c>
      <c r="G4927" t="inlineStr">
        <is>
          <t>LJUNGBY</t>
        </is>
      </c>
      <c r="I4927" t="n">
        <v>0.3</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50703-2023</t>
        </is>
      </c>
      <c r="B4928" t="inlineStr">
        <is>
          <t>avverkningsanmälan</t>
        </is>
      </c>
      <c r="C4928" t="inlineStr">
        <is>
          <t>Föryngringsavverkning</t>
        </is>
      </c>
      <c r="D4928" s="1" t="n">
        <v>45217</v>
      </c>
      <c r="E4928" s="1" t="n">
        <v>46316</v>
      </c>
      <c r="F4928" t="inlineStr">
        <is>
          <t>KRONOBERGS LÄN</t>
        </is>
      </c>
      <c r="G4928" t="inlineStr">
        <is>
          <t>ALVESTA</t>
        </is>
      </c>
      <c r="I4928" t="n">
        <v>1.9</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12445-2024</t>
        </is>
      </c>
      <c r="B4929" t="inlineStr">
        <is>
          <t>avverkningsanmälan</t>
        </is>
      </c>
      <c r="C4929" t="inlineStr">
        <is>
          <t>Föryngringsavverkning</t>
        </is>
      </c>
      <c r="D4929" s="1" t="n">
        <v>45378</v>
      </c>
      <c r="E4929" s="1" t="n">
        <v>46316</v>
      </c>
      <c r="F4929" t="inlineStr">
        <is>
          <t>KRONOBERGS LÄN</t>
        </is>
      </c>
      <c r="G4929" t="inlineStr">
        <is>
          <t>VÄXJÖ</t>
        </is>
      </c>
      <c r="I4929" t="n">
        <v>1.3</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42255-2026</t>
        </is>
      </c>
      <c r="B4930" t="inlineStr">
        <is>
          <t>avverkningsanmälan</t>
        </is>
      </c>
      <c r="C4930" t="inlineStr">
        <is>
          <t>Föryngringsavverkning</t>
        </is>
      </c>
      <c r="D4930" s="1" t="n">
        <v>46307</v>
      </c>
      <c r="E4930" s="1" t="n">
        <v>46316</v>
      </c>
      <c r="F4930" t="inlineStr">
        <is>
          <t>KRONOBERGS LÄN</t>
        </is>
      </c>
      <c r="G4930" t="inlineStr">
        <is>
          <t>ÄLMHULT</t>
        </is>
      </c>
      <c r="I4930" t="n">
        <v>1.8</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30665-2024</t>
        </is>
      </c>
      <c r="B4931" t="inlineStr">
        <is>
          <t>avverkningsanmälan</t>
        </is>
      </c>
      <c r="C4931" t="inlineStr">
        <is>
          <t>Föryngringsavverkning</t>
        </is>
      </c>
      <c r="D4931" s="1" t="n">
        <v>45495</v>
      </c>
      <c r="E4931" s="1" t="n">
        <v>46316</v>
      </c>
      <c r="F4931" t="inlineStr">
        <is>
          <t>KRONOBERGS LÄN</t>
        </is>
      </c>
      <c r="G4931" t="inlineStr">
        <is>
          <t>VÄXJÖ</t>
        </is>
      </c>
      <c r="I4931" t="n">
        <v>1.4</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35455-2026</t>
        </is>
      </c>
      <c r="B4932" t="inlineStr">
        <is>
          <t>avverkningsanmälan</t>
        </is>
      </c>
      <c r="C4932" t="inlineStr">
        <is>
          <t>Föryngringsavverkning</t>
        </is>
      </c>
      <c r="D4932" s="1" t="n">
        <v>46262</v>
      </c>
      <c r="E4932" s="1" t="n">
        <v>46316</v>
      </c>
      <c r="F4932" t="inlineStr">
        <is>
          <t>KRONOBERGS LÄN</t>
        </is>
      </c>
      <c r="G4932" t="inlineStr">
        <is>
          <t>TINGSRYD</t>
        </is>
      </c>
      <c r="I4932" t="n">
        <v>0.7</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22213-2024</t>
        </is>
      </c>
      <c r="B4933" t="inlineStr">
        <is>
          <t>avverkningsanmälan</t>
        </is>
      </c>
      <c r="C4933" t="inlineStr">
        <is>
          <t>Föryngringsavverkning</t>
        </is>
      </c>
      <c r="D4933" s="1" t="n">
        <v>45446</v>
      </c>
      <c r="E4933" s="1" t="n">
        <v>46316</v>
      </c>
      <c r="F4933" t="inlineStr">
        <is>
          <t>KRONOBERGS LÄN</t>
        </is>
      </c>
      <c r="G4933" t="inlineStr">
        <is>
          <t>VÄXJÖ</t>
        </is>
      </c>
      <c r="I4933" t="n">
        <v>1.3</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35458-2026</t>
        </is>
      </c>
      <c r="B4934" t="inlineStr">
        <is>
          <t>avverkningsanmälan</t>
        </is>
      </c>
      <c r="C4934" t="inlineStr">
        <is>
          <t>Föryngringsavverkning</t>
        </is>
      </c>
      <c r="D4934" s="1" t="n">
        <v>46262</v>
      </c>
      <c r="E4934" s="1" t="n">
        <v>46316</v>
      </c>
      <c r="F4934" t="inlineStr">
        <is>
          <t>KRONOBERGS LÄN</t>
        </is>
      </c>
      <c r="G4934" t="inlineStr">
        <is>
          <t>TINGSRYD</t>
        </is>
      </c>
      <c r="I4934" t="n">
        <v>0.7</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42100-2026</t>
        </is>
      </c>
      <c r="B4935" t="inlineStr">
        <is>
          <t>avverkningsanmälan</t>
        </is>
      </c>
      <c r="C4935" t="inlineStr">
        <is>
          <t>Föryngringsavverkning</t>
        </is>
      </c>
      <c r="D4935" s="1" t="n">
        <v>46304</v>
      </c>
      <c r="E4935" s="1" t="n">
        <v>46316</v>
      </c>
      <c r="F4935" t="inlineStr">
        <is>
          <t>KRONOBERGS LÄN</t>
        </is>
      </c>
      <c r="G4935" t="inlineStr">
        <is>
          <t>VÄXJÖ</t>
        </is>
      </c>
      <c r="I4935" t="n">
        <v>0.4</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13993-2023</t>
        </is>
      </c>
      <c r="B4936" t="inlineStr">
        <is>
          <t>avverkningsanmälan</t>
        </is>
      </c>
      <c r="C4936" t="inlineStr">
        <is>
          <t>Föryngringsavverkning</t>
        </is>
      </c>
      <c r="D4936" s="1" t="n">
        <v>45008</v>
      </c>
      <c r="E4936" s="1" t="n">
        <v>46316</v>
      </c>
      <c r="F4936" t="inlineStr">
        <is>
          <t>KRONOBERGS LÄN</t>
        </is>
      </c>
      <c r="G4936" t="inlineStr">
        <is>
          <t>VÄXJÖ</t>
        </is>
      </c>
      <c r="I4936" t="n">
        <v>1.9</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35412-2026</t>
        </is>
      </c>
      <c r="B4937" t="inlineStr">
        <is>
          <t>avverkningsanmälan</t>
        </is>
      </c>
      <c r="C4937" t="inlineStr">
        <is>
          <t>Föryngringsavverkning</t>
        </is>
      </c>
      <c r="D4937" s="1" t="n">
        <v>46261</v>
      </c>
      <c r="E4937" s="1" t="n">
        <v>46316</v>
      </c>
      <c r="F4937" t="inlineStr">
        <is>
          <t>KRONOBERGS LÄN</t>
        </is>
      </c>
      <c r="G4937" t="inlineStr">
        <is>
          <t>UPPVIDINGE</t>
        </is>
      </c>
      <c r="I4937" t="n">
        <v>7.3</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35570-2026</t>
        </is>
      </c>
      <c r="B4938" t="inlineStr">
        <is>
          <t>avverkningsanmälan</t>
        </is>
      </c>
      <c r="C4938" t="inlineStr">
        <is>
          <t>Föryngringsavverkning</t>
        </is>
      </c>
      <c r="D4938" s="1" t="n">
        <v>46262</v>
      </c>
      <c r="E4938" s="1" t="n">
        <v>46316</v>
      </c>
      <c r="F4938" t="inlineStr">
        <is>
          <t>KRONOBERGS LÄN</t>
        </is>
      </c>
      <c r="G4938" t="inlineStr">
        <is>
          <t>LESSEBO</t>
        </is>
      </c>
      <c r="H4938" t="inlineStr">
        <is>
          <t>Sveaskog</t>
        </is>
      </c>
      <c r="I4938" t="n">
        <v>3.7</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26645-2022</t>
        </is>
      </c>
      <c r="B4939" t="inlineStr">
        <is>
          <t>avverkningsanmälan</t>
        </is>
      </c>
      <c r="C4939" t="inlineStr">
        <is>
          <t>Föryngringsavverkning</t>
        </is>
      </c>
      <c r="D4939" s="1" t="n">
        <v>44739</v>
      </c>
      <c r="E4939" s="1" t="n">
        <v>46316</v>
      </c>
      <c r="F4939" t="inlineStr">
        <is>
          <t>KRONOBERGS LÄN</t>
        </is>
      </c>
      <c r="G4939" t="inlineStr">
        <is>
          <t>VÄXJÖ</t>
        </is>
      </c>
      <c r="I4939" t="n">
        <v>0.4</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42382-2026</t>
        </is>
      </c>
      <c r="B4940" t="inlineStr">
        <is>
          <t>avverkningsanmälan</t>
        </is>
      </c>
      <c r="C4940" t="inlineStr">
        <is>
          <t>Föryngringsavverkning</t>
        </is>
      </c>
      <c r="D4940" s="1" t="n">
        <v>46307</v>
      </c>
      <c r="E4940" s="1" t="n">
        <v>46316</v>
      </c>
      <c r="F4940" t="inlineStr">
        <is>
          <t>KRONOBERGS LÄN</t>
        </is>
      </c>
      <c r="G4940" t="inlineStr">
        <is>
          <t>VÄXJÖ</t>
        </is>
      </c>
      <c r="I4940" t="n">
        <v>1.2</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34267-2023</t>
        </is>
      </c>
      <c r="B4941" t="inlineStr">
        <is>
          <t>avverkningsanmälan</t>
        </is>
      </c>
      <c r="C4941" t="inlineStr">
        <is>
          <t>Föryngringsavverkning</t>
        </is>
      </c>
      <c r="D4941" s="1" t="n">
        <v>45128</v>
      </c>
      <c r="E4941" s="1" t="n">
        <v>46316</v>
      </c>
      <c r="F4941" t="inlineStr">
        <is>
          <t>KRONOBERGS LÄN</t>
        </is>
      </c>
      <c r="G4941" t="inlineStr">
        <is>
          <t>ALVESTA</t>
        </is>
      </c>
      <c r="I4941" t="n">
        <v>3</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42295-2026</t>
        </is>
      </c>
      <c r="B4942" t="inlineStr">
        <is>
          <t>avverkningsanmälan</t>
        </is>
      </c>
      <c r="C4942" t="inlineStr">
        <is>
          <t>Föryngringsavverkning</t>
        </is>
      </c>
      <c r="D4942" s="1" t="n">
        <v>46307</v>
      </c>
      <c r="E4942" s="1" t="n">
        <v>46316</v>
      </c>
      <c r="F4942" t="inlineStr">
        <is>
          <t>KRONOBERGS LÄN</t>
        </is>
      </c>
      <c r="G4942" t="inlineStr">
        <is>
          <t>LJUNGBY</t>
        </is>
      </c>
      <c r="I4942" t="n">
        <v>0.8</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33340-2024</t>
        </is>
      </c>
      <c r="B4943" t="inlineStr">
        <is>
          <t>avverkningsanmälan</t>
        </is>
      </c>
      <c r="C4943" t="inlineStr">
        <is>
          <t>Föryngringsavverkning</t>
        </is>
      </c>
      <c r="D4943" s="1" t="n">
        <v>45519</v>
      </c>
      <c r="E4943" s="1" t="n">
        <v>46316</v>
      </c>
      <c r="F4943" t="inlineStr">
        <is>
          <t>KRONOBERGS LÄN</t>
        </is>
      </c>
      <c r="G4943" t="inlineStr">
        <is>
          <t>VÄXJÖ</t>
        </is>
      </c>
      <c r="I4943" t="n">
        <v>1</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42081-2026</t>
        </is>
      </c>
      <c r="B4944" t="inlineStr">
        <is>
          <t>avverkningsanmälan</t>
        </is>
      </c>
      <c r="C4944" t="inlineStr">
        <is>
          <t>Föryngringsavverkning</t>
        </is>
      </c>
      <c r="D4944" s="1" t="n">
        <v>46304</v>
      </c>
      <c r="E4944" s="1" t="n">
        <v>46316</v>
      </c>
      <c r="F4944" t="inlineStr">
        <is>
          <t>KRONOBERGS LÄN</t>
        </is>
      </c>
      <c r="G4944" t="inlineStr">
        <is>
          <t>VÄXJÖ</t>
        </is>
      </c>
      <c r="I4944" t="n">
        <v>2.1</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8449-2024</t>
        </is>
      </c>
      <c r="B4945" t="inlineStr">
        <is>
          <t>avverkningsanmälan</t>
        </is>
      </c>
      <c r="C4945" t="inlineStr">
        <is>
          <t>Föryngringsavverkning</t>
        </is>
      </c>
      <c r="D4945" s="1" t="n">
        <v>45354</v>
      </c>
      <c r="E4945" s="1" t="n">
        <v>46316</v>
      </c>
      <c r="F4945" t="inlineStr">
        <is>
          <t>KRONOBERGS LÄN</t>
        </is>
      </c>
      <c r="G4945" t="inlineStr">
        <is>
          <t>UPPVIDINGE</t>
        </is>
      </c>
      <c r="I4945" t="n">
        <v>0.9</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42274-2026</t>
        </is>
      </c>
      <c r="B4946" t="inlineStr">
        <is>
          <t>avverkningsanmälan</t>
        </is>
      </c>
      <c r="C4946" t="inlineStr">
        <is>
          <t>Föryngringsavverkning</t>
        </is>
      </c>
      <c r="D4946" s="1" t="n">
        <v>46307</v>
      </c>
      <c r="E4946" s="1" t="n">
        <v>46316</v>
      </c>
      <c r="F4946" t="inlineStr">
        <is>
          <t>KRONOBERGS LÄN</t>
        </is>
      </c>
      <c r="G4946" t="inlineStr">
        <is>
          <t>LJUNGBY</t>
        </is>
      </c>
      <c r="I4946" t="n">
        <v>0.5</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4017-2024</t>
        </is>
      </c>
      <c r="B4947" t="inlineStr">
        <is>
          <t>avverkningsanmälan</t>
        </is>
      </c>
      <c r="C4947" t="inlineStr">
        <is>
          <t>Föryngringsavverkning</t>
        </is>
      </c>
      <c r="D4947" s="1" t="n">
        <v>45323</v>
      </c>
      <c r="E4947" s="1" t="n">
        <v>46316</v>
      </c>
      <c r="F4947" t="inlineStr">
        <is>
          <t>KRONOBERGS LÄN</t>
        </is>
      </c>
      <c r="G4947" t="inlineStr">
        <is>
          <t>LJUNGBY</t>
        </is>
      </c>
      <c r="H4947" t="inlineStr">
        <is>
          <t>Kommuner</t>
        </is>
      </c>
      <c r="I4947" t="n">
        <v>2</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56363-2023</t>
        </is>
      </c>
      <c r="B4948" t="inlineStr">
        <is>
          <t>avverkningsanmälan</t>
        </is>
      </c>
      <c r="C4948" t="inlineStr">
        <is>
          <t>Föryngringsavverkning</t>
        </is>
      </c>
      <c r="D4948" s="1" t="n">
        <v>45243</v>
      </c>
      <c r="E4948" s="1" t="n">
        <v>46316</v>
      </c>
      <c r="F4948" t="inlineStr">
        <is>
          <t>KRONOBERGS LÄN</t>
        </is>
      </c>
      <c r="G4948" t="inlineStr">
        <is>
          <t>UPPVIDINGE</t>
        </is>
      </c>
      <c r="I4948" t="n">
        <v>1.1</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6930-2022</t>
        </is>
      </c>
      <c r="B4949" t="inlineStr">
        <is>
          <t>avverkningsanmälan</t>
        </is>
      </c>
      <c r="C4949" t="inlineStr">
        <is>
          <t>Föryngringsavverkning</t>
        </is>
      </c>
      <c r="D4949" s="1" t="n">
        <v>44602</v>
      </c>
      <c r="E4949" s="1" t="n">
        <v>46316</v>
      </c>
      <c r="F4949" t="inlineStr">
        <is>
          <t>KRONOBERGS LÄN</t>
        </is>
      </c>
      <c r="G4949" t="inlineStr">
        <is>
          <t>TINGSRYD</t>
        </is>
      </c>
      <c r="I4949" t="n">
        <v>6</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35338-2026</t>
        </is>
      </c>
      <c r="B4950" t="inlineStr">
        <is>
          <t>avverkningsanmälan</t>
        </is>
      </c>
      <c r="C4950" t="inlineStr">
        <is>
          <t>Föryngringsavverkning</t>
        </is>
      </c>
      <c r="D4950" s="1" t="n">
        <v>46261</v>
      </c>
      <c r="E4950" s="1" t="n">
        <v>46316</v>
      </c>
      <c r="F4950" t="inlineStr">
        <is>
          <t>KRONOBERGS LÄN</t>
        </is>
      </c>
      <c r="G4950" t="inlineStr">
        <is>
          <t>ÄLMHULT</t>
        </is>
      </c>
      <c r="I4950" t="n">
        <v>1.1</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41823-2023</t>
        </is>
      </c>
      <c r="B4951" t="inlineStr">
        <is>
          <t>avverkningsanmälan</t>
        </is>
      </c>
      <c r="C4951" t="inlineStr">
        <is>
          <t>Föryngringsavverkning</t>
        </is>
      </c>
      <c r="D4951" s="1" t="n">
        <v>45176</v>
      </c>
      <c r="E4951" s="1" t="n">
        <v>46316</v>
      </c>
      <c r="F4951" t="inlineStr">
        <is>
          <t>KRONOBERGS LÄN</t>
        </is>
      </c>
      <c r="G4951" t="inlineStr">
        <is>
          <t>VÄXJÖ</t>
        </is>
      </c>
      <c r="I4951" t="n">
        <v>2.6</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41826-2023</t>
        </is>
      </c>
      <c r="B4952" t="inlineStr">
        <is>
          <t>avverkningsanmälan</t>
        </is>
      </c>
      <c r="C4952" t="inlineStr">
        <is>
          <t>Föryngringsavverkning</t>
        </is>
      </c>
      <c r="D4952" s="1" t="n">
        <v>45176</v>
      </c>
      <c r="E4952" s="1" t="n">
        <v>46316</v>
      </c>
      <c r="F4952" t="inlineStr">
        <is>
          <t>KRONOBERGS LÄN</t>
        </is>
      </c>
      <c r="G4952" t="inlineStr">
        <is>
          <t>VÄXJÖ</t>
        </is>
      </c>
      <c r="I4952" t="n">
        <v>6</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45388-2022</t>
        </is>
      </c>
      <c r="B4953" t="inlineStr">
        <is>
          <t>avverkningsanmälan</t>
        </is>
      </c>
      <c r="C4953" t="inlineStr">
        <is>
          <t>Föryngringsavverkning</t>
        </is>
      </c>
      <c r="D4953" s="1" t="n">
        <v>44844</v>
      </c>
      <c r="E4953" s="1" t="n">
        <v>46316</v>
      </c>
      <c r="F4953" t="inlineStr">
        <is>
          <t>KRONOBERGS LÄN</t>
        </is>
      </c>
      <c r="G4953" t="inlineStr">
        <is>
          <t>UPPVIDINGE</t>
        </is>
      </c>
      <c r="I4953" t="n">
        <v>0.4</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41768-2023</t>
        </is>
      </c>
      <c r="B4954" t="inlineStr">
        <is>
          <t>avverkningsanmälan</t>
        </is>
      </c>
      <c r="C4954" t="inlineStr">
        <is>
          <t>Föryngringsavverkning</t>
        </is>
      </c>
      <c r="D4954" s="1" t="n">
        <v>45176</v>
      </c>
      <c r="E4954" s="1" t="n">
        <v>46316</v>
      </c>
      <c r="F4954" t="inlineStr">
        <is>
          <t>KRONOBERGS LÄN</t>
        </is>
      </c>
      <c r="G4954" t="inlineStr">
        <is>
          <t>TINGSRYD</t>
        </is>
      </c>
      <c r="I4954" t="n">
        <v>3.1</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59169-2022</t>
        </is>
      </c>
      <c r="B4955" t="inlineStr">
        <is>
          <t>avverkningsanmälan</t>
        </is>
      </c>
      <c r="C4955" t="inlineStr">
        <is>
          <t>Föryngringsavverkning</t>
        </is>
      </c>
      <c r="D4955" s="1" t="n">
        <v>44904</v>
      </c>
      <c r="E4955" s="1" t="n">
        <v>46316</v>
      </c>
      <c r="F4955" t="inlineStr">
        <is>
          <t>KRONOBERGS LÄN</t>
        </is>
      </c>
      <c r="G4955" t="inlineStr">
        <is>
          <t>TINGSRYD</t>
        </is>
      </c>
      <c r="I4955" t="n">
        <v>1.4</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19765-2023</t>
        </is>
      </c>
      <c r="B4956" t="inlineStr">
        <is>
          <t>avverkningsanmälan</t>
        </is>
      </c>
      <c r="C4956" t="inlineStr">
        <is>
          <t>Föryngringsavverkning</t>
        </is>
      </c>
      <c r="D4956" s="1" t="n">
        <v>45051</v>
      </c>
      <c r="E4956" s="1" t="n">
        <v>46316</v>
      </c>
      <c r="F4956" t="inlineStr">
        <is>
          <t>KRONOBERGS LÄN</t>
        </is>
      </c>
      <c r="G4956" t="inlineStr">
        <is>
          <t>TINGSRYD</t>
        </is>
      </c>
      <c r="I4956" t="n">
        <v>1.5</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31140-2026</t>
        </is>
      </c>
      <c r="B4957" t="inlineStr">
        <is>
          <t>avverkningsanmälan</t>
        </is>
      </c>
      <c r="C4957" t="inlineStr">
        <is>
          <t>Föryngringsavverkning</t>
        </is>
      </c>
      <c r="D4957" s="1" t="n">
        <v>46216</v>
      </c>
      <c r="E4957" s="1" t="n">
        <v>46316</v>
      </c>
      <c r="F4957" t="inlineStr">
        <is>
          <t>KRONOBERGS LÄN</t>
        </is>
      </c>
      <c r="G4957" t="inlineStr">
        <is>
          <t>VÄXJÖ</t>
        </is>
      </c>
      <c r="I4957" t="n">
        <v>1.8</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31141-2026</t>
        </is>
      </c>
      <c r="B4958" t="inlineStr">
        <is>
          <t>avverkningsanmälan</t>
        </is>
      </c>
      <c r="C4958" t="inlineStr">
        <is>
          <t>Föryngringsavverkning</t>
        </is>
      </c>
      <c r="D4958" s="1" t="n">
        <v>46216</v>
      </c>
      <c r="E4958" s="1" t="n">
        <v>46316</v>
      </c>
      <c r="F4958" t="inlineStr">
        <is>
          <t>KRONOBERGS LÄN</t>
        </is>
      </c>
      <c r="G4958" t="inlineStr">
        <is>
          <t>VÄXJÖ</t>
        </is>
      </c>
      <c r="I4958" t="n">
        <v>1.6</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11497-2024</t>
        </is>
      </c>
      <c r="B4959" t="inlineStr">
        <is>
          <t>avverkningsanmälan</t>
        </is>
      </c>
      <c r="C4959" t="inlineStr">
        <is>
          <t>Föryngringsavverkning</t>
        </is>
      </c>
      <c r="D4959" s="1" t="n">
        <v>45372</v>
      </c>
      <c r="E4959" s="1" t="n">
        <v>46316</v>
      </c>
      <c r="F4959" t="inlineStr">
        <is>
          <t>KRONOBERGS LÄN</t>
        </is>
      </c>
      <c r="G4959" t="inlineStr">
        <is>
          <t>MARKARYD</t>
        </is>
      </c>
      <c r="I4959" t="n">
        <v>1.9</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42417-2026</t>
        </is>
      </c>
      <c r="B4960" t="inlineStr">
        <is>
          <t>avverkningsanmälan</t>
        </is>
      </c>
      <c r="C4960" t="inlineStr">
        <is>
          <t>Föryngringsavverkning</t>
        </is>
      </c>
      <c r="D4960" s="1" t="n">
        <v>46308</v>
      </c>
      <c r="E4960" s="1" t="n">
        <v>46316</v>
      </c>
      <c r="F4960" t="inlineStr">
        <is>
          <t>KRONOBERGS LÄN</t>
        </is>
      </c>
      <c r="G4960" t="inlineStr">
        <is>
          <t>VÄXJÖ</t>
        </is>
      </c>
      <c r="I4960" t="n">
        <v>7.2</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3810-2022</t>
        </is>
      </c>
      <c r="B4961" t="inlineStr">
        <is>
          <t>avverkningsanmälan</t>
        </is>
      </c>
      <c r="C4961" t="inlineStr">
        <is>
          <t>Föryngringsavverkning</t>
        </is>
      </c>
      <c r="D4961" s="1" t="n">
        <v>44587</v>
      </c>
      <c r="E4961" s="1" t="n">
        <v>46316</v>
      </c>
      <c r="F4961" t="inlineStr">
        <is>
          <t>KRONOBERGS LÄN</t>
        </is>
      </c>
      <c r="G4961" t="inlineStr">
        <is>
          <t>ÄLMHULT</t>
        </is>
      </c>
      <c r="I4961" t="n">
        <v>5.5</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43114-2024</t>
        </is>
      </c>
      <c r="B4962" t="inlineStr">
        <is>
          <t>avverkningsanmälan</t>
        </is>
      </c>
      <c r="C4962" t="inlineStr">
        <is>
          <t>Föryngringsavverkning</t>
        </is>
      </c>
      <c r="D4962" s="1" t="n">
        <v>45567</v>
      </c>
      <c r="E4962" s="1" t="n">
        <v>46316</v>
      </c>
      <c r="F4962" t="inlineStr">
        <is>
          <t>KRONOBERGS LÄN</t>
        </is>
      </c>
      <c r="G4962" t="inlineStr">
        <is>
          <t>LESSEBO</t>
        </is>
      </c>
      <c r="H4962" t="inlineStr">
        <is>
          <t>Sveaskog</t>
        </is>
      </c>
      <c r="I4962" t="n">
        <v>4.6</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42442-2026</t>
        </is>
      </c>
      <c r="B4963" t="inlineStr">
        <is>
          <t>avverkningsanmälan</t>
        </is>
      </c>
      <c r="C4963" t="inlineStr">
        <is>
          <t>Föryngringsavverkning</t>
        </is>
      </c>
      <c r="D4963" s="1" t="n">
        <v>46308</v>
      </c>
      <c r="E4963" s="1" t="n">
        <v>46316</v>
      </c>
      <c r="F4963" t="inlineStr">
        <is>
          <t>KRONOBERGS LÄN</t>
        </is>
      </c>
      <c r="G4963" t="inlineStr">
        <is>
          <t>LESSEBO</t>
        </is>
      </c>
      <c r="I4963" t="n">
        <v>1.2</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40534-2026</t>
        </is>
      </c>
      <c r="B4964" t="inlineStr">
        <is>
          <t>avverkningsanmälan</t>
        </is>
      </c>
      <c r="C4964" t="inlineStr">
        <is>
          <t>Föryngringsavverkning</t>
        </is>
      </c>
      <c r="D4964" s="1" t="n">
        <v>46295</v>
      </c>
      <c r="E4964" s="1" t="n">
        <v>46316</v>
      </c>
      <c r="F4964" t="inlineStr">
        <is>
          <t>KRONOBERGS LÄN</t>
        </is>
      </c>
      <c r="G4964" t="inlineStr">
        <is>
          <t>UPPVIDINGE</t>
        </is>
      </c>
      <c r="I4964" t="n">
        <v>1.4</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19538-2025</t>
        </is>
      </c>
      <c r="B4965" t="inlineStr">
        <is>
          <t>avverkningsanmälan</t>
        </is>
      </c>
      <c r="C4965" t="inlineStr">
        <is>
          <t>Föryngringsavverkning</t>
        </is>
      </c>
      <c r="D4965" s="1" t="n">
        <v>45770</v>
      </c>
      <c r="E4965" s="1" t="n">
        <v>46316</v>
      </c>
      <c r="F4965" t="inlineStr">
        <is>
          <t>KRONOBERGS LÄN</t>
        </is>
      </c>
      <c r="G4965" t="inlineStr">
        <is>
          <t>ÄLMHULT</t>
        </is>
      </c>
      <c r="I4965" t="n">
        <v>0.8</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35904-2026</t>
        </is>
      </c>
      <c r="B4966" t="inlineStr">
        <is>
          <t>avverkningsanmälan</t>
        </is>
      </c>
      <c r="C4966" t="inlineStr">
        <is>
          <t>Föryngringsavverkning</t>
        </is>
      </c>
      <c r="D4966" s="1" t="n">
        <v>46266</v>
      </c>
      <c r="E4966" s="1" t="n">
        <v>46316</v>
      </c>
      <c r="F4966" t="inlineStr">
        <is>
          <t>KRONOBERGS LÄN</t>
        </is>
      </c>
      <c r="G4966" t="inlineStr">
        <is>
          <t>TINGSRYD</t>
        </is>
      </c>
      <c r="I4966" t="n">
        <v>1.1</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3034-2022</t>
        </is>
      </c>
      <c r="B4967" t="inlineStr">
        <is>
          <t>avverkningsanmälan</t>
        </is>
      </c>
      <c r="C4967" t="inlineStr">
        <is>
          <t>Föryngringsavverkning</t>
        </is>
      </c>
      <c r="D4967" s="1" t="n">
        <v>44582</v>
      </c>
      <c r="E4967" s="1" t="n">
        <v>46316</v>
      </c>
      <c r="F4967" t="inlineStr">
        <is>
          <t>KRONOBERGS LÄN</t>
        </is>
      </c>
      <c r="G4967" t="inlineStr">
        <is>
          <t>ÄLMHULT</t>
        </is>
      </c>
      <c r="I4967" t="n">
        <v>1.9</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14476-2023</t>
        </is>
      </c>
      <c r="B4968" t="inlineStr">
        <is>
          <t>avverkningsanmälan</t>
        </is>
      </c>
      <c r="C4968" t="inlineStr">
        <is>
          <t>Föryngringsavverkning</t>
        </is>
      </c>
      <c r="D4968" s="1" t="n">
        <v>45012</v>
      </c>
      <c r="E4968" s="1" t="n">
        <v>46316</v>
      </c>
      <c r="F4968" t="inlineStr">
        <is>
          <t>KRONOBERGS LÄN</t>
        </is>
      </c>
      <c r="G4968" t="inlineStr">
        <is>
          <t>LJUNGBY</t>
        </is>
      </c>
      <c r="I4968" t="n">
        <v>2</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15171-2025</t>
        </is>
      </c>
      <c r="B4969" t="inlineStr">
        <is>
          <t>avverkningsanmälan</t>
        </is>
      </c>
      <c r="C4969" t="inlineStr">
        <is>
          <t>Föryngringsavverkning</t>
        </is>
      </c>
      <c r="D4969" s="1" t="n">
        <v>45744</v>
      </c>
      <c r="E4969" s="1" t="n">
        <v>46316</v>
      </c>
      <c r="F4969" t="inlineStr">
        <is>
          <t>KRONOBERGS LÄN</t>
        </is>
      </c>
      <c r="G4969" t="inlineStr">
        <is>
          <t>ALVESTA</t>
        </is>
      </c>
      <c r="I4969" t="n">
        <v>0.5</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17927-2025</t>
        </is>
      </c>
      <c r="B4970" t="inlineStr">
        <is>
          <t>avverkningsanmälan</t>
        </is>
      </c>
      <c r="C4970" t="inlineStr">
        <is>
          <t>Föryngringsavverkning</t>
        </is>
      </c>
      <c r="D4970" s="1" t="n">
        <v>45759</v>
      </c>
      <c r="E4970" s="1" t="n">
        <v>46316</v>
      </c>
      <c r="F4970" t="inlineStr">
        <is>
          <t>KRONOBERGS LÄN</t>
        </is>
      </c>
      <c r="G4970" t="inlineStr">
        <is>
          <t>ÄLMHULT</t>
        </is>
      </c>
      <c r="I4970" t="n">
        <v>1.8</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42600-2026</t>
        </is>
      </c>
      <c r="B4971" t="inlineStr">
        <is>
          <t>avverkningsanmälan</t>
        </is>
      </c>
      <c r="C4971" t="inlineStr">
        <is>
          <t>Föryngringsavverkning</t>
        </is>
      </c>
      <c r="D4971" s="1" t="n">
        <v>46308</v>
      </c>
      <c r="E4971" s="1" t="n">
        <v>46316</v>
      </c>
      <c r="F4971" t="inlineStr">
        <is>
          <t>KRONOBERGS LÄN</t>
        </is>
      </c>
      <c r="G4971" t="inlineStr">
        <is>
          <t>TINGSRYD</t>
        </is>
      </c>
      <c r="I4971" t="n">
        <v>1</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42415-2026</t>
        </is>
      </c>
      <c r="B4972" t="inlineStr">
        <is>
          <t>avverkningsanmälan</t>
        </is>
      </c>
      <c r="C4972" t="inlineStr">
        <is>
          <t>Föryngringsavverkning</t>
        </is>
      </c>
      <c r="D4972" s="1" t="n">
        <v>46308</v>
      </c>
      <c r="E4972" s="1" t="n">
        <v>46316</v>
      </c>
      <c r="F4972" t="inlineStr">
        <is>
          <t>KRONOBERGS LÄN</t>
        </is>
      </c>
      <c r="G4972" t="inlineStr">
        <is>
          <t>TINGSRYD</t>
        </is>
      </c>
      <c r="I4972" t="n">
        <v>0.9</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42686-2023</t>
        </is>
      </c>
      <c r="B4973" t="inlineStr">
        <is>
          <t>avverkningsanmälan</t>
        </is>
      </c>
      <c r="C4973" t="inlineStr">
        <is>
          <t>Föryngringsavverkning</t>
        </is>
      </c>
      <c r="D4973" s="1" t="n">
        <v>45181</v>
      </c>
      <c r="E4973" s="1" t="n">
        <v>46316</v>
      </c>
      <c r="F4973" t="inlineStr">
        <is>
          <t>KRONOBERGS LÄN</t>
        </is>
      </c>
      <c r="G4973" t="inlineStr">
        <is>
          <t>LJUNGBY</t>
        </is>
      </c>
      <c r="I4973" t="n">
        <v>3.4</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60815-2024</t>
        </is>
      </c>
      <c r="B4974" t="inlineStr">
        <is>
          <t>avverkningsanmälan</t>
        </is>
      </c>
      <c r="C4974" t="inlineStr">
        <is>
          <t>Föryngringsavverkning</t>
        </is>
      </c>
      <c r="D4974" s="1" t="n">
        <v>45644</v>
      </c>
      <c r="E4974" s="1" t="n">
        <v>46316</v>
      </c>
      <c r="F4974" t="inlineStr">
        <is>
          <t>KRONOBERGS LÄN</t>
        </is>
      </c>
      <c r="G4974" t="inlineStr">
        <is>
          <t>VÄXJÖ</t>
        </is>
      </c>
      <c r="I4974" t="n">
        <v>0.4</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28336-2022</t>
        </is>
      </c>
      <c r="B4975" t="inlineStr">
        <is>
          <t>avverkningsanmälan</t>
        </is>
      </c>
      <c r="C4975" t="inlineStr">
        <is>
          <t>Föryngringsavverkning</t>
        </is>
      </c>
      <c r="D4975" s="1" t="n">
        <v>44747</v>
      </c>
      <c r="E4975" s="1" t="n">
        <v>46316</v>
      </c>
      <c r="F4975" t="inlineStr">
        <is>
          <t>KRONOBERGS LÄN</t>
        </is>
      </c>
      <c r="G4975" t="inlineStr">
        <is>
          <t>ALVESTA</t>
        </is>
      </c>
      <c r="I4975" t="n">
        <v>2</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35481-2024</t>
        </is>
      </c>
      <c r="B4976" t="inlineStr">
        <is>
          <t>avverkningsanmälan</t>
        </is>
      </c>
      <c r="C4976" t="inlineStr">
        <is>
          <t>Föryngringsavverkning</t>
        </is>
      </c>
      <c r="D4976" s="1" t="n">
        <v>45531</v>
      </c>
      <c r="E4976" s="1" t="n">
        <v>46316</v>
      </c>
      <c r="F4976" t="inlineStr">
        <is>
          <t>KRONOBERGS LÄN</t>
        </is>
      </c>
      <c r="G4976" t="inlineStr">
        <is>
          <t>ÄLMHULT</t>
        </is>
      </c>
      <c r="I4976" t="n">
        <v>1</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38390-2022</t>
        </is>
      </c>
      <c r="B4977" t="inlineStr">
        <is>
          <t>avverkningsanmälan</t>
        </is>
      </c>
      <c r="C4977" t="inlineStr">
        <is>
          <t>Föryngringsavverkning</t>
        </is>
      </c>
      <c r="D4977" s="1" t="n">
        <v>44812</v>
      </c>
      <c r="E4977" s="1" t="n">
        <v>46316</v>
      </c>
      <c r="F4977" t="inlineStr">
        <is>
          <t>KRONOBERGS LÄN</t>
        </is>
      </c>
      <c r="G4977" t="inlineStr">
        <is>
          <t>VÄXJÖ</t>
        </is>
      </c>
      <c r="I4977" t="n">
        <v>1</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38407-2022</t>
        </is>
      </c>
      <c r="B4978" t="inlineStr">
        <is>
          <t>avverkningsanmälan</t>
        </is>
      </c>
      <c r="C4978" t="inlineStr">
        <is>
          <t>Föryngringsavverkning</t>
        </is>
      </c>
      <c r="D4978" s="1" t="n">
        <v>44812</v>
      </c>
      <c r="E4978" s="1" t="n">
        <v>46316</v>
      </c>
      <c r="F4978" t="inlineStr">
        <is>
          <t>KRONOBERGS LÄN</t>
        </is>
      </c>
      <c r="G4978" t="inlineStr">
        <is>
          <t>LJUNGBY</t>
        </is>
      </c>
      <c r="I4978" t="n">
        <v>2</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11271-2023</t>
        </is>
      </c>
      <c r="B4979" t="inlineStr">
        <is>
          <t>avverkningsanmälan</t>
        </is>
      </c>
      <c r="C4979" t="inlineStr">
        <is>
          <t>Avverkning för annat ändamål</t>
        </is>
      </c>
      <c r="D4979" s="1" t="n">
        <v>44992</v>
      </c>
      <c r="E4979" s="1" t="n">
        <v>46316</v>
      </c>
      <c r="F4979" t="inlineStr">
        <is>
          <t>KRONOBERGS LÄN</t>
        </is>
      </c>
      <c r="G4979" t="inlineStr">
        <is>
          <t>VÄXJÖ</t>
        </is>
      </c>
      <c r="I4979" t="n">
        <v>0.7</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42630-2026</t>
        </is>
      </c>
      <c r="B4980" t="inlineStr">
        <is>
          <t>avverkningsanmälan</t>
        </is>
      </c>
      <c r="C4980" t="inlineStr">
        <is>
          <t>Föryngringsavverkning</t>
        </is>
      </c>
      <c r="D4980" s="1" t="n">
        <v>46309</v>
      </c>
      <c r="E4980" s="1" t="n">
        <v>46316</v>
      </c>
      <c r="F4980" t="inlineStr">
        <is>
          <t>KRONOBERGS LÄN</t>
        </is>
      </c>
      <c r="G4980" t="inlineStr">
        <is>
          <t>UPPVIDINGE</t>
        </is>
      </c>
      <c r="I4980" t="n">
        <v>2</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42653-2026</t>
        </is>
      </c>
      <c r="B4981" t="inlineStr">
        <is>
          <t>avverkningsanmälan</t>
        </is>
      </c>
      <c r="C4981" t="inlineStr">
        <is>
          <t>Föryngringsavverkning</t>
        </is>
      </c>
      <c r="D4981" s="1" t="n">
        <v>46309</v>
      </c>
      <c r="E4981" s="1" t="n">
        <v>46316</v>
      </c>
      <c r="F4981" t="inlineStr">
        <is>
          <t>KRONOBERGS LÄN</t>
        </is>
      </c>
      <c r="G4981" t="inlineStr">
        <is>
          <t>UPPVIDINGE</t>
        </is>
      </c>
      <c r="I4981" t="n">
        <v>2.3</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61134-2022</t>
        </is>
      </c>
      <c r="B4982" t="inlineStr">
        <is>
          <t>avverkningsanmälan</t>
        </is>
      </c>
      <c r="C4982" t="inlineStr">
        <is>
          <t>Föryngringsavverkning</t>
        </is>
      </c>
      <c r="D4982" s="1" t="n">
        <v>44908</v>
      </c>
      <c r="E4982" s="1" t="n">
        <v>46316</v>
      </c>
      <c r="F4982" t="inlineStr">
        <is>
          <t>KRONOBERGS LÄN</t>
        </is>
      </c>
      <c r="G4982" t="inlineStr">
        <is>
          <t>UPPVIDINGE</t>
        </is>
      </c>
      <c r="H4982" t="inlineStr">
        <is>
          <t>Kyrkan</t>
        </is>
      </c>
      <c r="I4982" t="n">
        <v>1.1</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3142-2025</t>
        </is>
      </c>
      <c r="B4983" t="inlineStr">
        <is>
          <t>avverkningsanmälan</t>
        </is>
      </c>
      <c r="C4983" t="inlineStr">
        <is>
          <t>Föryngringsavverkning</t>
        </is>
      </c>
      <c r="D4983" s="1" t="n">
        <v>45678</v>
      </c>
      <c r="E4983" s="1" t="n">
        <v>46316</v>
      </c>
      <c r="F4983" t="inlineStr">
        <is>
          <t>KRONOBERGS LÄN</t>
        </is>
      </c>
      <c r="G4983" t="inlineStr">
        <is>
          <t>MARKARYD</t>
        </is>
      </c>
      <c r="I4983" t="n">
        <v>2.2</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34456-2023</t>
        </is>
      </c>
      <c r="B4984" t="inlineStr">
        <is>
          <t>avverkningsanmälan</t>
        </is>
      </c>
      <c r="C4984" t="inlineStr">
        <is>
          <t>Föryngringsavverkning</t>
        </is>
      </c>
      <c r="D4984" s="1" t="n">
        <v>45139</v>
      </c>
      <c r="E4984" s="1" t="n">
        <v>46316</v>
      </c>
      <c r="F4984" t="inlineStr">
        <is>
          <t>KRONOBERGS LÄN</t>
        </is>
      </c>
      <c r="G4984" t="inlineStr">
        <is>
          <t>VÄXJÖ</t>
        </is>
      </c>
      <c r="I4984" t="n">
        <v>2.4</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42697-2026</t>
        </is>
      </c>
      <c r="B4985" t="inlineStr">
        <is>
          <t>avverkningsanmälan</t>
        </is>
      </c>
      <c r="C4985" t="inlineStr">
        <is>
          <t>Föryngringsavverkning</t>
        </is>
      </c>
      <c r="D4985" s="1" t="n">
        <v>46309</v>
      </c>
      <c r="E4985" s="1" t="n">
        <v>46316</v>
      </c>
      <c r="F4985" t="inlineStr">
        <is>
          <t>KRONOBERGS LÄN</t>
        </is>
      </c>
      <c r="G4985" t="inlineStr">
        <is>
          <t>ALVESTA</t>
        </is>
      </c>
      <c r="H4985" t="inlineStr">
        <is>
          <t>Kommuner</t>
        </is>
      </c>
      <c r="I4985" t="n">
        <v>5.6</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48243-2023</t>
        </is>
      </c>
      <c r="B4986" t="inlineStr">
        <is>
          <t>avverkningsanmälan</t>
        </is>
      </c>
      <c r="C4986" t="inlineStr">
        <is>
          <t>Avverkning för annat ändamål</t>
        </is>
      </c>
      <c r="D4986" s="1" t="n">
        <v>45205</v>
      </c>
      <c r="E4986" s="1" t="n">
        <v>46316</v>
      </c>
      <c r="F4986" t="inlineStr">
        <is>
          <t>KRONOBERGS LÄN</t>
        </is>
      </c>
      <c r="G4986" t="inlineStr">
        <is>
          <t>LJUNGBY</t>
        </is>
      </c>
      <c r="I4986" t="n">
        <v>1.1</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8781-2023</t>
        </is>
      </c>
      <c r="B4987" t="inlineStr">
        <is>
          <t>avverkningsanmälan</t>
        </is>
      </c>
      <c r="C4987" t="inlineStr">
        <is>
          <t>Föryngringsavverkning</t>
        </is>
      </c>
      <c r="D4987" s="1" t="n">
        <v>44978</v>
      </c>
      <c r="E4987" s="1" t="n">
        <v>46316</v>
      </c>
      <c r="F4987" t="inlineStr">
        <is>
          <t>KRONOBERGS LÄN</t>
        </is>
      </c>
      <c r="G4987" t="inlineStr">
        <is>
          <t>ALVESTA</t>
        </is>
      </c>
      <c r="I4987" t="n">
        <v>2.7</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31775-2026</t>
        </is>
      </c>
      <c r="B4988" t="inlineStr">
        <is>
          <t>avverkningsanmälan</t>
        </is>
      </c>
      <c r="C4988" t="inlineStr">
        <is>
          <t>Föryngringsavverkning</t>
        </is>
      </c>
      <c r="D4988" s="1" t="n">
        <v>46230</v>
      </c>
      <c r="E4988" s="1" t="n">
        <v>46316</v>
      </c>
      <c r="F4988" t="inlineStr">
        <is>
          <t>KRONOBERGS LÄN</t>
        </is>
      </c>
      <c r="G4988" t="inlineStr">
        <is>
          <t>VÄXJÖ</t>
        </is>
      </c>
      <c r="I4988" t="n">
        <v>3.4</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59114-2022</t>
        </is>
      </c>
      <c r="B4989" t="inlineStr">
        <is>
          <t>avverkningsanmälan</t>
        </is>
      </c>
      <c r="C4989" t="inlineStr">
        <is>
          <t>Föryngringsavverkning</t>
        </is>
      </c>
      <c r="D4989" s="1" t="n">
        <v>44897</v>
      </c>
      <c r="E4989" s="1" t="n">
        <v>46316</v>
      </c>
      <c r="F4989" t="inlineStr">
        <is>
          <t>KRONOBERGS LÄN</t>
        </is>
      </c>
      <c r="G4989" t="inlineStr">
        <is>
          <t>ÄLMHULT</t>
        </is>
      </c>
      <c r="I4989" t="n">
        <v>2.8</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35887-2026</t>
        </is>
      </c>
      <c r="B4990" t="inlineStr">
        <is>
          <t>avverkningsanmälan</t>
        </is>
      </c>
      <c r="C4990" t="inlineStr">
        <is>
          <t>Föryngringsavverkning</t>
        </is>
      </c>
      <c r="D4990" s="1" t="n">
        <v>46266</v>
      </c>
      <c r="E4990" s="1" t="n">
        <v>46316</v>
      </c>
      <c r="F4990" t="inlineStr">
        <is>
          <t>KRONOBERGS LÄN</t>
        </is>
      </c>
      <c r="G4990" t="inlineStr">
        <is>
          <t>UPPVIDINGE</t>
        </is>
      </c>
      <c r="I4990" t="n">
        <v>1.3</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35932-2026</t>
        </is>
      </c>
      <c r="B4991" t="inlineStr">
        <is>
          <t>avverkningsanmälan</t>
        </is>
      </c>
      <c r="C4991" t="inlineStr">
        <is>
          <t>Föryngringsavverkning</t>
        </is>
      </c>
      <c r="D4991" s="1" t="n">
        <v>46266</v>
      </c>
      <c r="E4991" s="1" t="n">
        <v>46316</v>
      </c>
      <c r="F4991" t="inlineStr">
        <is>
          <t>KRONOBERGS LÄN</t>
        </is>
      </c>
      <c r="G4991" t="inlineStr">
        <is>
          <t>LJUNGBY</t>
        </is>
      </c>
      <c r="H4991" t="inlineStr">
        <is>
          <t>Kyrkan</t>
        </is>
      </c>
      <c r="I4991" t="n">
        <v>1.2</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28345-2026</t>
        </is>
      </c>
      <c r="B4992" t="inlineStr">
        <is>
          <t>avverkningsanmälan</t>
        </is>
      </c>
      <c r="C4992" t="inlineStr">
        <is>
          <t>Föryngringsavverkning</t>
        </is>
      </c>
      <c r="D4992" s="1" t="n">
        <v>46195</v>
      </c>
      <c r="E4992" s="1" t="n">
        <v>46316</v>
      </c>
      <c r="F4992" t="inlineStr">
        <is>
          <t>KRONOBERGS LÄN</t>
        </is>
      </c>
      <c r="G4992" t="inlineStr">
        <is>
          <t>TINGSRYD</t>
        </is>
      </c>
      <c r="I4992" t="n">
        <v>3.5</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28348-2026</t>
        </is>
      </c>
      <c r="B4993" t="inlineStr">
        <is>
          <t>avverkningsanmälan</t>
        </is>
      </c>
      <c r="C4993" t="inlineStr">
        <is>
          <t>Föryngringsavverkning</t>
        </is>
      </c>
      <c r="D4993" s="1" t="n">
        <v>46195</v>
      </c>
      <c r="E4993" s="1" t="n">
        <v>46316</v>
      </c>
      <c r="F4993" t="inlineStr">
        <is>
          <t>KRONOBERGS LÄN</t>
        </is>
      </c>
      <c r="G4993" t="inlineStr">
        <is>
          <t>TINGSRYD</t>
        </is>
      </c>
      <c r="I4993" t="n">
        <v>1.3</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28350-2026</t>
        </is>
      </c>
      <c r="B4994" t="inlineStr">
        <is>
          <t>avverkningsanmälan</t>
        </is>
      </c>
      <c r="C4994" t="inlineStr">
        <is>
          <t>Föryngringsavverkning</t>
        </is>
      </c>
      <c r="D4994" s="1" t="n">
        <v>46195</v>
      </c>
      <c r="E4994" s="1" t="n">
        <v>46316</v>
      </c>
      <c r="F4994" t="inlineStr">
        <is>
          <t>KRONOBERGS LÄN</t>
        </is>
      </c>
      <c r="G4994" t="inlineStr">
        <is>
          <t>TINGSRYD</t>
        </is>
      </c>
      <c r="I4994" t="n">
        <v>11.8</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11422-2024</t>
        </is>
      </c>
      <c r="B4995" t="inlineStr">
        <is>
          <t>avverkningsanmälan</t>
        </is>
      </c>
      <c r="C4995" t="inlineStr">
        <is>
          <t>Föryngringsavverkning</t>
        </is>
      </c>
      <c r="D4995" s="1" t="n">
        <v>45372</v>
      </c>
      <c r="E4995" s="1" t="n">
        <v>46316</v>
      </c>
      <c r="F4995" t="inlineStr">
        <is>
          <t>KRONOBERGS LÄN</t>
        </is>
      </c>
      <c r="G4995" t="inlineStr">
        <is>
          <t>UPPVIDINGE</t>
        </is>
      </c>
      <c r="I4995" t="n">
        <v>0.9</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18432-2022</t>
        </is>
      </c>
      <c r="B4996" t="inlineStr">
        <is>
          <t>avverkningsanmälan</t>
        </is>
      </c>
      <c r="C4996" t="inlineStr">
        <is>
          <t>Föryngringsavverkning</t>
        </is>
      </c>
      <c r="D4996" s="1" t="n">
        <v>44685</v>
      </c>
      <c r="E4996" s="1" t="n">
        <v>46316</v>
      </c>
      <c r="F4996" t="inlineStr">
        <is>
          <t>KRONOBERGS LÄN</t>
        </is>
      </c>
      <c r="G4996" t="inlineStr">
        <is>
          <t>TINGSRYD</t>
        </is>
      </c>
      <c r="I4996" t="n">
        <v>4.7</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18435-2022</t>
        </is>
      </c>
      <c r="B4997" t="inlineStr">
        <is>
          <t>avverkningsanmälan</t>
        </is>
      </c>
      <c r="C4997" t="inlineStr">
        <is>
          <t>Föryngringsavverkning</t>
        </is>
      </c>
      <c r="D4997" s="1" t="n">
        <v>44685</v>
      </c>
      <c r="E4997" s="1" t="n">
        <v>46316</v>
      </c>
      <c r="F4997" t="inlineStr">
        <is>
          <t>KRONOBERGS LÄN</t>
        </is>
      </c>
      <c r="G4997" t="inlineStr">
        <is>
          <t>TINGSRYD</t>
        </is>
      </c>
      <c r="I4997" t="n">
        <v>4.2</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42460-2026</t>
        </is>
      </c>
      <c r="B4998" t="inlineStr">
        <is>
          <t>avverkningsanmälan</t>
        </is>
      </c>
      <c r="C4998" t="inlineStr">
        <is>
          <t>Föryngringsavverkning</t>
        </is>
      </c>
      <c r="D4998" s="1" t="n">
        <v>46308</v>
      </c>
      <c r="E4998" s="1" t="n">
        <v>46316</v>
      </c>
      <c r="F4998" t="inlineStr">
        <is>
          <t>KRONOBERGS LÄN</t>
        </is>
      </c>
      <c r="G4998" t="inlineStr">
        <is>
          <t>UPPVIDINGE</t>
        </is>
      </c>
      <c r="I4998" t="n">
        <v>2.5</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40604-2026</t>
        </is>
      </c>
      <c r="B4999" t="inlineStr">
        <is>
          <t>avverkningsanmälan</t>
        </is>
      </c>
      <c r="C4999" t="inlineStr">
        <is>
          <t>Föryngringsavverkning</t>
        </is>
      </c>
      <c r="D4999" s="1" t="n">
        <v>46295</v>
      </c>
      <c r="E4999" s="1" t="n">
        <v>46316</v>
      </c>
      <c r="F4999" t="inlineStr">
        <is>
          <t>KRONOBERGS LÄN</t>
        </is>
      </c>
      <c r="G4999" t="inlineStr">
        <is>
          <t>UPPVIDINGE</t>
        </is>
      </c>
      <c r="I4999" t="n">
        <v>1</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2833-2022</t>
        </is>
      </c>
      <c r="B5000" t="inlineStr">
        <is>
          <t>avverkningsanmälan</t>
        </is>
      </c>
      <c r="C5000" t="inlineStr">
        <is>
          <t>Föryngringsavverkning</t>
        </is>
      </c>
      <c r="D5000" s="1" t="n">
        <v>44581</v>
      </c>
      <c r="E5000" s="1" t="n">
        <v>46316</v>
      </c>
      <c r="F5000" t="inlineStr">
        <is>
          <t>KRONOBERGS LÄN</t>
        </is>
      </c>
      <c r="G5000" t="inlineStr">
        <is>
          <t>MARKARYD</t>
        </is>
      </c>
      <c r="I5000" t="n">
        <v>2.4</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2847-2022</t>
        </is>
      </c>
      <c r="B5001" t="inlineStr">
        <is>
          <t>avverkningsanmälan</t>
        </is>
      </c>
      <c r="C5001" t="inlineStr">
        <is>
          <t>Föryngringsavverkning</t>
        </is>
      </c>
      <c r="D5001" s="1" t="n">
        <v>44581</v>
      </c>
      <c r="E5001" s="1" t="n">
        <v>46316</v>
      </c>
      <c r="F5001" t="inlineStr">
        <is>
          <t>KRONOBERGS LÄN</t>
        </is>
      </c>
      <c r="G5001" t="inlineStr">
        <is>
          <t>ALVESTA</t>
        </is>
      </c>
      <c r="I5001" t="n">
        <v>0.8</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73861-2021</t>
        </is>
      </c>
      <c r="B5002" t="inlineStr">
        <is>
          <t>avverkningsanmälan</t>
        </is>
      </c>
      <c r="C5002" t="inlineStr">
        <is>
          <t>Föryngringsavverkning</t>
        </is>
      </c>
      <c r="D5002" s="1" t="n">
        <v>44553</v>
      </c>
      <c r="E5002" s="1" t="n">
        <v>46316</v>
      </c>
      <c r="F5002" t="inlineStr">
        <is>
          <t>KRONOBERGS LÄN</t>
        </is>
      </c>
      <c r="G5002" t="inlineStr">
        <is>
          <t>MARKARYD</t>
        </is>
      </c>
      <c r="I5002" t="n">
        <v>3.4</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46076-2023</t>
        </is>
      </c>
      <c r="B5003" t="inlineStr">
        <is>
          <t>avverkningsanmälan</t>
        </is>
      </c>
      <c r="C5003" t="inlineStr">
        <is>
          <t>Föryngringsavverkning</t>
        </is>
      </c>
      <c r="D5003" s="1" t="n">
        <v>45196</v>
      </c>
      <c r="E5003" s="1" t="n">
        <v>46316</v>
      </c>
      <c r="F5003" t="inlineStr">
        <is>
          <t>KRONOBERGS LÄN</t>
        </is>
      </c>
      <c r="G5003" t="inlineStr">
        <is>
          <t>UPPVIDINGE</t>
        </is>
      </c>
      <c r="I5003" t="n">
        <v>5</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46740-2024</t>
        </is>
      </c>
      <c r="B5004" t="inlineStr">
        <is>
          <t>avverkningsanmälan</t>
        </is>
      </c>
      <c r="C5004" t="inlineStr">
        <is>
          <t>Föryngringsavverkning</t>
        </is>
      </c>
      <c r="D5004" s="1" t="n">
        <v>45583</v>
      </c>
      <c r="E5004" s="1" t="n">
        <v>46316</v>
      </c>
      <c r="F5004" t="inlineStr">
        <is>
          <t>KRONOBERGS LÄN</t>
        </is>
      </c>
      <c r="G5004" t="inlineStr">
        <is>
          <t>ÄLMHULT</t>
        </is>
      </c>
      <c r="I5004" t="n">
        <v>1.8</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9288-2023</t>
        </is>
      </c>
      <c r="B5005" t="inlineStr">
        <is>
          <t>avverkningsanmälan</t>
        </is>
      </c>
      <c r="C5005" t="inlineStr">
        <is>
          <t>Föryngringsavverkning</t>
        </is>
      </c>
      <c r="D5005" s="1" t="n">
        <v>44980</v>
      </c>
      <c r="E5005" s="1" t="n">
        <v>46316</v>
      </c>
      <c r="F5005" t="inlineStr">
        <is>
          <t>KRONOBERGS LÄN</t>
        </is>
      </c>
      <c r="G5005" t="inlineStr">
        <is>
          <t>LJUNGBY</t>
        </is>
      </c>
      <c r="I5005" t="n">
        <v>0.6</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37843-2024</t>
        </is>
      </c>
      <c r="B5006" t="inlineStr">
        <is>
          <t>avverkningsanmälan</t>
        </is>
      </c>
      <c r="C5006" t="inlineStr">
        <is>
          <t>Föryngringsavverkning</t>
        </is>
      </c>
      <c r="D5006" s="1" t="n">
        <v>45544</v>
      </c>
      <c r="E5006" s="1" t="n">
        <v>46316</v>
      </c>
      <c r="F5006" t="inlineStr">
        <is>
          <t>KRONOBERGS LÄN</t>
        </is>
      </c>
      <c r="G5006" t="inlineStr">
        <is>
          <t>ALVESTA</t>
        </is>
      </c>
      <c r="I5006" t="n">
        <v>2.1</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31142-2026</t>
        </is>
      </c>
      <c r="B5007" t="inlineStr">
        <is>
          <t>avverkningsanmälan</t>
        </is>
      </c>
      <c r="C5007" t="inlineStr">
        <is>
          <t>Föryngringsavverkning</t>
        </is>
      </c>
      <c r="D5007" s="1" t="n">
        <v>46216</v>
      </c>
      <c r="E5007" s="1" t="n">
        <v>46316</v>
      </c>
      <c r="F5007" t="inlineStr">
        <is>
          <t>KRONOBERGS LÄN</t>
        </is>
      </c>
      <c r="G5007" t="inlineStr">
        <is>
          <t>VÄXJÖ</t>
        </is>
      </c>
      <c r="I5007" t="n">
        <v>0.7</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37648-2022</t>
        </is>
      </c>
      <c r="B5008" t="inlineStr">
        <is>
          <t>avverkningsanmälan</t>
        </is>
      </c>
      <c r="C5008" t="inlineStr">
        <is>
          <t>Föryngringsavverkning</t>
        </is>
      </c>
      <c r="D5008" s="1" t="n">
        <v>44810</v>
      </c>
      <c r="E5008" s="1" t="n">
        <v>46316</v>
      </c>
      <c r="F5008" t="inlineStr">
        <is>
          <t>KRONOBERGS LÄN</t>
        </is>
      </c>
      <c r="G5008" t="inlineStr">
        <is>
          <t>LJUNGBY</t>
        </is>
      </c>
      <c r="I5008" t="n">
        <v>1.3</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42940-2022</t>
        </is>
      </c>
      <c r="B5009" t="inlineStr">
        <is>
          <t>avverkningsanmälan</t>
        </is>
      </c>
      <c r="C5009" t="inlineStr">
        <is>
          <t>Föryngringsavverkning</t>
        </is>
      </c>
      <c r="D5009" s="1" t="n">
        <v>44833</v>
      </c>
      <c r="E5009" s="1" t="n">
        <v>46316</v>
      </c>
      <c r="F5009" t="inlineStr">
        <is>
          <t>KRONOBERGS LÄN</t>
        </is>
      </c>
      <c r="G5009" t="inlineStr">
        <is>
          <t>UPPVIDINGE</t>
        </is>
      </c>
      <c r="H5009" t="inlineStr">
        <is>
          <t>Sveaskog</t>
        </is>
      </c>
      <c r="I5009" t="n">
        <v>3.7</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41642-2026</t>
        </is>
      </c>
      <c r="B5010" t="inlineStr">
        <is>
          <t>avverkningsanmälan</t>
        </is>
      </c>
      <c r="C5010" t="inlineStr">
        <is>
          <t>Föryngringsavverkning</t>
        </is>
      </c>
      <c r="D5010" s="1" t="n">
        <v>46301</v>
      </c>
      <c r="E5010" s="1" t="n">
        <v>46316</v>
      </c>
      <c r="F5010" t="inlineStr">
        <is>
          <t>KRONOBERGS LÄN</t>
        </is>
      </c>
      <c r="G5010" t="inlineStr">
        <is>
          <t>LJUNGBY</t>
        </is>
      </c>
      <c r="I5010" t="n">
        <v>3.1</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35639-2026</t>
        </is>
      </c>
      <c r="B5011" t="inlineStr">
        <is>
          <t>avverkningsanmälan</t>
        </is>
      </c>
      <c r="C5011" t="inlineStr">
        <is>
          <t>Föryngringsavverkning</t>
        </is>
      </c>
      <c r="D5011" s="1" t="n">
        <v>46265</v>
      </c>
      <c r="E5011" s="1" t="n">
        <v>46316</v>
      </c>
      <c r="F5011" t="inlineStr">
        <is>
          <t>KRONOBERGS LÄN</t>
        </is>
      </c>
      <c r="G5011" t="inlineStr">
        <is>
          <t>LJUNGBY</t>
        </is>
      </c>
      <c r="I5011" t="n">
        <v>1.7</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57032-2023</t>
        </is>
      </c>
      <c r="B5012" t="inlineStr">
        <is>
          <t>avverkningsanmälan</t>
        </is>
      </c>
      <c r="C5012" t="inlineStr">
        <is>
          <t>Föryngringsavverkning</t>
        </is>
      </c>
      <c r="D5012" s="1" t="n">
        <v>45244</v>
      </c>
      <c r="E5012" s="1" t="n">
        <v>46316</v>
      </c>
      <c r="F5012" t="inlineStr">
        <is>
          <t>KRONOBERGS LÄN</t>
        </is>
      </c>
      <c r="G5012" t="inlineStr">
        <is>
          <t>UPPVIDINGE</t>
        </is>
      </c>
      <c r="I5012" t="n">
        <v>3.6</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57041-2023</t>
        </is>
      </c>
      <c r="B5013" t="inlineStr">
        <is>
          <t>avverkningsanmälan</t>
        </is>
      </c>
      <c r="C5013" t="inlineStr">
        <is>
          <t>Föryngringsavverkning</t>
        </is>
      </c>
      <c r="D5013" s="1" t="n">
        <v>45244</v>
      </c>
      <c r="E5013" s="1" t="n">
        <v>46316</v>
      </c>
      <c r="F5013" t="inlineStr">
        <is>
          <t>KRONOBERGS LÄN</t>
        </is>
      </c>
      <c r="G5013" t="inlineStr">
        <is>
          <t>VÄXJÖ</t>
        </is>
      </c>
      <c r="I5013" t="n">
        <v>1.2</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42456-2026</t>
        </is>
      </c>
      <c r="B5014" t="inlineStr">
        <is>
          <t>avverkningsanmälan</t>
        </is>
      </c>
      <c r="C5014" t="inlineStr">
        <is>
          <t>Föryngringsavverkning</t>
        </is>
      </c>
      <c r="D5014" s="1" t="n">
        <v>46308</v>
      </c>
      <c r="E5014" s="1" t="n">
        <v>46316</v>
      </c>
      <c r="F5014" t="inlineStr">
        <is>
          <t>KRONOBERGS LÄN</t>
        </is>
      </c>
      <c r="G5014" t="inlineStr">
        <is>
          <t>UPPVIDINGE</t>
        </is>
      </c>
      <c r="I5014" t="n">
        <v>0.7</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53865-2023</t>
        </is>
      </c>
      <c r="B5015" t="inlineStr">
        <is>
          <t>avverkningsanmälan</t>
        </is>
      </c>
      <c r="C5015" t="inlineStr">
        <is>
          <t>Föryngringsavverkning</t>
        </is>
      </c>
      <c r="D5015" s="1" t="n">
        <v>45231</v>
      </c>
      <c r="E5015" s="1" t="n">
        <v>46316</v>
      </c>
      <c r="F5015" t="inlineStr">
        <is>
          <t>KRONOBERGS LÄN</t>
        </is>
      </c>
      <c r="G5015" t="inlineStr">
        <is>
          <t>LJUNGBY</t>
        </is>
      </c>
      <c r="I5015" t="n">
        <v>6.6</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43002-2026</t>
        </is>
      </c>
      <c r="B5016" t="inlineStr">
        <is>
          <t>avverkningsanmälan</t>
        </is>
      </c>
      <c r="C5016" t="inlineStr">
        <is>
          <t>Föryngringsavverkning</t>
        </is>
      </c>
      <c r="D5016" s="1" t="n">
        <v>46310</v>
      </c>
      <c r="E5016" s="1" t="n">
        <v>46316</v>
      </c>
      <c r="F5016" t="inlineStr">
        <is>
          <t>KRONOBERGS LÄN</t>
        </is>
      </c>
      <c r="G5016" t="inlineStr">
        <is>
          <t>LJUNGBY</t>
        </is>
      </c>
      <c r="I5016" t="n">
        <v>7.9</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17298-2023</t>
        </is>
      </c>
      <c r="B5017" t="inlineStr">
        <is>
          <t>avverkningsanmälan</t>
        </is>
      </c>
      <c r="C5017" t="inlineStr">
        <is>
          <t>Avverkning för annat ändamål</t>
        </is>
      </c>
      <c r="D5017" s="1" t="n">
        <v>45035</v>
      </c>
      <c r="E5017" s="1" t="n">
        <v>46316</v>
      </c>
      <c r="F5017" t="inlineStr">
        <is>
          <t>KRONOBERGS LÄN</t>
        </is>
      </c>
      <c r="G5017" t="inlineStr">
        <is>
          <t>LJUNGBY</t>
        </is>
      </c>
      <c r="I5017" t="n">
        <v>4.8</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17333-2023</t>
        </is>
      </c>
      <c r="B5018" t="inlineStr">
        <is>
          <t>avverkningsanmälan</t>
        </is>
      </c>
      <c r="C5018" t="inlineStr">
        <is>
          <t>Föryngringsavverkning</t>
        </is>
      </c>
      <c r="D5018" s="1" t="n">
        <v>45035</v>
      </c>
      <c r="E5018" s="1" t="n">
        <v>46316</v>
      </c>
      <c r="F5018" t="inlineStr">
        <is>
          <t>KRONOBERGS LÄN</t>
        </is>
      </c>
      <c r="G5018" t="inlineStr">
        <is>
          <t>TINGSRYD</t>
        </is>
      </c>
      <c r="I5018" t="n">
        <v>0.8</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23590-2023</t>
        </is>
      </c>
      <c r="B5019" t="inlineStr">
        <is>
          <t>avverkningsanmälan</t>
        </is>
      </c>
      <c r="C5019" t="inlineStr">
        <is>
          <t>Föryngringsavverkning</t>
        </is>
      </c>
      <c r="D5019" s="1" t="n">
        <v>45077</v>
      </c>
      <c r="E5019" s="1" t="n">
        <v>46316</v>
      </c>
      <c r="F5019" t="inlineStr">
        <is>
          <t>KRONOBERGS LÄN</t>
        </is>
      </c>
      <c r="G5019" t="inlineStr">
        <is>
          <t>LJUNGBY</t>
        </is>
      </c>
      <c r="I5019" t="n">
        <v>0.6</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33050-2026</t>
        </is>
      </c>
      <c r="B5020" t="inlineStr">
        <is>
          <t>avverkningsanmälan</t>
        </is>
      </c>
      <c r="C5020" t="inlineStr">
        <is>
          <t>Föryngringsavverkning</t>
        </is>
      </c>
      <c r="D5020" s="1" t="n">
        <v>46245</v>
      </c>
      <c r="E5020" s="1" t="n">
        <v>46316</v>
      </c>
      <c r="F5020" t="inlineStr">
        <is>
          <t>KRONOBERGS LÄN</t>
        </is>
      </c>
      <c r="G5020" t="inlineStr">
        <is>
          <t>VÄXJÖ</t>
        </is>
      </c>
      <c r="I5020" t="n">
        <v>7.4</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21745-2022</t>
        </is>
      </c>
      <c r="B5021" t="inlineStr">
        <is>
          <t>avverkningsanmälan</t>
        </is>
      </c>
      <c r="C5021" t="inlineStr">
        <is>
          <t>Föryngringsavverkning</t>
        </is>
      </c>
      <c r="D5021" s="1" t="n">
        <v>44708</v>
      </c>
      <c r="E5021" s="1" t="n">
        <v>46316</v>
      </c>
      <c r="F5021" t="inlineStr">
        <is>
          <t>KRONOBERGS LÄN</t>
        </is>
      </c>
      <c r="G5021" t="inlineStr">
        <is>
          <t>LESSEBO</t>
        </is>
      </c>
      <c r="I5021" t="n">
        <v>9.699999999999999</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3332-2023</t>
        </is>
      </c>
      <c r="B5022" t="inlineStr">
        <is>
          <t>avverkningsanmälan</t>
        </is>
      </c>
      <c r="C5022" t="inlineStr">
        <is>
          <t>Föryngringsavverkning</t>
        </is>
      </c>
      <c r="D5022" s="1" t="n">
        <v>44949</v>
      </c>
      <c r="E5022" s="1" t="n">
        <v>46316</v>
      </c>
      <c r="F5022" t="inlineStr">
        <is>
          <t>KRONOBERGS LÄN</t>
        </is>
      </c>
      <c r="G5022" t="inlineStr">
        <is>
          <t>TINGSRYD</t>
        </is>
      </c>
      <c r="I5022" t="n">
        <v>1</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54256-2023</t>
        </is>
      </c>
      <c r="B5023" t="inlineStr">
        <is>
          <t>avverkningsanmälan</t>
        </is>
      </c>
      <c r="C5023" t="inlineStr">
        <is>
          <t>Föryngringsavverkning</t>
        </is>
      </c>
      <c r="D5023" s="1" t="n">
        <v>45232</v>
      </c>
      <c r="E5023" s="1" t="n">
        <v>46316</v>
      </c>
      <c r="F5023" t="inlineStr">
        <is>
          <t>KRONOBERGS LÄN</t>
        </is>
      </c>
      <c r="G5023" t="inlineStr">
        <is>
          <t>VÄXJÖ</t>
        </is>
      </c>
      <c r="I5023" t="n">
        <v>1.8</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37818-2022</t>
        </is>
      </c>
      <c r="B5024" t="inlineStr">
        <is>
          <t>avverkningsanmälan</t>
        </is>
      </c>
      <c r="C5024" t="inlineStr">
        <is>
          <t>Föryngringsavverkning</t>
        </is>
      </c>
      <c r="D5024" s="1" t="n">
        <v>44810</v>
      </c>
      <c r="E5024" s="1" t="n">
        <v>46316</v>
      </c>
      <c r="F5024" t="inlineStr">
        <is>
          <t>KRONOBERGS LÄN</t>
        </is>
      </c>
      <c r="G5024" t="inlineStr">
        <is>
          <t>MARKARYD</t>
        </is>
      </c>
      <c r="I5024" t="n">
        <v>5.2</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1715-2025</t>
        </is>
      </c>
      <c r="B5025" t="inlineStr">
        <is>
          <t>avverkningsanmälan</t>
        </is>
      </c>
      <c r="C5025" t="inlineStr">
        <is>
          <t>Föryngringsavverkning</t>
        </is>
      </c>
      <c r="D5025" s="1" t="n">
        <v>45671</v>
      </c>
      <c r="E5025" s="1" t="n">
        <v>46316</v>
      </c>
      <c r="F5025" t="inlineStr">
        <is>
          <t>KRONOBERGS LÄN</t>
        </is>
      </c>
      <c r="G5025" t="inlineStr">
        <is>
          <t>MARKARYD</t>
        </is>
      </c>
      <c r="I5025" t="n">
        <v>10.9</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42907-2026</t>
        </is>
      </c>
      <c r="B5026" t="inlineStr">
        <is>
          <t>avverkningsanmälan</t>
        </is>
      </c>
      <c r="C5026" t="inlineStr">
        <is>
          <t>Föryngringsavverkning</t>
        </is>
      </c>
      <c r="D5026" s="1" t="n">
        <v>46310</v>
      </c>
      <c r="E5026" s="1" t="n">
        <v>46316</v>
      </c>
      <c r="F5026" t="inlineStr">
        <is>
          <t>KRONOBERGS LÄN</t>
        </is>
      </c>
      <c r="G5026" t="inlineStr">
        <is>
          <t>LJUNGBY</t>
        </is>
      </c>
      <c r="I5026" t="n">
        <v>2.2</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5045-2024</t>
        </is>
      </c>
      <c r="B5027" t="inlineStr">
        <is>
          <t>avverkningsanmälan</t>
        </is>
      </c>
      <c r="C5027" t="inlineStr">
        <is>
          <t>Föryngringsavverkning</t>
        </is>
      </c>
      <c r="D5027" s="1" t="n">
        <v>45329</v>
      </c>
      <c r="E5027" s="1" t="n">
        <v>46316</v>
      </c>
      <c r="F5027" t="inlineStr">
        <is>
          <t>KRONOBERGS LÄN</t>
        </is>
      </c>
      <c r="G5027" t="inlineStr">
        <is>
          <t>ALVESTA</t>
        </is>
      </c>
      <c r="I5027" t="n">
        <v>2.5</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42990-2026</t>
        </is>
      </c>
      <c r="B5028" t="inlineStr">
        <is>
          <t>avverkningsanmälan</t>
        </is>
      </c>
      <c r="C5028" t="inlineStr">
        <is>
          <t>Föryngringsavverkning</t>
        </is>
      </c>
      <c r="D5028" s="1" t="n">
        <v>46310</v>
      </c>
      <c r="E5028" s="1" t="n">
        <v>46316</v>
      </c>
      <c r="F5028" t="inlineStr">
        <is>
          <t>KRONOBERGS LÄN</t>
        </is>
      </c>
      <c r="G5028" t="inlineStr">
        <is>
          <t>LESSEBO</t>
        </is>
      </c>
      <c r="I5028" t="n">
        <v>1.8</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2840-2023</t>
        </is>
      </c>
      <c r="B5029" t="inlineStr">
        <is>
          <t>avverkningsanmälan</t>
        </is>
      </c>
      <c r="C5029" t="inlineStr">
        <is>
          <t>Föryngringsavverkning</t>
        </is>
      </c>
      <c r="D5029" s="1" t="n">
        <v>44945</v>
      </c>
      <c r="E5029" s="1" t="n">
        <v>46316</v>
      </c>
      <c r="F5029" t="inlineStr">
        <is>
          <t>KRONOBERGS LÄN</t>
        </is>
      </c>
      <c r="G5029" t="inlineStr">
        <is>
          <t>LJUNGBY</t>
        </is>
      </c>
      <c r="I5029" t="n">
        <v>0.4</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37399-2024</t>
        </is>
      </c>
      <c r="B5030" t="inlineStr">
        <is>
          <t>avverkningsanmälan</t>
        </is>
      </c>
      <c r="C5030" t="inlineStr">
        <is>
          <t>Föryngringsavverkning</t>
        </is>
      </c>
      <c r="D5030" s="1" t="n">
        <v>45540</v>
      </c>
      <c r="E5030" s="1" t="n">
        <v>46316</v>
      </c>
      <c r="F5030" t="inlineStr">
        <is>
          <t>KRONOBERGS LÄN</t>
        </is>
      </c>
      <c r="G5030" t="inlineStr">
        <is>
          <t>LESSEBO</t>
        </is>
      </c>
      <c r="I5030" t="n">
        <v>0.9</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49041-2024</t>
        </is>
      </c>
      <c r="B5031" t="inlineStr">
        <is>
          <t>avverkningsanmälan</t>
        </is>
      </c>
      <c r="C5031" t="inlineStr">
        <is>
          <t>Föryngringsavverkning</t>
        </is>
      </c>
      <c r="D5031" s="1" t="n">
        <v>45594</v>
      </c>
      <c r="E5031" s="1" t="n">
        <v>46316</v>
      </c>
      <c r="F5031" t="inlineStr">
        <is>
          <t>KRONOBERGS LÄN</t>
        </is>
      </c>
      <c r="G5031" t="inlineStr">
        <is>
          <t>ÄLMHULT</t>
        </is>
      </c>
      <c r="I5031" t="n">
        <v>1.2</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49084-2024</t>
        </is>
      </c>
      <c r="B5032" t="inlineStr">
        <is>
          <t>avverkningsanmälan</t>
        </is>
      </c>
      <c r="C5032" t="inlineStr">
        <is>
          <t>Föryngringsavverkning</t>
        </is>
      </c>
      <c r="D5032" s="1" t="n">
        <v>45594</v>
      </c>
      <c r="E5032" s="1" t="n">
        <v>46316</v>
      </c>
      <c r="F5032" t="inlineStr">
        <is>
          <t>KRONOBERGS LÄN</t>
        </is>
      </c>
      <c r="G5032" t="inlineStr">
        <is>
          <t>LJUNGBY</t>
        </is>
      </c>
      <c r="I5032" t="n">
        <v>0.4</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34209-2023</t>
        </is>
      </c>
      <c r="B5033" t="inlineStr">
        <is>
          <t>avverkningsanmälan</t>
        </is>
      </c>
      <c r="C5033" t="inlineStr">
        <is>
          <t>Föryngringsavverkning</t>
        </is>
      </c>
      <c r="D5033" s="1" t="n">
        <v>45138</v>
      </c>
      <c r="E5033" s="1" t="n">
        <v>46316</v>
      </c>
      <c r="F5033" t="inlineStr">
        <is>
          <t>KRONOBERGS LÄN</t>
        </is>
      </c>
      <c r="G5033" t="inlineStr">
        <is>
          <t>TINGSRYD</t>
        </is>
      </c>
      <c r="I5033" t="n">
        <v>1.2</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9822-2023</t>
        </is>
      </c>
      <c r="B5034" t="inlineStr">
        <is>
          <t>avverkningsanmälan</t>
        </is>
      </c>
      <c r="C5034" t="inlineStr">
        <is>
          <t>Föryngringsavverkning</t>
        </is>
      </c>
      <c r="D5034" s="1" t="n">
        <v>44984</v>
      </c>
      <c r="E5034" s="1" t="n">
        <v>46316</v>
      </c>
      <c r="F5034" t="inlineStr">
        <is>
          <t>KRONOBERGS LÄN</t>
        </is>
      </c>
      <c r="G5034" t="inlineStr">
        <is>
          <t>TINGSRYD</t>
        </is>
      </c>
      <c r="I5034" t="n">
        <v>8.9</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36313-2026</t>
        </is>
      </c>
      <c r="B5035" t="inlineStr">
        <is>
          <t>avverkningsanmälan</t>
        </is>
      </c>
      <c r="C5035" t="inlineStr">
        <is>
          <t>Föryngringsavverkning</t>
        </is>
      </c>
      <c r="D5035" s="1" t="n">
        <v>46268</v>
      </c>
      <c r="E5035" s="1" t="n">
        <v>46316</v>
      </c>
      <c r="F5035" t="inlineStr">
        <is>
          <t>KRONOBERGS LÄN</t>
        </is>
      </c>
      <c r="G5035" t="inlineStr">
        <is>
          <t>LESSEBO</t>
        </is>
      </c>
      <c r="I5035" t="n">
        <v>2.5</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21254-2023</t>
        </is>
      </c>
      <c r="B5036" t="inlineStr">
        <is>
          <t>avverkningsanmälan</t>
        </is>
      </c>
      <c r="C5036" t="inlineStr">
        <is>
          <t>Föryngringsavverkning</t>
        </is>
      </c>
      <c r="D5036" s="1" t="n">
        <v>45062</v>
      </c>
      <c r="E5036" s="1" t="n">
        <v>46316</v>
      </c>
      <c r="F5036" t="inlineStr">
        <is>
          <t>KRONOBERGS LÄN</t>
        </is>
      </c>
      <c r="G5036" t="inlineStr">
        <is>
          <t>TINGSRYD</t>
        </is>
      </c>
      <c r="I5036" t="n">
        <v>0.5</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7720-2025</t>
        </is>
      </c>
      <c r="B5037" t="inlineStr">
        <is>
          <t>avverkningsanmälan</t>
        </is>
      </c>
      <c r="C5037" t="inlineStr">
        <is>
          <t>Föryngringsavverkning</t>
        </is>
      </c>
      <c r="D5037" s="1" t="n">
        <v>45705</v>
      </c>
      <c r="E5037" s="1" t="n">
        <v>46316</v>
      </c>
      <c r="F5037" t="inlineStr">
        <is>
          <t>KRONOBERGS LÄN</t>
        </is>
      </c>
      <c r="G5037" t="inlineStr">
        <is>
          <t>VÄXJÖ</t>
        </is>
      </c>
      <c r="H5037" t="inlineStr">
        <is>
          <t>Kyrkan</t>
        </is>
      </c>
      <c r="I5037" t="n">
        <v>1.2</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22171-2022</t>
        </is>
      </c>
      <c r="B5038" t="inlineStr">
        <is>
          <t>avverkningsanmälan</t>
        </is>
      </c>
      <c r="C5038" t="inlineStr">
        <is>
          <t>Föryngringsavverkning</t>
        </is>
      </c>
      <c r="D5038" s="1" t="n">
        <v>44712</v>
      </c>
      <c r="E5038" s="1" t="n">
        <v>46316</v>
      </c>
      <c r="F5038" t="inlineStr">
        <is>
          <t>KRONOBERGS LÄN</t>
        </is>
      </c>
      <c r="G5038" t="inlineStr">
        <is>
          <t>TINGSRYD</t>
        </is>
      </c>
      <c r="I5038" t="n">
        <v>1.1</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21366-2023</t>
        </is>
      </c>
      <c r="B5039" t="inlineStr">
        <is>
          <t>avverkningsanmälan</t>
        </is>
      </c>
      <c r="C5039" t="inlineStr">
        <is>
          <t>Föryngringsavverkning</t>
        </is>
      </c>
      <c r="D5039" s="1" t="n">
        <v>45063</v>
      </c>
      <c r="E5039" s="1" t="n">
        <v>46316</v>
      </c>
      <c r="F5039" t="inlineStr">
        <is>
          <t>KRONOBERGS LÄN</t>
        </is>
      </c>
      <c r="G5039" t="inlineStr">
        <is>
          <t>UPPVIDINGE</t>
        </is>
      </c>
      <c r="I5039" t="n">
        <v>1.1</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32344-2026</t>
        </is>
      </c>
      <c r="B5040" t="inlineStr">
        <is>
          <t>avverkningsanmälan</t>
        </is>
      </c>
      <c r="C5040" t="inlineStr">
        <is>
          <t>Föryngringsavverkning</t>
        </is>
      </c>
      <c r="D5040" s="1" t="n">
        <v>46238</v>
      </c>
      <c r="E5040" s="1" t="n">
        <v>46316</v>
      </c>
      <c r="F5040" t="inlineStr">
        <is>
          <t>KRONOBERGS LÄN</t>
        </is>
      </c>
      <c r="G5040" t="inlineStr">
        <is>
          <t>UPPVIDINGE</t>
        </is>
      </c>
      <c r="I5040" t="n">
        <v>5.6</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36208-2026</t>
        </is>
      </c>
      <c r="B5041" t="inlineStr">
        <is>
          <t>avverkningsanmälan</t>
        </is>
      </c>
      <c r="C5041" t="inlineStr">
        <is>
          <t>Föryngringsavverkning</t>
        </is>
      </c>
      <c r="D5041" s="1" t="n">
        <v>46267</v>
      </c>
      <c r="E5041" s="1" t="n">
        <v>46316</v>
      </c>
      <c r="F5041" t="inlineStr">
        <is>
          <t>KRONOBERGS LÄN</t>
        </is>
      </c>
      <c r="G5041" t="inlineStr">
        <is>
          <t>MARKARYD</t>
        </is>
      </c>
      <c r="I5041" t="n">
        <v>3.6</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36376-2026</t>
        </is>
      </c>
      <c r="B5042" t="inlineStr">
        <is>
          <t>avverkningsanmälan</t>
        </is>
      </c>
      <c r="C5042" t="inlineStr">
        <is>
          <t>Föryngringsavverkning</t>
        </is>
      </c>
      <c r="D5042" s="1" t="n">
        <v>46268</v>
      </c>
      <c r="E5042" s="1" t="n">
        <v>46316</v>
      </c>
      <c r="F5042" t="inlineStr">
        <is>
          <t>KRONOBERGS LÄN</t>
        </is>
      </c>
      <c r="G5042" t="inlineStr">
        <is>
          <t>ÄLMHULT</t>
        </is>
      </c>
      <c r="I5042" t="n">
        <v>0.8</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34149-2023</t>
        </is>
      </c>
      <c r="B5043" t="inlineStr">
        <is>
          <t>avverkningsanmälan</t>
        </is>
      </c>
      <c r="C5043" t="inlineStr">
        <is>
          <t>Föryngringsavverkning</t>
        </is>
      </c>
      <c r="D5043" s="1" t="n">
        <v>45136</v>
      </c>
      <c r="E5043" s="1" t="n">
        <v>46316</v>
      </c>
      <c r="F5043" t="inlineStr">
        <is>
          <t>KRONOBERGS LÄN</t>
        </is>
      </c>
      <c r="G5043" t="inlineStr">
        <is>
          <t>ALVESTA</t>
        </is>
      </c>
      <c r="I5043" t="n">
        <v>1.3</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57365-2023</t>
        </is>
      </c>
      <c r="B5044" t="inlineStr">
        <is>
          <t>avverkningsanmälan</t>
        </is>
      </c>
      <c r="C5044" t="inlineStr">
        <is>
          <t>Föryngringsavverkning</t>
        </is>
      </c>
      <c r="D5044" s="1" t="n">
        <v>45245</v>
      </c>
      <c r="E5044" s="1" t="n">
        <v>46316</v>
      </c>
      <c r="F5044" t="inlineStr">
        <is>
          <t>KRONOBERGS LÄN</t>
        </is>
      </c>
      <c r="G5044" t="inlineStr">
        <is>
          <t>UPPVIDINGE</t>
        </is>
      </c>
      <c r="I5044" t="n">
        <v>1.4</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43003-2026</t>
        </is>
      </c>
      <c r="B5045" t="inlineStr">
        <is>
          <t>avverkningsanmälan</t>
        </is>
      </c>
      <c r="C5045" t="inlineStr">
        <is>
          <t>Föryngringsavverkning</t>
        </is>
      </c>
      <c r="D5045" s="1" t="n">
        <v>46310</v>
      </c>
      <c r="E5045" s="1" t="n">
        <v>46316</v>
      </c>
      <c r="F5045" t="inlineStr">
        <is>
          <t>KRONOBERGS LÄN</t>
        </is>
      </c>
      <c r="G5045" t="inlineStr">
        <is>
          <t>LJUNGBY</t>
        </is>
      </c>
      <c r="I5045" t="n">
        <v>4.9</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41774-2023</t>
        </is>
      </c>
      <c r="B5046" t="inlineStr">
        <is>
          <t>avverkningsanmälan</t>
        </is>
      </c>
      <c r="C5046" t="inlineStr">
        <is>
          <t>Föryngringsavverkning</t>
        </is>
      </c>
      <c r="D5046" s="1" t="n">
        <v>45176</v>
      </c>
      <c r="E5046" s="1" t="n">
        <v>46316</v>
      </c>
      <c r="F5046" t="inlineStr">
        <is>
          <t>KRONOBERGS LÄN</t>
        </is>
      </c>
      <c r="G5046" t="inlineStr">
        <is>
          <t>TINGSRYD</t>
        </is>
      </c>
      <c r="I5046" t="n">
        <v>0.7</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24019-2023</t>
        </is>
      </c>
      <c r="B5047" t="inlineStr">
        <is>
          <t>avverkningsanmälan</t>
        </is>
      </c>
      <c r="C5047" t="inlineStr">
        <is>
          <t>Avverkning för att bevara och utveckla /försöksver</t>
        </is>
      </c>
      <c r="D5047" s="1" t="n">
        <v>45078</v>
      </c>
      <c r="E5047" s="1" t="n">
        <v>46316</v>
      </c>
      <c r="F5047" t="inlineStr">
        <is>
          <t>KRONOBERGS LÄN</t>
        </is>
      </c>
      <c r="G5047" t="inlineStr">
        <is>
          <t>VÄXJÖ</t>
        </is>
      </c>
      <c r="H5047" t="inlineStr">
        <is>
          <t>Sveaskog</t>
        </is>
      </c>
      <c r="I5047" t="n">
        <v>2.8</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26605-2024</t>
        </is>
      </c>
      <c r="B5048" t="inlineStr">
        <is>
          <t>avverkningsanmälan</t>
        </is>
      </c>
      <c r="C5048" t="inlineStr">
        <is>
          <t>Föryngringsavverkning</t>
        </is>
      </c>
      <c r="D5048" s="1" t="n">
        <v>45469</v>
      </c>
      <c r="E5048" s="1" t="n">
        <v>46316</v>
      </c>
      <c r="F5048" t="inlineStr">
        <is>
          <t>KRONOBERGS LÄN</t>
        </is>
      </c>
      <c r="G5048" t="inlineStr">
        <is>
          <t>ÄLMHULT</t>
        </is>
      </c>
      <c r="H5048" t="inlineStr">
        <is>
          <t>Sveaskog</t>
        </is>
      </c>
      <c r="I5048" t="n">
        <v>0.6</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13840-2025</t>
        </is>
      </c>
      <c r="B5049" t="inlineStr">
        <is>
          <t>avverkningsanmälan</t>
        </is>
      </c>
      <c r="C5049" t="inlineStr">
        <is>
          <t>Föryngringsavverkning</t>
        </is>
      </c>
      <c r="D5049" s="1" t="n">
        <v>45737</v>
      </c>
      <c r="E5049" s="1" t="n">
        <v>46316</v>
      </c>
      <c r="F5049" t="inlineStr">
        <is>
          <t>KRONOBERGS LÄN</t>
        </is>
      </c>
      <c r="G5049" t="inlineStr">
        <is>
          <t>VÄXJÖ</t>
        </is>
      </c>
      <c r="I5049" t="n">
        <v>4.2</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29984-2023</t>
        </is>
      </c>
      <c r="B5050" t="inlineStr">
        <is>
          <t>avverkningsanmälan</t>
        </is>
      </c>
      <c r="C5050" t="inlineStr">
        <is>
          <t>Föryngringsavverkning</t>
        </is>
      </c>
      <c r="D5050" s="1" t="n">
        <v>45108</v>
      </c>
      <c r="E5050" s="1" t="n">
        <v>46316</v>
      </c>
      <c r="F5050" t="inlineStr">
        <is>
          <t>KRONOBERGS LÄN</t>
        </is>
      </c>
      <c r="G5050" t="inlineStr">
        <is>
          <t>VÄXJÖ</t>
        </is>
      </c>
      <c r="I5050" t="n">
        <v>2.5</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5282-2025</t>
        </is>
      </c>
      <c r="B5051" t="inlineStr">
        <is>
          <t>avverkningsanmälan</t>
        </is>
      </c>
      <c r="C5051" t="inlineStr">
        <is>
          <t>Föryngringsavverkning</t>
        </is>
      </c>
      <c r="D5051" s="1" t="n">
        <v>45692</v>
      </c>
      <c r="E5051" s="1" t="n">
        <v>46316</v>
      </c>
      <c r="F5051" t="inlineStr">
        <is>
          <t>KRONOBERGS LÄN</t>
        </is>
      </c>
      <c r="G5051" t="inlineStr">
        <is>
          <t>UPPVIDINGE</t>
        </is>
      </c>
      <c r="I5051" t="n">
        <v>8.6</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15568-2024</t>
        </is>
      </c>
      <c r="B5052" t="inlineStr">
        <is>
          <t>avverkningsanmälan</t>
        </is>
      </c>
      <c r="C5052" t="inlineStr">
        <is>
          <t>Föryngringsavverkning</t>
        </is>
      </c>
      <c r="D5052" s="1" t="n">
        <v>45401</v>
      </c>
      <c r="E5052" s="1" t="n">
        <v>46316</v>
      </c>
      <c r="F5052" t="inlineStr">
        <is>
          <t>KRONOBERGS LÄN</t>
        </is>
      </c>
      <c r="G5052" t="inlineStr">
        <is>
          <t>ÄLMHULT</t>
        </is>
      </c>
      <c r="I5052" t="n">
        <v>0.6</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58941-2023</t>
        </is>
      </c>
      <c r="B5053" t="inlineStr">
        <is>
          <t>avverkningsanmälan</t>
        </is>
      </c>
      <c r="C5053" t="inlineStr">
        <is>
          <t>Föryngringsavverkning</t>
        </is>
      </c>
      <c r="D5053" s="1" t="n">
        <v>45252</v>
      </c>
      <c r="E5053" s="1" t="n">
        <v>46316</v>
      </c>
      <c r="F5053" t="inlineStr">
        <is>
          <t>KRONOBERGS LÄN</t>
        </is>
      </c>
      <c r="G5053" t="inlineStr">
        <is>
          <t>TINGSRYD</t>
        </is>
      </c>
      <c r="I5053" t="n">
        <v>2.8</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58962-2023</t>
        </is>
      </c>
      <c r="B5054" t="inlineStr">
        <is>
          <t>avverkningsanmälan</t>
        </is>
      </c>
      <c r="C5054" t="inlineStr">
        <is>
          <t>Föryngringsavverkning</t>
        </is>
      </c>
      <c r="D5054" s="1" t="n">
        <v>45252</v>
      </c>
      <c r="E5054" s="1" t="n">
        <v>46316</v>
      </c>
      <c r="F5054" t="inlineStr">
        <is>
          <t>KRONOBERGS LÄN</t>
        </is>
      </c>
      <c r="G5054" t="inlineStr">
        <is>
          <t>TINGSRYD</t>
        </is>
      </c>
      <c r="I5054" t="n">
        <v>3</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23654-2022</t>
        </is>
      </c>
      <c r="B5055" t="inlineStr">
        <is>
          <t>avverkningsanmälan</t>
        </is>
      </c>
      <c r="C5055" t="inlineStr">
        <is>
          <t>Föryngringsavverkning</t>
        </is>
      </c>
      <c r="D5055" s="1" t="n">
        <v>44721</v>
      </c>
      <c r="E5055" s="1" t="n">
        <v>46316</v>
      </c>
      <c r="F5055" t="inlineStr">
        <is>
          <t>KRONOBERGS LÄN</t>
        </is>
      </c>
      <c r="G5055" t="inlineStr">
        <is>
          <t>LJUNGBY</t>
        </is>
      </c>
      <c r="I5055" t="n">
        <v>1.7</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5292-2024</t>
        </is>
      </c>
      <c r="B5056" t="inlineStr">
        <is>
          <t>avverkningsanmälan</t>
        </is>
      </c>
      <c r="C5056" t="inlineStr">
        <is>
          <t>Föryngringsavverkning</t>
        </is>
      </c>
      <c r="D5056" s="1" t="n">
        <v>45331</v>
      </c>
      <c r="E5056" s="1" t="n">
        <v>46316</v>
      </c>
      <c r="F5056" t="inlineStr">
        <is>
          <t>KRONOBERGS LÄN</t>
        </is>
      </c>
      <c r="G5056" t="inlineStr">
        <is>
          <t>TINGSRYD</t>
        </is>
      </c>
      <c r="I5056" t="n">
        <v>1.5</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5293-2024</t>
        </is>
      </c>
      <c r="B5057" t="inlineStr">
        <is>
          <t>avverkningsanmälan</t>
        </is>
      </c>
      <c r="C5057" t="inlineStr">
        <is>
          <t>Föryngringsavverkning</t>
        </is>
      </c>
      <c r="D5057" s="1" t="n">
        <v>45331</v>
      </c>
      <c r="E5057" s="1" t="n">
        <v>46316</v>
      </c>
      <c r="F5057" t="inlineStr">
        <is>
          <t>KRONOBERGS LÄN</t>
        </is>
      </c>
      <c r="G5057" t="inlineStr">
        <is>
          <t>TINGSRYD</t>
        </is>
      </c>
      <c r="I5057" t="n">
        <v>3.8</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5294-2024</t>
        </is>
      </c>
      <c r="B5058" t="inlineStr">
        <is>
          <t>avverkningsanmälan</t>
        </is>
      </c>
      <c r="C5058" t="inlineStr">
        <is>
          <t>Föryngringsavverkning</t>
        </is>
      </c>
      <c r="D5058" s="1" t="n">
        <v>45331</v>
      </c>
      <c r="E5058" s="1" t="n">
        <v>46316</v>
      </c>
      <c r="F5058" t="inlineStr">
        <is>
          <t>KRONOBERGS LÄN</t>
        </is>
      </c>
      <c r="G5058" t="inlineStr">
        <is>
          <t>TINGSRYD</t>
        </is>
      </c>
      <c r="I5058" t="n">
        <v>4.8</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20609-2024</t>
        </is>
      </c>
      <c r="B5059" t="inlineStr">
        <is>
          <t>avverkningsanmälan</t>
        </is>
      </c>
      <c r="C5059" t="inlineStr">
        <is>
          <t>Föryngringsavverkning</t>
        </is>
      </c>
      <c r="D5059" s="1" t="n">
        <v>45436</v>
      </c>
      <c r="E5059" s="1" t="n">
        <v>46316</v>
      </c>
      <c r="F5059" t="inlineStr">
        <is>
          <t>KRONOBERGS LÄN</t>
        </is>
      </c>
      <c r="G5059" t="inlineStr">
        <is>
          <t>ALVESTA</t>
        </is>
      </c>
      <c r="I5059" t="n">
        <v>0.9</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27080-2022</t>
        </is>
      </c>
      <c r="B5060" t="inlineStr">
        <is>
          <t>avverkningsanmälan</t>
        </is>
      </c>
      <c r="C5060" t="inlineStr">
        <is>
          <t>Föryngringsavverkning</t>
        </is>
      </c>
      <c r="D5060" s="1" t="n">
        <v>44741</v>
      </c>
      <c r="E5060" s="1" t="n">
        <v>46316</v>
      </c>
      <c r="F5060" t="inlineStr">
        <is>
          <t>KRONOBERGS LÄN</t>
        </is>
      </c>
      <c r="G5060" t="inlineStr">
        <is>
          <t>LESSEBO</t>
        </is>
      </c>
      <c r="I5060" t="n">
        <v>2.6</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7190-2024</t>
        </is>
      </c>
      <c r="B5061" t="inlineStr">
        <is>
          <t>avverkningsanmälan</t>
        </is>
      </c>
      <c r="C5061" t="inlineStr">
        <is>
          <t>Föryngringsavverkning</t>
        </is>
      </c>
      <c r="D5061" s="1" t="n">
        <v>45344</v>
      </c>
      <c r="E5061" s="1" t="n">
        <v>46316</v>
      </c>
      <c r="F5061" t="inlineStr">
        <is>
          <t>KRONOBERGS LÄN</t>
        </is>
      </c>
      <c r="G5061" t="inlineStr">
        <is>
          <t>MARKARYD</t>
        </is>
      </c>
      <c r="I5061" t="n">
        <v>0.8</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36067-2026</t>
        </is>
      </c>
      <c r="B5062" t="inlineStr">
        <is>
          <t>avverkningsanmälan</t>
        </is>
      </c>
      <c r="C5062" t="inlineStr">
        <is>
          <t>Föryngringsavverkning</t>
        </is>
      </c>
      <c r="D5062" s="1" t="n">
        <v>46267</v>
      </c>
      <c r="E5062" s="1" t="n">
        <v>46316</v>
      </c>
      <c r="F5062" t="inlineStr">
        <is>
          <t>KRONOBERGS LÄN</t>
        </is>
      </c>
      <c r="G5062" t="inlineStr">
        <is>
          <t>LESSEBO</t>
        </is>
      </c>
      <c r="H5062" t="inlineStr">
        <is>
          <t>Sveaskog</t>
        </is>
      </c>
      <c r="I5062" t="n">
        <v>3.4</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46395-2022</t>
        </is>
      </c>
      <c r="B5063" t="inlineStr">
        <is>
          <t>avverkningsanmälan</t>
        </is>
      </c>
      <c r="C5063" t="inlineStr">
        <is>
          <t>Föryngringsavverkning</t>
        </is>
      </c>
      <c r="D5063" s="1" t="n">
        <v>44848</v>
      </c>
      <c r="E5063" s="1" t="n">
        <v>46316</v>
      </c>
      <c r="F5063" t="inlineStr">
        <is>
          <t>KRONOBERGS LÄN</t>
        </is>
      </c>
      <c r="G5063" t="inlineStr">
        <is>
          <t>MARKARYD</t>
        </is>
      </c>
      <c r="I5063" t="n">
        <v>1.2</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42900-2026</t>
        </is>
      </c>
      <c r="B5064" t="inlineStr">
        <is>
          <t>avverkningsanmälan</t>
        </is>
      </c>
      <c r="C5064" t="inlineStr">
        <is>
          <t>Föryngringsavverkning</t>
        </is>
      </c>
      <c r="D5064" s="1" t="n">
        <v>46310</v>
      </c>
      <c r="E5064" s="1" t="n">
        <v>46316</v>
      </c>
      <c r="F5064" t="inlineStr">
        <is>
          <t>KRONOBERGS LÄN</t>
        </is>
      </c>
      <c r="G5064" t="inlineStr">
        <is>
          <t>UPPVIDINGE</t>
        </is>
      </c>
      <c r="I5064" t="n">
        <v>1.4</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801-2024</t>
        </is>
      </c>
      <c r="B5065" t="inlineStr">
        <is>
          <t>avverkningsanmälan</t>
        </is>
      </c>
      <c r="C5065" t="inlineStr">
        <is>
          <t>Föryngringsavverkning</t>
        </is>
      </c>
      <c r="D5065" s="1" t="n">
        <v>45300</v>
      </c>
      <c r="E5065" s="1" t="n">
        <v>46316</v>
      </c>
      <c r="F5065" t="inlineStr">
        <is>
          <t>KRONOBERGS LÄN</t>
        </is>
      </c>
      <c r="G5065" t="inlineStr">
        <is>
          <t>LJUNGBY</t>
        </is>
      </c>
      <c r="I5065" t="n">
        <v>1.1</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49302-2023</t>
        </is>
      </c>
      <c r="B5066" t="inlineStr">
        <is>
          <t>avverkningsanmälan</t>
        </is>
      </c>
      <c r="C5066" t="inlineStr">
        <is>
          <t>Föryngringsavverkning</t>
        </is>
      </c>
      <c r="D5066" s="1" t="n">
        <v>45210</v>
      </c>
      <c r="E5066" s="1" t="n">
        <v>46316</v>
      </c>
      <c r="F5066" t="inlineStr">
        <is>
          <t>KRONOBERGS LÄN</t>
        </is>
      </c>
      <c r="G5066" t="inlineStr">
        <is>
          <t>LJUNGBY</t>
        </is>
      </c>
      <c r="I5066" t="n">
        <v>2.5</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43004-2026</t>
        </is>
      </c>
      <c r="B5067" t="inlineStr">
        <is>
          <t>avverkningsanmälan</t>
        </is>
      </c>
      <c r="C5067" t="inlineStr">
        <is>
          <t>Föryngringsavverkning</t>
        </is>
      </c>
      <c r="D5067" s="1" t="n">
        <v>46310</v>
      </c>
      <c r="E5067" s="1" t="n">
        <v>46316</v>
      </c>
      <c r="F5067" t="inlineStr">
        <is>
          <t>KRONOBERGS LÄN</t>
        </is>
      </c>
      <c r="G5067" t="inlineStr">
        <is>
          <t>LJUNGBY</t>
        </is>
      </c>
      <c r="I5067" t="n">
        <v>5.5</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40566-2024</t>
        </is>
      </c>
      <c r="B5068" t="inlineStr">
        <is>
          <t>avverkningsanmälan</t>
        </is>
      </c>
      <c r="C5068" t="inlineStr">
        <is>
          <t>Föryngringsavverkning</t>
        </is>
      </c>
      <c r="D5068" s="1" t="n">
        <v>45555</v>
      </c>
      <c r="E5068" s="1" t="n">
        <v>46316</v>
      </c>
      <c r="F5068" t="inlineStr">
        <is>
          <t>KRONOBERGS LÄN</t>
        </is>
      </c>
      <c r="G5068" t="inlineStr">
        <is>
          <t>ALVESTA</t>
        </is>
      </c>
      <c r="I5068" t="n">
        <v>0.9</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26386-2023</t>
        </is>
      </c>
      <c r="B5069" t="inlineStr">
        <is>
          <t>avverkningsanmälan</t>
        </is>
      </c>
      <c r="C5069" t="inlineStr">
        <is>
          <t>Föryngringsavverkning</t>
        </is>
      </c>
      <c r="D5069" s="1" t="n">
        <v>45092</v>
      </c>
      <c r="E5069" s="1" t="n">
        <v>46316</v>
      </c>
      <c r="F5069" t="inlineStr">
        <is>
          <t>KRONOBERGS LÄN</t>
        </is>
      </c>
      <c r="G5069" t="inlineStr">
        <is>
          <t>ÄLMHULT</t>
        </is>
      </c>
      <c r="I5069" t="n">
        <v>0.5</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26454-2023</t>
        </is>
      </c>
      <c r="B5070" t="inlineStr">
        <is>
          <t>avverkningsanmälan</t>
        </is>
      </c>
      <c r="C5070" t="inlineStr">
        <is>
          <t>Föryngringsavverkning</t>
        </is>
      </c>
      <c r="D5070" s="1" t="n">
        <v>45092</v>
      </c>
      <c r="E5070" s="1" t="n">
        <v>46316</v>
      </c>
      <c r="F5070" t="inlineStr">
        <is>
          <t>KRONOBERGS LÄN</t>
        </is>
      </c>
      <c r="G5070" t="inlineStr">
        <is>
          <t>ÄLMHULT</t>
        </is>
      </c>
      <c r="I5070" t="n">
        <v>4.2</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13342-2023</t>
        </is>
      </c>
      <c r="B5071" t="inlineStr">
        <is>
          <t>avverkningsanmälan</t>
        </is>
      </c>
      <c r="C5071" t="inlineStr">
        <is>
          <t>Föryngringsavverkning</t>
        </is>
      </c>
      <c r="D5071" s="1" t="n">
        <v>45005</v>
      </c>
      <c r="E5071" s="1" t="n">
        <v>46316</v>
      </c>
      <c r="F5071" t="inlineStr">
        <is>
          <t>KRONOBERGS LÄN</t>
        </is>
      </c>
      <c r="G5071" t="inlineStr">
        <is>
          <t>TINGSRYD</t>
        </is>
      </c>
      <c r="I5071" t="n">
        <v>0.5</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28801-2022</t>
        </is>
      </c>
      <c r="B5072" t="inlineStr">
        <is>
          <t>avverkningsanmälan</t>
        </is>
      </c>
      <c r="C5072" t="inlineStr">
        <is>
          <t>Föryngringsavverkning</t>
        </is>
      </c>
      <c r="D5072" s="1" t="n">
        <v>44749</v>
      </c>
      <c r="E5072" s="1" t="n">
        <v>46316</v>
      </c>
      <c r="F5072" t="inlineStr">
        <is>
          <t>KRONOBERGS LÄN</t>
        </is>
      </c>
      <c r="G5072" t="inlineStr">
        <is>
          <t>VÄXJÖ</t>
        </is>
      </c>
      <c r="I5072" t="n">
        <v>3.9</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60248-2022</t>
        </is>
      </c>
      <c r="B5073" t="inlineStr">
        <is>
          <t>avverkningsanmälan</t>
        </is>
      </c>
      <c r="C5073" t="inlineStr">
        <is>
          <t>Föryngringsavverkning</t>
        </is>
      </c>
      <c r="D5073" s="1" t="n">
        <v>44903</v>
      </c>
      <c r="E5073" s="1" t="n">
        <v>46316</v>
      </c>
      <c r="F5073" t="inlineStr">
        <is>
          <t>KRONOBERGS LÄN</t>
        </is>
      </c>
      <c r="G5073" t="inlineStr">
        <is>
          <t>LJUNGBY</t>
        </is>
      </c>
      <c r="I5073" t="n">
        <v>2.9</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26139-2024</t>
        </is>
      </c>
      <c r="B5074" t="inlineStr">
        <is>
          <t>avverkningsanmälan</t>
        </is>
      </c>
      <c r="C5074" t="inlineStr">
        <is>
          <t>Föryngringsavverkning</t>
        </is>
      </c>
      <c r="D5074" s="1" t="n">
        <v>45468</v>
      </c>
      <c r="E5074" s="1" t="n">
        <v>46316</v>
      </c>
      <c r="F5074" t="inlineStr">
        <is>
          <t>KRONOBERGS LÄN</t>
        </is>
      </c>
      <c r="G5074" t="inlineStr">
        <is>
          <t>VÄXJÖ</t>
        </is>
      </c>
      <c r="I5074" t="n">
        <v>12</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33206-2023</t>
        </is>
      </c>
      <c r="B5075" t="inlineStr">
        <is>
          <t>avverkningsanmälan</t>
        </is>
      </c>
      <c r="C5075" t="inlineStr">
        <is>
          <t>Föryngringsavverkning</t>
        </is>
      </c>
      <c r="D5075" s="1" t="n">
        <v>45127</v>
      </c>
      <c r="E5075" s="1" t="n">
        <v>46316</v>
      </c>
      <c r="F5075" t="inlineStr">
        <is>
          <t>KRONOBERGS LÄN</t>
        </is>
      </c>
      <c r="G5075" t="inlineStr">
        <is>
          <t>VÄXJÖ</t>
        </is>
      </c>
      <c r="I5075" t="n">
        <v>2.5</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42467-2024</t>
        </is>
      </c>
      <c r="B5076" t="inlineStr">
        <is>
          <t>avverkningsanmälan</t>
        </is>
      </c>
      <c r="C5076" t="inlineStr">
        <is>
          <t>Föryngringsavverkning</t>
        </is>
      </c>
      <c r="D5076" s="1" t="n">
        <v>45565</v>
      </c>
      <c r="E5076" s="1" t="n">
        <v>46316</v>
      </c>
      <c r="F5076" t="inlineStr">
        <is>
          <t>KRONOBERGS LÄN</t>
        </is>
      </c>
      <c r="G5076" t="inlineStr">
        <is>
          <t>ALVESTA</t>
        </is>
      </c>
      <c r="I5076" t="n">
        <v>3.7</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36133-2026</t>
        </is>
      </c>
      <c r="B5077" t="inlineStr">
        <is>
          <t>avverkningsanmälan</t>
        </is>
      </c>
      <c r="C5077" t="inlineStr">
        <is>
          <t>Föryngringsavverkning</t>
        </is>
      </c>
      <c r="D5077" s="1" t="n">
        <v>46267</v>
      </c>
      <c r="E5077" s="1" t="n">
        <v>46316</v>
      </c>
      <c r="F5077" t="inlineStr">
        <is>
          <t>KRONOBERGS LÄN</t>
        </is>
      </c>
      <c r="G5077" t="inlineStr">
        <is>
          <t>ÄLMHULT</t>
        </is>
      </c>
      <c r="I5077" t="n">
        <v>0.6</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21758-2023</t>
        </is>
      </c>
      <c r="B5078" t="inlineStr">
        <is>
          <t>avverkningsanmälan</t>
        </is>
      </c>
      <c r="C5078" t="inlineStr">
        <is>
          <t>Föryngringsavverkning</t>
        </is>
      </c>
      <c r="D5078" s="1" t="n">
        <v>45065</v>
      </c>
      <c r="E5078" s="1" t="n">
        <v>46316</v>
      </c>
      <c r="F5078" t="inlineStr">
        <is>
          <t>KRONOBERGS LÄN</t>
        </is>
      </c>
      <c r="G5078" t="inlineStr">
        <is>
          <t>LJUNGBY</t>
        </is>
      </c>
      <c r="I5078" t="n">
        <v>2.8</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28693-2023</t>
        </is>
      </c>
      <c r="B5079" t="inlineStr">
        <is>
          <t>avverkningsanmälan</t>
        </is>
      </c>
      <c r="C5079" t="inlineStr">
        <is>
          <t>Föryngringsavverkning</t>
        </is>
      </c>
      <c r="D5079" s="1" t="n">
        <v>45103</v>
      </c>
      <c r="E5079" s="1" t="n">
        <v>46316</v>
      </c>
      <c r="F5079" t="inlineStr">
        <is>
          <t>KRONOBERGS LÄN</t>
        </is>
      </c>
      <c r="G5079" t="inlineStr">
        <is>
          <t>ÄLMHULT</t>
        </is>
      </c>
      <c r="I5079" t="n">
        <v>0.6</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49407-2024</t>
        </is>
      </c>
      <c r="B5080" t="inlineStr">
        <is>
          <t>avverkningsanmälan</t>
        </is>
      </c>
      <c r="C5080" t="inlineStr">
        <is>
          <t>Föryngringsavverkning</t>
        </is>
      </c>
      <c r="D5080" s="1" t="n">
        <v>45595</v>
      </c>
      <c r="E5080" s="1" t="n">
        <v>46316</v>
      </c>
      <c r="F5080" t="inlineStr">
        <is>
          <t>KRONOBERGS LÄN</t>
        </is>
      </c>
      <c r="G5080" t="inlineStr">
        <is>
          <t>ALVESTA</t>
        </is>
      </c>
      <c r="I5080" t="n">
        <v>0.5</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60670-2023</t>
        </is>
      </c>
      <c r="B5081" t="inlineStr">
        <is>
          <t>avverkningsanmälan</t>
        </is>
      </c>
      <c r="C5081" t="inlineStr">
        <is>
          <t>Föryngringsavverkning</t>
        </is>
      </c>
      <c r="D5081" s="1" t="n">
        <v>45260</v>
      </c>
      <c r="E5081" s="1" t="n">
        <v>46316</v>
      </c>
      <c r="F5081" t="inlineStr">
        <is>
          <t>KRONOBERGS LÄN</t>
        </is>
      </c>
      <c r="G5081" t="inlineStr">
        <is>
          <t>UPPVIDINGE</t>
        </is>
      </c>
      <c r="I5081" t="n">
        <v>0.6</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36252-2026</t>
        </is>
      </c>
      <c r="B5082" t="inlineStr">
        <is>
          <t>avverkningsanmälan</t>
        </is>
      </c>
      <c r="C5082" t="inlineStr">
        <is>
          <t>Föryngringsavverkning</t>
        </is>
      </c>
      <c r="D5082" s="1" t="n">
        <v>46268</v>
      </c>
      <c r="E5082" s="1" t="n">
        <v>46316</v>
      </c>
      <c r="F5082" t="inlineStr">
        <is>
          <t>KRONOBERGS LÄN</t>
        </is>
      </c>
      <c r="G5082" t="inlineStr">
        <is>
          <t>LJUNGBY</t>
        </is>
      </c>
      <c r="I5082" t="n">
        <v>1.6</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4712-2022</t>
        </is>
      </c>
      <c r="B5083" t="inlineStr">
        <is>
          <t>avverkningsanmälan</t>
        </is>
      </c>
      <c r="C5083" t="inlineStr">
        <is>
          <t>Föryngringsavverkning</t>
        </is>
      </c>
      <c r="D5083" s="1" t="n">
        <v>44592</v>
      </c>
      <c r="E5083" s="1" t="n">
        <v>46316</v>
      </c>
      <c r="F5083" t="inlineStr">
        <is>
          <t>KRONOBERGS LÄN</t>
        </is>
      </c>
      <c r="G5083" t="inlineStr">
        <is>
          <t>UPPVIDINGE</t>
        </is>
      </c>
      <c r="I5083" t="n">
        <v>1.5</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5036-2022</t>
        </is>
      </c>
      <c r="B5084" t="inlineStr">
        <is>
          <t>avverkningsanmälan</t>
        </is>
      </c>
      <c r="C5084" t="inlineStr">
        <is>
          <t>Föryngringsavverkning</t>
        </is>
      </c>
      <c r="D5084" s="1" t="n">
        <v>44593</v>
      </c>
      <c r="E5084" s="1" t="n">
        <v>46316</v>
      </c>
      <c r="F5084" t="inlineStr">
        <is>
          <t>KRONOBERGS LÄN</t>
        </is>
      </c>
      <c r="G5084" t="inlineStr">
        <is>
          <t>UPPVIDINGE</t>
        </is>
      </c>
      <c r="I5084" t="n">
        <v>9.6</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33351-2023</t>
        </is>
      </c>
      <c r="B5085" t="inlineStr">
        <is>
          <t>avverkningsanmälan</t>
        </is>
      </c>
      <c r="C5085" t="inlineStr">
        <is>
          <t>Föryngringsavverkning</t>
        </is>
      </c>
      <c r="D5085" s="1" t="n">
        <v>45117</v>
      </c>
      <c r="E5085" s="1" t="n">
        <v>46316</v>
      </c>
      <c r="F5085" t="inlineStr">
        <is>
          <t>KRONOBERGS LÄN</t>
        </is>
      </c>
      <c r="G5085" t="inlineStr">
        <is>
          <t>TINGSRYD</t>
        </is>
      </c>
      <c r="I5085" t="n">
        <v>2.1</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42874-2026</t>
        </is>
      </c>
      <c r="B5086" t="inlineStr">
        <is>
          <t>avverkningsanmälan</t>
        </is>
      </c>
      <c r="C5086" t="inlineStr">
        <is>
          <t>Föryngringsavverkning</t>
        </is>
      </c>
      <c r="D5086" s="1" t="n">
        <v>46310</v>
      </c>
      <c r="E5086" s="1" t="n">
        <v>46316</v>
      </c>
      <c r="F5086" t="inlineStr">
        <is>
          <t>KRONOBERGS LÄN</t>
        </is>
      </c>
      <c r="G5086" t="inlineStr">
        <is>
          <t>LJUNGBY</t>
        </is>
      </c>
      <c r="I5086" t="n">
        <v>3.4</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42827-2026</t>
        </is>
      </c>
      <c r="B5087" t="inlineStr">
        <is>
          <t>avverkningsanmälan</t>
        </is>
      </c>
      <c r="C5087" t="inlineStr">
        <is>
          <t>Föryngringsavverkning</t>
        </is>
      </c>
      <c r="D5087" s="1" t="n">
        <v>46310</v>
      </c>
      <c r="E5087" s="1" t="n">
        <v>46316</v>
      </c>
      <c r="F5087" t="inlineStr">
        <is>
          <t>KRONOBERGS LÄN</t>
        </is>
      </c>
      <c r="G5087" t="inlineStr">
        <is>
          <t>TINGSRYD</t>
        </is>
      </c>
      <c r="I5087" t="n">
        <v>3.4</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52291-2023</t>
        </is>
      </c>
      <c r="B5088" t="inlineStr">
        <is>
          <t>avverkningsanmälan</t>
        </is>
      </c>
      <c r="C5088" t="inlineStr">
        <is>
          <t>Föryngringsavverkning</t>
        </is>
      </c>
      <c r="D5088" s="1" t="n">
        <v>45224</v>
      </c>
      <c r="E5088" s="1" t="n">
        <v>46316</v>
      </c>
      <c r="F5088" t="inlineStr">
        <is>
          <t>KRONOBERGS LÄN</t>
        </is>
      </c>
      <c r="G5088" t="inlineStr">
        <is>
          <t>LJUNGBY</t>
        </is>
      </c>
      <c r="I5088" t="n">
        <v>0.5</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1927-2024</t>
        </is>
      </c>
      <c r="B5089" t="inlineStr">
        <is>
          <t>avverkningsanmälan</t>
        </is>
      </c>
      <c r="C5089" t="inlineStr">
        <is>
          <t>Föryngringsavverkning</t>
        </is>
      </c>
      <c r="D5089" s="1" t="n">
        <v>45308</v>
      </c>
      <c r="E5089" s="1" t="n">
        <v>46316</v>
      </c>
      <c r="F5089" t="inlineStr">
        <is>
          <t>KRONOBERGS LÄN</t>
        </is>
      </c>
      <c r="G5089" t="inlineStr">
        <is>
          <t>ALVESTA</t>
        </is>
      </c>
      <c r="I5089" t="n">
        <v>0.9</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63102-2023</t>
        </is>
      </c>
      <c r="B5090" t="inlineStr">
        <is>
          <t>avverkningsanmälan</t>
        </is>
      </c>
      <c r="C5090" t="inlineStr">
        <is>
          <t>Föryngringsavverkning</t>
        </is>
      </c>
      <c r="D5090" s="1" t="n">
        <v>45273</v>
      </c>
      <c r="E5090" s="1" t="n">
        <v>46316</v>
      </c>
      <c r="F5090" t="inlineStr">
        <is>
          <t>KRONOBERGS LÄN</t>
        </is>
      </c>
      <c r="G5090" t="inlineStr">
        <is>
          <t>VÄXJÖ</t>
        </is>
      </c>
      <c r="I5090" t="n">
        <v>1.4</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14934-2022</t>
        </is>
      </c>
      <c r="B5091" t="inlineStr">
        <is>
          <t>avverkningsanmälan</t>
        </is>
      </c>
      <c r="C5091" t="inlineStr">
        <is>
          <t>Föryngringsavverkning</t>
        </is>
      </c>
      <c r="D5091" s="1" t="n">
        <v>44657</v>
      </c>
      <c r="E5091" s="1" t="n">
        <v>46316</v>
      </c>
      <c r="F5091" t="inlineStr">
        <is>
          <t>KRONOBERGS LÄN</t>
        </is>
      </c>
      <c r="G5091" t="inlineStr">
        <is>
          <t>TINGSRYD</t>
        </is>
      </c>
      <c r="I5091" t="n">
        <v>2.3</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51710-2024</t>
        </is>
      </c>
      <c r="B5092" t="inlineStr">
        <is>
          <t>avverkningsanmälan</t>
        </is>
      </c>
      <c r="C5092" t="inlineStr">
        <is>
          <t>Föryngringsavverkning</t>
        </is>
      </c>
      <c r="D5092" s="1" t="n">
        <v>45607</v>
      </c>
      <c r="E5092" s="1" t="n">
        <v>46316</v>
      </c>
      <c r="F5092" t="inlineStr">
        <is>
          <t>KRONOBERGS LÄN</t>
        </is>
      </c>
      <c r="G5092" t="inlineStr">
        <is>
          <t>LJUNGBY</t>
        </is>
      </c>
      <c r="I5092" t="n">
        <v>1.2</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1342-2024</t>
        </is>
      </c>
      <c r="B5093" t="inlineStr">
        <is>
          <t>avverkningsanmälan</t>
        </is>
      </c>
      <c r="C5093" t="inlineStr">
        <is>
          <t>Föryngringsavverkning</t>
        </is>
      </c>
      <c r="D5093" s="1" t="n">
        <v>45303</v>
      </c>
      <c r="E5093" s="1" t="n">
        <v>46316</v>
      </c>
      <c r="F5093" t="inlineStr">
        <is>
          <t>KRONOBERGS LÄN</t>
        </is>
      </c>
      <c r="G5093" t="inlineStr">
        <is>
          <t>TINGSRYD</t>
        </is>
      </c>
      <c r="I5093" t="n">
        <v>0.9</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30370-2022</t>
        </is>
      </c>
      <c r="B5094" t="inlineStr">
        <is>
          <t>avverkningsanmälan</t>
        </is>
      </c>
      <c r="C5094" t="inlineStr">
        <is>
          <t>Föryngringsavverkning</t>
        </is>
      </c>
      <c r="D5094" s="1" t="n">
        <v>44760</v>
      </c>
      <c r="E5094" s="1" t="n">
        <v>46316</v>
      </c>
      <c r="F5094" t="inlineStr">
        <is>
          <t>KRONOBERGS LÄN</t>
        </is>
      </c>
      <c r="G5094" t="inlineStr">
        <is>
          <t>ÄLMHULT</t>
        </is>
      </c>
      <c r="I5094" t="n">
        <v>0.7</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68189-2021</t>
        </is>
      </c>
      <c r="B5095" t="inlineStr">
        <is>
          <t>avverkningsanmälan</t>
        </is>
      </c>
      <c r="C5095" t="inlineStr">
        <is>
          <t>Föryngringsavverkning</t>
        </is>
      </c>
      <c r="D5095" s="1" t="n">
        <v>44526</v>
      </c>
      <c r="E5095" s="1" t="n">
        <v>46316</v>
      </c>
      <c r="F5095" t="inlineStr">
        <is>
          <t>KRONOBERGS LÄN</t>
        </is>
      </c>
      <c r="G5095" t="inlineStr">
        <is>
          <t>ÄLMHULT</t>
        </is>
      </c>
      <c r="I5095" t="n">
        <v>0.4</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3146-2025</t>
        </is>
      </c>
      <c r="B5096" t="inlineStr">
        <is>
          <t>avverkningsanmälan</t>
        </is>
      </c>
      <c r="C5096" t="inlineStr">
        <is>
          <t>Föryngringsavverkning</t>
        </is>
      </c>
      <c r="D5096" s="1" t="n">
        <v>45678</v>
      </c>
      <c r="E5096" s="1" t="n">
        <v>46316</v>
      </c>
      <c r="F5096" t="inlineStr">
        <is>
          <t>KRONOBERGS LÄN</t>
        </is>
      </c>
      <c r="G5096" t="inlineStr">
        <is>
          <t>MARKARYD</t>
        </is>
      </c>
      <c r="I5096" t="n">
        <v>1.2</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36547-2026</t>
        </is>
      </c>
      <c r="B5097" t="inlineStr">
        <is>
          <t>avverkningsanmälan</t>
        </is>
      </c>
      <c r="C5097" t="inlineStr">
        <is>
          <t>Föryngringsavverkning</t>
        </is>
      </c>
      <c r="D5097" s="1" t="n">
        <v>46269</v>
      </c>
      <c r="E5097" s="1" t="n">
        <v>46316</v>
      </c>
      <c r="F5097" t="inlineStr">
        <is>
          <t>KRONOBERGS LÄN</t>
        </is>
      </c>
      <c r="G5097" t="inlineStr">
        <is>
          <t>VÄXJÖ</t>
        </is>
      </c>
      <c r="I5097" t="n">
        <v>2.2</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43267-2026</t>
        </is>
      </c>
      <c r="B5098" t="inlineStr">
        <is>
          <t>avverkningsanmälan</t>
        </is>
      </c>
      <c r="C5098" t="inlineStr">
        <is>
          <t>Föryngringsavverkning</t>
        </is>
      </c>
      <c r="D5098" s="1" t="n">
        <v>46314</v>
      </c>
      <c r="E5098" s="1" t="n">
        <v>46316</v>
      </c>
      <c r="F5098" t="inlineStr">
        <is>
          <t>KRONOBERGS LÄN</t>
        </is>
      </c>
      <c r="G5098" t="inlineStr">
        <is>
          <t>LJUNGBY</t>
        </is>
      </c>
      <c r="I5098" t="n">
        <v>1</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13977-2024</t>
        </is>
      </c>
      <c r="B5099" t="inlineStr">
        <is>
          <t>avverkningsanmälan</t>
        </is>
      </c>
      <c r="C5099" t="inlineStr">
        <is>
          <t>Föryngringsavverkning</t>
        </is>
      </c>
      <c r="D5099" s="1" t="n">
        <v>45392</v>
      </c>
      <c r="E5099" s="1" t="n">
        <v>46316</v>
      </c>
      <c r="F5099" t="inlineStr">
        <is>
          <t>KRONOBERGS LÄN</t>
        </is>
      </c>
      <c r="G5099" t="inlineStr">
        <is>
          <t>VÄXJÖ</t>
        </is>
      </c>
      <c r="H5099" t="inlineStr">
        <is>
          <t>Sveaskog</t>
        </is>
      </c>
      <c r="I5099" t="n">
        <v>1.6</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23160-2023</t>
        </is>
      </c>
      <c r="B5100" t="inlineStr">
        <is>
          <t>avverkningsanmälan</t>
        </is>
      </c>
      <c r="C5100" t="inlineStr">
        <is>
          <t>Föryngringsavverkning</t>
        </is>
      </c>
      <c r="D5100" s="1" t="n">
        <v>45075</v>
      </c>
      <c r="E5100" s="1" t="n">
        <v>46316</v>
      </c>
      <c r="F5100" t="inlineStr">
        <is>
          <t>KRONOBERGS LÄN</t>
        </is>
      </c>
      <c r="G5100" t="inlineStr">
        <is>
          <t>LJUNGBY</t>
        </is>
      </c>
      <c r="I5100" t="n">
        <v>3.6</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36640-2026</t>
        </is>
      </c>
      <c r="B5101" t="inlineStr">
        <is>
          <t>avverkningsanmälan</t>
        </is>
      </c>
      <c r="C5101" t="inlineStr">
        <is>
          <t>Föryngringsavverkning</t>
        </is>
      </c>
      <c r="D5101" s="1" t="n">
        <v>46272</v>
      </c>
      <c r="E5101" s="1" t="n">
        <v>46316</v>
      </c>
      <c r="F5101" t="inlineStr">
        <is>
          <t>KRONOBERGS LÄN</t>
        </is>
      </c>
      <c r="G5101" t="inlineStr">
        <is>
          <t>ALVESTA</t>
        </is>
      </c>
      <c r="I5101" t="n">
        <v>2.4</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52106-2024</t>
        </is>
      </c>
      <c r="B5102" t="inlineStr">
        <is>
          <t>avverkningsanmälan</t>
        </is>
      </c>
      <c r="C5102" t="inlineStr">
        <is>
          <t>Föryngringsavverkning</t>
        </is>
      </c>
      <c r="D5102" s="1" t="n">
        <v>45608</v>
      </c>
      <c r="E5102" s="1" t="n">
        <v>46316</v>
      </c>
      <c r="F5102" t="inlineStr">
        <is>
          <t>KRONOBERGS LÄN</t>
        </is>
      </c>
      <c r="G5102" t="inlineStr">
        <is>
          <t>VÄXJÖ</t>
        </is>
      </c>
      <c r="I5102" t="n">
        <v>0.6</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56952-2022</t>
        </is>
      </c>
      <c r="B5103" t="inlineStr">
        <is>
          <t>avverkningsanmälan</t>
        </is>
      </c>
      <c r="C5103" t="inlineStr">
        <is>
          <t>Föryngringsavverkning</t>
        </is>
      </c>
      <c r="D5103" s="1" t="n">
        <v>44894</v>
      </c>
      <c r="E5103" s="1" t="n">
        <v>46316</v>
      </c>
      <c r="F5103" t="inlineStr">
        <is>
          <t>KRONOBERGS LÄN</t>
        </is>
      </c>
      <c r="G5103" t="inlineStr">
        <is>
          <t>VÄXJÖ</t>
        </is>
      </c>
      <c r="I5103" t="n">
        <v>1.8</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53492-2023</t>
        </is>
      </c>
      <c r="B5104" t="inlineStr">
        <is>
          <t>avverkningsanmälan</t>
        </is>
      </c>
      <c r="C5104" t="inlineStr">
        <is>
          <t>Föryngringsavverkning</t>
        </is>
      </c>
      <c r="D5104" s="1" t="n">
        <v>45230</v>
      </c>
      <c r="E5104" s="1" t="n">
        <v>46316</v>
      </c>
      <c r="F5104" t="inlineStr">
        <is>
          <t>KRONOBERGS LÄN</t>
        </is>
      </c>
      <c r="G5104" t="inlineStr">
        <is>
          <t>UPPVIDINGE</t>
        </is>
      </c>
      <c r="H5104" t="inlineStr">
        <is>
          <t>Sveaskog</t>
        </is>
      </c>
      <c r="I5104" t="n">
        <v>1</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53505-2023</t>
        </is>
      </c>
      <c r="B5105" t="inlineStr">
        <is>
          <t>avverkningsanmälan</t>
        </is>
      </c>
      <c r="C5105" t="inlineStr">
        <is>
          <t>Föryngringsavverkning</t>
        </is>
      </c>
      <c r="D5105" s="1" t="n">
        <v>45230</v>
      </c>
      <c r="E5105" s="1" t="n">
        <v>46316</v>
      </c>
      <c r="F5105" t="inlineStr">
        <is>
          <t>KRONOBERGS LÄN</t>
        </is>
      </c>
      <c r="G5105" t="inlineStr">
        <is>
          <t>MARKARYD</t>
        </is>
      </c>
      <c r="I5105" t="n">
        <v>0.7</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43423-2026</t>
        </is>
      </c>
      <c r="B5106" t="inlineStr">
        <is>
          <t>avverkningsanmälan</t>
        </is>
      </c>
      <c r="C5106" t="inlineStr">
        <is>
          <t>Föryngringsavverkning</t>
        </is>
      </c>
      <c r="D5106" s="1" t="n">
        <v>46314</v>
      </c>
      <c r="E5106" s="1" t="n">
        <v>46316</v>
      </c>
      <c r="F5106" t="inlineStr">
        <is>
          <t>KRONOBERGS LÄN</t>
        </is>
      </c>
      <c r="G5106" t="inlineStr">
        <is>
          <t>ALVESTA</t>
        </is>
      </c>
      <c r="I5106" t="n">
        <v>1.2</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43633-2026</t>
        </is>
      </c>
      <c r="B5107" t="inlineStr">
        <is>
          <t>avverkningsanmälan</t>
        </is>
      </c>
      <c r="C5107" t="inlineStr">
        <is>
          <t>Föryngringsavverkning</t>
        </is>
      </c>
      <c r="D5107" s="1" t="n">
        <v>46315</v>
      </c>
      <c r="E5107" s="1" t="n">
        <v>46316</v>
      </c>
      <c r="F5107" t="inlineStr">
        <is>
          <t>KRONOBERGS LÄN</t>
        </is>
      </c>
      <c r="G5107" t="inlineStr">
        <is>
          <t>UPPVIDINGE</t>
        </is>
      </c>
      <c r="I5107" t="n">
        <v>2.7</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35529-2023</t>
        </is>
      </c>
      <c r="B5108" t="inlineStr">
        <is>
          <t>avverkningsanmälan</t>
        </is>
      </c>
      <c r="C5108" t="inlineStr">
        <is>
          <t>Föryngringsavverkning</t>
        </is>
      </c>
      <c r="D5108" s="1" t="n">
        <v>45146</v>
      </c>
      <c r="E5108" s="1" t="n">
        <v>46316</v>
      </c>
      <c r="F5108" t="inlineStr">
        <is>
          <t>KRONOBERGS LÄN</t>
        </is>
      </c>
      <c r="G5108" t="inlineStr">
        <is>
          <t>ALVESTA</t>
        </is>
      </c>
      <c r="I5108" t="n">
        <v>1.2</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51852-2023</t>
        </is>
      </c>
      <c r="B5109" t="inlineStr">
        <is>
          <t>avverkningsanmälan</t>
        </is>
      </c>
      <c r="C5109" t="inlineStr">
        <is>
          <t>Föryngringsavverkning</t>
        </is>
      </c>
      <c r="D5109" s="1" t="n">
        <v>45223</v>
      </c>
      <c r="E5109" s="1" t="n">
        <v>46316</v>
      </c>
      <c r="F5109" t="inlineStr">
        <is>
          <t>KRONOBERGS LÄN</t>
        </is>
      </c>
      <c r="G5109" t="inlineStr">
        <is>
          <t>LJUNGBY</t>
        </is>
      </c>
      <c r="I5109" t="n">
        <v>2.8</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51856-2023</t>
        </is>
      </c>
      <c r="B5110" t="inlineStr">
        <is>
          <t>avverkningsanmälan</t>
        </is>
      </c>
      <c r="C5110" t="inlineStr">
        <is>
          <t>Föryngringsavverkning</t>
        </is>
      </c>
      <c r="D5110" s="1" t="n">
        <v>45223</v>
      </c>
      <c r="E5110" s="1" t="n">
        <v>46316</v>
      </c>
      <c r="F5110" t="inlineStr">
        <is>
          <t>KRONOBERGS LÄN</t>
        </is>
      </c>
      <c r="G5110" t="inlineStr">
        <is>
          <t>LJUNGBY</t>
        </is>
      </c>
      <c r="I5110" t="n">
        <v>0.8</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36566-2026</t>
        </is>
      </c>
      <c r="B5111" t="inlineStr">
        <is>
          <t>avverkningsanmälan</t>
        </is>
      </c>
      <c r="C5111" t="inlineStr">
        <is>
          <t>Föryngringsavverkning</t>
        </is>
      </c>
      <c r="D5111" s="1" t="n">
        <v>46269</v>
      </c>
      <c r="E5111" s="1" t="n">
        <v>46316</v>
      </c>
      <c r="F5111" t="inlineStr">
        <is>
          <t>KRONOBERGS LÄN</t>
        </is>
      </c>
      <c r="G5111" t="inlineStr">
        <is>
          <t>MARKARYD</t>
        </is>
      </c>
      <c r="I5111" t="n">
        <v>1.3</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7589-2023</t>
        </is>
      </c>
      <c r="B5112" t="inlineStr">
        <is>
          <t>avverkningsanmälan</t>
        </is>
      </c>
      <c r="C5112" t="inlineStr">
        <is>
          <t>Föryngringsavverkning</t>
        </is>
      </c>
      <c r="D5112" s="1" t="n">
        <v>44972</v>
      </c>
      <c r="E5112" s="1" t="n">
        <v>46316</v>
      </c>
      <c r="F5112" t="inlineStr">
        <is>
          <t>KRONOBERGS LÄN</t>
        </is>
      </c>
      <c r="G5112" t="inlineStr">
        <is>
          <t>TINGSRYD</t>
        </is>
      </c>
      <c r="I5112" t="n">
        <v>1.6</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5166-2024</t>
        </is>
      </c>
      <c r="B5113" t="inlineStr">
        <is>
          <t>avverkningsanmälan</t>
        </is>
      </c>
      <c r="C5113" t="inlineStr">
        <is>
          <t>Föryngringsavverkning</t>
        </is>
      </c>
      <c r="D5113" s="1" t="n">
        <v>45330</v>
      </c>
      <c r="E5113" s="1" t="n">
        <v>46316</v>
      </c>
      <c r="F5113" t="inlineStr">
        <is>
          <t>KRONOBERGS LÄN</t>
        </is>
      </c>
      <c r="G5113" t="inlineStr">
        <is>
          <t>ALVESTA</t>
        </is>
      </c>
      <c r="H5113" t="inlineStr">
        <is>
          <t>Övriga Aktiebolag</t>
        </is>
      </c>
      <c r="I5113" t="n">
        <v>3.4</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30016-2023</t>
        </is>
      </c>
      <c r="B5114" t="inlineStr">
        <is>
          <t>avverkningsanmälan</t>
        </is>
      </c>
      <c r="C5114" t="inlineStr">
        <is>
          <t>Föryngringsavverkning</t>
        </is>
      </c>
      <c r="D5114" s="1" t="n">
        <v>45109</v>
      </c>
      <c r="E5114" s="1" t="n">
        <v>46316</v>
      </c>
      <c r="F5114" t="inlineStr">
        <is>
          <t>KRONOBERGS LÄN</t>
        </is>
      </c>
      <c r="G5114" t="inlineStr">
        <is>
          <t>TINGSRYD</t>
        </is>
      </c>
      <c r="I5114" t="n">
        <v>1.5</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62481-2023</t>
        </is>
      </c>
      <c r="B5115" t="inlineStr">
        <is>
          <t>avverkningsanmälan</t>
        </is>
      </c>
      <c r="C5115" t="inlineStr">
        <is>
          <t>Föryngringsavverkning</t>
        </is>
      </c>
      <c r="D5115" s="1" t="n">
        <v>45268</v>
      </c>
      <c r="E5115" s="1" t="n">
        <v>46316</v>
      </c>
      <c r="F5115" t="inlineStr">
        <is>
          <t>KRONOBERGS LÄN</t>
        </is>
      </c>
      <c r="G5115" t="inlineStr">
        <is>
          <t>ÄLMHULT</t>
        </is>
      </c>
      <c r="I5115" t="n">
        <v>1</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2048-2022</t>
        </is>
      </c>
      <c r="B5116" t="inlineStr">
        <is>
          <t>avverkningsanmälan</t>
        </is>
      </c>
      <c r="C5116" t="inlineStr">
        <is>
          <t>Föryngringsavverkning</t>
        </is>
      </c>
      <c r="D5116" s="1" t="n">
        <v>44575</v>
      </c>
      <c r="E5116" s="1" t="n">
        <v>46316</v>
      </c>
      <c r="F5116" t="inlineStr">
        <is>
          <t>KRONOBERGS LÄN</t>
        </is>
      </c>
      <c r="G5116" t="inlineStr">
        <is>
          <t>TINGSRYD</t>
        </is>
      </c>
      <c r="I5116" t="n">
        <v>2.1</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12952-2024</t>
        </is>
      </c>
      <c r="B5117" t="inlineStr">
        <is>
          <t>avverkningsanmälan</t>
        </is>
      </c>
      <c r="C5117" t="inlineStr">
        <is>
          <t>Föryngringsavverkning</t>
        </is>
      </c>
      <c r="D5117" s="1" t="n">
        <v>45385</v>
      </c>
      <c r="E5117" s="1" t="n">
        <v>46316</v>
      </c>
      <c r="F5117" t="inlineStr">
        <is>
          <t>KRONOBERGS LÄN</t>
        </is>
      </c>
      <c r="G5117" t="inlineStr">
        <is>
          <t>ALVESTA</t>
        </is>
      </c>
      <c r="I5117" t="n">
        <v>4</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60115-2023</t>
        </is>
      </c>
      <c r="B5118" t="inlineStr">
        <is>
          <t>avverkningsanmälan</t>
        </is>
      </c>
      <c r="C5118" t="inlineStr">
        <is>
          <t>Föryngringsavverkning</t>
        </is>
      </c>
      <c r="D5118" s="1" t="n">
        <v>45258</v>
      </c>
      <c r="E5118" s="1" t="n">
        <v>46316</v>
      </c>
      <c r="F5118" t="inlineStr">
        <is>
          <t>KRONOBERGS LÄN</t>
        </is>
      </c>
      <c r="G5118" t="inlineStr">
        <is>
          <t>MARKARYD</t>
        </is>
      </c>
      <c r="I5118" t="n">
        <v>2.5</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22615-2023</t>
        </is>
      </c>
      <c r="B5119" t="inlineStr">
        <is>
          <t>avverkningsanmälan</t>
        </is>
      </c>
      <c r="C5119" t="inlineStr">
        <is>
          <t>Föryngringsavverkning</t>
        </is>
      </c>
      <c r="D5119" s="1" t="n">
        <v>45071</v>
      </c>
      <c r="E5119" s="1" t="n">
        <v>46316</v>
      </c>
      <c r="F5119" t="inlineStr">
        <is>
          <t>KRONOBERGS LÄN</t>
        </is>
      </c>
      <c r="G5119" t="inlineStr">
        <is>
          <t>LJUNGBY</t>
        </is>
      </c>
      <c r="I5119" t="n">
        <v>2.3</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22619-2023</t>
        </is>
      </c>
      <c r="B5120" t="inlineStr">
        <is>
          <t>avverkningsanmälan</t>
        </is>
      </c>
      <c r="C5120" t="inlineStr">
        <is>
          <t>Föryngringsavverkning</t>
        </is>
      </c>
      <c r="D5120" s="1" t="n">
        <v>45071</v>
      </c>
      <c r="E5120" s="1" t="n">
        <v>46316</v>
      </c>
      <c r="F5120" t="inlineStr">
        <is>
          <t>KRONOBERGS LÄN</t>
        </is>
      </c>
      <c r="G5120" t="inlineStr">
        <is>
          <t>LJUNGBY</t>
        </is>
      </c>
      <c r="I5120" t="n">
        <v>3.8</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22648-2023</t>
        </is>
      </c>
      <c r="B5121" t="inlineStr">
        <is>
          <t>avverkningsanmälan</t>
        </is>
      </c>
      <c r="C5121" t="inlineStr">
        <is>
          <t>Föryngringsavverkning</t>
        </is>
      </c>
      <c r="D5121" s="1" t="n">
        <v>45071</v>
      </c>
      <c r="E5121" s="1" t="n">
        <v>46316</v>
      </c>
      <c r="F5121" t="inlineStr">
        <is>
          <t>KRONOBERGS LÄN</t>
        </is>
      </c>
      <c r="G5121" t="inlineStr">
        <is>
          <t>TINGSRYD</t>
        </is>
      </c>
      <c r="I5121" t="n">
        <v>0.7</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22656-2023</t>
        </is>
      </c>
      <c r="B5122" t="inlineStr">
        <is>
          <t>avverkningsanmälan</t>
        </is>
      </c>
      <c r="C5122" t="inlineStr">
        <is>
          <t>Föryngringsavverkning</t>
        </is>
      </c>
      <c r="D5122" s="1" t="n">
        <v>45071</v>
      </c>
      <c r="E5122" s="1" t="n">
        <v>46316</v>
      </c>
      <c r="F5122" t="inlineStr">
        <is>
          <t>KRONOBERGS LÄN</t>
        </is>
      </c>
      <c r="G5122" t="inlineStr">
        <is>
          <t>TINGSRYD</t>
        </is>
      </c>
      <c r="I5122" t="n">
        <v>0.5</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36834-2026</t>
        </is>
      </c>
      <c r="B5123" t="inlineStr">
        <is>
          <t>avverkningsanmälan</t>
        </is>
      </c>
      <c r="C5123" t="inlineStr">
        <is>
          <t>Föryngringsavverkning</t>
        </is>
      </c>
      <c r="D5123" s="1" t="n">
        <v>46272</v>
      </c>
      <c r="E5123" s="1" t="n">
        <v>46316</v>
      </c>
      <c r="F5123" t="inlineStr">
        <is>
          <t>KRONOBERGS LÄN</t>
        </is>
      </c>
      <c r="G5123" t="inlineStr">
        <is>
          <t>VÄXJÖ</t>
        </is>
      </c>
      <c r="I5123" t="n">
        <v>5.4</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36839-2026</t>
        </is>
      </c>
      <c r="B5124" t="inlineStr">
        <is>
          <t>avverkningsanmälan</t>
        </is>
      </c>
      <c r="C5124" t="inlineStr">
        <is>
          <t>Föryngringsavverkning</t>
        </is>
      </c>
      <c r="D5124" s="1" t="n">
        <v>46272</v>
      </c>
      <c r="E5124" s="1" t="n">
        <v>46316</v>
      </c>
      <c r="F5124" t="inlineStr">
        <is>
          <t>KRONOBERGS LÄN</t>
        </is>
      </c>
      <c r="G5124" t="inlineStr">
        <is>
          <t>VÄXJÖ</t>
        </is>
      </c>
      <c r="I5124" t="n">
        <v>3.1</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36598-2026</t>
        </is>
      </c>
      <c r="B5125" t="inlineStr">
        <is>
          <t>avverkningsanmälan</t>
        </is>
      </c>
      <c r="C5125" t="inlineStr">
        <is>
          <t>Föryngringsavverkning</t>
        </is>
      </c>
      <c r="D5125" s="1" t="n">
        <v>46269</v>
      </c>
      <c r="E5125" s="1" t="n">
        <v>46316</v>
      </c>
      <c r="F5125" t="inlineStr">
        <is>
          <t>KRONOBERGS LÄN</t>
        </is>
      </c>
      <c r="G5125" t="inlineStr">
        <is>
          <t>MARKARYD</t>
        </is>
      </c>
      <c r="I5125" t="n">
        <v>3.3</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36601-2026</t>
        </is>
      </c>
      <c r="B5126" t="inlineStr">
        <is>
          <t>avverkningsanmälan</t>
        </is>
      </c>
      <c r="C5126" t="inlineStr">
        <is>
          <t>Föryngringsavverkning</t>
        </is>
      </c>
      <c r="D5126" s="1" t="n">
        <v>46269</v>
      </c>
      <c r="E5126" s="1" t="n">
        <v>46316</v>
      </c>
      <c r="F5126" t="inlineStr">
        <is>
          <t>KRONOBERGS LÄN</t>
        </is>
      </c>
      <c r="G5126" t="inlineStr">
        <is>
          <t>MARKARYD</t>
        </is>
      </c>
      <c r="I5126" t="n">
        <v>2.4</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43194-2026</t>
        </is>
      </c>
      <c r="B5127" t="inlineStr">
        <is>
          <t>avverkningsanmälan</t>
        </is>
      </c>
      <c r="C5127" t="inlineStr">
        <is>
          <t>Föryngringsavverkning</t>
        </is>
      </c>
      <c r="D5127" s="1" t="n">
        <v>46313</v>
      </c>
      <c r="E5127" s="1" t="n">
        <v>46316</v>
      </c>
      <c r="F5127" t="inlineStr">
        <is>
          <t>KRONOBERGS LÄN</t>
        </is>
      </c>
      <c r="G5127" t="inlineStr">
        <is>
          <t>ÄLMHULT</t>
        </is>
      </c>
      <c r="I5127" t="n">
        <v>0.8</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36565-2026</t>
        </is>
      </c>
      <c r="B5128" t="inlineStr">
        <is>
          <t>avverkningsanmälan</t>
        </is>
      </c>
      <c r="C5128" t="inlineStr">
        <is>
          <t>Föryngringsavverkning</t>
        </is>
      </c>
      <c r="D5128" s="1" t="n">
        <v>46269</v>
      </c>
      <c r="E5128" s="1" t="n">
        <v>46316</v>
      </c>
      <c r="F5128" t="inlineStr">
        <is>
          <t>KRONOBERGS LÄN</t>
        </is>
      </c>
      <c r="G5128" t="inlineStr">
        <is>
          <t>ALVESTA</t>
        </is>
      </c>
      <c r="I5128" t="n">
        <v>1.7</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36943-2026</t>
        </is>
      </c>
      <c r="B5129" t="inlineStr">
        <is>
          <t>avverkningsanmälan</t>
        </is>
      </c>
      <c r="C5129" t="inlineStr">
        <is>
          <t>Föryngringsavverkning</t>
        </is>
      </c>
      <c r="D5129" s="1" t="n">
        <v>46273</v>
      </c>
      <c r="E5129" s="1" t="n">
        <v>46316</v>
      </c>
      <c r="F5129" t="inlineStr">
        <is>
          <t>KRONOBERGS LÄN</t>
        </is>
      </c>
      <c r="G5129" t="inlineStr">
        <is>
          <t>ALVESTA</t>
        </is>
      </c>
      <c r="I5129" t="n">
        <v>2</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43613-2026</t>
        </is>
      </c>
      <c r="B5130" t="inlineStr">
        <is>
          <t>avverkningsanmälan</t>
        </is>
      </c>
      <c r="C5130" t="inlineStr">
        <is>
          <t>Föryngringsavverkning</t>
        </is>
      </c>
      <c r="D5130" s="1" t="n">
        <v>46315</v>
      </c>
      <c r="E5130" s="1" t="n">
        <v>46316</v>
      </c>
      <c r="F5130" t="inlineStr">
        <is>
          <t>KRONOBERGS LÄN</t>
        </is>
      </c>
      <c r="G5130" t="inlineStr">
        <is>
          <t>UPPVIDINGE</t>
        </is>
      </c>
      <c r="I5130" t="n">
        <v>1.1</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43329-2026</t>
        </is>
      </c>
      <c r="B5131" t="inlineStr">
        <is>
          <t>avverkningsanmälan</t>
        </is>
      </c>
      <c r="C5131" t="inlineStr">
        <is>
          <t>Föryngringsavverkning</t>
        </is>
      </c>
      <c r="D5131" s="1" t="n">
        <v>46314</v>
      </c>
      <c r="E5131" s="1" t="n">
        <v>46316</v>
      </c>
      <c r="F5131" t="inlineStr">
        <is>
          <t>KRONOBERGS LÄN</t>
        </is>
      </c>
      <c r="G5131" t="inlineStr">
        <is>
          <t>TINGSRYD</t>
        </is>
      </c>
      <c r="I5131" t="n">
        <v>0.8</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43614-2026</t>
        </is>
      </c>
      <c r="B5132" t="inlineStr">
        <is>
          <t>avverkningsanmälan</t>
        </is>
      </c>
      <c r="C5132" t="inlineStr">
        <is>
          <t>Föryngringsavverkning</t>
        </is>
      </c>
      <c r="D5132" s="1" t="n">
        <v>46315</v>
      </c>
      <c r="E5132" s="1" t="n">
        <v>46316</v>
      </c>
      <c r="F5132" t="inlineStr">
        <is>
          <t>KRONOBERGS LÄN</t>
        </is>
      </c>
      <c r="G5132" t="inlineStr">
        <is>
          <t>UPPVIDINGE</t>
        </is>
      </c>
      <c r="I5132" t="n">
        <v>1.5</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43259-2026</t>
        </is>
      </c>
      <c r="B5133" t="inlineStr">
        <is>
          <t>avverkningsanmälan</t>
        </is>
      </c>
      <c r="C5133" t="inlineStr">
        <is>
          <t>Föryngringsavverkning</t>
        </is>
      </c>
      <c r="D5133" s="1" t="n">
        <v>46314</v>
      </c>
      <c r="E5133" s="1" t="n">
        <v>46316</v>
      </c>
      <c r="F5133" t="inlineStr">
        <is>
          <t>KRONOBERGS LÄN</t>
        </is>
      </c>
      <c r="G5133" t="inlineStr">
        <is>
          <t>LJUNGBY</t>
        </is>
      </c>
      <c r="I5133" t="n">
        <v>1.6</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60607-2023</t>
        </is>
      </c>
      <c r="B5134" t="inlineStr">
        <is>
          <t>avverkningsanmälan</t>
        </is>
      </c>
      <c r="C5134" t="inlineStr">
        <is>
          <t>Föryngringsavverkning</t>
        </is>
      </c>
      <c r="D5134" s="1" t="n">
        <v>45260</v>
      </c>
      <c r="E5134" s="1" t="n">
        <v>46316</v>
      </c>
      <c r="F5134" t="inlineStr">
        <is>
          <t>KRONOBERGS LÄN</t>
        </is>
      </c>
      <c r="G5134" t="inlineStr">
        <is>
          <t>LJUNGBY</t>
        </is>
      </c>
      <c r="I5134" t="n">
        <v>2</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37077-2026</t>
        </is>
      </c>
      <c r="B5135" t="inlineStr">
        <is>
          <t>avverkningsanmälan</t>
        </is>
      </c>
      <c r="C5135" t="inlineStr">
        <is>
          <t>Föryngringsavverkning</t>
        </is>
      </c>
      <c r="D5135" s="1" t="n">
        <v>46273</v>
      </c>
      <c r="E5135" s="1" t="n">
        <v>46316</v>
      </c>
      <c r="F5135" t="inlineStr">
        <is>
          <t>KRONOBERGS LÄN</t>
        </is>
      </c>
      <c r="G5135" t="inlineStr">
        <is>
          <t>LJUNGBY</t>
        </is>
      </c>
      <c r="I5135" t="n">
        <v>0.7</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18968-2024</t>
        </is>
      </c>
      <c r="B5136" t="inlineStr">
        <is>
          <t>avverkningsanmälan</t>
        </is>
      </c>
      <c r="C5136" t="inlineStr">
        <is>
          <t>Föryngringsavverkning</t>
        </is>
      </c>
      <c r="D5136" s="1" t="n">
        <v>45427</v>
      </c>
      <c r="E5136" s="1" t="n">
        <v>46316</v>
      </c>
      <c r="F5136" t="inlineStr">
        <is>
          <t>KRONOBERGS LÄN</t>
        </is>
      </c>
      <c r="G5136" t="inlineStr">
        <is>
          <t>LESSEBO</t>
        </is>
      </c>
      <c r="I5136" t="n">
        <v>1.3</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43240-2026</t>
        </is>
      </c>
      <c r="B5137" t="inlineStr">
        <is>
          <t>avverkningsanmälan</t>
        </is>
      </c>
      <c r="C5137" t="inlineStr">
        <is>
          <t>Föryngringsavverkning</t>
        </is>
      </c>
      <c r="D5137" s="1" t="n">
        <v>46314</v>
      </c>
      <c r="E5137" s="1" t="n">
        <v>46316</v>
      </c>
      <c r="F5137" t="inlineStr">
        <is>
          <t>KRONOBERGS LÄN</t>
        </is>
      </c>
      <c r="G5137" t="inlineStr">
        <is>
          <t>LJUNGBY</t>
        </is>
      </c>
      <c r="I5137" t="n">
        <v>5</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43420-2026</t>
        </is>
      </c>
      <c r="B5138" t="inlineStr">
        <is>
          <t>avverkningsanmälan</t>
        </is>
      </c>
      <c r="C5138" t="inlineStr">
        <is>
          <t>Föryngringsavverkning</t>
        </is>
      </c>
      <c r="D5138" s="1" t="n">
        <v>46314</v>
      </c>
      <c r="E5138" s="1" t="n">
        <v>46316</v>
      </c>
      <c r="F5138" t="inlineStr">
        <is>
          <t>KRONOBERGS LÄN</t>
        </is>
      </c>
      <c r="G5138" t="inlineStr">
        <is>
          <t>ALVESTA</t>
        </is>
      </c>
      <c r="I5138" t="n">
        <v>0.5</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39948-2026</t>
        </is>
      </c>
      <c r="B5139" t="inlineStr">
        <is>
          <t>avverkningsanmälan</t>
        </is>
      </c>
      <c r="C5139" t="inlineStr">
        <is>
          <t>Föryngringsavverkning</t>
        </is>
      </c>
      <c r="D5139" s="1" t="n">
        <v>46290</v>
      </c>
      <c r="E5139" s="1" t="n">
        <v>46316</v>
      </c>
      <c r="F5139" t="inlineStr">
        <is>
          <t>KRONOBERGS LÄN</t>
        </is>
      </c>
      <c r="G5139" t="inlineStr">
        <is>
          <t>LJUNGBY</t>
        </is>
      </c>
      <c r="I5139" t="n">
        <v>1.9</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37041-2026</t>
        </is>
      </c>
      <c r="B5140" t="inlineStr">
        <is>
          <t>avverkningsanmälan</t>
        </is>
      </c>
      <c r="C5140" t="inlineStr">
        <is>
          <t>Föryngringsavverkning</t>
        </is>
      </c>
      <c r="D5140" s="1" t="n">
        <v>46273</v>
      </c>
      <c r="E5140" s="1" t="n">
        <v>46316</v>
      </c>
      <c r="F5140" t="inlineStr">
        <is>
          <t>KRONOBERGS LÄN</t>
        </is>
      </c>
      <c r="G5140" t="inlineStr">
        <is>
          <t>LJUNGBY</t>
        </is>
      </c>
      <c r="I5140" t="n">
        <v>4.3</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43541-2026</t>
        </is>
      </c>
      <c r="B5141" t="inlineStr">
        <is>
          <t>avverkningsanmälan</t>
        </is>
      </c>
      <c r="C5141" t="inlineStr">
        <is>
          <t>Föryngringsavverkning</t>
        </is>
      </c>
      <c r="D5141" s="1" t="n">
        <v>46315</v>
      </c>
      <c r="E5141" s="1" t="n">
        <v>46316</v>
      </c>
      <c r="F5141" t="inlineStr">
        <is>
          <t>KRONOBERGS LÄN</t>
        </is>
      </c>
      <c r="G5141" t="inlineStr">
        <is>
          <t>VÄXJÖ</t>
        </is>
      </c>
      <c r="I5141" t="n">
        <v>1.5</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43261-2026</t>
        </is>
      </c>
      <c r="B5142" t="inlineStr">
        <is>
          <t>avverkningsanmälan</t>
        </is>
      </c>
      <c r="C5142" t="inlineStr">
        <is>
          <t>Föryngringsavverkning</t>
        </is>
      </c>
      <c r="D5142" s="1" t="n">
        <v>46314</v>
      </c>
      <c r="E5142" s="1" t="n">
        <v>46316</v>
      </c>
      <c r="F5142" t="inlineStr">
        <is>
          <t>KRONOBERGS LÄN</t>
        </is>
      </c>
      <c r="G5142" t="inlineStr">
        <is>
          <t>LJUNGBY</t>
        </is>
      </c>
      <c r="I5142" t="n">
        <v>1.5</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43262-2026</t>
        </is>
      </c>
      <c r="B5143" t="inlineStr">
        <is>
          <t>avverkningsanmälan</t>
        </is>
      </c>
      <c r="C5143" t="inlineStr">
        <is>
          <t>Föryngringsavverkning</t>
        </is>
      </c>
      <c r="D5143" s="1" t="n">
        <v>46314</v>
      </c>
      <c r="E5143" s="1" t="n">
        <v>46316</v>
      </c>
      <c r="F5143" t="inlineStr">
        <is>
          <t>KRONOBERGS LÄN</t>
        </is>
      </c>
      <c r="G5143" t="inlineStr">
        <is>
          <t>LJUNGBY</t>
        </is>
      </c>
      <c r="I5143" t="n">
        <v>2.7</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36949-2026</t>
        </is>
      </c>
      <c r="B5144" t="inlineStr">
        <is>
          <t>avverkningsanmälan</t>
        </is>
      </c>
      <c r="C5144" t="inlineStr">
        <is>
          <t>Föryngringsavverkning</t>
        </is>
      </c>
      <c r="D5144" s="1" t="n">
        <v>46273</v>
      </c>
      <c r="E5144" s="1" t="n">
        <v>46316</v>
      </c>
      <c r="F5144" t="inlineStr">
        <is>
          <t>KRONOBERGS LÄN</t>
        </is>
      </c>
      <c r="G5144" t="inlineStr">
        <is>
          <t>ALVESTA</t>
        </is>
      </c>
      <c r="I5144" t="n">
        <v>0.5</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43247-2026</t>
        </is>
      </c>
      <c r="B5145" t="inlineStr">
        <is>
          <t>avverkningsanmälan</t>
        </is>
      </c>
      <c r="C5145" t="inlineStr">
        <is>
          <t>Föryngringsavverkning</t>
        </is>
      </c>
      <c r="D5145" s="1" t="n">
        <v>46314</v>
      </c>
      <c r="E5145" s="1" t="n">
        <v>46316</v>
      </c>
      <c r="F5145" t="inlineStr">
        <is>
          <t>KRONOBERGS LÄN</t>
        </is>
      </c>
      <c r="G5145" t="inlineStr">
        <is>
          <t>LJUNGBY</t>
        </is>
      </c>
      <c r="I5145" t="n">
        <v>1.3</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43252-2026</t>
        </is>
      </c>
      <c r="B5146" t="inlineStr">
        <is>
          <t>avverkningsanmälan</t>
        </is>
      </c>
      <c r="C5146" t="inlineStr">
        <is>
          <t>Föryngringsavverkning</t>
        </is>
      </c>
      <c r="D5146" s="1" t="n">
        <v>46314</v>
      </c>
      <c r="E5146" s="1" t="n">
        <v>46316</v>
      </c>
      <c r="F5146" t="inlineStr">
        <is>
          <t>KRONOBERGS LÄN</t>
        </is>
      </c>
      <c r="G5146" t="inlineStr">
        <is>
          <t>LJUNGBY</t>
        </is>
      </c>
      <c r="I5146" t="n">
        <v>0.7</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43273-2026</t>
        </is>
      </c>
      <c r="B5147" t="inlineStr">
        <is>
          <t>avverkningsanmälan</t>
        </is>
      </c>
      <c r="C5147" t="inlineStr">
        <is>
          <t>Föryngringsavverkning</t>
        </is>
      </c>
      <c r="D5147" s="1" t="n">
        <v>46314</v>
      </c>
      <c r="E5147" s="1" t="n">
        <v>46316</v>
      </c>
      <c r="F5147" t="inlineStr">
        <is>
          <t>KRONOBERGS LÄN</t>
        </is>
      </c>
      <c r="G5147" t="inlineStr">
        <is>
          <t>ÄLMHULT</t>
        </is>
      </c>
      <c r="I5147" t="n">
        <v>1.5</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43521-2026</t>
        </is>
      </c>
      <c r="B5148" t="inlineStr">
        <is>
          <t>avverkningsanmälan</t>
        </is>
      </c>
      <c r="C5148" t="inlineStr">
        <is>
          <t>Föryngringsavverkning</t>
        </is>
      </c>
      <c r="D5148" s="1" t="n">
        <v>46315</v>
      </c>
      <c r="E5148" s="1" t="n">
        <v>46316</v>
      </c>
      <c r="F5148" t="inlineStr">
        <is>
          <t>KRONOBERGS LÄN</t>
        </is>
      </c>
      <c r="G5148" t="inlineStr">
        <is>
          <t>VÄXJÖ</t>
        </is>
      </c>
      <c r="I5148" t="n">
        <v>1.3</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43427-2026</t>
        </is>
      </c>
      <c r="B5149" t="inlineStr">
        <is>
          <t>avverkningsanmälan</t>
        </is>
      </c>
      <c r="C5149" t="inlineStr">
        <is>
          <t>Föryngringsavverkning</t>
        </is>
      </c>
      <c r="D5149" s="1" t="n">
        <v>46314</v>
      </c>
      <c r="E5149" s="1" t="n">
        <v>46316</v>
      </c>
      <c r="F5149" t="inlineStr">
        <is>
          <t>KRONOBERGS LÄN</t>
        </is>
      </c>
      <c r="G5149" t="inlineStr">
        <is>
          <t>ALVESTA</t>
        </is>
      </c>
      <c r="I5149" t="n">
        <v>1.1</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43495-2026</t>
        </is>
      </c>
      <c r="B5150" t="inlineStr">
        <is>
          <t>avverkningsanmälan</t>
        </is>
      </c>
      <c r="C5150" t="inlineStr">
        <is>
          <t>Föryngringsavverkning</t>
        </is>
      </c>
      <c r="D5150" s="1" t="n">
        <v>46315</v>
      </c>
      <c r="E5150" s="1" t="n">
        <v>46316</v>
      </c>
      <c r="F5150" t="inlineStr">
        <is>
          <t>KRONOBERGS LÄN</t>
        </is>
      </c>
      <c r="G5150" t="inlineStr">
        <is>
          <t>VÄXJÖ</t>
        </is>
      </c>
      <c r="I5150" t="n">
        <v>1.2</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43322-2026</t>
        </is>
      </c>
      <c r="B5151" t="inlineStr">
        <is>
          <t>avverkningsanmälan</t>
        </is>
      </c>
      <c r="C5151" t="inlineStr">
        <is>
          <t>Föryngringsavverkning</t>
        </is>
      </c>
      <c r="D5151" s="1" t="n">
        <v>46314</v>
      </c>
      <c r="E5151" s="1" t="n">
        <v>46316</v>
      </c>
      <c r="F5151" t="inlineStr">
        <is>
          <t>KRONOBERGS LÄN</t>
        </is>
      </c>
      <c r="G5151" t="inlineStr">
        <is>
          <t>ÄLMHULT</t>
        </is>
      </c>
      <c r="I5151" t="n">
        <v>3.2</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43615-2026</t>
        </is>
      </c>
      <c r="B5152" t="inlineStr">
        <is>
          <t>avverkningsanmälan</t>
        </is>
      </c>
      <c r="C5152" t="inlineStr">
        <is>
          <t>Föryngringsavverkning</t>
        </is>
      </c>
      <c r="D5152" s="1" t="n">
        <v>46315</v>
      </c>
      <c r="E5152" s="1" t="n">
        <v>46316</v>
      </c>
      <c r="F5152" t="inlineStr">
        <is>
          <t>KRONOBERGS LÄN</t>
        </is>
      </c>
      <c r="G5152" t="inlineStr">
        <is>
          <t>UPPVIDINGE</t>
        </is>
      </c>
      <c r="I5152" t="n">
        <v>0.3</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36946-2026</t>
        </is>
      </c>
      <c r="B5153" t="inlineStr">
        <is>
          <t>avverkningsanmälan</t>
        </is>
      </c>
      <c r="C5153" t="inlineStr">
        <is>
          <t>Föryngringsavverkning</t>
        </is>
      </c>
      <c r="D5153" s="1" t="n">
        <v>46273</v>
      </c>
      <c r="E5153" s="1" t="n">
        <v>46316</v>
      </c>
      <c r="F5153" t="inlineStr">
        <is>
          <t>KRONOBERGS LÄN</t>
        </is>
      </c>
      <c r="G5153" t="inlineStr">
        <is>
          <t>ALVESTA</t>
        </is>
      </c>
      <c r="I5153" t="n">
        <v>0.8</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24322-2023</t>
        </is>
      </c>
      <c r="B5154" t="inlineStr">
        <is>
          <t>avverkningsanmälan</t>
        </is>
      </c>
      <c r="C5154" t="inlineStr">
        <is>
          <t>Föryngringsavverkning</t>
        </is>
      </c>
      <c r="D5154" s="1" t="n">
        <v>45080</v>
      </c>
      <c r="E5154" s="1" t="n">
        <v>46316</v>
      </c>
      <c r="F5154" t="inlineStr">
        <is>
          <t>KRONOBERGS LÄN</t>
        </is>
      </c>
      <c r="G5154" t="inlineStr">
        <is>
          <t>MARKARYD</t>
        </is>
      </c>
      <c r="I5154" t="n">
        <v>1.4</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17095-2022</t>
        </is>
      </c>
      <c r="B5155" t="inlineStr">
        <is>
          <t>avverkningsanmälan</t>
        </is>
      </c>
      <c r="C5155" t="inlineStr">
        <is>
          <t>Föryngringsavverkning</t>
        </is>
      </c>
      <c r="D5155" s="1" t="n">
        <v>44677</v>
      </c>
      <c r="E5155" s="1" t="n">
        <v>46316</v>
      </c>
      <c r="F5155" t="inlineStr">
        <is>
          <t>KRONOBERGS LÄN</t>
        </is>
      </c>
      <c r="G5155" t="inlineStr">
        <is>
          <t>VÄXJÖ</t>
        </is>
      </c>
      <c r="I5155" t="n">
        <v>0.8</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21241-2024</t>
        </is>
      </c>
      <c r="B5156" t="inlineStr">
        <is>
          <t>avverkningsanmälan</t>
        </is>
      </c>
      <c r="C5156" t="inlineStr">
        <is>
          <t>Föryngringsavverkning</t>
        </is>
      </c>
      <c r="D5156" s="1" t="n">
        <v>45440</v>
      </c>
      <c r="E5156" s="1" t="n">
        <v>46316</v>
      </c>
      <c r="F5156" t="inlineStr">
        <is>
          <t>KRONOBERGS LÄN</t>
        </is>
      </c>
      <c r="G5156" t="inlineStr">
        <is>
          <t>ÄLMHULT</t>
        </is>
      </c>
      <c r="I5156" t="n">
        <v>1.5</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9669-2023</t>
        </is>
      </c>
      <c r="B5157" t="inlineStr">
        <is>
          <t>avverkningsanmälan</t>
        </is>
      </c>
      <c r="C5157" t="inlineStr">
        <is>
          <t>Föryngringsavverkning</t>
        </is>
      </c>
      <c r="D5157" s="1" t="n">
        <v>44984</v>
      </c>
      <c r="E5157" s="1" t="n">
        <v>46316</v>
      </c>
      <c r="F5157" t="inlineStr">
        <is>
          <t>KRONOBERGS LÄN</t>
        </is>
      </c>
      <c r="G5157" t="inlineStr">
        <is>
          <t>MARKARYD</t>
        </is>
      </c>
      <c r="I5157" t="n">
        <v>0.7</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26225-2022</t>
        </is>
      </c>
      <c r="B5158" t="inlineStr">
        <is>
          <t>avverkningsanmälan</t>
        </is>
      </c>
      <c r="C5158" t="inlineStr">
        <is>
          <t>Föryngringsavverkning</t>
        </is>
      </c>
      <c r="D5158" s="1" t="n">
        <v>44735</v>
      </c>
      <c r="E5158" s="1" t="n">
        <v>46316</v>
      </c>
      <c r="F5158" t="inlineStr">
        <is>
          <t>KRONOBERGS LÄN</t>
        </is>
      </c>
      <c r="G5158" t="inlineStr">
        <is>
          <t>ALVESTA</t>
        </is>
      </c>
      <c r="I5158" t="n">
        <v>1.6</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25461-2023</t>
        </is>
      </c>
      <c r="B5159" t="inlineStr">
        <is>
          <t>avverkningsanmälan</t>
        </is>
      </c>
      <c r="C5159" t="inlineStr">
        <is>
          <t>Föryngringsavverkning</t>
        </is>
      </c>
      <c r="D5159" s="1" t="n">
        <v>45089</v>
      </c>
      <c r="E5159" s="1" t="n">
        <v>46316</v>
      </c>
      <c r="F5159" t="inlineStr">
        <is>
          <t>KRONOBERGS LÄN</t>
        </is>
      </c>
      <c r="G5159" t="inlineStr">
        <is>
          <t>VÄXJÖ</t>
        </is>
      </c>
      <c r="I5159" t="n">
        <v>3.5</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54866-2023</t>
        </is>
      </c>
      <c r="B5160" t="inlineStr">
        <is>
          <t>avverkningsanmälan</t>
        </is>
      </c>
      <c r="C5160" t="inlineStr">
        <is>
          <t>Föryngringsavverkning</t>
        </is>
      </c>
      <c r="D5160" s="1" t="n">
        <v>45236</v>
      </c>
      <c r="E5160" s="1" t="n">
        <v>46316</v>
      </c>
      <c r="F5160" t="inlineStr">
        <is>
          <t>KRONOBERGS LÄN</t>
        </is>
      </c>
      <c r="G5160" t="inlineStr">
        <is>
          <t>VÄXJÖ</t>
        </is>
      </c>
      <c r="I5160" t="n">
        <v>0.5</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12939-2022</t>
        </is>
      </c>
      <c r="B5161" t="inlineStr">
        <is>
          <t>avverkningsanmälan</t>
        </is>
      </c>
      <c r="C5161" t="inlineStr">
        <is>
          <t>Föryngringsavverkning</t>
        </is>
      </c>
      <c r="D5161" s="1" t="n">
        <v>44642</v>
      </c>
      <c r="E5161" s="1" t="n">
        <v>46316</v>
      </c>
      <c r="F5161" t="inlineStr">
        <is>
          <t>KRONOBERGS LÄN</t>
        </is>
      </c>
      <c r="G5161" t="inlineStr">
        <is>
          <t>LJUNGBY</t>
        </is>
      </c>
      <c r="I5161" t="n">
        <v>1.9</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54922-2024</t>
        </is>
      </c>
      <c r="B5162" t="inlineStr">
        <is>
          <t>avverkningsanmälan</t>
        </is>
      </c>
      <c r="C5162" t="inlineStr">
        <is>
          <t>Föryngringsavverkning</t>
        </is>
      </c>
      <c r="D5162" s="1" t="n">
        <v>45618</v>
      </c>
      <c r="E5162" s="1" t="n">
        <v>46316</v>
      </c>
      <c r="F5162" t="inlineStr">
        <is>
          <t>KRONOBERGS LÄN</t>
        </is>
      </c>
      <c r="G5162" t="inlineStr">
        <is>
          <t>ALVESTA</t>
        </is>
      </c>
      <c r="I5162" t="n">
        <v>0.7</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13966-2024</t>
        </is>
      </c>
      <c r="B5163" t="inlineStr">
        <is>
          <t>avverkningsanmälan</t>
        </is>
      </c>
      <c r="C5163" t="inlineStr">
        <is>
          <t>Föryngringsavverkning</t>
        </is>
      </c>
      <c r="D5163" s="1" t="n">
        <v>45392</v>
      </c>
      <c r="E5163" s="1" t="n">
        <v>46316</v>
      </c>
      <c r="F5163" t="inlineStr">
        <is>
          <t>KRONOBERGS LÄN</t>
        </is>
      </c>
      <c r="G5163" t="inlineStr">
        <is>
          <t>TINGSRYD</t>
        </is>
      </c>
      <c r="I5163" t="n">
        <v>0.8</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13975-2024</t>
        </is>
      </c>
      <c r="B5164" t="inlineStr">
        <is>
          <t>avverkningsanmälan</t>
        </is>
      </c>
      <c r="C5164" t="inlineStr">
        <is>
          <t>Föryngringsavverkning</t>
        </is>
      </c>
      <c r="D5164" s="1" t="n">
        <v>45392</v>
      </c>
      <c r="E5164" s="1" t="n">
        <v>46316</v>
      </c>
      <c r="F5164" t="inlineStr">
        <is>
          <t>KRONOBERGS LÄN</t>
        </is>
      </c>
      <c r="G5164" t="inlineStr">
        <is>
          <t>VÄXJÖ</t>
        </is>
      </c>
      <c r="H5164" t="inlineStr">
        <is>
          <t>Sveaskog</t>
        </is>
      </c>
      <c r="I5164" t="n">
        <v>0.6</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43308-2023</t>
        </is>
      </c>
      <c r="B5165" t="inlineStr">
        <is>
          <t>avverkningsanmälan</t>
        </is>
      </c>
      <c r="C5165" t="inlineStr">
        <is>
          <t>Föryngringsavverkning</t>
        </is>
      </c>
      <c r="D5165" s="1" t="n">
        <v>45183</v>
      </c>
      <c r="E5165" s="1" t="n">
        <v>46316</v>
      </c>
      <c r="F5165" t="inlineStr">
        <is>
          <t>KRONOBERGS LÄN</t>
        </is>
      </c>
      <c r="G5165" t="inlineStr">
        <is>
          <t>TINGSRYD</t>
        </is>
      </c>
      <c r="I5165" t="n">
        <v>3.7</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52082-2024</t>
        </is>
      </c>
      <c r="B5166" t="inlineStr">
        <is>
          <t>avverkningsanmälan</t>
        </is>
      </c>
      <c r="C5166" t="inlineStr">
        <is>
          <t>Föryngringsavverkning</t>
        </is>
      </c>
      <c r="D5166" s="1" t="n">
        <v>45608</v>
      </c>
      <c r="E5166" s="1" t="n">
        <v>46316</v>
      </c>
      <c r="F5166" t="inlineStr">
        <is>
          <t>KRONOBERGS LÄN</t>
        </is>
      </c>
      <c r="G5166" t="inlineStr">
        <is>
          <t>ALVESTA</t>
        </is>
      </c>
      <c r="I5166" t="n">
        <v>1.5</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56846-2023</t>
        </is>
      </c>
      <c r="B5167" t="inlineStr">
        <is>
          <t>avverkningsanmälan</t>
        </is>
      </c>
      <c r="C5167" t="inlineStr">
        <is>
          <t>Föryngringsavverkning</t>
        </is>
      </c>
      <c r="D5167" s="1" t="n">
        <v>45244</v>
      </c>
      <c r="E5167" s="1" t="n">
        <v>46316</v>
      </c>
      <c r="F5167" t="inlineStr">
        <is>
          <t>KRONOBERGS LÄN</t>
        </is>
      </c>
      <c r="G5167" t="inlineStr">
        <is>
          <t>ÄLMHULT</t>
        </is>
      </c>
      <c r="I5167" t="n">
        <v>1.9</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3585-2023</t>
        </is>
      </c>
      <c r="B5168" t="inlineStr">
        <is>
          <t>avverkningsanmälan</t>
        </is>
      </c>
      <c r="C5168" t="inlineStr">
        <is>
          <t>Föryngringsavverkning</t>
        </is>
      </c>
      <c r="D5168" s="1" t="n">
        <v>44950</v>
      </c>
      <c r="E5168" s="1" t="n">
        <v>46316</v>
      </c>
      <c r="F5168" t="inlineStr">
        <is>
          <t>KRONOBERGS LÄN</t>
        </is>
      </c>
      <c r="G5168" t="inlineStr">
        <is>
          <t>TINGSRYD</t>
        </is>
      </c>
      <c r="I5168" t="n">
        <v>2.5</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23155-2023</t>
        </is>
      </c>
      <c r="B5169" t="inlineStr">
        <is>
          <t>avverkningsanmälan</t>
        </is>
      </c>
      <c r="C5169" t="inlineStr">
        <is>
          <t>Föryngringsavverkning</t>
        </is>
      </c>
      <c r="D5169" s="1" t="n">
        <v>45075</v>
      </c>
      <c r="E5169" s="1" t="n">
        <v>46316</v>
      </c>
      <c r="F5169" t="inlineStr">
        <is>
          <t>KRONOBERGS LÄN</t>
        </is>
      </c>
      <c r="G5169" t="inlineStr">
        <is>
          <t>UPPVIDINGE</t>
        </is>
      </c>
      <c r="I5169" t="n">
        <v>2.9</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1043-2024</t>
        </is>
      </c>
      <c r="B5170" t="inlineStr">
        <is>
          <t>avverkningsanmälan</t>
        </is>
      </c>
      <c r="C5170" t="inlineStr">
        <is>
          <t>Föryngringsavverkning</t>
        </is>
      </c>
      <c r="D5170" s="1" t="n">
        <v>45301</v>
      </c>
      <c r="E5170" s="1" t="n">
        <v>46316</v>
      </c>
      <c r="F5170" t="inlineStr">
        <is>
          <t>KRONOBERGS LÄN</t>
        </is>
      </c>
      <c r="G5170" t="inlineStr">
        <is>
          <t>LJUNGBY</t>
        </is>
      </c>
      <c r="I5170" t="n">
        <v>1</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22122-2022</t>
        </is>
      </c>
      <c r="B5171" t="inlineStr">
        <is>
          <t>avverkningsanmälan</t>
        </is>
      </c>
      <c r="C5171" t="inlineStr">
        <is>
          <t>Föryngringsavverkning</t>
        </is>
      </c>
      <c r="D5171" s="1" t="n">
        <v>44712</v>
      </c>
      <c r="E5171" s="1" t="n">
        <v>46316</v>
      </c>
      <c r="F5171" t="inlineStr">
        <is>
          <t>KRONOBERGS LÄN</t>
        </is>
      </c>
      <c r="G5171" t="inlineStr">
        <is>
          <t>LJUNGBY</t>
        </is>
      </c>
      <c r="I5171" t="n">
        <v>0.5</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6786-2024</t>
        </is>
      </c>
      <c r="B5172" t="inlineStr">
        <is>
          <t>avverkningsanmälan</t>
        </is>
      </c>
      <c r="C5172" t="inlineStr">
        <is>
          <t>Föryngringsavverkning</t>
        </is>
      </c>
      <c r="D5172" s="1" t="n">
        <v>45342</v>
      </c>
      <c r="E5172" s="1" t="n">
        <v>46316</v>
      </c>
      <c r="F5172" t="inlineStr">
        <is>
          <t>KRONOBERGS LÄN</t>
        </is>
      </c>
      <c r="G5172" t="inlineStr">
        <is>
          <t>VÄXJÖ</t>
        </is>
      </c>
      <c r="I5172" t="n">
        <v>0.8</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2045-2023</t>
        </is>
      </c>
      <c r="B5173" t="inlineStr">
        <is>
          <t>avverkningsanmälan</t>
        </is>
      </c>
      <c r="C5173" t="inlineStr">
        <is>
          <t>Föryngringsavverkning</t>
        </is>
      </c>
      <c r="D5173" s="1" t="n">
        <v>44939</v>
      </c>
      <c r="E5173" s="1" t="n">
        <v>46316</v>
      </c>
      <c r="F5173" t="inlineStr">
        <is>
          <t>KRONOBERGS LÄN</t>
        </is>
      </c>
      <c r="G5173" t="inlineStr">
        <is>
          <t>UPPVIDINGE</t>
        </is>
      </c>
      <c r="I5173" t="n">
        <v>7.9</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6815-2024</t>
        </is>
      </c>
      <c r="B5174" t="inlineStr">
        <is>
          <t>avverkningsanmälan</t>
        </is>
      </c>
      <c r="C5174" t="inlineStr">
        <is>
          <t>Föryngringsavverkning</t>
        </is>
      </c>
      <c r="D5174" s="1" t="n">
        <v>45342</v>
      </c>
      <c r="E5174" s="1" t="n">
        <v>46316</v>
      </c>
      <c r="F5174" t="inlineStr">
        <is>
          <t>KRONOBERGS LÄN</t>
        </is>
      </c>
      <c r="G5174" t="inlineStr">
        <is>
          <t>ALVESTA</t>
        </is>
      </c>
      <c r="I5174" t="n">
        <v>1.4</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44661-2023</t>
        </is>
      </c>
      <c r="B5175" t="inlineStr">
        <is>
          <t>avverkningsanmälan</t>
        </is>
      </c>
      <c r="C5175" t="inlineStr">
        <is>
          <t>Föryngringsavverkning</t>
        </is>
      </c>
      <c r="D5175" s="1" t="n">
        <v>45189</v>
      </c>
      <c r="E5175" s="1" t="n">
        <v>46316</v>
      </c>
      <c r="F5175" t="inlineStr">
        <is>
          <t>KRONOBERGS LÄN</t>
        </is>
      </c>
      <c r="G5175" t="inlineStr">
        <is>
          <t>VÄXJÖ</t>
        </is>
      </c>
      <c r="I5175" t="n">
        <v>3.8</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44663-2023</t>
        </is>
      </c>
      <c r="B5176" t="inlineStr">
        <is>
          <t>avverkningsanmälan</t>
        </is>
      </c>
      <c r="C5176" t="inlineStr">
        <is>
          <t>Föryngringsavverkning</t>
        </is>
      </c>
      <c r="D5176" s="1" t="n">
        <v>45189</v>
      </c>
      <c r="E5176" s="1" t="n">
        <v>46316</v>
      </c>
      <c r="F5176" t="inlineStr">
        <is>
          <t>KRONOBERGS LÄN</t>
        </is>
      </c>
      <c r="G5176" t="inlineStr">
        <is>
          <t>VÄXJÖ</t>
        </is>
      </c>
      <c r="I5176" t="n">
        <v>0.6</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43206-2024</t>
        </is>
      </c>
      <c r="B5177" t="inlineStr">
        <is>
          <t>avverkningsanmälan</t>
        </is>
      </c>
      <c r="C5177" t="inlineStr">
        <is>
          <t>Föryngringsavverkning</t>
        </is>
      </c>
      <c r="D5177" s="1" t="n">
        <v>45567</v>
      </c>
      <c r="E5177" s="1" t="n">
        <v>46316</v>
      </c>
      <c r="F5177" t="inlineStr">
        <is>
          <t>KRONOBERGS LÄN</t>
        </is>
      </c>
      <c r="G5177" t="inlineStr">
        <is>
          <t>LESSEBO</t>
        </is>
      </c>
      <c r="I5177" t="n">
        <v>4.3</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60119-2022</t>
        </is>
      </c>
      <c r="B5178" t="inlineStr">
        <is>
          <t>avverkningsanmälan</t>
        </is>
      </c>
      <c r="C5178" t="inlineStr">
        <is>
          <t>Föryngringsavverkning</t>
        </is>
      </c>
      <c r="D5178" s="1" t="n">
        <v>44909</v>
      </c>
      <c r="E5178" s="1" t="n">
        <v>46316</v>
      </c>
      <c r="F5178" t="inlineStr">
        <is>
          <t>KRONOBERGS LÄN</t>
        </is>
      </c>
      <c r="G5178" t="inlineStr">
        <is>
          <t>VÄXJÖ</t>
        </is>
      </c>
      <c r="H5178" t="inlineStr">
        <is>
          <t>Sveaskog</t>
        </is>
      </c>
      <c r="I5178" t="n">
        <v>1.3</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10599-2023</t>
        </is>
      </c>
      <c r="B5179" t="inlineStr">
        <is>
          <t>avverkningsanmälan</t>
        </is>
      </c>
      <c r="C5179" t="inlineStr">
        <is>
          <t>Föryngringsavverkning</t>
        </is>
      </c>
      <c r="D5179" s="1" t="n">
        <v>44988</v>
      </c>
      <c r="E5179" s="1" t="n">
        <v>46316</v>
      </c>
      <c r="F5179" t="inlineStr">
        <is>
          <t>KRONOBERGS LÄN</t>
        </is>
      </c>
      <c r="G5179" t="inlineStr">
        <is>
          <t>TINGSRYD</t>
        </is>
      </c>
      <c r="I5179" t="n">
        <v>0.7</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19704-2023</t>
        </is>
      </c>
      <c r="B5180" t="inlineStr">
        <is>
          <t>avverkningsanmälan</t>
        </is>
      </c>
      <c r="C5180" t="inlineStr">
        <is>
          <t>Föryngringsavverkning</t>
        </is>
      </c>
      <c r="D5180" s="1" t="n">
        <v>45051</v>
      </c>
      <c r="E5180" s="1" t="n">
        <v>46316</v>
      </c>
      <c r="F5180" t="inlineStr">
        <is>
          <t>KRONOBERGS LÄN</t>
        </is>
      </c>
      <c r="G5180" t="inlineStr">
        <is>
          <t>ÄLMHULT</t>
        </is>
      </c>
      <c r="I5180" t="n">
        <v>0.9</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44737-2023</t>
        </is>
      </c>
      <c r="B5181" t="inlineStr">
        <is>
          <t>avverkningsanmälan</t>
        </is>
      </c>
      <c r="C5181" t="inlineStr">
        <is>
          <t>Föryngringsavverkning</t>
        </is>
      </c>
      <c r="D5181" s="1" t="n">
        <v>45190</v>
      </c>
      <c r="E5181" s="1" t="n">
        <v>46316</v>
      </c>
      <c r="F5181" t="inlineStr">
        <is>
          <t>KRONOBERGS LÄN</t>
        </is>
      </c>
      <c r="G5181" t="inlineStr">
        <is>
          <t>VÄXJÖ</t>
        </is>
      </c>
      <c r="I5181" t="n">
        <v>1</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9357-2025</t>
        </is>
      </c>
      <c r="B5182" t="inlineStr">
        <is>
          <t>avverkningsanmälan</t>
        </is>
      </c>
      <c r="C5182" t="inlineStr">
        <is>
          <t>Föryngringsavverkning</t>
        </is>
      </c>
      <c r="D5182" s="1" t="n">
        <v>45714</v>
      </c>
      <c r="E5182" s="1" t="n">
        <v>46316</v>
      </c>
      <c r="F5182" t="inlineStr">
        <is>
          <t>KRONOBERGS LÄN</t>
        </is>
      </c>
      <c r="G5182" t="inlineStr">
        <is>
          <t>VÄXJÖ</t>
        </is>
      </c>
      <c r="I5182" t="n">
        <v>0.5</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6051-2022</t>
        </is>
      </c>
      <c r="B5183" t="inlineStr">
        <is>
          <t>avverkningsanmälan</t>
        </is>
      </c>
      <c r="C5183" t="inlineStr">
        <is>
          <t>Föryngringsavverkning</t>
        </is>
      </c>
      <c r="D5183" s="1" t="n">
        <v>44599</v>
      </c>
      <c r="E5183" s="1" t="n">
        <v>46316</v>
      </c>
      <c r="F5183" t="inlineStr">
        <is>
          <t>KRONOBERGS LÄN</t>
        </is>
      </c>
      <c r="G5183" t="inlineStr">
        <is>
          <t>VÄXJÖ</t>
        </is>
      </c>
      <c r="I5183" t="n">
        <v>2.7</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45919-2023</t>
        </is>
      </c>
      <c r="B5184" t="inlineStr">
        <is>
          <t>avverkningsanmälan</t>
        </is>
      </c>
      <c r="C5184" t="inlineStr">
        <is>
          <t>Föryngringsavverkning</t>
        </is>
      </c>
      <c r="D5184" s="1" t="n">
        <v>45195</v>
      </c>
      <c r="E5184" s="1" t="n">
        <v>46316</v>
      </c>
      <c r="F5184" t="inlineStr">
        <is>
          <t>KRONOBERGS LÄN</t>
        </is>
      </c>
      <c r="G5184" t="inlineStr">
        <is>
          <t>LJUNGBY</t>
        </is>
      </c>
      <c r="I5184" t="n">
        <v>1.1</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39436-2022</t>
        </is>
      </c>
      <c r="B5185" t="inlineStr">
        <is>
          <t>avverkningsanmälan</t>
        </is>
      </c>
      <c r="C5185" t="inlineStr">
        <is>
          <t>Föryngringsavverkning</t>
        </is>
      </c>
      <c r="D5185" s="1" t="n">
        <v>44818</v>
      </c>
      <c r="E5185" s="1" t="n">
        <v>46316</v>
      </c>
      <c r="F5185" t="inlineStr">
        <is>
          <t>KRONOBERGS LÄN</t>
        </is>
      </c>
      <c r="G5185" t="inlineStr">
        <is>
          <t>LESSEBO</t>
        </is>
      </c>
      <c r="I5185" t="n">
        <v>2.7</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41781-2023</t>
        </is>
      </c>
      <c r="B5186" t="inlineStr">
        <is>
          <t>avverkningsanmälan</t>
        </is>
      </c>
      <c r="C5186" t="inlineStr">
        <is>
          <t>Föryngringsavverkning</t>
        </is>
      </c>
      <c r="D5186" s="1" t="n">
        <v>45176</v>
      </c>
      <c r="E5186" s="1" t="n">
        <v>46316</v>
      </c>
      <c r="F5186" t="inlineStr">
        <is>
          <t>KRONOBERGS LÄN</t>
        </is>
      </c>
      <c r="G5186" t="inlineStr">
        <is>
          <t>ÄLMHULT</t>
        </is>
      </c>
      <c r="I5186" t="n">
        <v>1.3</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22610-2023</t>
        </is>
      </c>
      <c r="B5187" t="inlineStr">
        <is>
          <t>avverkningsanmälan</t>
        </is>
      </c>
      <c r="C5187" t="inlineStr">
        <is>
          <t>Föryngringsavverkning</t>
        </is>
      </c>
      <c r="D5187" s="1" t="n">
        <v>45071</v>
      </c>
      <c r="E5187" s="1" t="n">
        <v>46316</v>
      </c>
      <c r="F5187" t="inlineStr">
        <is>
          <t>KRONOBERGS LÄN</t>
        </is>
      </c>
      <c r="G5187" t="inlineStr">
        <is>
          <t>LJUNGBY</t>
        </is>
      </c>
      <c r="I5187" t="n">
        <v>4.1</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22613-2023</t>
        </is>
      </c>
      <c r="B5188" t="inlineStr">
        <is>
          <t>avverkningsanmälan</t>
        </is>
      </c>
      <c r="C5188" t="inlineStr">
        <is>
          <t>Föryngringsavverkning</t>
        </is>
      </c>
      <c r="D5188" s="1" t="n">
        <v>45071</v>
      </c>
      <c r="E5188" s="1" t="n">
        <v>46316</v>
      </c>
      <c r="F5188" t="inlineStr">
        <is>
          <t>KRONOBERGS LÄN</t>
        </is>
      </c>
      <c r="G5188" t="inlineStr">
        <is>
          <t>LJUNGBY</t>
        </is>
      </c>
      <c r="I5188" t="n">
        <v>1</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22641-2023</t>
        </is>
      </c>
      <c r="B5189" t="inlineStr">
        <is>
          <t>avverkningsanmälan</t>
        </is>
      </c>
      <c r="C5189" t="inlineStr">
        <is>
          <t>Föryngringsavverkning</t>
        </is>
      </c>
      <c r="D5189" s="1" t="n">
        <v>45071</v>
      </c>
      <c r="E5189" s="1" t="n">
        <v>46316</v>
      </c>
      <c r="F5189" t="inlineStr">
        <is>
          <t>KRONOBERGS LÄN</t>
        </is>
      </c>
      <c r="G5189" t="inlineStr">
        <is>
          <t>TINGSRYD</t>
        </is>
      </c>
      <c r="I5189" t="n">
        <v>2.3</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53522-2024</t>
        </is>
      </c>
      <c r="B5190" t="inlineStr">
        <is>
          <t>avverkningsanmälan</t>
        </is>
      </c>
      <c r="C5190" t="inlineStr">
        <is>
          <t>Föryngringsavverkning</t>
        </is>
      </c>
      <c r="D5190" s="1" t="n">
        <v>45614</v>
      </c>
      <c r="E5190" s="1" t="n">
        <v>46316</v>
      </c>
      <c r="F5190" t="inlineStr">
        <is>
          <t>KRONOBERGS LÄN</t>
        </is>
      </c>
      <c r="G5190" t="inlineStr">
        <is>
          <t>VÄXJÖ</t>
        </is>
      </c>
      <c r="I5190" t="n">
        <v>0.8</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27307-2023</t>
        </is>
      </c>
      <c r="B5191" t="inlineStr">
        <is>
          <t>avverkningsanmälan</t>
        </is>
      </c>
      <c r="C5191" t="inlineStr">
        <is>
          <t>Föryngringsavverkning</t>
        </is>
      </c>
      <c r="D5191" s="1" t="n">
        <v>45096</v>
      </c>
      <c r="E5191" s="1" t="n">
        <v>46316</v>
      </c>
      <c r="F5191" t="inlineStr">
        <is>
          <t>KRONOBERGS LÄN</t>
        </is>
      </c>
      <c r="G5191" t="inlineStr">
        <is>
          <t>TINGSRYD</t>
        </is>
      </c>
      <c r="I5191" t="n">
        <v>1.9</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63718-2023</t>
        </is>
      </c>
      <c r="B5192" t="inlineStr">
        <is>
          <t>avverkningsanmälan</t>
        </is>
      </c>
      <c r="C5192" t="inlineStr">
        <is>
          <t>Föryngringsavverkning</t>
        </is>
      </c>
      <c r="D5192" s="1" t="n">
        <v>45275</v>
      </c>
      <c r="E5192" s="1" t="n">
        <v>46316</v>
      </c>
      <c r="F5192" t="inlineStr">
        <is>
          <t>KRONOBERGS LÄN</t>
        </is>
      </c>
      <c r="G5192" t="inlineStr">
        <is>
          <t>MARKARYD</t>
        </is>
      </c>
      <c r="H5192" t="inlineStr">
        <is>
          <t>Kyrkan</t>
        </is>
      </c>
      <c r="I5192" t="n">
        <v>3</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62122-2022</t>
        </is>
      </c>
      <c r="B5193" t="inlineStr">
        <is>
          <t>avverkningsanmälan</t>
        </is>
      </c>
      <c r="C5193" t="inlineStr">
        <is>
          <t>Föryngringsavverkning</t>
        </is>
      </c>
      <c r="D5193" s="1" t="n">
        <v>44921</v>
      </c>
      <c r="E5193" s="1" t="n">
        <v>46316</v>
      </c>
      <c r="F5193" t="inlineStr">
        <is>
          <t>KRONOBERGS LÄN</t>
        </is>
      </c>
      <c r="G5193" t="inlineStr">
        <is>
          <t>ÄLMHULT</t>
        </is>
      </c>
      <c r="I5193" t="n">
        <v>0.6</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116-2023</t>
        </is>
      </c>
      <c r="B5194" t="inlineStr">
        <is>
          <t>avverkningsanmälan</t>
        </is>
      </c>
      <c r="C5194" t="inlineStr">
        <is>
          <t>Föryngringsavverkning</t>
        </is>
      </c>
      <c r="D5194" s="1" t="n">
        <v>44928</v>
      </c>
      <c r="E5194" s="1" t="n">
        <v>46316</v>
      </c>
      <c r="F5194" t="inlineStr">
        <is>
          <t>KRONOBERGS LÄN</t>
        </is>
      </c>
      <c r="G5194" t="inlineStr">
        <is>
          <t>ÄLMHULT</t>
        </is>
      </c>
      <c r="I5194" t="n">
        <v>2.5</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57121-2022</t>
        </is>
      </c>
      <c r="B5195" t="inlineStr">
        <is>
          <t>avverkningsanmälan</t>
        </is>
      </c>
      <c r="C5195" t="inlineStr">
        <is>
          <t>Föryngringsavverkning</t>
        </is>
      </c>
      <c r="D5195" s="1" t="n">
        <v>44895</v>
      </c>
      <c r="E5195" s="1" t="n">
        <v>46316</v>
      </c>
      <c r="F5195" t="inlineStr">
        <is>
          <t>KRONOBERGS LÄN</t>
        </is>
      </c>
      <c r="G5195" t="inlineStr">
        <is>
          <t>ALVESTA</t>
        </is>
      </c>
      <c r="I5195" t="n">
        <v>2.8</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5273-2025</t>
        </is>
      </c>
      <c r="B5196" t="inlineStr">
        <is>
          <t>avverkningsanmälan</t>
        </is>
      </c>
      <c r="C5196" t="inlineStr">
        <is>
          <t>Föryngringsavverkning</t>
        </is>
      </c>
      <c r="D5196" s="1" t="n">
        <v>45692</v>
      </c>
      <c r="E5196" s="1" t="n">
        <v>46316</v>
      </c>
      <c r="F5196" t="inlineStr">
        <is>
          <t>KRONOBERGS LÄN</t>
        </is>
      </c>
      <c r="G5196" t="inlineStr">
        <is>
          <t>UPPVIDINGE</t>
        </is>
      </c>
      <c r="I5196" t="n">
        <v>1</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5288-2025</t>
        </is>
      </c>
      <c r="B5197" t="inlineStr">
        <is>
          <t>avverkningsanmälan</t>
        </is>
      </c>
      <c r="C5197" t="inlineStr">
        <is>
          <t>Föryngringsavverkning</t>
        </is>
      </c>
      <c r="D5197" s="1" t="n">
        <v>45692</v>
      </c>
      <c r="E5197" s="1" t="n">
        <v>46316</v>
      </c>
      <c r="F5197" t="inlineStr">
        <is>
          <t>KRONOBERGS LÄN</t>
        </is>
      </c>
      <c r="G5197" t="inlineStr">
        <is>
          <t>VÄXJÖ</t>
        </is>
      </c>
      <c r="I5197" t="n">
        <v>0.6</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7535-2025</t>
        </is>
      </c>
      <c r="B5198" t="inlineStr">
        <is>
          <t>avverkningsanmälan</t>
        </is>
      </c>
      <c r="C5198" t="inlineStr">
        <is>
          <t>Föryngringsavverkning</t>
        </is>
      </c>
      <c r="D5198" s="1" t="n">
        <v>45705</v>
      </c>
      <c r="E5198" s="1" t="n">
        <v>46316</v>
      </c>
      <c r="F5198" t="inlineStr">
        <is>
          <t>KRONOBERGS LÄN</t>
        </is>
      </c>
      <c r="G5198" t="inlineStr">
        <is>
          <t>LJUNGBY</t>
        </is>
      </c>
      <c r="I5198" t="n">
        <v>0.7</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7103-2025</t>
        </is>
      </c>
      <c r="B5199" t="inlineStr">
        <is>
          <t>avverkningsanmälan</t>
        </is>
      </c>
      <c r="C5199" t="inlineStr">
        <is>
          <t>Avverkning för att bevara och utveckla /försöksver</t>
        </is>
      </c>
      <c r="D5199" s="1" t="n">
        <v>45701</v>
      </c>
      <c r="E5199" s="1" t="n">
        <v>46316</v>
      </c>
      <c r="F5199" t="inlineStr">
        <is>
          <t>KRONOBERGS LÄN</t>
        </is>
      </c>
      <c r="G5199" t="inlineStr">
        <is>
          <t>LJUNGBY</t>
        </is>
      </c>
      <c r="I5199" t="n">
        <v>1.6</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7139-2025</t>
        </is>
      </c>
      <c r="B5200" t="inlineStr">
        <is>
          <t>avverkningsanmälan</t>
        </is>
      </c>
      <c r="C5200" t="inlineStr">
        <is>
          <t>Föryngringsavverkning</t>
        </is>
      </c>
      <c r="D5200" s="1" t="n">
        <v>45702</v>
      </c>
      <c r="E5200" s="1" t="n">
        <v>46316</v>
      </c>
      <c r="F5200" t="inlineStr">
        <is>
          <t>KRONOBERGS LÄN</t>
        </is>
      </c>
      <c r="G5200" t="inlineStr">
        <is>
          <t>UPPVIDINGE</t>
        </is>
      </c>
      <c r="I5200" t="n">
        <v>3</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56818-2024</t>
        </is>
      </c>
      <c r="B5201" t="inlineStr">
        <is>
          <t>avverkningsanmälan</t>
        </is>
      </c>
      <c r="C5201" t="inlineStr">
        <is>
          <t>Föryngringsavverkning</t>
        </is>
      </c>
      <c r="D5201" s="1" t="n">
        <v>45628</v>
      </c>
      <c r="E5201" s="1" t="n">
        <v>46316</v>
      </c>
      <c r="F5201" t="inlineStr">
        <is>
          <t>KRONOBERGS LÄN</t>
        </is>
      </c>
      <c r="G5201" t="inlineStr">
        <is>
          <t>LJUNGBY</t>
        </is>
      </c>
      <c r="I5201" t="n">
        <v>0.6</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12845-2024</t>
        </is>
      </c>
      <c r="B5202" t="inlineStr">
        <is>
          <t>avverkningsanmälan</t>
        </is>
      </c>
      <c r="C5202" t="inlineStr">
        <is>
          <t>Föryngringsavverkning</t>
        </is>
      </c>
      <c r="D5202" s="1" t="n">
        <v>45384</v>
      </c>
      <c r="E5202" s="1" t="n">
        <v>46316</v>
      </c>
      <c r="F5202" t="inlineStr">
        <is>
          <t>KRONOBERGS LÄN</t>
        </is>
      </c>
      <c r="G5202" t="inlineStr">
        <is>
          <t>VÄXJÖ</t>
        </is>
      </c>
      <c r="I5202" t="n">
        <v>1.5</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740-2022</t>
        </is>
      </c>
      <c r="B5203" t="inlineStr">
        <is>
          <t>avverkningsanmälan</t>
        </is>
      </c>
      <c r="C5203" t="inlineStr">
        <is>
          <t>Föryngringsavverkning</t>
        </is>
      </c>
      <c r="D5203" s="1" t="n">
        <v>44568</v>
      </c>
      <c r="E5203" s="1" t="n">
        <v>46316</v>
      </c>
      <c r="F5203" t="inlineStr">
        <is>
          <t>KRONOBERGS LÄN</t>
        </is>
      </c>
      <c r="G5203" t="inlineStr">
        <is>
          <t>ÄLMHULT</t>
        </is>
      </c>
      <c r="I5203" t="n">
        <v>1.1</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33352-2024</t>
        </is>
      </c>
      <c r="B5204" t="inlineStr">
        <is>
          <t>avverkningsanmälan</t>
        </is>
      </c>
      <c r="C5204" t="inlineStr">
        <is>
          <t>Föryngringsavverkning</t>
        </is>
      </c>
      <c r="D5204" s="1" t="n">
        <v>45519</v>
      </c>
      <c r="E5204" s="1" t="n">
        <v>46316</v>
      </c>
      <c r="F5204" t="inlineStr">
        <is>
          <t>KRONOBERGS LÄN</t>
        </is>
      </c>
      <c r="G5204" t="inlineStr">
        <is>
          <t>ALVESTA</t>
        </is>
      </c>
      <c r="I5204" t="n">
        <v>0.6</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46181-2024</t>
        </is>
      </c>
      <c r="B5205" t="inlineStr">
        <is>
          <t>avverkningsanmälan</t>
        </is>
      </c>
      <c r="C5205" t="inlineStr">
        <is>
          <t>Föryngringsavverkning</t>
        </is>
      </c>
      <c r="D5205" s="1" t="n">
        <v>45581</v>
      </c>
      <c r="E5205" s="1" t="n">
        <v>46316</v>
      </c>
      <c r="F5205" t="inlineStr">
        <is>
          <t>KRONOBERGS LÄN</t>
        </is>
      </c>
      <c r="G5205" t="inlineStr">
        <is>
          <t>LJUNGBY</t>
        </is>
      </c>
      <c r="I5205" t="n">
        <v>2.3</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6894-2023</t>
        </is>
      </c>
      <c r="B5206" t="inlineStr">
        <is>
          <t>avverkningsanmälan</t>
        </is>
      </c>
      <c r="C5206" t="inlineStr">
        <is>
          <t>Föryngringsavverkning</t>
        </is>
      </c>
      <c r="D5206" s="1" t="n">
        <v>44967</v>
      </c>
      <c r="E5206" s="1" t="n">
        <v>46316</v>
      </c>
      <c r="F5206" t="inlineStr">
        <is>
          <t>KRONOBERGS LÄN</t>
        </is>
      </c>
      <c r="G5206" t="inlineStr">
        <is>
          <t>TINGSRYD</t>
        </is>
      </c>
      <c r="H5206" t="inlineStr">
        <is>
          <t>Övriga Aktiebolag</t>
        </is>
      </c>
      <c r="I5206" t="n">
        <v>2.7</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11782-2022</t>
        </is>
      </c>
      <c r="B5207" t="inlineStr">
        <is>
          <t>avverkningsanmälan</t>
        </is>
      </c>
      <c r="C5207" t="inlineStr">
        <is>
          <t>Föryngringsavverkning</t>
        </is>
      </c>
      <c r="D5207" s="1" t="n">
        <v>44634</v>
      </c>
      <c r="E5207" s="1" t="n">
        <v>46316</v>
      </c>
      <c r="F5207" t="inlineStr">
        <is>
          <t>KRONOBERGS LÄN</t>
        </is>
      </c>
      <c r="G5207" t="inlineStr">
        <is>
          <t>ÄLMHULT</t>
        </is>
      </c>
      <c r="I5207" t="n">
        <v>6.2</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58251-2022</t>
        </is>
      </c>
      <c r="B5208" t="inlineStr">
        <is>
          <t>avverkningsanmälan</t>
        </is>
      </c>
      <c r="C5208" t="inlineStr">
        <is>
          <t>Föryngringsavverkning</t>
        </is>
      </c>
      <c r="D5208" s="1" t="n">
        <v>44901</v>
      </c>
      <c r="E5208" s="1" t="n">
        <v>46316</v>
      </c>
      <c r="F5208" t="inlineStr">
        <is>
          <t>KRONOBERGS LÄN</t>
        </is>
      </c>
      <c r="G5208" t="inlineStr">
        <is>
          <t>TINGSRYD</t>
        </is>
      </c>
      <c r="I5208" t="n">
        <v>0.6</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58256-2022</t>
        </is>
      </c>
      <c r="B5209" t="inlineStr">
        <is>
          <t>avverkningsanmälan</t>
        </is>
      </c>
      <c r="C5209" t="inlineStr">
        <is>
          <t>Föryngringsavverkning</t>
        </is>
      </c>
      <c r="D5209" s="1" t="n">
        <v>44901</v>
      </c>
      <c r="E5209" s="1" t="n">
        <v>46316</v>
      </c>
      <c r="F5209" t="inlineStr">
        <is>
          <t>KRONOBERGS LÄN</t>
        </is>
      </c>
      <c r="G5209" t="inlineStr">
        <is>
          <t>TINGSRYD</t>
        </is>
      </c>
      <c r="I5209" t="n">
        <v>0.5</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18677-2025</t>
        </is>
      </c>
      <c r="B5210" t="inlineStr">
        <is>
          <t>avverkningsanmälan</t>
        </is>
      </c>
      <c r="C5210" t="inlineStr">
        <is>
          <t>Föryngringsavverkning</t>
        </is>
      </c>
      <c r="D5210" s="1" t="n">
        <v>45763</v>
      </c>
      <c r="E5210" s="1" t="n">
        <v>46316</v>
      </c>
      <c r="F5210" t="inlineStr">
        <is>
          <t>KRONOBERGS LÄN</t>
        </is>
      </c>
      <c r="G5210" t="inlineStr">
        <is>
          <t>ALVESTA</t>
        </is>
      </c>
      <c r="I5210" t="n">
        <v>0.9</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11506-2024</t>
        </is>
      </c>
      <c r="B5211" t="inlineStr">
        <is>
          <t>avverkningsanmälan</t>
        </is>
      </c>
      <c r="C5211" t="inlineStr">
        <is>
          <t>Föryngringsavverkning</t>
        </is>
      </c>
      <c r="D5211" s="1" t="n">
        <v>45372</v>
      </c>
      <c r="E5211" s="1" t="n">
        <v>46316</v>
      </c>
      <c r="F5211" t="inlineStr">
        <is>
          <t>KRONOBERGS LÄN</t>
        </is>
      </c>
      <c r="G5211" t="inlineStr">
        <is>
          <t>LJUNGBY</t>
        </is>
      </c>
      <c r="I5211" t="n">
        <v>0.9</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6333-2024</t>
        </is>
      </c>
      <c r="B5212" t="inlineStr">
        <is>
          <t>avverkningsanmälan</t>
        </is>
      </c>
      <c r="C5212" t="inlineStr">
        <is>
          <t>Föryngringsavverkning</t>
        </is>
      </c>
      <c r="D5212" s="1" t="n">
        <v>45338</v>
      </c>
      <c r="E5212" s="1" t="n">
        <v>46316</v>
      </c>
      <c r="F5212" t="inlineStr">
        <is>
          <t>KRONOBERGS LÄN</t>
        </is>
      </c>
      <c r="G5212" t="inlineStr">
        <is>
          <t>UPPVIDINGE</t>
        </is>
      </c>
      <c r="H5212" t="inlineStr">
        <is>
          <t>Sveaskog</t>
        </is>
      </c>
      <c r="I5212" t="n">
        <v>0.6</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22736-2024</t>
        </is>
      </c>
      <c r="B5213" t="inlineStr">
        <is>
          <t>avverkningsanmälan</t>
        </is>
      </c>
      <c r="C5213" t="inlineStr">
        <is>
          <t>Föryngringsavverkning</t>
        </is>
      </c>
      <c r="D5213" s="1" t="n">
        <v>45448</v>
      </c>
      <c r="E5213" s="1" t="n">
        <v>46316</v>
      </c>
      <c r="F5213" t="inlineStr">
        <is>
          <t>KRONOBERGS LÄN</t>
        </is>
      </c>
      <c r="G5213" t="inlineStr">
        <is>
          <t>VÄXJÖ</t>
        </is>
      </c>
      <c r="I5213" t="n">
        <v>0.9</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58214-2023</t>
        </is>
      </c>
      <c r="B5214" t="inlineStr">
        <is>
          <t>avverkningsanmälan</t>
        </is>
      </c>
      <c r="C5214" t="inlineStr">
        <is>
          <t>Föryngringsavverkning</t>
        </is>
      </c>
      <c r="D5214" s="1" t="n">
        <v>45250</v>
      </c>
      <c r="E5214" s="1" t="n">
        <v>46316</v>
      </c>
      <c r="F5214" t="inlineStr">
        <is>
          <t>KRONOBERGS LÄN</t>
        </is>
      </c>
      <c r="G5214" t="inlineStr">
        <is>
          <t>LJUNGBY</t>
        </is>
      </c>
      <c r="I5214" t="n">
        <v>2.1</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153-2024</t>
        </is>
      </c>
      <c r="B5215" t="inlineStr">
        <is>
          <t>avverkningsanmälan</t>
        </is>
      </c>
      <c r="C5215" t="inlineStr">
        <is>
          <t>Avverkning för annat ändamål</t>
        </is>
      </c>
      <c r="D5215" s="1" t="n">
        <v>45294</v>
      </c>
      <c r="E5215" s="1" t="n">
        <v>46316</v>
      </c>
      <c r="F5215" t="inlineStr">
        <is>
          <t>KRONOBERGS LÄN</t>
        </is>
      </c>
      <c r="G5215" t="inlineStr">
        <is>
          <t>VÄXJÖ</t>
        </is>
      </c>
      <c r="I5215" t="n">
        <v>1.1</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4747-2022</t>
        </is>
      </c>
      <c r="B5216" t="inlineStr">
        <is>
          <t>avverkningsanmälan</t>
        </is>
      </c>
      <c r="C5216" t="inlineStr">
        <is>
          <t>Föryngringsavverkning</t>
        </is>
      </c>
      <c r="D5216" s="1" t="n">
        <v>44592</v>
      </c>
      <c r="E5216" s="1" t="n">
        <v>46316</v>
      </c>
      <c r="F5216" t="inlineStr">
        <is>
          <t>KRONOBERGS LÄN</t>
        </is>
      </c>
      <c r="G5216" t="inlineStr">
        <is>
          <t>ÄLMHULT</t>
        </is>
      </c>
      <c r="I5216" t="n">
        <v>4.8</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1481-2023</t>
        </is>
      </c>
      <c r="B5217" t="inlineStr">
        <is>
          <t>avverkningsanmälan</t>
        </is>
      </c>
      <c r="C5217" t="inlineStr">
        <is>
          <t>Föryngringsavverkning</t>
        </is>
      </c>
      <c r="D5217" s="1" t="n">
        <v>44937</v>
      </c>
      <c r="E5217" s="1" t="n">
        <v>46316</v>
      </c>
      <c r="F5217" t="inlineStr">
        <is>
          <t>KRONOBERGS LÄN</t>
        </is>
      </c>
      <c r="G5217" t="inlineStr">
        <is>
          <t>UPPVIDINGE</t>
        </is>
      </c>
      <c r="I5217" t="n">
        <v>1.3</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1482-2023</t>
        </is>
      </c>
      <c r="B5218" t="inlineStr">
        <is>
          <t>avverkningsanmälan</t>
        </is>
      </c>
      <c r="C5218" t="inlineStr">
        <is>
          <t>Föryngringsavverkning</t>
        </is>
      </c>
      <c r="D5218" s="1" t="n">
        <v>44937</v>
      </c>
      <c r="E5218" s="1" t="n">
        <v>46316</v>
      </c>
      <c r="F5218" t="inlineStr">
        <is>
          <t>KRONOBERGS LÄN</t>
        </is>
      </c>
      <c r="G5218" t="inlineStr">
        <is>
          <t>UPPVIDINGE</t>
        </is>
      </c>
      <c r="I5218" t="n">
        <v>0.9</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45904-2023</t>
        </is>
      </c>
      <c r="B5219" t="inlineStr">
        <is>
          <t>avverkningsanmälan</t>
        </is>
      </c>
      <c r="C5219" t="inlineStr">
        <is>
          <t>Föryngringsavverkning</t>
        </is>
      </c>
      <c r="D5219" s="1" t="n">
        <v>45195</v>
      </c>
      <c r="E5219" s="1" t="n">
        <v>46316</v>
      </c>
      <c r="F5219" t="inlineStr">
        <is>
          <t>KRONOBERGS LÄN</t>
        </is>
      </c>
      <c r="G5219" t="inlineStr">
        <is>
          <t>UPPVIDINGE</t>
        </is>
      </c>
      <c r="I5219" t="n">
        <v>10.3</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39730-2022</t>
        </is>
      </c>
      <c r="B5220" t="inlineStr">
        <is>
          <t>avverkningsanmälan</t>
        </is>
      </c>
      <c r="C5220" t="inlineStr">
        <is>
          <t>Föryngringsavverkning</t>
        </is>
      </c>
      <c r="D5220" s="1" t="n">
        <v>44819</v>
      </c>
      <c r="E5220" s="1" t="n">
        <v>46316</v>
      </c>
      <c r="F5220" t="inlineStr">
        <is>
          <t>KRONOBERGS LÄN</t>
        </is>
      </c>
      <c r="G5220" t="inlineStr">
        <is>
          <t>LJUNGBY</t>
        </is>
      </c>
      <c r="I5220" t="n">
        <v>1.7</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36365-2023</t>
        </is>
      </c>
      <c r="B5221" t="inlineStr">
        <is>
          <t>avverkningsanmälan</t>
        </is>
      </c>
      <c r="C5221" t="inlineStr">
        <is>
          <t>Föryngringsavverkning</t>
        </is>
      </c>
      <c r="D5221" s="1" t="n">
        <v>45152</v>
      </c>
      <c r="E5221" s="1" t="n">
        <v>46316</v>
      </c>
      <c r="F5221" t="inlineStr">
        <is>
          <t>KRONOBERGS LÄN</t>
        </is>
      </c>
      <c r="G5221" t="inlineStr">
        <is>
          <t>LJUNGBY</t>
        </is>
      </c>
      <c r="I5221" t="n">
        <v>0.3</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13296-2024</t>
        </is>
      </c>
      <c r="B5222" t="inlineStr">
        <is>
          <t>avverkningsanmälan</t>
        </is>
      </c>
      <c r="C5222" t="inlineStr">
        <is>
          <t>Föryngringsavverkning</t>
        </is>
      </c>
      <c r="D5222" s="1" t="n">
        <v>45386</v>
      </c>
      <c r="E5222" s="1" t="n">
        <v>46316</v>
      </c>
      <c r="F5222" t="inlineStr">
        <is>
          <t>KRONOBERGS LÄN</t>
        </is>
      </c>
      <c r="G5222" t="inlineStr">
        <is>
          <t>TINGSRYD</t>
        </is>
      </c>
      <c r="I5222" t="n">
        <v>1.9</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3533-2023</t>
        </is>
      </c>
      <c r="B5223" t="inlineStr">
        <is>
          <t>avverkningsanmälan</t>
        </is>
      </c>
      <c r="C5223" t="inlineStr">
        <is>
          <t>Föryngringsavverkning</t>
        </is>
      </c>
      <c r="D5223" s="1" t="n">
        <v>44950</v>
      </c>
      <c r="E5223" s="1" t="n">
        <v>46316</v>
      </c>
      <c r="F5223" t="inlineStr">
        <is>
          <t>KRONOBERGS LÄN</t>
        </is>
      </c>
      <c r="G5223" t="inlineStr">
        <is>
          <t>MARKARYD</t>
        </is>
      </c>
      <c r="I5223" t="n">
        <v>13.2</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27630-2023</t>
        </is>
      </c>
      <c r="B5224" t="inlineStr">
        <is>
          <t>avverkningsanmälan</t>
        </is>
      </c>
      <c r="C5224" t="inlineStr">
        <is>
          <t>Föryngringsavverkning</t>
        </is>
      </c>
      <c r="D5224" s="1" t="n">
        <v>45097</v>
      </c>
      <c r="E5224" s="1" t="n">
        <v>46316</v>
      </c>
      <c r="F5224" t="inlineStr">
        <is>
          <t>KRONOBERGS LÄN</t>
        </is>
      </c>
      <c r="G5224" t="inlineStr">
        <is>
          <t>LJUNGBY</t>
        </is>
      </c>
      <c r="I5224" t="n">
        <v>1.8</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6009-2024</t>
        </is>
      </c>
      <c r="B5225" t="inlineStr">
        <is>
          <t>avverkningsanmälan</t>
        </is>
      </c>
      <c r="C5225" t="inlineStr">
        <is>
          <t>Föryngringsavverkning</t>
        </is>
      </c>
      <c r="D5225" s="1" t="n">
        <v>45336</v>
      </c>
      <c r="E5225" s="1" t="n">
        <v>46316</v>
      </c>
      <c r="F5225" t="inlineStr">
        <is>
          <t>KRONOBERGS LÄN</t>
        </is>
      </c>
      <c r="G5225" t="inlineStr">
        <is>
          <t>ALVESTA</t>
        </is>
      </c>
      <c r="I5225" t="n">
        <v>1.7</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24431-2023</t>
        </is>
      </c>
      <c r="B5226" t="inlineStr">
        <is>
          <t>avverkningsanmälan</t>
        </is>
      </c>
      <c r="C5226" t="inlineStr">
        <is>
          <t>Föryngringsavverkning</t>
        </is>
      </c>
      <c r="D5226" s="1" t="n">
        <v>45082</v>
      </c>
      <c r="E5226" s="1" t="n">
        <v>46316</v>
      </c>
      <c r="F5226" t="inlineStr">
        <is>
          <t>KRONOBERGS LÄN</t>
        </is>
      </c>
      <c r="G5226" t="inlineStr">
        <is>
          <t>TINGSRYD</t>
        </is>
      </c>
      <c r="I5226" t="n">
        <v>1.9</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31872-2022</t>
        </is>
      </c>
      <c r="B5227" t="inlineStr">
        <is>
          <t>avverkningsanmälan</t>
        </is>
      </c>
      <c r="C5227" t="inlineStr">
        <is>
          <t>Föryngringsavverkning</t>
        </is>
      </c>
      <c r="D5227" s="1" t="n">
        <v>44777</v>
      </c>
      <c r="E5227" s="1" t="n">
        <v>46316</v>
      </c>
      <c r="F5227" t="inlineStr">
        <is>
          <t>KRONOBERGS LÄN</t>
        </is>
      </c>
      <c r="G5227" t="inlineStr">
        <is>
          <t>ÄLMHULT</t>
        </is>
      </c>
      <c r="I5227" t="n">
        <v>2.3</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3809-2025</t>
        </is>
      </c>
      <c r="B5228" t="inlineStr">
        <is>
          <t>avverkningsanmälan</t>
        </is>
      </c>
      <c r="C5228" t="inlineStr">
        <is>
          <t>Föryngringsavverkning</t>
        </is>
      </c>
      <c r="D5228" s="1" t="n">
        <v>45681</v>
      </c>
      <c r="E5228" s="1" t="n">
        <v>46316</v>
      </c>
      <c r="F5228" t="inlineStr">
        <is>
          <t>KRONOBERGS LÄN</t>
        </is>
      </c>
      <c r="G5228" t="inlineStr">
        <is>
          <t>MARKARYD</t>
        </is>
      </c>
      <c r="I5228" t="n">
        <v>0.9</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33499-2023</t>
        </is>
      </c>
      <c r="B5229" t="inlineStr">
        <is>
          <t>avverkningsanmälan</t>
        </is>
      </c>
      <c r="C5229" t="inlineStr">
        <is>
          <t>Föryngringsavverkning</t>
        </is>
      </c>
      <c r="D5229" s="1" t="n">
        <v>45131</v>
      </c>
      <c r="E5229" s="1" t="n">
        <v>46316</v>
      </c>
      <c r="F5229" t="inlineStr">
        <is>
          <t>KRONOBERGS LÄN</t>
        </is>
      </c>
      <c r="G5229" t="inlineStr">
        <is>
          <t>LJUNGBY</t>
        </is>
      </c>
      <c r="I5229" t="n">
        <v>1.3</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25096-2024</t>
        </is>
      </c>
      <c r="B5230" t="inlineStr">
        <is>
          <t>avverkningsanmälan</t>
        </is>
      </c>
      <c r="C5230" t="inlineStr">
        <is>
          <t>Föryngringsavverkning</t>
        </is>
      </c>
      <c r="D5230" s="1" t="n">
        <v>45462</v>
      </c>
      <c r="E5230" s="1" t="n">
        <v>46316</v>
      </c>
      <c r="F5230" t="inlineStr">
        <is>
          <t>KRONOBERGS LÄN</t>
        </is>
      </c>
      <c r="G5230" t="inlineStr">
        <is>
          <t>MARKARYD</t>
        </is>
      </c>
      <c r="I5230" t="n">
        <v>4.9</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51224-2023</t>
        </is>
      </c>
      <c r="B5231" t="inlineStr">
        <is>
          <t>avverkningsanmälan</t>
        </is>
      </c>
      <c r="C5231" t="inlineStr">
        <is>
          <t>Föryngringsavverkning</t>
        </is>
      </c>
      <c r="D5231" s="1" t="n">
        <v>45219</v>
      </c>
      <c r="E5231" s="1" t="n">
        <v>46316</v>
      </c>
      <c r="F5231" t="inlineStr">
        <is>
          <t>KRONOBERGS LÄN</t>
        </is>
      </c>
      <c r="G5231" t="inlineStr">
        <is>
          <t>VÄXJÖ</t>
        </is>
      </c>
      <c r="I5231" t="n">
        <v>0.1</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2238-2023</t>
        </is>
      </c>
      <c r="B5232" t="inlineStr">
        <is>
          <t>avverkningsanmälan</t>
        </is>
      </c>
      <c r="C5232" t="inlineStr">
        <is>
          <t>Föryngringsavverkning</t>
        </is>
      </c>
      <c r="D5232" s="1" t="n">
        <v>44942</v>
      </c>
      <c r="E5232" s="1" t="n">
        <v>46316</v>
      </c>
      <c r="F5232" t="inlineStr">
        <is>
          <t>KRONOBERGS LÄN</t>
        </is>
      </c>
      <c r="G5232" t="inlineStr">
        <is>
          <t>ÄLMHULT</t>
        </is>
      </c>
      <c r="I5232" t="n">
        <v>0</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2242-2023</t>
        </is>
      </c>
      <c r="B5233" t="inlineStr">
        <is>
          <t>avverkningsanmälan</t>
        </is>
      </c>
      <c r="C5233" t="inlineStr">
        <is>
          <t>Föryngringsavverkning</t>
        </is>
      </c>
      <c r="D5233" s="1" t="n">
        <v>44942</v>
      </c>
      <c r="E5233" s="1" t="n">
        <v>46316</v>
      </c>
      <c r="F5233" t="inlineStr">
        <is>
          <t>KRONOBERGS LÄN</t>
        </is>
      </c>
      <c r="G5233" t="inlineStr">
        <is>
          <t>ÄLMHULT</t>
        </is>
      </c>
      <c r="I5233" t="n">
        <v>0</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42994-2023</t>
        </is>
      </c>
      <c r="B5234" t="inlineStr">
        <is>
          <t>avverkningsanmälan</t>
        </is>
      </c>
      <c r="C5234" t="inlineStr">
        <is>
          <t>Föryngringsavverkning</t>
        </is>
      </c>
      <c r="D5234" s="1" t="n">
        <v>45182</v>
      </c>
      <c r="E5234" s="1" t="n">
        <v>46316</v>
      </c>
      <c r="F5234" t="inlineStr">
        <is>
          <t>KRONOBERGS LÄN</t>
        </is>
      </c>
      <c r="G5234" t="inlineStr">
        <is>
          <t>TINGSRYD</t>
        </is>
      </c>
      <c r="I5234" t="n">
        <v>1.8</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35492-2023</t>
        </is>
      </c>
      <c r="B5235" t="inlineStr">
        <is>
          <t>avverkningsanmälan</t>
        </is>
      </c>
      <c r="C5235" t="inlineStr">
        <is>
          <t>Föryngringsavverkning</t>
        </is>
      </c>
      <c r="D5235" s="1" t="n">
        <v>45146</v>
      </c>
      <c r="E5235" s="1" t="n">
        <v>46316</v>
      </c>
      <c r="F5235" t="inlineStr">
        <is>
          <t>KRONOBERGS LÄN</t>
        </is>
      </c>
      <c r="G5235" t="inlineStr">
        <is>
          <t>UPPVIDINGE</t>
        </is>
      </c>
      <c r="I5235" t="n">
        <v>2.7</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35494-2023</t>
        </is>
      </c>
      <c r="B5236" t="inlineStr">
        <is>
          <t>avverkningsanmälan</t>
        </is>
      </c>
      <c r="C5236" t="inlineStr">
        <is>
          <t>Föryngringsavverkning</t>
        </is>
      </c>
      <c r="D5236" s="1" t="n">
        <v>45146</v>
      </c>
      <c r="E5236" s="1" t="n">
        <v>46316</v>
      </c>
      <c r="F5236" t="inlineStr">
        <is>
          <t>KRONOBERGS LÄN</t>
        </is>
      </c>
      <c r="G5236" t="inlineStr">
        <is>
          <t>UPPVIDINGE</t>
        </is>
      </c>
      <c r="I5236" t="n">
        <v>3.7</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35546-2023</t>
        </is>
      </c>
      <c r="B5237" t="inlineStr">
        <is>
          <t>avverkningsanmälan</t>
        </is>
      </c>
      <c r="C5237" t="inlineStr">
        <is>
          <t>Föryngringsavverkning</t>
        </is>
      </c>
      <c r="D5237" s="1" t="n">
        <v>45147</v>
      </c>
      <c r="E5237" s="1" t="n">
        <v>46316</v>
      </c>
      <c r="F5237" t="inlineStr">
        <is>
          <t>KRONOBERGS LÄN</t>
        </is>
      </c>
      <c r="G5237" t="inlineStr">
        <is>
          <t>VÄXJÖ</t>
        </is>
      </c>
      <c r="I5237" t="n">
        <v>2.5</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70401-2021</t>
        </is>
      </c>
      <c r="B5238" t="inlineStr">
        <is>
          <t>avverkningsanmälan</t>
        </is>
      </c>
      <c r="C5238" t="inlineStr">
        <is>
          <t>Föryngringsavverkning</t>
        </is>
      </c>
      <c r="D5238" s="1" t="n">
        <v>44536</v>
      </c>
      <c r="E5238" s="1" t="n">
        <v>46316</v>
      </c>
      <c r="F5238" t="inlineStr">
        <is>
          <t>KRONOBERGS LÄN</t>
        </is>
      </c>
      <c r="G5238" t="inlineStr">
        <is>
          <t>VÄXJÖ</t>
        </is>
      </c>
      <c r="I5238" t="n">
        <v>1.5</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63115-2023</t>
        </is>
      </c>
      <c r="B5239" t="inlineStr">
        <is>
          <t>avverkningsanmälan</t>
        </is>
      </c>
      <c r="C5239" t="inlineStr">
        <is>
          <t>Föryngringsavverkning</t>
        </is>
      </c>
      <c r="D5239" s="1" t="n">
        <v>45273</v>
      </c>
      <c r="E5239" s="1" t="n">
        <v>46316</v>
      </c>
      <c r="F5239" t="inlineStr">
        <is>
          <t>KRONOBERGS LÄN</t>
        </is>
      </c>
      <c r="G5239" t="inlineStr">
        <is>
          <t>ÄLMHULT</t>
        </is>
      </c>
      <c r="I5239" t="n">
        <v>0.9</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11470-2024</t>
        </is>
      </c>
      <c r="B5240" t="inlineStr">
        <is>
          <t>avverkningsanmälan</t>
        </is>
      </c>
      <c r="C5240" t="inlineStr">
        <is>
          <t>Föryngringsavverkning</t>
        </is>
      </c>
      <c r="D5240" s="1" t="n">
        <v>45372</v>
      </c>
      <c r="E5240" s="1" t="n">
        <v>46316</v>
      </c>
      <c r="F5240" t="inlineStr">
        <is>
          <t>KRONOBERGS LÄN</t>
        </is>
      </c>
      <c r="G5240" t="inlineStr">
        <is>
          <t>MARKARYD</t>
        </is>
      </c>
      <c r="I5240" t="n">
        <v>0.7</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21406-2024</t>
        </is>
      </c>
      <c r="B5241" t="inlineStr">
        <is>
          <t>avverkningsanmälan</t>
        </is>
      </c>
      <c r="C5241" t="inlineStr">
        <is>
          <t>Föryngringsavverkning</t>
        </is>
      </c>
      <c r="D5241" s="1" t="n">
        <v>45441</v>
      </c>
      <c r="E5241" s="1" t="n">
        <v>46316</v>
      </c>
      <c r="F5241" t="inlineStr">
        <is>
          <t>KRONOBERGS LÄN</t>
        </is>
      </c>
      <c r="G5241" t="inlineStr">
        <is>
          <t>LJUNGBY</t>
        </is>
      </c>
      <c r="I5241" t="n">
        <v>1.3</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25569-2022</t>
        </is>
      </c>
      <c r="B5242" t="inlineStr">
        <is>
          <t>avverkningsanmälan</t>
        </is>
      </c>
      <c r="C5242" t="inlineStr">
        <is>
          <t>Föryngringsavverkning</t>
        </is>
      </c>
      <c r="D5242" s="1" t="n">
        <v>44732</v>
      </c>
      <c r="E5242" s="1" t="n">
        <v>46316</v>
      </c>
      <c r="F5242" t="inlineStr">
        <is>
          <t>KRONOBERGS LÄN</t>
        </is>
      </c>
      <c r="G5242" t="inlineStr">
        <is>
          <t>VÄXJÖ</t>
        </is>
      </c>
      <c r="I5242" t="n">
        <v>5.9</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72318-2021</t>
        </is>
      </c>
      <c r="B5243" t="inlineStr">
        <is>
          <t>avverkningsanmälan</t>
        </is>
      </c>
      <c r="C5243" t="inlineStr">
        <is>
          <t>Föryngringsavverkning</t>
        </is>
      </c>
      <c r="D5243" s="1" t="n">
        <v>44545</v>
      </c>
      <c r="E5243" s="1" t="n">
        <v>46316</v>
      </c>
      <c r="F5243" t="inlineStr">
        <is>
          <t>KRONOBERGS LÄN</t>
        </is>
      </c>
      <c r="G5243" t="inlineStr">
        <is>
          <t>ALVESTA</t>
        </is>
      </c>
      <c r="I5243" t="n">
        <v>2.2</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24788-2024</t>
        </is>
      </c>
      <c r="B5244" t="inlineStr">
        <is>
          <t>avverkningsanmälan</t>
        </is>
      </c>
      <c r="C5244" t="inlineStr">
        <is>
          <t>Föryngringsavverkning</t>
        </is>
      </c>
      <c r="D5244" s="1" t="n">
        <v>45460</v>
      </c>
      <c r="E5244" s="1" t="n">
        <v>46316</v>
      </c>
      <c r="F5244" t="inlineStr">
        <is>
          <t>KRONOBERGS LÄN</t>
        </is>
      </c>
      <c r="G5244" t="inlineStr">
        <is>
          <t>UPPVIDINGE</t>
        </is>
      </c>
      <c r="I5244" t="n">
        <v>0.4</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33500-2023</t>
        </is>
      </c>
      <c r="B5245" t="inlineStr">
        <is>
          <t>avverkningsanmälan</t>
        </is>
      </c>
      <c r="C5245" t="inlineStr">
        <is>
          <t>Föryngringsavverkning</t>
        </is>
      </c>
      <c r="D5245" s="1" t="n">
        <v>45131</v>
      </c>
      <c r="E5245" s="1" t="n">
        <v>46316</v>
      </c>
      <c r="F5245" t="inlineStr">
        <is>
          <t>KRONOBERGS LÄN</t>
        </is>
      </c>
      <c r="G5245" t="inlineStr">
        <is>
          <t>LJUNGBY</t>
        </is>
      </c>
      <c r="I5245" t="n">
        <v>0.4</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30852-2024</t>
        </is>
      </c>
      <c r="B5246" t="inlineStr">
        <is>
          <t>avverkningsanmälan</t>
        </is>
      </c>
      <c r="C5246" t="inlineStr">
        <is>
          <t>Föryngringsavverkning</t>
        </is>
      </c>
      <c r="D5246" s="1" t="n">
        <v>45497</v>
      </c>
      <c r="E5246" s="1" t="n">
        <v>46316</v>
      </c>
      <c r="F5246" t="inlineStr">
        <is>
          <t>KRONOBERGS LÄN</t>
        </is>
      </c>
      <c r="G5246" t="inlineStr">
        <is>
          <t>ÄLMHULT</t>
        </is>
      </c>
      <c r="I5246" t="n">
        <v>0.5</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41805-2024</t>
        </is>
      </c>
      <c r="B5247" t="inlineStr">
        <is>
          <t>avverkningsanmälan</t>
        </is>
      </c>
      <c r="C5247" t="inlineStr">
        <is>
          <t>Föryngringsavverkning</t>
        </is>
      </c>
      <c r="D5247" s="1" t="n">
        <v>45561</v>
      </c>
      <c r="E5247" s="1" t="n">
        <v>46316</v>
      </c>
      <c r="F5247" t="inlineStr">
        <is>
          <t>KRONOBERGS LÄN</t>
        </is>
      </c>
      <c r="G5247" t="inlineStr">
        <is>
          <t>UPPVIDINGE</t>
        </is>
      </c>
      <c r="I5247" t="n">
        <v>0.8</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13036-2022</t>
        </is>
      </c>
      <c r="B5248" t="inlineStr">
        <is>
          <t>avverkningsanmälan</t>
        </is>
      </c>
      <c r="C5248" t="inlineStr">
        <is>
          <t>Föryngringsavverkning</t>
        </is>
      </c>
      <c r="D5248" s="1" t="n">
        <v>44643</v>
      </c>
      <c r="E5248" s="1" t="n">
        <v>46316</v>
      </c>
      <c r="F5248" t="inlineStr">
        <is>
          <t>KRONOBERGS LÄN</t>
        </is>
      </c>
      <c r="G5248" t="inlineStr">
        <is>
          <t>LESSEBO</t>
        </is>
      </c>
      <c r="I5248" t="n">
        <v>1.5</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50540-2023</t>
        </is>
      </c>
      <c r="B5249" t="inlineStr">
        <is>
          <t>avverkningsanmälan</t>
        </is>
      </c>
      <c r="C5249" t="inlineStr">
        <is>
          <t>Föryngringsavverkning</t>
        </is>
      </c>
      <c r="D5249" s="1" t="n">
        <v>45217</v>
      </c>
      <c r="E5249" s="1" t="n">
        <v>46316</v>
      </c>
      <c r="F5249" t="inlineStr">
        <is>
          <t>KRONOBERGS LÄN</t>
        </is>
      </c>
      <c r="G5249" t="inlineStr">
        <is>
          <t>ÄLMHULT</t>
        </is>
      </c>
      <c r="I5249" t="n">
        <v>1.3</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52031-2023</t>
        </is>
      </c>
      <c r="B5250" t="inlineStr">
        <is>
          <t>avverkningsanmälan</t>
        </is>
      </c>
      <c r="C5250" t="inlineStr">
        <is>
          <t>Föryngringsavverkning</t>
        </is>
      </c>
      <c r="D5250" s="1" t="n">
        <v>45223</v>
      </c>
      <c r="E5250" s="1" t="n">
        <v>46316</v>
      </c>
      <c r="F5250" t="inlineStr">
        <is>
          <t>KRONOBERGS LÄN</t>
        </is>
      </c>
      <c r="G5250" t="inlineStr">
        <is>
          <t>LESSEBO</t>
        </is>
      </c>
      <c r="I5250" t="n">
        <v>0.6</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10087-2022</t>
        </is>
      </c>
      <c r="B5251" t="inlineStr">
        <is>
          <t>avverkningsanmälan</t>
        </is>
      </c>
      <c r="C5251" t="inlineStr">
        <is>
          <t>Föryngringsavverkning</t>
        </is>
      </c>
      <c r="D5251" s="1" t="n">
        <v>44621</v>
      </c>
      <c r="E5251" s="1" t="n">
        <v>46316</v>
      </c>
      <c r="F5251" t="inlineStr">
        <is>
          <t>KRONOBERGS LÄN</t>
        </is>
      </c>
      <c r="G5251" t="inlineStr">
        <is>
          <t>ÄLMHULT</t>
        </is>
      </c>
      <c r="I5251" t="n">
        <v>2.2</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62172-2022</t>
        </is>
      </c>
      <c r="B5252" t="inlineStr">
        <is>
          <t>avverkningsanmälan</t>
        </is>
      </c>
      <c r="C5252" t="inlineStr">
        <is>
          <t>Föryngringsavverkning</t>
        </is>
      </c>
      <c r="D5252" s="1" t="n">
        <v>44922</v>
      </c>
      <c r="E5252" s="1" t="n">
        <v>46316</v>
      </c>
      <c r="F5252" t="inlineStr">
        <is>
          <t>KRONOBERGS LÄN</t>
        </is>
      </c>
      <c r="G5252" t="inlineStr">
        <is>
          <t>ÄLMHULT</t>
        </is>
      </c>
      <c r="I5252" t="n">
        <v>1.1</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19054-2025</t>
        </is>
      </c>
      <c r="B5253" t="inlineStr">
        <is>
          <t>avverkningsanmälan</t>
        </is>
      </c>
      <c r="C5253" t="inlineStr">
        <is>
          <t>Föryngringsavverkning</t>
        </is>
      </c>
      <c r="D5253" s="1" t="n">
        <v>45764</v>
      </c>
      <c r="E5253" s="1" t="n">
        <v>46316</v>
      </c>
      <c r="F5253" t="inlineStr">
        <is>
          <t>KRONOBERGS LÄN</t>
        </is>
      </c>
      <c r="G5253" t="inlineStr">
        <is>
          <t>UPPVIDINGE</t>
        </is>
      </c>
      <c r="H5253" t="inlineStr">
        <is>
          <t>Sveaskog</t>
        </is>
      </c>
      <c r="I5253" t="n">
        <v>1.4</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70349-2021</t>
        </is>
      </c>
      <c r="B5254" t="inlineStr">
        <is>
          <t>avverkningsanmälan</t>
        </is>
      </c>
      <c r="C5254" t="inlineStr">
        <is>
          <t>Föryngringsavverkning</t>
        </is>
      </c>
      <c r="D5254" s="1" t="n">
        <v>44536</v>
      </c>
      <c r="E5254" s="1" t="n">
        <v>46316</v>
      </c>
      <c r="F5254" t="inlineStr">
        <is>
          <t>KRONOBERGS LÄN</t>
        </is>
      </c>
      <c r="G5254" t="inlineStr">
        <is>
          <t>LESSEBO</t>
        </is>
      </c>
      <c r="I5254" t="n">
        <v>1.3</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70350-2021</t>
        </is>
      </c>
      <c r="B5255" t="inlineStr">
        <is>
          <t>avverkningsanmälan</t>
        </is>
      </c>
      <c r="C5255" t="inlineStr">
        <is>
          <t>Föryngringsavverkning</t>
        </is>
      </c>
      <c r="D5255" s="1" t="n">
        <v>44536</v>
      </c>
      <c r="E5255" s="1" t="n">
        <v>46316</v>
      </c>
      <c r="F5255" t="inlineStr">
        <is>
          <t>KRONOBERGS LÄN</t>
        </is>
      </c>
      <c r="G5255" t="inlineStr">
        <is>
          <t>LESSEBO</t>
        </is>
      </c>
      <c r="I5255" t="n">
        <v>0.8</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53789-2024</t>
        </is>
      </c>
      <c r="B5256" t="inlineStr">
        <is>
          <t>avverkningsanmälan</t>
        </is>
      </c>
      <c r="C5256" t="inlineStr">
        <is>
          <t>Föryngringsavverkning</t>
        </is>
      </c>
      <c r="D5256" s="1" t="n">
        <v>45615</v>
      </c>
      <c r="E5256" s="1" t="n">
        <v>46316</v>
      </c>
      <c r="F5256" t="inlineStr">
        <is>
          <t>KRONOBERGS LÄN</t>
        </is>
      </c>
      <c r="G5256" t="inlineStr">
        <is>
          <t>LJUNGBY</t>
        </is>
      </c>
      <c r="I5256" t="n">
        <v>0.6</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16910-2023</t>
        </is>
      </c>
      <c r="B5257" t="inlineStr">
        <is>
          <t>avverkningsanmälan</t>
        </is>
      </c>
      <c r="C5257" t="inlineStr">
        <is>
          <t>Föryngringsavverkning</t>
        </is>
      </c>
      <c r="D5257" s="1" t="n">
        <v>45033</v>
      </c>
      <c r="E5257" s="1" t="n">
        <v>46316</v>
      </c>
      <c r="F5257" t="inlineStr">
        <is>
          <t>KRONOBERGS LÄN</t>
        </is>
      </c>
      <c r="G5257" t="inlineStr">
        <is>
          <t>LJUNGBY</t>
        </is>
      </c>
      <c r="I5257" t="n">
        <v>5.6</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1846-2024</t>
        </is>
      </c>
      <c r="B5258" t="inlineStr">
        <is>
          <t>avverkningsanmälan</t>
        </is>
      </c>
      <c r="C5258" t="inlineStr">
        <is>
          <t>Föryngringsavverkning</t>
        </is>
      </c>
      <c r="D5258" s="1" t="n">
        <v>45307</v>
      </c>
      <c r="E5258" s="1" t="n">
        <v>46316</v>
      </c>
      <c r="F5258" t="inlineStr">
        <is>
          <t>KRONOBERGS LÄN</t>
        </is>
      </c>
      <c r="G5258" t="inlineStr">
        <is>
          <t>LJUNGBY</t>
        </is>
      </c>
      <c r="I5258" t="n">
        <v>0.7</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5024-2022</t>
        </is>
      </c>
      <c r="B5259" t="inlineStr">
        <is>
          <t>avverkningsanmälan</t>
        </is>
      </c>
      <c r="C5259" t="inlineStr">
        <is>
          <t>Föryngringsavverkning</t>
        </is>
      </c>
      <c r="D5259" s="1" t="n">
        <v>44593</v>
      </c>
      <c r="E5259" s="1" t="n">
        <v>46316</v>
      </c>
      <c r="F5259" t="inlineStr">
        <is>
          <t>KRONOBERGS LÄN</t>
        </is>
      </c>
      <c r="G5259" t="inlineStr">
        <is>
          <t>UPPVIDINGE</t>
        </is>
      </c>
      <c r="I5259" t="n">
        <v>4.5</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43497-2023</t>
        </is>
      </c>
      <c r="B5260" t="inlineStr">
        <is>
          <t>avverkningsanmälan</t>
        </is>
      </c>
      <c r="C5260" t="inlineStr">
        <is>
          <t>Föryngringsavverkning</t>
        </is>
      </c>
      <c r="D5260" s="1" t="n">
        <v>45181</v>
      </c>
      <c r="E5260" s="1" t="n">
        <v>46316</v>
      </c>
      <c r="F5260" t="inlineStr">
        <is>
          <t>KRONOBERGS LÄN</t>
        </is>
      </c>
      <c r="G5260" t="inlineStr">
        <is>
          <t>UPPVIDINGE</t>
        </is>
      </c>
      <c r="H5260" t="inlineStr">
        <is>
          <t>Kyrkan</t>
        </is>
      </c>
      <c r="I5260" t="n">
        <v>6.1</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18933-2025</t>
        </is>
      </c>
      <c r="B5261" t="inlineStr">
        <is>
          <t>avverkningsanmälan</t>
        </is>
      </c>
      <c r="C5261" t="inlineStr">
        <is>
          <t>Föryngringsavverkning</t>
        </is>
      </c>
      <c r="D5261" s="1" t="n">
        <v>45764</v>
      </c>
      <c r="E5261" s="1" t="n">
        <v>46316</v>
      </c>
      <c r="F5261" t="inlineStr">
        <is>
          <t>KRONOBERGS LÄN</t>
        </is>
      </c>
      <c r="G5261" t="inlineStr">
        <is>
          <t>LJUNGBY</t>
        </is>
      </c>
      <c r="I5261" t="n">
        <v>0.3</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2462-2025</t>
        </is>
      </c>
      <c r="B5262" t="inlineStr">
        <is>
          <t>avverkningsanmälan</t>
        </is>
      </c>
      <c r="C5262" t="inlineStr">
        <is>
          <t>Föryngringsavverkning</t>
        </is>
      </c>
      <c r="D5262" s="1" t="n">
        <v>45674</v>
      </c>
      <c r="E5262" s="1" t="n">
        <v>46316</v>
      </c>
      <c r="F5262" t="inlineStr">
        <is>
          <t>KRONOBERGS LÄN</t>
        </is>
      </c>
      <c r="G5262" t="inlineStr">
        <is>
          <t>TINGSRYD</t>
        </is>
      </c>
      <c r="I5262" t="n">
        <v>5.6</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40123-2023</t>
        </is>
      </c>
      <c r="B5263" t="inlineStr">
        <is>
          <t>avverkningsanmälan</t>
        </is>
      </c>
      <c r="C5263" t="inlineStr">
        <is>
          <t>Föryngringsavverkning</t>
        </is>
      </c>
      <c r="D5263" s="1" t="n">
        <v>45169</v>
      </c>
      <c r="E5263" s="1" t="n">
        <v>46316</v>
      </c>
      <c r="F5263" t="inlineStr">
        <is>
          <t>KRONOBERGS LÄN</t>
        </is>
      </c>
      <c r="G5263" t="inlineStr">
        <is>
          <t>ÄLMHULT</t>
        </is>
      </c>
      <c r="I5263" t="n">
        <v>1.3</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64041-2023</t>
        </is>
      </c>
      <c r="B5264" t="inlineStr">
        <is>
          <t>avverkningsanmälan</t>
        </is>
      </c>
      <c r="C5264" t="inlineStr">
        <is>
          <t>Föryngringsavverkning</t>
        </is>
      </c>
      <c r="D5264" s="1" t="n">
        <v>45279</v>
      </c>
      <c r="E5264" s="1" t="n">
        <v>46316</v>
      </c>
      <c r="F5264" t="inlineStr">
        <is>
          <t>KRONOBERGS LÄN</t>
        </is>
      </c>
      <c r="G5264" t="inlineStr">
        <is>
          <t>UPPVIDINGE</t>
        </is>
      </c>
      <c r="I5264" t="n">
        <v>2.6</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36603-2023</t>
        </is>
      </c>
      <c r="B5265" t="inlineStr">
        <is>
          <t>avverkningsanmälan</t>
        </is>
      </c>
      <c r="C5265" t="inlineStr">
        <is>
          <t>Avverkning för annat ändamål</t>
        </is>
      </c>
      <c r="D5265" s="1" t="n">
        <v>45153</v>
      </c>
      <c r="E5265" s="1" t="n">
        <v>46316</v>
      </c>
      <c r="F5265" t="inlineStr">
        <is>
          <t>KRONOBERGS LÄN</t>
        </is>
      </c>
      <c r="G5265" t="inlineStr">
        <is>
          <t>UPPVIDINGE</t>
        </is>
      </c>
      <c r="I5265" t="n">
        <v>0.4</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36625-2023</t>
        </is>
      </c>
      <c r="B5266" t="inlineStr">
        <is>
          <t>avverkningsanmälan</t>
        </is>
      </c>
      <c r="C5266" t="inlineStr">
        <is>
          <t>Föryngringsavverkning</t>
        </is>
      </c>
      <c r="D5266" s="1" t="n">
        <v>45153</v>
      </c>
      <c r="E5266" s="1" t="n">
        <v>46316</v>
      </c>
      <c r="F5266" t="inlineStr">
        <is>
          <t>KRONOBERGS LÄN</t>
        </is>
      </c>
      <c r="G5266" t="inlineStr">
        <is>
          <t>ALVESTA</t>
        </is>
      </c>
      <c r="I5266" t="n">
        <v>0.7</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36627-2023</t>
        </is>
      </c>
      <c r="B5267" t="inlineStr">
        <is>
          <t>avverkningsanmälan</t>
        </is>
      </c>
      <c r="C5267" t="inlineStr">
        <is>
          <t>Föryngringsavverkning</t>
        </is>
      </c>
      <c r="D5267" s="1" t="n">
        <v>45153</v>
      </c>
      <c r="E5267" s="1" t="n">
        <v>46316</v>
      </c>
      <c r="F5267" t="inlineStr">
        <is>
          <t>KRONOBERGS LÄN</t>
        </is>
      </c>
      <c r="G5267" t="inlineStr">
        <is>
          <t>ALVESTA</t>
        </is>
      </c>
      <c r="I5267" t="n">
        <v>1.2</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42397-2023</t>
        </is>
      </c>
      <c r="B5268" t="inlineStr">
        <is>
          <t>avverkningsanmälan</t>
        </is>
      </c>
      <c r="C5268" t="inlineStr">
        <is>
          <t>Föryngringsavverkning</t>
        </is>
      </c>
      <c r="D5268" s="1" t="n">
        <v>45180</v>
      </c>
      <c r="E5268" s="1" t="n">
        <v>46316</v>
      </c>
      <c r="F5268" t="inlineStr">
        <is>
          <t>KRONOBERGS LÄN</t>
        </is>
      </c>
      <c r="G5268" t="inlineStr">
        <is>
          <t>ALVESTA</t>
        </is>
      </c>
      <c r="I5268" t="n">
        <v>1.2</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57000-2023</t>
        </is>
      </c>
      <c r="B5269" t="inlineStr">
        <is>
          <t>avverkningsanmälan</t>
        </is>
      </c>
      <c r="C5269" t="inlineStr">
        <is>
          <t>Föryngringsavverkning</t>
        </is>
      </c>
      <c r="D5269" s="1" t="n">
        <v>45244</v>
      </c>
      <c r="E5269" s="1" t="n">
        <v>46316</v>
      </c>
      <c r="F5269" t="inlineStr">
        <is>
          <t>KRONOBERGS LÄN</t>
        </is>
      </c>
      <c r="G5269" t="inlineStr">
        <is>
          <t>UPPVIDINGE</t>
        </is>
      </c>
      <c r="I5269" t="n">
        <v>0.6</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55004-2022</t>
        </is>
      </c>
      <c r="B5270" t="inlineStr">
        <is>
          <t>avverkningsanmälan</t>
        </is>
      </c>
      <c r="C5270" t="inlineStr">
        <is>
          <t>Föryngringsavverkning</t>
        </is>
      </c>
      <c r="D5270" s="1" t="n">
        <v>44886</v>
      </c>
      <c r="E5270" s="1" t="n">
        <v>46316</v>
      </c>
      <c r="F5270" t="inlineStr">
        <is>
          <t>KRONOBERGS LÄN</t>
        </is>
      </c>
      <c r="G5270" t="inlineStr">
        <is>
          <t>LJUNGBY</t>
        </is>
      </c>
      <c r="I5270" t="n">
        <v>2</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36870-2023</t>
        </is>
      </c>
      <c r="B5271" t="inlineStr">
        <is>
          <t>avverkningsanmälan</t>
        </is>
      </c>
      <c r="C5271" t="inlineStr">
        <is>
          <t>Föryngringsavverkning</t>
        </is>
      </c>
      <c r="D5271" s="1" t="n">
        <v>45154</v>
      </c>
      <c r="E5271" s="1" t="n">
        <v>46316</v>
      </c>
      <c r="F5271" t="inlineStr">
        <is>
          <t>KRONOBERGS LÄN</t>
        </is>
      </c>
      <c r="G5271" t="inlineStr">
        <is>
          <t>UPPVIDINGE</t>
        </is>
      </c>
      <c r="I5271" t="n">
        <v>0.7</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38385-2022</t>
        </is>
      </c>
      <c r="B5272" t="inlineStr">
        <is>
          <t>avverkningsanmälan</t>
        </is>
      </c>
      <c r="C5272" t="inlineStr">
        <is>
          <t>Föryngringsavverkning</t>
        </is>
      </c>
      <c r="D5272" s="1" t="n">
        <v>44812</v>
      </c>
      <c r="E5272" s="1" t="n">
        <v>46316</v>
      </c>
      <c r="F5272" t="inlineStr">
        <is>
          <t>KRONOBERGS LÄN</t>
        </is>
      </c>
      <c r="G5272" t="inlineStr">
        <is>
          <t>ALVESTA</t>
        </is>
      </c>
      <c r="I5272" t="n">
        <v>1</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14865-2024</t>
        </is>
      </c>
      <c r="B5273" t="inlineStr">
        <is>
          <t>avverkningsanmälan</t>
        </is>
      </c>
      <c r="C5273" t="inlineStr">
        <is>
          <t>Föryngringsavverkning</t>
        </is>
      </c>
      <c r="D5273" s="1" t="n">
        <v>45398</v>
      </c>
      <c r="E5273" s="1" t="n">
        <v>46316</v>
      </c>
      <c r="F5273" t="inlineStr">
        <is>
          <t>KRONOBERGS LÄN</t>
        </is>
      </c>
      <c r="G5273" t="inlineStr">
        <is>
          <t>ALVESTA</t>
        </is>
      </c>
      <c r="I5273" t="n">
        <v>1.5</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42850-2024</t>
        </is>
      </c>
      <c r="B5274" t="inlineStr">
        <is>
          <t>avverkningsanmälan</t>
        </is>
      </c>
      <c r="C5274" t="inlineStr">
        <is>
          <t>Föryngringsavverkning</t>
        </is>
      </c>
      <c r="D5274" s="1" t="n">
        <v>45566</v>
      </c>
      <c r="E5274" s="1" t="n">
        <v>46316</v>
      </c>
      <c r="F5274" t="inlineStr">
        <is>
          <t>KRONOBERGS LÄN</t>
        </is>
      </c>
      <c r="G5274" t="inlineStr">
        <is>
          <t>MARKARYD</t>
        </is>
      </c>
      <c r="I5274" t="n">
        <v>2.1</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46565-2023</t>
        </is>
      </c>
      <c r="B5275" t="inlineStr">
        <is>
          <t>avverkningsanmälan</t>
        </is>
      </c>
      <c r="C5275" t="inlineStr">
        <is>
          <t>Föryngringsavverkning</t>
        </is>
      </c>
      <c r="D5275" s="1" t="n">
        <v>45198</v>
      </c>
      <c r="E5275" s="1" t="n">
        <v>46316</v>
      </c>
      <c r="F5275" t="inlineStr">
        <is>
          <t>KRONOBERGS LÄN</t>
        </is>
      </c>
      <c r="G5275" t="inlineStr">
        <is>
          <t>VÄXJÖ</t>
        </is>
      </c>
      <c r="I5275" t="n">
        <v>1.1</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50817-2024</t>
        </is>
      </c>
      <c r="B5276" t="inlineStr">
        <is>
          <t>avverkningsanmälan</t>
        </is>
      </c>
      <c r="C5276" t="inlineStr">
        <is>
          <t>Föryngringsavverkning</t>
        </is>
      </c>
      <c r="D5276" s="1" t="n">
        <v>45601</v>
      </c>
      <c r="E5276" s="1" t="n">
        <v>46316</v>
      </c>
      <c r="F5276" t="inlineStr">
        <is>
          <t>KRONOBERGS LÄN</t>
        </is>
      </c>
      <c r="G5276" t="inlineStr">
        <is>
          <t>TINGSRYD</t>
        </is>
      </c>
      <c r="I5276" t="n">
        <v>1.2</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12108-2023</t>
        </is>
      </c>
      <c r="B5277" t="inlineStr">
        <is>
          <t>avverkningsanmälan</t>
        </is>
      </c>
      <c r="C5277" t="inlineStr">
        <is>
          <t>Föryngringsavverkning</t>
        </is>
      </c>
      <c r="D5277" s="1" t="n">
        <v>44998</v>
      </c>
      <c r="E5277" s="1" t="n">
        <v>46316</v>
      </c>
      <c r="F5277" t="inlineStr">
        <is>
          <t>KRONOBERGS LÄN</t>
        </is>
      </c>
      <c r="G5277" t="inlineStr">
        <is>
          <t>TINGSRYD</t>
        </is>
      </c>
      <c r="I5277" t="n">
        <v>0.5</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15275-2024</t>
        </is>
      </c>
      <c r="B5278" t="inlineStr">
        <is>
          <t>avverkningsanmälan</t>
        </is>
      </c>
      <c r="C5278" t="inlineStr">
        <is>
          <t>Föryngringsavverkning</t>
        </is>
      </c>
      <c r="D5278" s="1" t="n">
        <v>45400</v>
      </c>
      <c r="E5278" s="1" t="n">
        <v>46316</v>
      </c>
      <c r="F5278" t="inlineStr">
        <is>
          <t>KRONOBERGS LÄN</t>
        </is>
      </c>
      <c r="G5278" t="inlineStr">
        <is>
          <t>MARKARYD</t>
        </is>
      </c>
      <c r="I5278" t="n">
        <v>0.7</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12183-2023</t>
        </is>
      </c>
      <c r="B5279" t="inlineStr">
        <is>
          <t>avverkningsanmälan</t>
        </is>
      </c>
      <c r="C5279" t="inlineStr">
        <is>
          <t>Föryngringsavverkning</t>
        </is>
      </c>
      <c r="D5279" s="1" t="n">
        <v>44998</v>
      </c>
      <c r="E5279" s="1" t="n">
        <v>46316</v>
      </c>
      <c r="F5279" t="inlineStr">
        <is>
          <t>KRONOBERGS LÄN</t>
        </is>
      </c>
      <c r="G5279" t="inlineStr">
        <is>
          <t>UPPVIDINGE</t>
        </is>
      </c>
      <c r="I5279" t="n">
        <v>2.3</v>
      </c>
      <c r="J5279" t="n">
        <v>0</v>
      </c>
      <c r="K5279" t="n">
        <v>0</v>
      </c>
      <c r="L5279" t="n">
        <v>0</v>
      </c>
      <c r="M5279" t="n">
        <v>0</v>
      </c>
      <c r="N5279" t="n">
        <v>0</v>
      </c>
      <c r="O5279" t="n">
        <v>0</v>
      </c>
      <c r="P5279" t="n">
        <v>0</v>
      </c>
      <c r="Q5279" t="n">
        <v>0</v>
      </c>
      <c r="R5279" t="n">
        <v>0</v>
      </c>
      <c r="S5279" t="n">
        <v>0</v>
      </c>
      <c r="T5279" t="n">
        <v>0</v>
      </c>
      <c r="U5279" t="n">
        <v>0</v>
      </c>
      <c r="V5279" s="2" t="inlineStr"/>
      <c r="Z5279">
        <f>HYPERLINK("https://klasma.github.io/Logging_0760/knärot/A 12183-2023 karta knärot.png", "A 12183-2023")</f>
        <v/>
      </c>
      <c r="AA5279">
        <f>HYPERLINK("https://klasma.github.io/Logging_0760/klagomål/A 12183-2023 FSC-klagomål.docx", "A 12183-2023")</f>
        <v/>
      </c>
      <c r="AB5279">
        <f>HYPERLINK("https://klasma.github.io/Logging_0760/klagomålsmail/A 12183-2023 FSC-klagomål mail.docx", "A 12183-2023")</f>
        <v/>
      </c>
      <c r="AC5279">
        <f>HYPERLINK("https://klasma.github.io/Logging_0760/tillsyn/A 12183-2023 tillsynsbegäran.docx", "A 12183-2023")</f>
        <v/>
      </c>
      <c r="AD5279">
        <f>HYPERLINK("https://klasma.github.io/Logging_0760/tillsynsmail/A 12183-2023 tillsynsbegäran mail.docx", "A 12183-2023")</f>
        <v/>
      </c>
    </row>
    <row r="5280" ht="15" customHeight="1">
      <c r="A5280" t="inlineStr">
        <is>
          <t>A 40852-2023</t>
        </is>
      </c>
      <c r="B5280" t="inlineStr">
        <is>
          <t>avverkningsanmälan</t>
        </is>
      </c>
      <c r="C5280" t="inlineStr">
        <is>
          <t>Föryngringsavverkning</t>
        </is>
      </c>
      <c r="D5280" s="1" t="n">
        <v>45173</v>
      </c>
      <c r="E5280" s="1" t="n">
        <v>46316</v>
      </c>
      <c r="F5280" t="inlineStr">
        <is>
          <t>KRONOBERGS LÄN</t>
        </is>
      </c>
      <c r="G5280" t="inlineStr">
        <is>
          <t>MARKARYD</t>
        </is>
      </c>
      <c r="I5280" t="n">
        <v>0.5</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49112-2022</t>
        </is>
      </c>
      <c r="B5281" t="inlineStr">
        <is>
          <t>avverkningsanmälan</t>
        </is>
      </c>
      <c r="C5281" t="inlineStr">
        <is>
          <t>Föryngringsavverkning</t>
        </is>
      </c>
      <c r="D5281" s="1" t="n">
        <v>44860</v>
      </c>
      <c r="E5281" s="1" t="n">
        <v>46316</v>
      </c>
      <c r="F5281" t="inlineStr">
        <is>
          <t>KRONOBERGS LÄN</t>
        </is>
      </c>
      <c r="G5281" t="inlineStr">
        <is>
          <t>ÄLMHULT</t>
        </is>
      </c>
      <c r="I5281" t="n">
        <v>1.2</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52843-2023</t>
        </is>
      </c>
      <c r="B5282" t="inlineStr">
        <is>
          <t>avverkningsanmälan</t>
        </is>
      </c>
      <c r="C5282" t="inlineStr">
        <is>
          <t>Föryngringsavverkning</t>
        </is>
      </c>
      <c r="D5282" s="1" t="n">
        <v>45226</v>
      </c>
      <c r="E5282" s="1" t="n">
        <v>46316</v>
      </c>
      <c r="F5282" t="inlineStr">
        <is>
          <t>KRONOBERGS LÄN</t>
        </is>
      </c>
      <c r="G5282" t="inlineStr">
        <is>
          <t>LJUNGBY</t>
        </is>
      </c>
      <c r="I5282" t="n">
        <v>3.6</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44237-2023</t>
        </is>
      </c>
      <c r="B5283" t="inlineStr">
        <is>
          <t>avverkningsanmälan</t>
        </is>
      </c>
      <c r="C5283" t="inlineStr">
        <is>
          <t>Föryngringsavverkning</t>
        </is>
      </c>
      <c r="D5283" s="1" t="n">
        <v>45188</v>
      </c>
      <c r="E5283" s="1" t="n">
        <v>46316</v>
      </c>
      <c r="F5283" t="inlineStr">
        <is>
          <t>KRONOBERGS LÄN</t>
        </is>
      </c>
      <c r="G5283" t="inlineStr">
        <is>
          <t>TINGSRYD</t>
        </is>
      </c>
      <c r="I5283" t="n">
        <v>2</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1562-2024</t>
        </is>
      </c>
      <c r="B5284" t="inlineStr">
        <is>
          <t>avverkningsanmälan</t>
        </is>
      </c>
      <c r="C5284" t="inlineStr">
        <is>
          <t>Föryngringsavverkning</t>
        </is>
      </c>
      <c r="D5284" s="1" t="n">
        <v>45306</v>
      </c>
      <c r="E5284" s="1" t="n">
        <v>46316</v>
      </c>
      <c r="F5284" t="inlineStr">
        <is>
          <t>KRONOBERGS LÄN</t>
        </is>
      </c>
      <c r="G5284" t="inlineStr">
        <is>
          <t>LJUNGBY</t>
        </is>
      </c>
      <c r="I5284" t="n">
        <v>3.5</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1654-2024</t>
        </is>
      </c>
      <c r="B5285" t="inlineStr">
        <is>
          <t>avverkningsanmälan</t>
        </is>
      </c>
      <c r="C5285" t="inlineStr">
        <is>
          <t>Föryngringsavverkning</t>
        </is>
      </c>
      <c r="D5285" s="1" t="n">
        <v>45306</v>
      </c>
      <c r="E5285" s="1" t="n">
        <v>46316</v>
      </c>
      <c r="F5285" t="inlineStr">
        <is>
          <t>KRONOBERGS LÄN</t>
        </is>
      </c>
      <c r="G5285" t="inlineStr">
        <is>
          <t>MARKARYD</t>
        </is>
      </c>
      <c r="I5285" t="n">
        <v>1.5</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11182-2024</t>
        </is>
      </c>
      <c r="B5286" t="inlineStr">
        <is>
          <t>avverkningsanmälan</t>
        </is>
      </c>
      <c r="C5286" t="inlineStr">
        <is>
          <t>Föryngringsavverkning</t>
        </is>
      </c>
      <c r="D5286" s="1" t="n">
        <v>45371</v>
      </c>
      <c r="E5286" s="1" t="n">
        <v>46316</v>
      </c>
      <c r="F5286" t="inlineStr">
        <is>
          <t>KRONOBERGS LÄN</t>
        </is>
      </c>
      <c r="G5286" t="inlineStr">
        <is>
          <t>TINGSRYD</t>
        </is>
      </c>
      <c r="I5286" t="n">
        <v>1.1</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38976-2024</t>
        </is>
      </c>
      <c r="B5287" t="inlineStr">
        <is>
          <t>avverkningsanmälan</t>
        </is>
      </c>
      <c r="C5287" t="inlineStr">
        <is>
          <t>Föryngringsavverkning</t>
        </is>
      </c>
      <c r="D5287" s="1" t="n">
        <v>45548</v>
      </c>
      <c r="E5287" s="1" t="n">
        <v>46316</v>
      </c>
      <c r="F5287" t="inlineStr">
        <is>
          <t>KRONOBERGS LÄN</t>
        </is>
      </c>
      <c r="G5287" t="inlineStr">
        <is>
          <t>LJUNGBY</t>
        </is>
      </c>
      <c r="I5287" t="n">
        <v>1.1</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9912-2023</t>
        </is>
      </c>
      <c r="B5288" t="inlineStr">
        <is>
          <t>avverkningsanmälan</t>
        </is>
      </c>
      <c r="C5288" t="inlineStr">
        <is>
          <t>Föryngringsavverkning</t>
        </is>
      </c>
      <c r="D5288" s="1" t="n">
        <v>44985</v>
      </c>
      <c r="E5288" s="1" t="n">
        <v>46316</v>
      </c>
      <c r="F5288" t="inlineStr">
        <is>
          <t>KRONOBERGS LÄN</t>
        </is>
      </c>
      <c r="G5288" t="inlineStr">
        <is>
          <t>LJUNGBY</t>
        </is>
      </c>
      <c r="I5288" t="n">
        <v>2.4</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9919-2023</t>
        </is>
      </c>
      <c r="B5289" t="inlineStr">
        <is>
          <t>avverkningsanmälan</t>
        </is>
      </c>
      <c r="C5289" t="inlineStr">
        <is>
          <t>Föryngringsavverkning</t>
        </is>
      </c>
      <c r="D5289" s="1" t="n">
        <v>44985</v>
      </c>
      <c r="E5289" s="1" t="n">
        <v>46316</v>
      </c>
      <c r="F5289" t="inlineStr">
        <is>
          <t>KRONOBERGS LÄN</t>
        </is>
      </c>
      <c r="G5289" t="inlineStr">
        <is>
          <t>LJUNGBY</t>
        </is>
      </c>
      <c r="I5289" t="n">
        <v>1.2</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36815-2023</t>
        </is>
      </c>
      <c r="B5290" t="inlineStr">
        <is>
          <t>avverkningsanmälan</t>
        </is>
      </c>
      <c r="C5290" t="inlineStr">
        <is>
          <t>Föryngringsavverkning</t>
        </is>
      </c>
      <c r="D5290" s="1" t="n">
        <v>45154</v>
      </c>
      <c r="E5290" s="1" t="n">
        <v>46316</v>
      </c>
      <c r="F5290" t="inlineStr">
        <is>
          <t>KRONOBERGS LÄN</t>
        </is>
      </c>
      <c r="G5290" t="inlineStr">
        <is>
          <t>ÄLMHULT</t>
        </is>
      </c>
      <c r="I5290" t="n">
        <v>1.5</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2755-2025</t>
        </is>
      </c>
      <c r="B5291" t="inlineStr">
        <is>
          <t>avverkningsanmälan</t>
        </is>
      </c>
      <c r="C5291" t="inlineStr">
        <is>
          <t>Avverkning för att bevara och utveckla /försöksver</t>
        </is>
      </c>
      <c r="D5291" s="1" t="n">
        <v>45677</v>
      </c>
      <c r="E5291" s="1" t="n">
        <v>46316</v>
      </c>
      <c r="F5291" t="inlineStr">
        <is>
          <t>KRONOBERGS LÄN</t>
        </is>
      </c>
      <c r="G5291" t="inlineStr">
        <is>
          <t>LESSEBO</t>
        </is>
      </c>
      <c r="I5291" t="n">
        <v>0.5</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11893-2023</t>
        </is>
      </c>
      <c r="B5292" t="inlineStr">
        <is>
          <t>avverkningsanmälan</t>
        </is>
      </c>
      <c r="C5292" t="inlineStr">
        <is>
          <t>Föryngringsavverkning</t>
        </is>
      </c>
      <c r="D5292" s="1" t="n">
        <v>44995</v>
      </c>
      <c r="E5292" s="1" t="n">
        <v>46316</v>
      </c>
      <c r="F5292" t="inlineStr">
        <is>
          <t>KRONOBERGS LÄN</t>
        </is>
      </c>
      <c r="G5292" t="inlineStr">
        <is>
          <t>LJUNGBY</t>
        </is>
      </c>
      <c r="I5292" t="n">
        <v>2.1</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42270-2024</t>
        </is>
      </c>
      <c r="B5293" t="inlineStr">
        <is>
          <t>avverkningsanmälan</t>
        </is>
      </c>
      <c r="C5293" t="inlineStr">
        <is>
          <t>Föryngringsavverkning</t>
        </is>
      </c>
      <c r="D5293" s="1" t="n">
        <v>45562</v>
      </c>
      <c r="E5293" s="1" t="n">
        <v>46316</v>
      </c>
      <c r="F5293" t="inlineStr">
        <is>
          <t>KRONOBERGS LÄN</t>
        </is>
      </c>
      <c r="G5293" t="inlineStr">
        <is>
          <t>LJUNGBY</t>
        </is>
      </c>
      <c r="I5293" t="n">
        <v>0.9</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36182-2023</t>
        </is>
      </c>
      <c r="B5294" t="inlineStr">
        <is>
          <t>avverkningsanmälan</t>
        </is>
      </c>
      <c r="C5294" t="inlineStr">
        <is>
          <t>Föryngringsavverkning</t>
        </is>
      </c>
      <c r="D5294" s="1" t="n">
        <v>45149</v>
      </c>
      <c r="E5294" s="1" t="n">
        <v>46316</v>
      </c>
      <c r="F5294" t="inlineStr">
        <is>
          <t>KRONOBERGS LÄN</t>
        </is>
      </c>
      <c r="G5294" t="inlineStr">
        <is>
          <t>ALVESTA</t>
        </is>
      </c>
      <c r="I5294" t="n">
        <v>1.2</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20538-2023</t>
        </is>
      </c>
      <c r="B5295" t="inlineStr">
        <is>
          <t>avverkningsanmälan</t>
        </is>
      </c>
      <c r="C5295" t="inlineStr">
        <is>
          <t>Föryngringsavverkning</t>
        </is>
      </c>
      <c r="D5295" s="1" t="n">
        <v>45057</v>
      </c>
      <c r="E5295" s="1" t="n">
        <v>46316</v>
      </c>
      <c r="F5295" t="inlineStr">
        <is>
          <t>KRONOBERGS LÄN</t>
        </is>
      </c>
      <c r="G5295" t="inlineStr">
        <is>
          <t>UPPVIDINGE</t>
        </is>
      </c>
      <c r="I5295" t="n">
        <v>0.9</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48930-2024</t>
        </is>
      </c>
      <c r="B5296" t="inlineStr">
        <is>
          <t>avverkningsanmälan</t>
        </is>
      </c>
      <c r="C5296" t="inlineStr">
        <is>
          <t>Föryngringsavverkning</t>
        </is>
      </c>
      <c r="D5296" s="1" t="n">
        <v>45594</v>
      </c>
      <c r="E5296" s="1" t="n">
        <v>46316</v>
      </c>
      <c r="F5296" t="inlineStr">
        <is>
          <t>KRONOBERGS LÄN</t>
        </is>
      </c>
      <c r="G5296" t="inlineStr">
        <is>
          <t>LJUNGBY</t>
        </is>
      </c>
      <c r="I5296" t="n">
        <v>0.3</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19072-2024</t>
        </is>
      </c>
      <c r="B5297" t="inlineStr">
        <is>
          <t>avverkningsanmälan</t>
        </is>
      </c>
      <c r="C5297" t="inlineStr">
        <is>
          <t>Föryngringsavverkning</t>
        </is>
      </c>
      <c r="D5297" s="1" t="n">
        <v>45427</v>
      </c>
      <c r="E5297" s="1" t="n">
        <v>46316</v>
      </c>
      <c r="F5297" t="inlineStr">
        <is>
          <t>KRONOBERGS LÄN</t>
        </is>
      </c>
      <c r="G5297" t="inlineStr">
        <is>
          <t>UPPVIDINGE</t>
        </is>
      </c>
      <c r="I5297" t="n">
        <v>0.7</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19116-2024</t>
        </is>
      </c>
      <c r="B5298" t="inlineStr">
        <is>
          <t>avverkningsanmälan</t>
        </is>
      </c>
      <c r="C5298" t="inlineStr">
        <is>
          <t>Föryngringsavverkning</t>
        </is>
      </c>
      <c r="D5298" s="1" t="n">
        <v>45428</v>
      </c>
      <c r="E5298" s="1" t="n">
        <v>46316</v>
      </c>
      <c r="F5298" t="inlineStr">
        <is>
          <t>KRONOBERGS LÄN</t>
        </is>
      </c>
      <c r="G5298" t="inlineStr">
        <is>
          <t>MARKARYD</t>
        </is>
      </c>
      <c r="I5298" t="n">
        <v>2.3</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43912-2024</t>
        </is>
      </c>
      <c r="B5299" t="inlineStr">
        <is>
          <t>avverkningsanmälan</t>
        </is>
      </c>
      <c r="C5299" t="inlineStr">
        <is>
          <t>Föryngringsavverkning</t>
        </is>
      </c>
      <c r="D5299" s="1" t="n">
        <v>45572</v>
      </c>
      <c r="E5299" s="1" t="n">
        <v>46316</v>
      </c>
      <c r="F5299" t="inlineStr">
        <is>
          <t>KRONOBERGS LÄN</t>
        </is>
      </c>
      <c r="G5299" t="inlineStr">
        <is>
          <t>TINGSRYD</t>
        </is>
      </c>
      <c r="I5299" t="n">
        <v>4</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61575-2022</t>
        </is>
      </c>
      <c r="B5300" t="inlineStr">
        <is>
          <t>avverkningsanmälan</t>
        </is>
      </c>
      <c r="C5300" t="inlineStr">
        <is>
          <t>Föryngringsavverkning</t>
        </is>
      </c>
      <c r="D5300" s="1" t="n">
        <v>44916</v>
      </c>
      <c r="E5300" s="1" t="n">
        <v>46316</v>
      </c>
      <c r="F5300" t="inlineStr">
        <is>
          <t>KRONOBERGS LÄN</t>
        </is>
      </c>
      <c r="G5300" t="inlineStr">
        <is>
          <t>LESSEBO</t>
        </is>
      </c>
      <c r="H5300" t="inlineStr">
        <is>
          <t>Kommuner</t>
        </is>
      </c>
      <c r="I5300" t="n">
        <v>2.9</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61588-2022</t>
        </is>
      </c>
      <c r="B5301" t="inlineStr">
        <is>
          <t>avverkningsanmälan</t>
        </is>
      </c>
      <c r="C5301" t="inlineStr">
        <is>
          <t>Föryngringsavverkning</t>
        </is>
      </c>
      <c r="D5301" s="1" t="n">
        <v>44916</v>
      </c>
      <c r="E5301" s="1" t="n">
        <v>46316</v>
      </c>
      <c r="F5301" t="inlineStr">
        <is>
          <t>KRONOBERGS LÄN</t>
        </is>
      </c>
      <c r="G5301" t="inlineStr">
        <is>
          <t>LESSEBO</t>
        </is>
      </c>
      <c r="H5301" t="inlineStr">
        <is>
          <t>Kommuner</t>
        </is>
      </c>
      <c r="I5301" t="n">
        <v>4.1</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27247-2024</t>
        </is>
      </c>
      <c r="B5302" t="inlineStr">
        <is>
          <t>avverkningsanmälan</t>
        </is>
      </c>
      <c r="C5302" t="inlineStr">
        <is>
          <t>Föryngringsavverkning</t>
        </is>
      </c>
      <c r="D5302" s="1" t="n">
        <v>45471</v>
      </c>
      <c r="E5302" s="1" t="n">
        <v>46316</v>
      </c>
      <c r="F5302" t="inlineStr">
        <is>
          <t>KRONOBERGS LÄN</t>
        </is>
      </c>
      <c r="G5302" t="inlineStr">
        <is>
          <t>ALVESTA</t>
        </is>
      </c>
      <c r="I5302" t="n">
        <v>1</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27252-2024</t>
        </is>
      </c>
      <c r="B5303" t="inlineStr">
        <is>
          <t>avverkningsanmälan</t>
        </is>
      </c>
      <c r="C5303" t="inlineStr">
        <is>
          <t>Föryngringsavverkning</t>
        </is>
      </c>
      <c r="D5303" s="1" t="n">
        <v>45471</v>
      </c>
      <c r="E5303" s="1" t="n">
        <v>46316</v>
      </c>
      <c r="F5303" t="inlineStr">
        <is>
          <t>KRONOBERGS LÄN</t>
        </is>
      </c>
      <c r="G5303" t="inlineStr">
        <is>
          <t>ALVESTA</t>
        </is>
      </c>
      <c r="I5303" t="n">
        <v>3.4</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60767-2024</t>
        </is>
      </c>
      <c r="B5304" t="inlineStr">
        <is>
          <t>avverkningsanmälan</t>
        </is>
      </c>
      <c r="C5304" t="inlineStr">
        <is>
          <t>Föryngringsavverkning</t>
        </is>
      </c>
      <c r="D5304" s="1" t="n">
        <v>45644</v>
      </c>
      <c r="E5304" s="1" t="n">
        <v>46316</v>
      </c>
      <c r="F5304" t="inlineStr">
        <is>
          <t>KRONOBERGS LÄN</t>
        </is>
      </c>
      <c r="G5304" t="inlineStr">
        <is>
          <t>VÄXJÖ</t>
        </is>
      </c>
      <c r="I5304" t="n">
        <v>0.6</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62994-2023</t>
        </is>
      </c>
      <c r="B5305" t="inlineStr">
        <is>
          <t>avverkningsanmälan</t>
        </is>
      </c>
      <c r="C5305" t="inlineStr">
        <is>
          <t>Föryngringsavverkning</t>
        </is>
      </c>
      <c r="D5305" s="1" t="n">
        <v>45272</v>
      </c>
      <c r="E5305" s="1" t="n">
        <v>46316</v>
      </c>
      <c r="F5305" t="inlineStr">
        <is>
          <t>KRONOBERGS LÄN</t>
        </is>
      </c>
      <c r="G5305" t="inlineStr">
        <is>
          <t>LJUNGBY</t>
        </is>
      </c>
      <c r="I5305" t="n">
        <v>1.4</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56824-2024</t>
        </is>
      </c>
      <c r="B5306" t="inlineStr">
        <is>
          <t>avverkningsanmälan</t>
        </is>
      </c>
      <c r="C5306" t="inlineStr">
        <is>
          <t>Föryngringsavverkning</t>
        </is>
      </c>
      <c r="D5306" s="1" t="n">
        <v>45628</v>
      </c>
      <c r="E5306" s="1" t="n">
        <v>46316</v>
      </c>
      <c r="F5306" t="inlineStr">
        <is>
          <t>KRONOBERGS LÄN</t>
        </is>
      </c>
      <c r="G5306" t="inlineStr">
        <is>
          <t>MARKARYD</t>
        </is>
      </c>
      <c r="I5306" t="n">
        <v>1.4</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61902-2024</t>
        </is>
      </c>
      <c r="B5307" t="inlineStr">
        <is>
          <t>avverkningsanmälan</t>
        </is>
      </c>
      <c r="C5307" t="inlineStr">
        <is>
          <t>Föryngringsavverkning</t>
        </is>
      </c>
      <c r="D5307" s="1" t="n">
        <v>45653</v>
      </c>
      <c r="E5307" s="1" t="n">
        <v>46316</v>
      </c>
      <c r="F5307" t="inlineStr">
        <is>
          <t>KRONOBERGS LÄN</t>
        </is>
      </c>
      <c r="G5307" t="inlineStr">
        <is>
          <t>ALVESTA</t>
        </is>
      </c>
      <c r="I5307" t="n">
        <v>0.4</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62858-2023</t>
        </is>
      </c>
      <c r="B5308" t="inlineStr">
        <is>
          <t>avverkningsanmälan</t>
        </is>
      </c>
      <c r="C5308" t="inlineStr">
        <is>
          <t>Föryngringsavverkning</t>
        </is>
      </c>
      <c r="D5308" s="1" t="n">
        <v>45272</v>
      </c>
      <c r="E5308" s="1" t="n">
        <v>46316</v>
      </c>
      <c r="F5308" t="inlineStr">
        <is>
          <t>KRONOBERGS LÄN</t>
        </is>
      </c>
      <c r="G5308" t="inlineStr">
        <is>
          <t>LJUNGBY</t>
        </is>
      </c>
      <c r="I5308" t="n">
        <v>1.2</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14686-2023</t>
        </is>
      </c>
      <c r="B5309" t="inlineStr">
        <is>
          <t>avverkningsanmälan</t>
        </is>
      </c>
      <c r="C5309" t="inlineStr">
        <is>
          <t>Föryngringsavverkning</t>
        </is>
      </c>
      <c r="D5309" s="1" t="n">
        <v>45014</v>
      </c>
      <c r="E5309" s="1" t="n">
        <v>46316</v>
      </c>
      <c r="F5309" t="inlineStr">
        <is>
          <t>KRONOBERGS LÄN</t>
        </is>
      </c>
      <c r="G5309" t="inlineStr">
        <is>
          <t>VÄXJÖ</t>
        </is>
      </c>
      <c r="H5309" t="inlineStr">
        <is>
          <t>Sveaskog</t>
        </is>
      </c>
      <c r="I5309" t="n">
        <v>1.9</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57606-2022</t>
        </is>
      </c>
      <c r="B5310" t="inlineStr">
        <is>
          <t>avverkningsanmälan</t>
        </is>
      </c>
      <c r="C5310" t="inlineStr">
        <is>
          <t>Föryngringsavverkning</t>
        </is>
      </c>
      <c r="D5310" s="1" t="n">
        <v>44897</v>
      </c>
      <c r="E5310" s="1" t="n">
        <v>46316</v>
      </c>
      <c r="F5310" t="inlineStr">
        <is>
          <t>KRONOBERGS LÄN</t>
        </is>
      </c>
      <c r="G5310" t="inlineStr">
        <is>
          <t>VÄXJÖ</t>
        </is>
      </c>
      <c r="I5310" t="n">
        <v>3.6</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12112-2022</t>
        </is>
      </c>
      <c r="B5311" t="inlineStr">
        <is>
          <t>avverkningsanmälan</t>
        </is>
      </c>
      <c r="C5311" t="inlineStr">
        <is>
          <t>Föryngringsavverkning</t>
        </is>
      </c>
      <c r="D5311" s="1" t="n">
        <v>44636</v>
      </c>
      <c r="E5311" s="1" t="n">
        <v>46316</v>
      </c>
      <c r="F5311" t="inlineStr">
        <is>
          <t>KRONOBERGS LÄN</t>
        </is>
      </c>
      <c r="G5311" t="inlineStr">
        <is>
          <t>ÄLMHULT</t>
        </is>
      </c>
      <c r="I5311" t="n">
        <v>1.6</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22563-2024</t>
        </is>
      </c>
      <c r="B5312" t="inlineStr">
        <is>
          <t>avverkningsanmälan</t>
        </is>
      </c>
      <c r="C5312" t="inlineStr">
        <is>
          <t>Föryngringsavverkning</t>
        </is>
      </c>
      <c r="D5312" s="1" t="n">
        <v>45447</v>
      </c>
      <c r="E5312" s="1" t="n">
        <v>46316</v>
      </c>
      <c r="F5312" t="inlineStr">
        <is>
          <t>KRONOBERGS LÄN</t>
        </is>
      </c>
      <c r="G5312" t="inlineStr">
        <is>
          <t>ALVESTA</t>
        </is>
      </c>
      <c r="I5312" t="n">
        <v>1.2</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8359-2022</t>
        </is>
      </c>
      <c r="B5313" t="inlineStr">
        <is>
          <t>avverkningsanmälan</t>
        </is>
      </c>
      <c r="C5313" t="inlineStr">
        <is>
          <t>Föryngringsavverkning</t>
        </is>
      </c>
      <c r="D5313" s="1" t="n">
        <v>44610</v>
      </c>
      <c r="E5313" s="1" t="n">
        <v>46316</v>
      </c>
      <c r="F5313" t="inlineStr">
        <is>
          <t>KRONOBERGS LÄN</t>
        </is>
      </c>
      <c r="G5313" t="inlineStr">
        <is>
          <t>UPPVIDINGE</t>
        </is>
      </c>
      <c r="I5313" t="n">
        <v>0.9</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4571-2024</t>
        </is>
      </c>
      <c r="B5314" t="inlineStr">
        <is>
          <t>avverkningsanmälan</t>
        </is>
      </c>
      <c r="C5314" t="inlineStr">
        <is>
          <t>Föryngringsavverkning</t>
        </is>
      </c>
      <c r="D5314" s="1" t="n">
        <v>45327</v>
      </c>
      <c r="E5314" s="1" t="n">
        <v>46316</v>
      </c>
      <c r="F5314" t="inlineStr">
        <is>
          <t>KRONOBERGS LÄN</t>
        </is>
      </c>
      <c r="G5314" t="inlineStr">
        <is>
          <t>TINGSRYD</t>
        </is>
      </c>
      <c r="H5314" t="inlineStr">
        <is>
          <t>Sveaskog</t>
        </is>
      </c>
      <c r="I5314" t="n">
        <v>3.2</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9838-2022</t>
        </is>
      </c>
      <c r="B5315" t="inlineStr">
        <is>
          <t>avverkningsanmälan</t>
        </is>
      </c>
      <c r="C5315" t="inlineStr">
        <is>
          <t>Föryngringsavverkning</t>
        </is>
      </c>
      <c r="D5315" s="1" t="n">
        <v>44620</v>
      </c>
      <c r="E5315" s="1" t="n">
        <v>46316</v>
      </c>
      <c r="F5315" t="inlineStr">
        <is>
          <t>KRONOBERGS LÄN</t>
        </is>
      </c>
      <c r="G5315" t="inlineStr">
        <is>
          <t>TINGSRYD</t>
        </is>
      </c>
      <c r="H5315" t="inlineStr">
        <is>
          <t>Kommuner</t>
        </is>
      </c>
      <c r="I5315" t="n">
        <v>1.8</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4733-2024</t>
        </is>
      </c>
      <c r="B5316" t="inlineStr">
        <is>
          <t>avverkningsanmälan</t>
        </is>
      </c>
      <c r="C5316" t="inlineStr">
        <is>
          <t>Föryngringsavverkning</t>
        </is>
      </c>
      <c r="D5316" s="1" t="n">
        <v>45328</v>
      </c>
      <c r="E5316" s="1" t="n">
        <v>46316</v>
      </c>
      <c r="F5316" t="inlineStr">
        <is>
          <t>KRONOBERGS LÄN</t>
        </is>
      </c>
      <c r="G5316" t="inlineStr">
        <is>
          <t>ALVESTA</t>
        </is>
      </c>
      <c r="I5316" t="n">
        <v>2.3</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16898-2025</t>
        </is>
      </c>
      <c r="B5317" t="inlineStr">
        <is>
          <t>avverkningsanmälan</t>
        </is>
      </c>
      <c r="C5317" t="inlineStr">
        <is>
          <t>Föryngringsavverkning</t>
        </is>
      </c>
      <c r="D5317" s="1" t="n">
        <v>45755</v>
      </c>
      <c r="E5317" s="1" t="n">
        <v>46316</v>
      </c>
      <c r="F5317" t="inlineStr">
        <is>
          <t>KRONOBERGS LÄN</t>
        </is>
      </c>
      <c r="G5317" t="inlineStr">
        <is>
          <t>TINGSRYD</t>
        </is>
      </c>
      <c r="I5317" t="n">
        <v>0.6</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62504-2022</t>
        </is>
      </c>
      <c r="B5318" t="inlineStr">
        <is>
          <t>avverkningsanmälan</t>
        </is>
      </c>
      <c r="C5318" t="inlineStr">
        <is>
          <t>Föryngringsavverkning</t>
        </is>
      </c>
      <c r="D5318" s="1" t="n">
        <v>44924</v>
      </c>
      <c r="E5318" s="1" t="n">
        <v>46316</v>
      </c>
      <c r="F5318" t="inlineStr">
        <is>
          <t>KRONOBERGS LÄN</t>
        </is>
      </c>
      <c r="G5318" t="inlineStr">
        <is>
          <t>LJUNGBY</t>
        </is>
      </c>
      <c r="I5318" t="n">
        <v>1.9</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68552-2021</t>
        </is>
      </c>
      <c r="B5319" t="inlineStr">
        <is>
          <t>avverkningsanmälan</t>
        </is>
      </c>
      <c r="C5319" t="inlineStr">
        <is>
          <t>Föryngringsavverkning</t>
        </is>
      </c>
      <c r="D5319" s="1" t="n">
        <v>44529</v>
      </c>
      <c r="E5319" s="1" t="n">
        <v>46316</v>
      </c>
      <c r="F5319" t="inlineStr">
        <is>
          <t>KRONOBERGS LÄN</t>
        </is>
      </c>
      <c r="G5319" t="inlineStr">
        <is>
          <t>ÄLMHULT</t>
        </is>
      </c>
      <c r="I5319" t="n">
        <v>1.3</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61843-2024</t>
        </is>
      </c>
      <c r="B5320" t="inlineStr">
        <is>
          <t>avverkningsanmälan</t>
        </is>
      </c>
      <c r="C5320" t="inlineStr">
        <is>
          <t>Föryngringsavverkning</t>
        </is>
      </c>
      <c r="D5320" s="1" t="n">
        <v>45649</v>
      </c>
      <c r="E5320" s="1" t="n">
        <v>46316</v>
      </c>
      <c r="F5320" t="inlineStr">
        <is>
          <t>KRONOBERGS LÄN</t>
        </is>
      </c>
      <c r="G5320" t="inlineStr">
        <is>
          <t>UPPVIDINGE</t>
        </is>
      </c>
      <c r="I5320" t="n">
        <v>0.8</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51876-2024</t>
        </is>
      </c>
      <c r="B5321" t="inlineStr">
        <is>
          <t>avverkningsanmälan</t>
        </is>
      </c>
      <c r="C5321" t="inlineStr">
        <is>
          <t>Föryngringsavverkning</t>
        </is>
      </c>
      <c r="D5321" s="1" t="n">
        <v>45607</v>
      </c>
      <c r="E5321" s="1" t="n">
        <v>46316</v>
      </c>
      <c r="F5321" t="inlineStr">
        <is>
          <t>KRONOBERGS LÄN</t>
        </is>
      </c>
      <c r="G5321" t="inlineStr">
        <is>
          <t>TINGSRYD</t>
        </is>
      </c>
      <c r="I5321" t="n">
        <v>1.4</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8919-2025</t>
        </is>
      </c>
      <c r="B5322" t="inlineStr">
        <is>
          <t>avverkningsanmälan</t>
        </is>
      </c>
      <c r="C5322" t="inlineStr">
        <is>
          <t>Föryngringsavverkning</t>
        </is>
      </c>
      <c r="D5322" s="1" t="n">
        <v>45713</v>
      </c>
      <c r="E5322" s="1" t="n">
        <v>46316</v>
      </c>
      <c r="F5322" t="inlineStr">
        <is>
          <t>KRONOBERGS LÄN</t>
        </is>
      </c>
      <c r="G5322" t="inlineStr">
        <is>
          <t>TINGSRYD</t>
        </is>
      </c>
      <c r="I5322" t="n">
        <v>0</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37278-2024</t>
        </is>
      </c>
      <c r="B5323" t="inlineStr">
        <is>
          <t>avverkningsanmälan</t>
        </is>
      </c>
      <c r="C5323" t="inlineStr">
        <is>
          <t>Föryngringsavverkning</t>
        </is>
      </c>
      <c r="D5323" s="1" t="n">
        <v>45540</v>
      </c>
      <c r="E5323" s="1" t="n">
        <v>46316</v>
      </c>
      <c r="F5323" t="inlineStr">
        <is>
          <t>KRONOBERGS LÄN</t>
        </is>
      </c>
      <c r="G5323" t="inlineStr">
        <is>
          <t>ALVESTA</t>
        </is>
      </c>
      <c r="I5323" t="n">
        <v>2</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56774-2024</t>
        </is>
      </c>
      <c r="B5324" t="inlineStr">
        <is>
          <t>avverkningsanmälan</t>
        </is>
      </c>
      <c r="C5324" t="inlineStr">
        <is>
          <t>Föryngringsavverkning</t>
        </is>
      </c>
      <c r="D5324" s="1" t="n">
        <v>45628</v>
      </c>
      <c r="E5324" s="1" t="n">
        <v>46316</v>
      </c>
      <c r="F5324" t="inlineStr">
        <is>
          <t>KRONOBERGS LÄN</t>
        </is>
      </c>
      <c r="G5324" t="inlineStr">
        <is>
          <t>LJUNGBY</t>
        </is>
      </c>
      <c r="I5324" t="n">
        <v>2.4</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14766-2023</t>
        </is>
      </c>
      <c r="B5325" t="inlineStr">
        <is>
          <t>avverkningsanmälan</t>
        </is>
      </c>
      <c r="C5325" t="inlineStr">
        <is>
          <t>Föryngringsavverkning</t>
        </is>
      </c>
      <c r="D5325" s="1" t="n">
        <v>45014</v>
      </c>
      <c r="E5325" s="1" t="n">
        <v>46316</v>
      </c>
      <c r="F5325" t="inlineStr">
        <is>
          <t>KRONOBERGS LÄN</t>
        </is>
      </c>
      <c r="G5325" t="inlineStr">
        <is>
          <t>VÄXJÖ</t>
        </is>
      </c>
      <c r="I5325" t="n">
        <v>1.8</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12339-2023</t>
        </is>
      </c>
      <c r="B5326" t="inlineStr">
        <is>
          <t>avverkningsanmälan</t>
        </is>
      </c>
      <c r="C5326" t="inlineStr">
        <is>
          <t>Föryngringsavverkning</t>
        </is>
      </c>
      <c r="D5326" s="1" t="n">
        <v>44998</v>
      </c>
      <c r="E5326" s="1" t="n">
        <v>46316</v>
      </c>
      <c r="F5326" t="inlineStr">
        <is>
          <t>KRONOBERGS LÄN</t>
        </is>
      </c>
      <c r="G5326" t="inlineStr">
        <is>
          <t>UPPVIDINGE</t>
        </is>
      </c>
      <c r="H5326" t="inlineStr">
        <is>
          <t>Kyrkan</t>
        </is>
      </c>
      <c r="I5326" t="n">
        <v>4.3</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14989-2025</t>
        </is>
      </c>
      <c r="B5327" t="inlineStr">
        <is>
          <t>avverkningsanmälan</t>
        </is>
      </c>
      <c r="C5327" t="inlineStr">
        <is>
          <t>Avverkning för annat ändamål</t>
        </is>
      </c>
      <c r="D5327" s="1" t="n">
        <v>45743</v>
      </c>
      <c r="E5327" s="1" t="n">
        <v>46316</v>
      </c>
      <c r="F5327" t="inlineStr">
        <is>
          <t>KRONOBERGS LÄN</t>
        </is>
      </c>
      <c r="G5327" t="inlineStr">
        <is>
          <t>VÄXJÖ</t>
        </is>
      </c>
      <c r="I5327" t="n">
        <v>0.7</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61625-2023</t>
        </is>
      </c>
      <c r="B5328" t="inlineStr">
        <is>
          <t>avverkningsanmälan</t>
        </is>
      </c>
      <c r="C5328" t="inlineStr">
        <is>
          <t>Föryngringsavverkning</t>
        </is>
      </c>
      <c r="D5328" s="1" t="n">
        <v>45265</v>
      </c>
      <c r="E5328" s="1" t="n">
        <v>46316</v>
      </c>
      <c r="F5328" t="inlineStr">
        <is>
          <t>KRONOBERGS LÄN</t>
        </is>
      </c>
      <c r="G5328" t="inlineStr">
        <is>
          <t>MARKARYD</t>
        </is>
      </c>
      <c r="I5328" t="n">
        <v>2.2</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14943-2022</t>
        </is>
      </c>
      <c r="B5329" t="inlineStr">
        <is>
          <t>avverkningsanmälan</t>
        </is>
      </c>
      <c r="C5329" t="inlineStr">
        <is>
          <t>Föryngringsavverkning</t>
        </is>
      </c>
      <c r="D5329" s="1" t="n">
        <v>44657</v>
      </c>
      <c r="E5329" s="1" t="n">
        <v>46316</v>
      </c>
      <c r="F5329" t="inlineStr">
        <is>
          <t>KRONOBERGS LÄN</t>
        </is>
      </c>
      <c r="G5329" t="inlineStr">
        <is>
          <t>LJUNGBY</t>
        </is>
      </c>
      <c r="I5329" t="n">
        <v>0.6</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32810-2023</t>
        </is>
      </c>
      <c r="B5330" t="inlineStr">
        <is>
          <t>avverkningsanmälan</t>
        </is>
      </c>
      <c r="C5330" t="inlineStr">
        <is>
          <t>Föryngringsavverkning</t>
        </is>
      </c>
      <c r="D5330" s="1" t="n">
        <v>45124</v>
      </c>
      <c r="E5330" s="1" t="n">
        <v>46316</v>
      </c>
      <c r="F5330" t="inlineStr">
        <is>
          <t>KRONOBERGS LÄN</t>
        </is>
      </c>
      <c r="G5330" t="inlineStr">
        <is>
          <t>TINGSRYD</t>
        </is>
      </c>
      <c r="I5330" t="n">
        <v>0.9</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65094-2023</t>
        </is>
      </c>
      <c r="B5331" t="inlineStr">
        <is>
          <t>avverkningsanmälan</t>
        </is>
      </c>
      <c r="C5331" t="inlineStr">
        <is>
          <t>Föryngringsavverkning</t>
        </is>
      </c>
      <c r="D5331" s="1" t="n">
        <v>45288</v>
      </c>
      <c r="E5331" s="1" t="n">
        <v>46316</v>
      </c>
      <c r="F5331" t="inlineStr">
        <is>
          <t>KRONOBERGS LÄN</t>
        </is>
      </c>
      <c r="G5331" t="inlineStr">
        <is>
          <t>ALVESTA</t>
        </is>
      </c>
      <c r="I5331" t="n">
        <v>0.6</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36267-2024</t>
        </is>
      </c>
      <c r="B5332" t="inlineStr">
        <is>
          <t>avverkningsanmälan</t>
        </is>
      </c>
      <c r="C5332" t="inlineStr">
        <is>
          <t>Föryngringsavverkning</t>
        </is>
      </c>
      <c r="D5332" s="1" t="n">
        <v>45534</v>
      </c>
      <c r="E5332" s="1" t="n">
        <v>46316</v>
      </c>
      <c r="F5332" t="inlineStr">
        <is>
          <t>KRONOBERGS LÄN</t>
        </is>
      </c>
      <c r="G5332" t="inlineStr">
        <is>
          <t>VÄXJÖ</t>
        </is>
      </c>
      <c r="I5332" t="n">
        <v>0.9</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7154-2025</t>
        </is>
      </c>
      <c r="B5333" t="inlineStr">
        <is>
          <t>avverkningsanmälan</t>
        </is>
      </c>
      <c r="C5333" t="inlineStr">
        <is>
          <t>Föryngringsavverkning</t>
        </is>
      </c>
      <c r="D5333" s="1" t="n">
        <v>45702</v>
      </c>
      <c r="E5333" s="1" t="n">
        <v>46316</v>
      </c>
      <c r="F5333" t="inlineStr">
        <is>
          <t>KRONOBERGS LÄN</t>
        </is>
      </c>
      <c r="G5333" t="inlineStr">
        <is>
          <t>VÄXJÖ</t>
        </is>
      </c>
      <c r="I5333" t="n">
        <v>0.6</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63569-2021</t>
        </is>
      </c>
      <c r="B5334" t="inlineStr">
        <is>
          <t>avverkningsanmälan</t>
        </is>
      </c>
      <c r="C5334" t="inlineStr">
        <is>
          <t>Föryngringsavverkning</t>
        </is>
      </c>
      <c r="D5334" s="1" t="n">
        <v>44508</v>
      </c>
      <c r="E5334" s="1" t="n">
        <v>46316</v>
      </c>
      <c r="F5334" t="inlineStr">
        <is>
          <t>KRONOBERGS LÄN</t>
        </is>
      </c>
      <c r="G5334" t="inlineStr">
        <is>
          <t>ÄLMHULT</t>
        </is>
      </c>
      <c r="I5334" t="n">
        <v>4.4</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54168-2024</t>
        </is>
      </c>
      <c r="B5335" t="inlineStr">
        <is>
          <t>avverkningsanmälan</t>
        </is>
      </c>
      <c r="C5335" t="inlineStr">
        <is>
          <t>Föryngringsavverkning</t>
        </is>
      </c>
      <c r="D5335" s="1" t="n">
        <v>45616</v>
      </c>
      <c r="E5335" s="1" t="n">
        <v>46316</v>
      </c>
      <c r="F5335" t="inlineStr">
        <is>
          <t>KRONOBERGS LÄN</t>
        </is>
      </c>
      <c r="G5335" t="inlineStr">
        <is>
          <t>TINGSRYD</t>
        </is>
      </c>
      <c r="I5335" t="n">
        <v>1</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63697-2023</t>
        </is>
      </c>
      <c r="B5336" t="inlineStr">
        <is>
          <t>avverkningsanmälan</t>
        </is>
      </c>
      <c r="C5336" t="inlineStr">
        <is>
          <t>Föryngringsavverkning</t>
        </is>
      </c>
      <c r="D5336" s="1" t="n">
        <v>45275</v>
      </c>
      <c r="E5336" s="1" t="n">
        <v>46316</v>
      </c>
      <c r="F5336" t="inlineStr">
        <is>
          <t>KRONOBERGS LÄN</t>
        </is>
      </c>
      <c r="G5336" t="inlineStr">
        <is>
          <t>TINGSRYD</t>
        </is>
      </c>
      <c r="I5336" t="n">
        <v>3.7</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51416-2023</t>
        </is>
      </c>
      <c r="B5337" t="inlineStr">
        <is>
          <t>avverkningsanmälan</t>
        </is>
      </c>
      <c r="C5337" t="inlineStr">
        <is>
          <t>Föryngringsavverkning</t>
        </is>
      </c>
      <c r="D5337" s="1" t="n">
        <v>45219</v>
      </c>
      <c r="E5337" s="1" t="n">
        <v>46316</v>
      </c>
      <c r="F5337" t="inlineStr">
        <is>
          <t>KRONOBERGS LÄN</t>
        </is>
      </c>
      <c r="G5337" t="inlineStr">
        <is>
          <t>VÄXJÖ</t>
        </is>
      </c>
      <c r="I5337" t="n">
        <v>0.9</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42095-2023</t>
        </is>
      </c>
      <c r="B5338" t="inlineStr">
        <is>
          <t>avverkningsanmälan</t>
        </is>
      </c>
      <c r="C5338" t="inlineStr">
        <is>
          <t>Föryngringsavverkning</t>
        </is>
      </c>
      <c r="D5338" s="1" t="n">
        <v>45175</v>
      </c>
      <c r="E5338" s="1" t="n">
        <v>46316</v>
      </c>
      <c r="F5338" t="inlineStr">
        <is>
          <t>KRONOBERGS LÄN</t>
        </is>
      </c>
      <c r="G5338" t="inlineStr">
        <is>
          <t>TINGSRYD</t>
        </is>
      </c>
      <c r="I5338" t="n">
        <v>4.1</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6416-2024</t>
        </is>
      </c>
      <c r="B5339" t="inlineStr">
        <is>
          <t>avverkningsanmälan</t>
        </is>
      </c>
      <c r="C5339" t="inlineStr">
        <is>
          <t>Föryngringsavverkning</t>
        </is>
      </c>
      <c r="D5339" s="1" t="n">
        <v>45338</v>
      </c>
      <c r="E5339" s="1" t="n">
        <v>46316</v>
      </c>
      <c r="F5339" t="inlineStr">
        <is>
          <t>KRONOBERGS LÄN</t>
        </is>
      </c>
      <c r="G5339" t="inlineStr">
        <is>
          <t>TINGSRYD</t>
        </is>
      </c>
      <c r="I5339" t="n">
        <v>0.3</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16948-2022</t>
        </is>
      </c>
      <c r="B5340" t="inlineStr">
        <is>
          <t>avverkningsanmälan</t>
        </is>
      </c>
      <c r="C5340" t="inlineStr">
        <is>
          <t>Föryngringsavverkning</t>
        </is>
      </c>
      <c r="D5340" s="1" t="n">
        <v>44676</v>
      </c>
      <c r="E5340" s="1" t="n">
        <v>46316</v>
      </c>
      <c r="F5340" t="inlineStr">
        <is>
          <t>KRONOBERGS LÄN</t>
        </is>
      </c>
      <c r="G5340" t="inlineStr">
        <is>
          <t>VÄXJÖ</t>
        </is>
      </c>
      <c r="H5340" t="inlineStr">
        <is>
          <t>Sveaskog</t>
        </is>
      </c>
      <c r="I5340" t="n">
        <v>0.8</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28506-2022</t>
        </is>
      </c>
      <c r="B5341" t="inlineStr">
        <is>
          <t>avverkningsanmälan</t>
        </is>
      </c>
      <c r="C5341" t="inlineStr">
        <is>
          <t>Föryngringsavverkning</t>
        </is>
      </c>
      <c r="D5341" s="1" t="n">
        <v>44748</v>
      </c>
      <c r="E5341" s="1" t="n">
        <v>46316</v>
      </c>
      <c r="F5341" t="inlineStr">
        <is>
          <t>KRONOBERGS LÄN</t>
        </is>
      </c>
      <c r="G5341" t="inlineStr">
        <is>
          <t>TINGSRYD</t>
        </is>
      </c>
      <c r="I5341" t="n">
        <v>1.1</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61558-2024</t>
        </is>
      </c>
      <c r="B5342" t="inlineStr">
        <is>
          <t>avverkningsanmälan</t>
        </is>
      </c>
      <c r="C5342" t="inlineStr">
        <is>
          <t>Föryngringsavverkning</t>
        </is>
      </c>
      <c r="D5342" s="1" t="n">
        <v>45646</v>
      </c>
      <c r="E5342" s="1" t="n">
        <v>46316</v>
      </c>
      <c r="F5342" t="inlineStr">
        <is>
          <t>KRONOBERGS LÄN</t>
        </is>
      </c>
      <c r="G5342" t="inlineStr">
        <is>
          <t>TINGSRYD</t>
        </is>
      </c>
      <c r="I5342" t="n">
        <v>0.7</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32493-2023</t>
        </is>
      </c>
      <c r="B5343" t="inlineStr">
        <is>
          <t>avverkningsanmälan</t>
        </is>
      </c>
      <c r="C5343" t="inlineStr">
        <is>
          <t>Föryngringsavverkning</t>
        </is>
      </c>
      <c r="D5343" s="1" t="n">
        <v>45121</v>
      </c>
      <c r="E5343" s="1" t="n">
        <v>46316</v>
      </c>
      <c r="F5343" t="inlineStr">
        <is>
          <t>KRONOBERGS LÄN</t>
        </is>
      </c>
      <c r="G5343" t="inlineStr">
        <is>
          <t>VÄXJÖ</t>
        </is>
      </c>
      <c r="I5343" t="n">
        <v>0.3</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32495-2023</t>
        </is>
      </c>
      <c r="B5344" t="inlineStr">
        <is>
          <t>avverkningsanmälan</t>
        </is>
      </c>
      <c r="C5344" t="inlineStr">
        <is>
          <t>Föryngringsavverkning</t>
        </is>
      </c>
      <c r="D5344" s="1" t="n">
        <v>45121</v>
      </c>
      <c r="E5344" s="1" t="n">
        <v>46316</v>
      </c>
      <c r="F5344" t="inlineStr">
        <is>
          <t>KRONOBERGS LÄN</t>
        </is>
      </c>
      <c r="G5344" t="inlineStr">
        <is>
          <t>VÄXJÖ</t>
        </is>
      </c>
      <c r="I5344" t="n">
        <v>2.3</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32503-2023</t>
        </is>
      </c>
      <c r="B5345" t="inlineStr">
        <is>
          <t>avverkningsanmälan</t>
        </is>
      </c>
      <c r="C5345" t="inlineStr">
        <is>
          <t>Föryngringsavverkning</t>
        </is>
      </c>
      <c r="D5345" s="1" t="n">
        <v>45121</v>
      </c>
      <c r="E5345" s="1" t="n">
        <v>46316</v>
      </c>
      <c r="F5345" t="inlineStr">
        <is>
          <t>KRONOBERGS LÄN</t>
        </is>
      </c>
      <c r="G5345" t="inlineStr">
        <is>
          <t>VÄXJÖ</t>
        </is>
      </c>
      <c r="I5345" t="n">
        <v>3.2</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17350-2023</t>
        </is>
      </c>
      <c r="B5346" t="inlineStr">
        <is>
          <t>avverkningsanmälan</t>
        </is>
      </c>
      <c r="C5346" t="inlineStr">
        <is>
          <t>Föryngringsavverkning</t>
        </is>
      </c>
      <c r="D5346" s="1" t="n">
        <v>45035</v>
      </c>
      <c r="E5346" s="1" t="n">
        <v>46316</v>
      </c>
      <c r="F5346" t="inlineStr">
        <is>
          <t>KRONOBERGS LÄN</t>
        </is>
      </c>
      <c r="G5346" t="inlineStr">
        <is>
          <t>LESSEBO</t>
        </is>
      </c>
      <c r="I5346" t="n">
        <v>3.2</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12299-2023</t>
        </is>
      </c>
      <c r="B5347" t="inlineStr">
        <is>
          <t>avverkningsanmälan</t>
        </is>
      </c>
      <c r="C5347" t="inlineStr">
        <is>
          <t>Föryngringsavverkning</t>
        </is>
      </c>
      <c r="D5347" s="1" t="n">
        <v>44998</v>
      </c>
      <c r="E5347" s="1" t="n">
        <v>46316</v>
      </c>
      <c r="F5347" t="inlineStr">
        <is>
          <t>KRONOBERGS LÄN</t>
        </is>
      </c>
      <c r="G5347" t="inlineStr">
        <is>
          <t>ALVESTA</t>
        </is>
      </c>
      <c r="I5347" t="n">
        <v>0.6</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12406-2023</t>
        </is>
      </c>
      <c r="B5348" t="inlineStr">
        <is>
          <t>avverkningsanmälan</t>
        </is>
      </c>
      <c r="C5348" t="inlineStr">
        <is>
          <t>Föryngringsavverkning</t>
        </is>
      </c>
      <c r="D5348" s="1" t="n">
        <v>44999</v>
      </c>
      <c r="E5348" s="1" t="n">
        <v>46316</v>
      </c>
      <c r="F5348" t="inlineStr">
        <is>
          <t>KRONOBERGS LÄN</t>
        </is>
      </c>
      <c r="G5348" t="inlineStr">
        <is>
          <t>LJUNGBY</t>
        </is>
      </c>
      <c r="I5348" t="n">
        <v>0.6</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60609-2021</t>
        </is>
      </c>
      <c r="B5349" t="inlineStr">
        <is>
          <t>avverkningsanmälan</t>
        </is>
      </c>
      <c r="C5349" t="inlineStr">
        <is>
          <t>Föryngringsavverkning</t>
        </is>
      </c>
      <c r="D5349" s="1" t="n">
        <v>44496</v>
      </c>
      <c r="E5349" s="1" t="n">
        <v>46316</v>
      </c>
      <c r="F5349" t="inlineStr">
        <is>
          <t>KRONOBERGS LÄN</t>
        </is>
      </c>
      <c r="G5349" t="inlineStr">
        <is>
          <t>UPPVIDINGE</t>
        </is>
      </c>
      <c r="I5349" t="n">
        <v>2.1</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21186-2024</t>
        </is>
      </c>
      <c r="B5350" t="inlineStr">
        <is>
          <t>avverkningsanmälan</t>
        </is>
      </c>
      <c r="C5350" t="inlineStr">
        <is>
          <t>Föryngringsavverkning</t>
        </is>
      </c>
      <c r="D5350" s="1" t="n">
        <v>45440</v>
      </c>
      <c r="E5350" s="1" t="n">
        <v>46316</v>
      </c>
      <c r="F5350" t="inlineStr">
        <is>
          <t>KRONOBERGS LÄN</t>
        </is>
      </c>
      <c r="G5350" t="inlineStr">
        <is>
          <t>VÄXJÖ</t>
        </is>
      </c>
      <c r="I5350" t="n">
        <v>4.3</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8671-2025</t>
        </is>
      </c>
      <c r="B5351" t="inlineStr">
        <is>
          <t>avverkningsanmälan</t>
        </is>
      </c>
      <c r="C5351" t="inlineStr">
        <is>
          <t>Föryngringsavverkning</t>
        </is>
      </c>
      <c r="D5351" s="1" t="n">
        <v>45712</v>
      </c>
      <c r="E5351" s="1" t="n">
        <v>46316</v>
      </c>
      <c r="F5351" t="inlineStr">
        <is>
          <t>KRONOBERGS LÄN</t>
        </is>
      </c>
      <c r="G5351" t="inlineStr">
        <is>
          <t>ALVESTA</t>
        </is>
      </c>
      <c r="I5351" t="n">
        <v>0.5</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61193-2024</t>
        </is>
      </c>
      <c r="B5352" t="inlineStr">
        <is>
          <t>avverkningsanmälan</t>
        </is>
      </c>
      <c r="C5352" t="inlineStr">
        <is>
          <t>Föryngringsavverkning</t>
        </is>
      </c>
      <c r="D5352" s="1" t="n">
        <v>45645</v>
      </c>
      <c r="E5352" s="1" t="n">
        <v>46316</v>
      </c>
      <c r="F5352" t="inlineStr">
        <is>
          <t>KRONOBERGS LÄN</t>
        </is>
      </c>
      <c r="G5352" t="inlineStr">
        <is>
          <t>VÄXJÖ</t>
        </is>
      </c>
      <c r="I5352" t="n">
        <v>0.7</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48331-2022</t>
        </is>
      </c>
      <c r="B5353" t="inlineStr">
        <is>
          <t>avverkningsanmälan</t>
        </is>
      </c>
      <c r="C5353" t="inlineStr">
        <is>
          <t>Föryngringsavverkning</t>
        </is>
      </c>
      <c r="D5353" s="1" t="n">
        <v>44858</v>
      </c>
      <c r="E5353" s="1" t="n">
        <v>46316</v>
      </c>
      <c r="F5353" t="inlineStr">
        <is>
          <t>KRONOBERGS LÄN</t>
        </is>
      </c>
      <c r="G5353" t="inlineStr">
        <is>
          <t>ÄLMHULT</t>
        </is>
      </c>
      <c r="I5353" t="n">
        <v>1</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59544-2024</t>
        </is>
      </c>
      <c r="B5354" t="inlineStr">
        <is>
          <t>avverkningsanmälan</t>
        </is>
      </c>
      <c r="C5354" t="inlineStr">
        <is>
          <t>Föryngringsavverkning</t>
        </is>
      </c>
      <c r="D5354" s="1" t="n">
        <v>45637</v>
      </c>
      <c r="E5354" s="1" t="n">
        <v>46316</v>
      </c>
      <c r="F5354" t="inlineStr">
        <is>
          <t>KRONOBERGS LÄN</t>
        </is>
      </c>
      <c r="G5354" t="inlineStr">
        <is>
          <t>LJUNGBY</t>
        </is>
      </c>
      <c r="I5354" t="n">
        <v>3.7</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5352-2025</t>
        </is>
      </c>
      <c r="B5355" t="inlineStr">
        <is>
          <t>avverkningsanmälan</t>
        </is>
      </c>
      <c r="C5355" t="inlineStr">
        <is>
          <t>Föryngringsavverkning</t>
        </is>
      </c>
      <c r="D5355" s="1" t="n">
        <v>45692</v>
      </c>
      <c r="E5355" s="1" t="n">
        <v>46316</v>
      </c>
      <c r="F5355" t="inlineStr">
        <is>
          <t>KRONOBERGS LÄN</t>
        </is>
      </c>
      <c r="G5355" t="inlineStr">
        <is>
          <t>VÄXJÖ</t>
        </is>
      </c>
      <c r="I5355" t="n">
        <v>0.9</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39091-2023</t>
        </is>
      </c>
      <c r="B5356" t="inlineStr">
        <is>
          <t>avverkningsanmälan</t>
        </is>
      </c>
      <c r="C5356" t="inlineStr">
        <is>
          <t>Föryngringsavverkning</t>
        </is>
      </c>
      <c r="D5356" s="1" t="n">
        <v>45164</v>
      </c>
      <c r="E5356" s="1" t="n">
        <v>46316</v>
      </c>
      <c r="F5356" t="inlineStr">
        <is>
          <t>KRONOBERGS LÄN</t>
        </is>
      </c>
      <c r="G5356" t="inlineStr">
        <is>
          <t>LJUNGBY</t>
        </is>
      </c>
      <c r="I5356" t="n">
        <v>0.7</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16200-2023</t>
        </is>
      </c>
      <c r="B5357" t="inlineStr">
        <is>
          <t>avverkningsanmälan</t>
        </is>
      </c>
      <c r="C5357" t="inlineStr">
        <is>
          <t>Föryngringsavverkning</t>
        </is>
      </c>
      <c r="D5357" s="1" t="n">
        <v>45028</v>
      </c>
      <c r="E5357" s="1" t="n">
        <v>46316</v>
      </c>
      <c r="F5357" t="inlineStr">
        <is>
          <t>KRONOBERGS LÄN</t>
        </is>
      </c>
      <c r="G5357" t="inlineStr">
        <is>
          <t>VÄXJÖ</t>
        </is>
      </c>
      <c r="I5357" t="n">
        <v>1.2</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50186-2024</t>
        </is>
      </c>
      <c r="B5358" t="inlineStr">
        <is>
          <t>avverkningsanmälan</t>
        </is>
      </c>
      <c r="C5358" t="inlineStr">
        <is>
          <t>Föryngringsavverkning</t>
        </is>
      </c>
      <c r="D5358" s="1" t="n">
        <v>45600</v>
      </c>
      <c r="E5358" s="1" t="n">
        <v>46316</v>
      </c>
      <c r="F5358" t="inlineStr">
        <is>
          <t>KRONOBERGS LÄN</t>
        </is>
      </c>
      <c r="G5358" t="inlineStr">
        <is>
          <t>UPPVIDINGE</t>
        </is>
      </c>
      <c r="I5358" t="n">
        <v>0.7</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20840-2025</t>
        </is>
      </c>
      <c r="B5359" t="inlineStr">
        <is>
          <t>avverkningsanmälan</t>
        </is>
      </c>
      <c r="C5359" t="inlineStr">
        <is>
          <t>Föryngringsavverkning</t>
        </is>
      </c>
      <c r="D5359" s="1" t="n">
        <v>45776</v>
      </c>
      <c r="E5359" s="1" t="n">
        <v>46316</v>
      </c>
      <c r="F5359" t="inlineStr">
        <is>
          <t>KRONOBERGS LÄN</t>
        </is>
      </c>
      <c r="G5359" t="inlineStr">
        <is>
          <t>ÄLMHULT</t>
        </is>
      </c>
      <c r="I5359" t="n">
        <v>3.4</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20852-2025</t>
        </is>
      </c>
      <c r="B5360" t="inlineStr">
        <is>
          <t>avverkningsanmälan</t>
        </is>
      </c>
      <c r="C5360" t="inlineStr">
        <is>
          <t>Föryngringsavverkning</t>
        </is>
      </c>
      <c r="D5360" s="1" t="n">
        <v>45777</v>
      </c>
      <c r="E5360" s="1" t="n">
        <v>46316</v>
      </c>
      <c r="F5360" t="inlineStr">
        <is>
          <t>KRONOBERGS LÄN</t>
        </is>
      </c>
      <c r="G5360" t="inlineStr">
        <is>
          <t>LESSEBO</t>
        </is>
      </c>
      <c r="H5360" t="inlineStr">
        <is>
          <t>Sveaskog</t>
        </is>
      </c>
      <c r="I5360" t="n">
        <v>0.5</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44743-2024</t>
        </is>
      </c>
      <c r="B5361" t="inlineStr">
        <is>
          <t>avverkningsanmälan</t>
        </is>
      </c>
      <c r="C5361" t="inlineStr">
        <is>
          <t>Föryngringsavverkning</t>
        </is>
      </c>
      <c r="D5361" s="1" t="n">
        <v>45574</v>
      </c>
      <c r="E5361" s="1" t="n">
        <v>46316</v>
      </c>
      <c r="F5361" t="inlineStr">
        <is>
          <t>KRONOBERGS LÄN</t>
        </is>
      </c>
      <c r="G5361" t="inlineStr">
        <is>
          <t>TINGSRYD</t>
        </is>
      </c>
      <c r="I5361" t="n">
        <v>1.1</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39501-2024</t>
        </is>
      </c>
      <c r="B5362" t="inlineStr">
        <is>
          <t>avverkningsanmälan</t>
        </is>
      </c>
      <c r="C5362" t="inlineStr">
        <is>
          <t>Föryngringsavverkning</t>
        </is>
      </c>
      <c r="D5362" s="1" t="n">
        <v>45551</v>
      </c>
      <c r="E5362" s="1" t="n">
        <v>46316</v>
      </c>
      <c r="F5362" t="inlineStr">
        <is>
          <t>KRONOBERGS LÄN</t>
        </is>
      </c>
      <c r="G5362" t="inlineStr">
        <is>
          <t>ALVESTA</t>
        </is>
      </c>
      <c r="I5362" t="n">
        <v>1.2</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42087-2024</t>
        </is>
      </c>
      <c r="B5363" t="inlineStr">
        <is>
          <t>avverkningsanmälan</t>
        </is>
      </c>
      <c r="C5363" t="inlineStr">
        <is>
          <t>Föryngringsavverkning</t>
        </is>
      </c>
      <c r="D5363" s="1" t="n">
        <v>45562</v>
      </c>
      <c r="E5363" s="1" t="n">
        <v>46316</v>
      </c>
      <c r="F5363" t="inlineStr">
        <is>
          <t>KRONOBERGS LÄN</t>
        </is>
      </c>
      <c r="G5363" t="inlineStr">
        <is>
          <t>TINGSRYD</t>
        </is>
      </c>
      <c r="I5363" t="n">
        <v>0.7</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21008-2025</t>
        </is>
      </c>
      <c r="B5364" t="inlineStr">
        <is>
          <t>avverkningsanmälan</t>
        </is>
      </c>
      <c r="C5364" t="inlineStr">
        <is>
          <t>Föryngringsavverkning</t>
        </is>
      </c>
      <c r="D5364" s="1" t="n">
        <v>45777</v>
      </c>
      <c r="E5364" s="1" t="n">
        <v>46316</v>
      </c>
      <c r="F5364" t="inlineStr">
        <is>
          <t>KRONOBERGS LÄN</t>
        </is>
      </c>
      <c r="G5364" t="inlineStr">
        <is>
          <t>VÄXJÖ</t>
        </is>
      </c>
      <c r="H5364" t="inlineStr">
        <is>
          <t>Sveaskog</t>
        </is>
      </c>
      <c r="I5364" t="n">
        <v>1.7</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53766-2024</t>
        </is>
      </c>
      <c r="B5365" t="inlineStr">
        <is>
          <t>avverkningsanmälan</t>
        </is>
      </c>
      <c r="C5365" t="inlineStr">
        <is>
          <t>Föryngringsavverkning</t>
        </is>
      </c>
      <c r="D5365" s="1" t="n">
        <v>45615</v>
      </c>
      <c r="E5365" s="1" t="n">
        <v>46316</v>
      </c>
      <c r="F5365" t="inlineStr">
        <is>
          <t>KRONOBERGS LÄN</t>
        </is>
      </c>
      <c r="G5365" t="inlineStr">
        <is>
          <t>TINGSRYD</t>
        </is>
      </c>
      <c r="I5365" t="n">
        <v>1.8</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12917-2024</t>
        </is>
      </c>
      <c r="B5366" t="inlineStr">
        <is>
          <t>avverkningsanmälan</t>
        </is>
      </c>
      <c r="C5366" t="inlineStr">
        <is>
          <t>Föryngringsavverkning</t>
        </is>
      </c>
      <c r="D5366" s="1" t="n">
        <v>45385</v>
      </c>
      <c r="E5366" s="1" t="n">
        <v>46316</v>
      </c>
      <c r="F5366" t="inlineStr">
        <is>
          <t>KRONOBERGS LÄN</t>
        </is>
      </c>
      <c r="G5366" t="inlineStr">
        <is>
          <t>ALVESTA</t>
        </is>
      </c>
      <c r="I5366" t="n">
        <v>1</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57206-2024</t>
        </is>
      </c>
      <c r="B5367" t="inlineStr">
        <is>
          <t>avverkningsanmälan</t>
        </is>
      </c>
      <c r="C5367" t="inlineStr">
        <is>
          <t>Föryngringsavverkning</t>
        </is>
      </c>
      <c r="D5367" s="1" t="n">
        <v>45629</v>
      </c>
      <c r="E5367" s="1" t="n">
        <v>46316</v>
      </c>
      <c r="F5367" t="inlineStr">
        <is>
          <t>KRONOBERGS LÄN</t>
        </is>
      </c>
      <c r="G5367" t="inlineStr">
        <is>
          <t>LJUNGBY</t>
        </is>
      </c>
      <c r="I5367" t="n">
        <v>1.3</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17936-2024</t>
        </is>
      </c>
      <c r="B5368" t="inlineStr">
        <is>
          <t>avverkningsanmälan</t>
        </is>
      </c>
      <c r="C5368" t="inlineStr">
        <is>
          <t>Föryngringsavverkning</t>
        </is>
      </c>
      <c r="D5368" s="1" t="n">
        <v>45419</v>
      </c>
      <c r="E5368" s="1" t="n">
        <v>46316</v>
      </c>
      <c r="F5368" t="inlineStr">
        <is>
          <t>KRONOBERGS LÄN</t>
        </is>
      </c>
      <c r="G5368" t="inlineStr">
        <is>
          <t>TINGSRYD</t>
        </is>
      </c>
      <c r="I5368" t="n">
        <v>3.5</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21011-2025</t>
        </is>
      </c>
      <c r="B5369" t="inlineStr">
        <is>
          <t>avverkningsanmälan</t>
        </is>
      </c>
      <c r="C5369" t="inlineStr">
        <is>
          <t>Föryngringsavverkning</t>
        </is>
      </c>
      <c r="D5369" s="1" t="n">
        <v>45777</v>
      </c>
      <c r="E5369" s="1" t="n">
        <v>46316</v>
      </c>
      <c r="F5369" t="inlineStr">
        <is>
          <t>KRONOBERGS LÄN</t>
        </is>
      </c>
      <c r="G5369" t="inlineStr">
        <is>
          <t>VÄXJÖ</t>
        </is>
      </c>
      <c r="H5369" t="inlineStr">
        <is>
          <t>Sveaskog</t>
        </is>
      </c>
      <c r="I5369" t="n">
        <v>1.6</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46576-2023</t>
        </is>
      </c>
      <c r="B5370" t="inlineStr">
        <is>
          <t>avverkningsanmälan</t>
        </is>
      </c>
      <c r="C5370" t="inlineStr">
        <is>
          <t>Föryngringsavverkning</t>
        </is>
      </c>
      <c r="D5370" s="1" t="n">
        <v>45194</v>
      </c>
      <c r="E5370" s="1" t="n">
        <v>46316</v>
      </c>
      <c r="F5370" t="inlineStr">
        <is>
          <t>KRONOBERGS LÄN</t>
        </is>
      </c>
      <c r="G5370" t="inlineStr">
        <is>
          <t>VÄXJÖ</t>
        </is>
      </c>
      <c r="I5370" t="n">
        <v>2.5</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50852-2024</t>
        </is>
      </c>
      <c r="B5371" t="inlineStr">
        <is>
          <t>avverkningsanmälan</t>
        </is>
      </c>
      <c r="C5371" t="inlineStr">
        <is>
          <t>Föryngringsavverkning</t>
        </is>
      </c>
      <c r="D5371" s="1" t="n">
        <v>45601</v>
      </c>
      <c r="E5371" s="1" t="n">
        <v>46316</v>
      </c>
      <c r="F5371" t="inlineStr">
        <is>
          <t>KRONOBERGS LÄN</t>
        </is>
      </c>
      <c r="G5371" t="inlineStr">
        <is>
          <t>UPPVIDINGE</t>
        </is>
      </c>
      <c r="I5371" t="n">
        <v>2.3</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33326-2024</t>
        </is>
      </c>
      <c r="B5372" t="inlineStr">
        <is>
          <t>avverkningsanmälan</t>
        </is>
      </c>
      <c r="C5372" t="inlineStr">
        <is>
          <t>Föryngringsavverkning</t>
        </is>
      </c>
      <c r="D5372" s="1" t="n">
        <v>45519</v>
      </c>
      <c r="E5372" s="1" t="n">
        <v>46316</v>
      </c>
      <c r="F5372" t="inlineStr">
        <is>
          <t>KRONOBERGS LÄN</t>
        </is>
      </c>
      <c r="G5372" t="inlineStr">
        <is>
          <t>TINGSRYD</t>
        </is>
      </c>
      <c r="I5372" t="n">
        <v>10.6</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25589-2023</t>
        </is>
      </c>
      <c r="B5373" t="inlineStr">
        <is>
          <t>avverkningsanmälan</t>
        </is>
      </c>
      <c r="C5373" t="inlineStr">
        <is>
          <t>Föryngringsavverkning</t>
        </is>
      </c>
      <c r="D5373" s="1" t="n">
        <v>45089</v>
      </c>
      <c r="E5373" s="1" t="n">
        <v>46316</v>
      </c>
      <c r="F5373" t="inlineStr">
        <is>
          <t>KRONOBERGS LÄN</t>
        </is>
      </c>
      <c r="G5373" t="inlineStr">
        <is>
          <t>TINGSRYD</t>
        </is>
      </c>
      <c r="I5373" t="n">
        <v>1.4</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63191-2023</t>
        </is>
      </c>
      <c r="B5374" t="inlineStr">
        <is>
          <t>avverkningsanmälan</t>
        </is>
      </c>
      <c r="C5374" t="inlineStr">
        <is>
          <t>Föryngringsavverkning</t>
        </is>
      </c>
      <c r="D5374" s="1" t="n">
        <v>45273</v>
      </c>
      <c r="E5374" s="1" t="n">
        <v>46316</v>
      </c>
      <c r="F5374" t="inlineStr">
        <is>
          <t>KRONOBERGS LÄN</t>
        </is>
      </c>
      <c r="G5374" t="inlineStr">
        <is>
          <t>UPPVIDINGE</t>
        </is>
      </c>
      <c r="I5374" t="n">
        <v>2.2</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53487-2023</t>
        </is>
      </c>
      <c r="B5375" t="inlineStr">
        <is>
          <t>avverkningsanmälan</t>
        </is>
      </c>
      <c r="C5375" t="inlineStr">
        <is>
          <t>Föryngringsavverkning</t>
        </is>
      </c>
      <c r="D5375" s="1" t="n">
        <v>45230</v>
      </c>
      <c r="E5375" s="1" t="n">
        <v>46316</v>
      </c>
      <c r="F5375" t="inlineStr">
        <is>
          <t>KRONOBERGS LÄN</t>
        </is>
      </c>
      <c r="G5375" t="inlineStr">
        <is>
          <t>MARKARYD</t>
        </is>
      </c>
      <c r="I5375" t="n">
        <v>2.2</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13875-2024</t>
        </is>
      </c>
      <c r="B5376" t="inlineStr">
        <is>
          <t>avverkningsanmälan</t>
        </is>
      </c>
      <c r="C5376" t="inlineStr">
        <is>
          <t>Föryngringsavverkning</t>
        </is>
      </c>
      <c r="D5376" s="1" t="n">
        <v>45391</v>
      </c>
      <c r="E5376" s="1" t="n">
        <v>46316</v>
      </c>
      <c r="F5376" t="inlineStr">
        <is>
          <t>KRONOBERGS LÄN</t>
        </is>
      </c>
      <c r="G5376" t="inlineStr">
        <is>
          <t>UPPVIDINGE</t>
        </is>
      </c>
      <c r="I5376" t="n">
        <v>2.4</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32712-2024</t>
        </is>
      </c>
      <c r="B5377" t="inlineStr">
        <is>
          <t>avverkningsanmälan</t>
        </is>
      </c>
      <c r="C5377" t="inlineStr">
        <is>
          <t>Föryngringsavverkning</t>
        </is>
      </c>
      <c r="D5377" s="1" t="n">
        <v>45516</v>
      </c>
      <c r="E5377" s="1" t="n">
        <v>46316</v>
      </c>
      <c r="F5377" t="inlineStr">
        <is>
          <t>KRONOBERGS LÄN</t>
        </is>
      </c>
      <c r="G5377" t="inlineStr">
        <is>
          <t>UPPVIDINGE</t>
        </is>
      </c>
      <c r="I5377" t="n">
        <v>4.8</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413-2025</t>
        </is>
      </c>
      <c r="B5378" t="inlineStr">
        <is>
          <t>avverkningsanmälan</t>
        </is>
      </c>
      <c r="C5378" t="inlineStr">
        <is>
          <t>Föryngringsavverkning</t>
        </is>
      </c>
      <c r="D5378" s="1" t="n">
        <v>45663</v>
      </c>
      <c r="E5378" s="1" t="n">
        <v>46316</v>
      </c>
      <c r="F5378" t="inlineStr">
        <is>
          <t>KRONOBERGS LÄN</t>
        </is>
      </c>
      <c r="G5378" t="inlineStr">
        <is>
          <t>ÄLMHULT</t>
        </is>
      </c>
      <c r="I5378" t="n">
        <v>1.5</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38895-2024</t>
        </is>
      </c>
      <c r="B5379" t="inlineStr">
        <is>
          <t>avverkningsanmälan</t>
        </is>
      </c>
      <c r="C5379" t="inlineStr">
        <is>
          <t>Föryngringsavverkning</t>
        </is>
      </c>
      <c r="D5379" s="1" t="n">
        <v>45547</v>
      </c>
      <c r="E5379" s="1" t="n">
        <v>46316</v>
      </c>
      <c r="F5379" t="inlineStr">
        <is>
          <t>KRONOBERGS LÄN</t>
        </is>
      </c>
      <c r="G5379" t="inlineStr">
        <is>
          <t>VÄXJÖ</t>
        </is>
      </c>
      <c r="I5379" t="n">
        <v>3.1</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1563-2025</t>
        </is>
      </c>
      <c r="B5380" t="inlineStr">
        <is>
          <t>avverkningsanmälan</t>
        </is>
      </c>
      <c r="C5380" t="inlineStr">
        <is>
          <t>Föryngringsavverkning</t>
        </is>
      </c>
      <c r="D5380" s="1" t="n">
        <v>45670</v>
      </c>
      <c r="E5380" s="1" t="n">
        <v>46316</v>
      </c>
      <c r="F5380" t="inlineStr">
        <is>
          <t>KRONOBERGS LÄN</t>
        </is>
      </c>
      <c r="G5380" t="inlineStr">
        <is>
          <t>TINGSRYD</t>
        </is>
      </c>
      <c r="I5380" t="n">
        <v>4.1</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36373-2024</t>
        </is>
      </c>
      <c r="B5381" t="inlineStr">
        <is>
          <t>avverkningsanmälan</t>
        </is>
      </c>
      <c r="C5381" t="inlineStr">
        <is>
          <t>Föryngringsavverkning</t>
        </is>
      </c>
      <c r="D5381" s="1" t="n">
        <v>45534</v>
      </c>
      <c r="E5381" s="1" t="n">
        <v>46316</v>
      </c>
      <c r="F5381" t="inlineStr">
        <is>
          <t>KRONOBERGS LÄN</t>
        </is>
      </c>
      <c r="G5381" t="inlineStr">
        <is>
          <t>LJUNGBY</t>
        </is>
      </c>
      <c r="I5381" t="n">
        <v>1.4</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51905-2024</t>
        </is>
      </c>
      <c r="B5382" t="inlineStr">
        <is>
          <t>avverkningsanmälan</t>
        </is>
      </c>
      <c r="C5382" t="inlineStr">
        <is>
          <t>Föryngringsavverkning</t>
        </is>
      </c>
      <c r="D5382" s="1" t="n">
        <v>45607</v>
      </c>
      <c r="E5382" s="1" t="n">
        <v>46316</v>
      </c>
      <c r="F5382" t="inlineStr">
        <is>
          <t>KRONOBERGS LÄN</t>
        </is>
      </c>
      <c r="G5382" t="inlineStr">
        <is>
          <t>MARKARYD</t>
        </is>
      </c>
      <c r="I5382" t="n">
        <v>4.3</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21010-2025</t>
        </is>
      </c>
      <c r="B5383" t="inlineStr">
        <is>
          <t>avverkningsanmälan</t>
        </is>
      </c>
      <c r="C5383" t="inlineStr">
        <is>
          <t>Föryngringsavverkning</t>
        </is>
      </c>
      <c r="D5383" s="1" t="n">
        <v>45777</v>
      </c>
      <c r="E5383" s="1" t="n">
        <v>46316</v>
      </c>
      <c r="F5383" t="inlineStr">
        <is>
          <t>KRONOBERGS LÄN</t>
        </is>
      </c>
      <c r="G5383" t="inlineStr">
        <is>
          <t>VÄXJÖ</t>
        </is>
      </c>
      <c r="H5383" t="inlineStr">
        <is>
          <t>Sveaskog</t>
        </is>
      </c>
      <c r="I5383" t="n">
        <v>1.7</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68387-2021</t>
        </is>
      </c>
      <c r="B5384" t="inlineStr">
        <is>
          <t>avverkningsanmälan</t>
        </is>
      </c>
      <c r="C5384" t="inlineStr">
        <is>
          <t>Föryngringsavverkning</t>
        </is>
      </c>
      <c r="D5384" s="1" t="n">
        <v>44526</v>
      </c>
      <c r="E5384" s="1" t="n">
        <v>46316</v>
      </c>
      <c r="F5384" t="inlineStr">
        <is>
          <t>KRONOBERGS LÄN</t>
        </is>
      </c>
      <c r="G5384" t="inlineStr">
        <is>
          <t>UPPVIDINGE</t>
        </is>
      </c>
      <c r="H5384" t="inlineStr">
        <is>
          <t>Kyrkan</t>
        </is>
      </c>
      <c r="I5384" t="n">
        <v>10</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51990-2024</t>
        </is>
      </c>
      <c r="B5385" t="inlineStr">
        <is>
          <t>avverkningsanmälan</t>
        </is>
      </c>
      <c r="C5385" t="inlineStr">
        <is>
          <t>Föryngringsavverkning</t>
        </is>
      </c>
      <c r="D5385" s="1" t="n">
        <v>45607</v>
      </c>
      <c r="E5385" s="1" t="n">
        <v>46316</v>
      </c>
      <c r="F5385" t="inlineStr">
        <is>
          <t>KRONOBERGS LÄN</t>
        </is>
      </c>
      <c r="G5385" t="inlineStr">
        <is>
          <t>LESSEBO</t>
        </is>
      </c>
      <c r="I5385" t="n">
        <v>2.3</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33526-2024</t>
        </is>
      </c>
      <c r="B5386" t="inlineStr">
        <is>
          <t>avverkningsanmälan</t>
        </is>
      </c>
      <c r="C5386" t="inlineStr">
        <is>
          <t>Föryngringsavverkning</t>
        </is>
      </c>
      <c r="D5386" s="1" t="n">
        <v>45519</v>
      </c>
      <c r="E5386" s="1" t="n">
        <v>46316</v>
      </c>
      <c r="F5386" t="inlineStr">
        <is>
          <t>KRONOBERGS LÄN</t>
        </is>
      </c>
      <c r="G5386" t="inlineStr">
        <is>
          <t>VÄXJÖ</t>
        </is>
      </c>
      <c r="I5386" t="n">
        <v>2.1</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8245-2025</t>
        </is>
      </c>
      <c r="B5387" t="inlineStr">
        <is>
          <t>avverkningsanmälan</t>
        </is>
      </c>
      <c r="C5387" t="inlineStr">
        <is>
          <t>Föryngringsavverkning</t>
        </is>
      </c>
      <c r="D5387" s="1" t="n">
        <v>45708</v>
      </c>
      <c r="E5387" s="1" t="n">
        <v>46316</v>
      </c>
      <c r="F5387" t="inlineStr">
        <is>
          <t>KRONOBERGS LÄN</t>
        </is>
      </c>
      <c r="G5387" t="inlineStr">
        <is>
          <t>LJUNGBY</t>
        </is>
      </c>
      <c r="I5387" t="n">
        <v>5.7</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46111-2024</t>
        </is>
      </c>
      <c r="B5388" t="inlineStr">
        <is>
          <t>avverkningsanmälan</t>
        </is>
      </c>
      <c r="C5388" t="inlineStr">
        <is>
          <t>Föryngringsavverkning</t>
        </is>
      </c>
      <c r="D5388" s="1" t="n">
        <v>45581</v>
      </c>
      <c r="E5388" s="1" t="n">
        <v>46316</v>
      </c>
      <c r="F5388" t="inlineStr">
        <is>
          <t>KRONOBERGS LÄN</t>
        </is>
      </c>
      <c r="G5388" t="inlineStr">
        <is>
          <t>MARKARYD</t>
        </is>
      </c>
      <c r="I5388" t="n">
        <v>1.9</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50798-2024</t>
        </is>
      </c>
      <c r="B5389" t="inlineStr">
        <is>
          <t>avverkningsanmälan</t>
        </is>
      </c>
      <c r="C5389" t="inlineStr">
        <is>
          <t>Föryngringsavverkning</t>
        </is>
      </c>
      <c r="D5389" s="1" t="n">
        <v>45602</v>
      </c>
      <c r="E5389" s="1" t="n">
        <v>46316</v>
      </c>
      <c r="F5389" t="inlineStr">
        <is>
          <t>KRONOBERGS LÄN</t>
        </is>
      </c>
      <c r="G5389" t="inlineStr">
        <is>
          <t>TINGSRYD</t>
        </is>
      </c>
      <c r="I5389" t="n">
        <v>1.1</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31121-2023</t>
        </is>
      </c>
      <c r="B5390" t="inlineStr">
        <is>
          <t>avverkningsanmälan</t>
        </is>
      </c>
      <c r="C5390" t="inlineStr">
        <is>
          <t>Föryngringsavverkning</t>
        </is>
      </c>
      <c r="D5390" s="1" t="n">
        <v>45113</v>
      </c>
      <c r="E5390" s="1" t="n">
        <v>46316</v>
      </c>
      <c r="F5390" t="inlineStr">
        <is>
          <t>KRONOBERGS LÄN</t>
        </is>
      </c>
      <c r="G5390" t="inlineStr">
        <is>
          <t>ALVESTA</t>
        </is>
      </c>
      <c r="I5390" t="n">
        <v>1.1</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41598-2024</t>
        </is>
      </c>
      <c r="B5391" t="inlineStr">
        <is>
          <t>avverkningsanmälan</t>
        </is>
      </c>
      <c r="C5391" t="inlineStr">
        <is>
          <t>Föryngringsavverkning</t>
        </is>
      </c>
      <c r="D5391" s="1" t="n">
        <v>45560</v>
      </c>
      <c r="E5391" s="1" t="n">
        <v>46316</v>
      </c>
      <c r="F5391" t="inlineStr">
        <is>
          <t>KRONOBERGS LÄN</t>
        </is>
      </c>
      <c r="G5391" t="inlineStr">
        <is>
          <t>LESSEBO</t>
        </is>
      </c>
      <c r="I5391" t="n">
        <v>0.8</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5368-2023</t>
        </is>
      </c>
      <c r="B5392" t="inlineStr">
        <is>
          <t>avverkningsanmälan</t>
        </is>
      </c>
      <c r="C5392" t="inlineStr">
        <is>
          <t>Föryngringsavverkning</t>
        </is>
      </c>
      <c r="D5392" s="1" t="n">
        <v>44959</v>
      </c>
      <c r="E5392" s="1" t="n">
        <v>46316</v>
      </c>
      <c r="F5392" t="inlineStr">
        <is>
          <t>KRONOBERGS LÄN</t>
        </is>
      </c>
      <c r="G5392" t="inlineStr">
        <is>
          <t>LJUNGBY</t>
        </is>
      </c>
      <c r="H5392" t="inlineStr">
        <is>
          <t>Sveaskog</t>
        </is>
      </c>
      <c r="I5392" t="n">
        <v>2</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6722-2025</t>
        </is>
      </c>
      <c r="B5393" t="inlineStr">
        <is>
          <t>avverkningsanmälan</t>
        </is>
      </c>
      <c r="C5393" t="inlineStr">
        <is>
          <t>Föryngringsavverkning</t>
        </is>
      </c>
      <c r="D5393" s="1" t="n">
        <v>45700</v>
      </c>
      <c r="E5393" s="1" t="n">
        <v>46316</v>
      </c>
      <c r="F5393" t="inlineStr">
        <is>
          <t>KRONOBERGS LÄN</t>
        </is>
      </c>
      <c r="G5393" t="inlineStr">
        <is>
          <t>ALVESTA</t>
        </is>
      </c>
      <c r="I5393" t="n">
        <v>1.3</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21297-2025</t>
        </is>
      </c>
      <c r="B5394" t="inlineStr">
        <is>
          <t>avverkningsanmälan</t>
        </is>
      </c>
      <c r="C5394" t="inlineStr">
        <is>
          <t>Föryngringsavverkning</t>
        </is>
      </c>
      <c r="D5394" s="1" t="n">
        <v>45780</v>
      </c>
      <c r="E5394" s="1" t="n">
        <v>46316</v>
      </c>
      <c r="F5394" t="inlineStr">
        <is>
          <t>KRONOBERGS LÄN</t>
        </is>
      </c>
      <c r="G5394" t="inlineStr">
        <is>
          <t>VÄXJÖ</t>
        </is>
      </c>
      <c r="I5394" t="n">
        <v>0.7</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21298-2025</t>
        </is>
      </c>
      <c r="B5395" t="inlineStr">
        <is>
          <t>avverkningsanmälan</t>
        </is>
      </c>
      <c r="C5395" t="inlineStr">
        <is>
          <t>Föryngringsavverkning</t>
        </is>
      </c>
      <c r="D5395" s="1" t="n">
        <v>45780</v>
      </c>
      <c r="E5395" s="1" t="n">
        <v>46316</v>
      </c>
      <c r="F5395" t="inlineStr">
        <is>
          <t>KRONOBERGS LÄN</t>
        </is>
      </c>
      <c r="G5395" t="inlineStr">
        <is>
          <t>VÄXJÖ</t>
        </is>
      </c>
      <c r="I5395" t="n">
        <v>0.4</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21809-2025</t>
        </is>
      </c>
      <c r="B5396" t="inlineStr">
        <is>
          <t>avverkningsanmälan</t>
        </is>
      </c>
      <c r="C5396" t="inlineStr">
        <is>
          <t>Föryngringsavverkning</t>
        </is>
      </c>
      <c r="D5396" s="1" t="n">
        <v>45783</v>
      </c>
      <c r="E5396" s="1" t="n">
        <v>46316</v>
      </c>
      <c r="F5396" t="inlineStr">
        <is>
          <t>KRONOBERGS LÄN</t>
        </is>
      </c>
      <c r="G5396" t="inlineStr">
        <is>
          <t>LJUNGBY</t>
        </is>
      </c>
      <c r="I5396" t="n">
        <v>0.6</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39850-2024</t>
        </is>
      </c>
      <c r="B5397" t="inlineStr">
        <is>
          <t>avverkningsanmälan</t>
        </is>
      </c>
      <c r="C5397" t="inlineStr">
        <is>
          <t>Föryngringsavverkning</t>
        </is>
      </c>
      <c r="D5397" s="1" t="n">
        <v>45553</v>
      </c>
      <c r="E5397" s="1" t="n">
        <v>46316</v>
      </c>
      <c r="F5397" t="inlineStr">
        <is>
          <t>KRONOBERGS LÄN</t>
        </is>
      </c>
      <c r="G5397" t="inlineStr">
        <is>
          <t>TINGSRYD</t>
        </is>
      </c>
      <c r="I5397" t="n">
        <v>1.9</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21696-2025</t>
        </is>
      </c>
      <c r="B5398" t="inlineStr">
        <is>
          <t>avverkningsanmälan</t>
        </is>
      </c>
      <c r="C5398" t="inlineStr">
        <is>
          <t>Föryngringsavverkning</t>
        </is>
      </c>
      <c r="D5398" s="1" t="n">
        <v>45783</v>
      </c>
      <c r="E5398" s="1" t="n">
        <v>46316</v>
      </c>
      <c r="F5398" t="inlineStr">
        <is>
          <t>KRONOBERGS LÄN</t>
        </is>
      </c>
      <c r="G5398" t="inlineStr">
        <is>
          <t>MARKARYD</t>
        </is>
      </c>
      <c r="I5398" t="n">
        <v>3</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21805-2025</t>
        </is>
      </c>
      <c r="B5399" t="inlineStr">
        <is>
          <t>avverkningsanmälan</t>
        </is>
      </c>
      <c r="C5399" t="inlineStr">
        <is>
          <t>Föryngringsavverkning</t>
        </is>
      </c>
      <c r="D5399" s="1" t="n">
        <v>45783</v>
      </c>
      <c r="E5399" s="1" t="n">
        <v>46316</v>
      </c>
      <c r="F5399" t="inlineStr">
        <is>
          <t>KRONOBERGS LÄN</t>
        </is>
      </c>
      <c r="G5399" t="inlineStr">
        <is>
          <t>LJUNGBY</t>
        </is>
      </c>
      <c r="I5399" t="n">
        <v>0.6</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21819-2025</t>
        </is>
      </c>
      <c r="B5400" t="inlineStr">
        <is>
          <t>avverkningsanmälan</t>
        </is>
      </c>
      <c r="C5400" t="inlineStr">
        <is>
          <t>Föryngringsavverkning</t>
        </is>
      </c>
      <c r="D5400" s="1" t="n">
        <v>45783</v>
      </c>
      <c r="E5400" s="1" t="n">
        <v>46316</v>
      </c>
      <c r="F5400" t="inlineStr">
        <is>
          <t>KRONOBERGS LÄN</t>
        </is>
      </c>
      <c r="G5400" t="inlineStr">
        <is>
          <t>LJUNGBY</t>
        </is>
      </c>
      <c r="I5400" t="n">
        <v>0.6</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61439-2024</t>
        </is>
      </c>
      <c r="B5401" t="inlineStr">
        <is>
          <t>avverkningsanmälan</t>
        </is>
      </c>
      <c r="C5401" t="inlineStr">
        <is>
          <t>Föryngringsavverkning</t>
        </is>
      </c>
      <c r="D5401" s="1" t="n">
        <v>45646</v>
      </c>
      <c r="E5401" s="1" t="n">
        <v>46316</v>
      </c>
      <c r="F5401" t="inlineStr">
        <is>
          <t>KRONOBERGS LÄN</t>
        </is>
      </c>
      <c r="G5401" t="inlineStr">
        <is>
          <t>LESSEBO</t>
        </is>
      </c>
      <c r="I5401" t="n">
        <v>4</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28731-2024</t>
        </is>
      </c>
      <c r="B5402" t="inlineStr">
        <is>
          <t>avverkningsanmälan</t>
        </is>
      </c>
      <c r="C5402" t="inlineStr">
        <is>
          <t>Föryngringsavverkning</t>
        </is>
      </c>
      <c r="D5402" s="1" t="n">
        <v>45478</v>
      </c>
      <c r="E5402" s="1" t="n">
        <v>46316</v>
      </c>
      <c r="F5402" t="inlineStr">
        <is>
          <t>KRONOBERGS LÄN</t>
        </is>
      </c>
      <c r="G5402" t="inlineStr">
        <is>
          <t>VÄXJÖ</t>
        </is>
      </c>
      <c r="I5402" t="n">
        <v>0.9</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15673-2023</t>
        </is>
      </c>
      <c r="B5403" t="inlineStr">
        <is>
          <t>avverkningsanmälan</t>
        </is>
      </c>
      <c r="C5403" t="inlineStr">
        <is>
          <t>Föryngringsavverkning</t>
        </is>
      </c>
      <c r="D5403" s="1" t="n">
        <v>45021</v>
      </c>
      <c r="E5403" s="1" t="n">
        <v>46316</v>
      </c>
      <c r="F5403" t="inlineStr">
        <is>
          <t>KRONOBERGS LÄN</t>
        </is>
      </c>
      <c r="G5403" t="inlineStr">
        <is>
          <t>LJUNGBY</t>
        </is>
      </c>
      <c r="I5403" t="n">
        <v>2.5</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52501-2024</t>
        </is>
      </c>
      <c r="B5404" t="inlineStr">
        <is>
          <t>avverkningsanmälan</t>
        </is>
      </c>
      <c r="C5404" t="inlineStr">
        <is>
          <t>Föryngringsavverkning</t>
        </is>
      </c>
      <c r="D5404" s="1" t="n">
        <v>45609</v>
      </c>
      <c r="E5404" s="1" t="n">
        <v>46316</v>
      </c>
      <c r="F5404" t="inlineStr">
        <is>
          <t>KRONOBERGS LÄN</t>
        </is>
      </c>
      <c r="G5404" t="inlineStr">
        <is>
          <t>MARKARYD</t>
        </is>
      </c>
      <c r="I5404" t="n">
        <v>2.1</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38519-2024</t>
        </is>
      </c>
      <c r="B5405" t="inlineStr">
        <is>
          <t>avverkningsanmälan</t>
        </is>
      </c>
      <c r="C5405" t="inlineStr">
        <is>
          <t>Föryngringsavverkning</t>
        </is>
      </c>
      <c r="D5405" s="1" t="n">
        <v>45546</v>
      </c>
      <c r="E5405" s="1" t="n">
        <v>46316</v>
      </c>
      <c r="F5405" t="inlineStr">
        <is>
          <t>KRONOBERGS LÄN</t>
        </is>
      </c>
      <c r="G5405" t="inlineStr">
        <is>
          <t>VÄXJÖ</t>
        </is>
      </c>
      <c r="I5405" t="n">
        <v>1.7</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54116-2024</t>
        </is>
      </c>
      <c r="B5406" t="inlineStr">
        <is>
          <t>avverkningsanmälan</t>
        </is>
      </c>
      <c r="C5406" t="inlineStr">
        <is>
          <t>Föryngringsavverkning</t>
        </is>
      </c>
      <c r="D5406" s="1" t="n">
        <v>45616</v>
      </c>
      <c r="E5406" s="1" t="n">
        <v>46316</v>
      </c>
      <c r="F5406" t="inlineStr">
        <is>
          <t>KRONOBERGS LÄN</t>
        </is>
      </c>
      <c r="G5406" t="inlineStr">
        <is>
          <t>ALVESTA</t>
        </is>
      </c>
      <c r="I5406" t="n">
        <v>2.3</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56266-2024</t>
        </is>
      </c>
      <c r="B5407" t="inlineStr">
        <is>
          <t>avverkningsanmälan</t>
        </is>
      </c>
      <c r="C5407" t="inlineStr">
        <is>
          <t>Föryngringsavverkning</t>
        </is>
      </c>
      <c r="D5407" s="1" t="n">
        <v>45624</v>
      </c>
      <c r="E5407" s="1" t="n">
        <v>46316</v>
      </c>
      <c r="F5407" t="inlineStr">
        <is>
          <t>KRONOBERGS LÄN</t>
        </is>
      </c>
      <c r="G5407" t="inlineStr">
        <is>
          <t>ÄLMHULT</t>
        </is>
      </c>
      <c r="I5407" t="n">
        <v>1.6</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21695-2025</t>
        </is>
      </c>
      <c r="B5408" t="inlineStr">
        <is>
          <t>avverkningsanmälan</t>
        </is>
      </c>
      <c r="C5408" t="inlineStr">
        <is>
          <t>Föryngringsavverkning</t>
        </is>
      </c>
      <c r="D5408" s="1" t="n">
        <v>45783</v>
      </c>
      <c r="E5408" s="1" t="n">
        <v>46316</v>
      </c>
      <c r="F5408" t="inlineStr">
        <is>
          <t>KRONOBERGS LÄN</t>
        </is>
      </c>
      <c r="G5408" t="inlineStr">
        <is>
          <t>VÄXJÖ</t>
        </is>
      </c>
      <c r="I5408" t="n">
        <v>0.6</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59262-2024</t>
        </is>
      </c>
      <c r="B5409" t="inlineStr">
        <is>
          <t>avverkningsanmälan</t>
        </is>
      </c>
      <c r="C5409" t="inlineStr">
        <is>
          <t>Föryngringsavverkning</t>
        </is>
      </c>
      <c r="D5409" s="1" t="n">
        <v>45637</v>
      </c>
      <c r="E5409" s="1" t="n">
        <v>46316</v>
      </c>
      <c r="F5409" t="inlineStr">
        <is>
          <t>KRONOBERGS LÄN</t>
        </is>
      </c>
      <c r="G5409" t="inlineStr">
        <is>
          <t>MARKARYD</t>
        </is>
      </c>
      <c r="H5409" t="inlineStr">
        <is>
          <t>Övriga Aktiebolag</t>
        </is>
      </c>
      <c r="I5409" t="n">
        <v>2.3</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21532-2025</t>
        </is>
      </c>
      <c r="B5410" t="inlineStr">
        <is>
          <t>avverkningsanmälan</t>
        </is>
      </c>
      <c r="C5410" t="inlineStr">
        <is>
          <t>Föryngringsavverkning</t>
        </is>
      </c>
      <c r="D5410" s="1" t="n">
        <v>45782</v>
      </c>
      <c r="E5410" s="1" t="n">
        <v>46316</v>
      </c>
      <c r="F5410" t="inlineStr">
        <is>
          <t>KRONOBERGS LÄN</t>
        </is>
      </c>
      <c r="G5410" t="inlineStr">
        <is>
          <t>VÄXJÖ</t>
        </is>
      </c>
      <c r="I5410" t="n">
        <v>0.5</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21506-2025</t>
        </is>
      </c>
      <c r="B5411" t="inlineStr">
        <is>
          <t>avverkningsanmälan</t>
        </is>
      </c>
      <c r="C5411" t="inlineStr">
        <is>
          <t>Föryngringsavverkning</t>
        </is>
      </c>
      <c r="D5411" s="1" t="n">
        <v>45782</v>
      </c>
      <c r="E5411" s="1" t="n">
        <v>46316</v>
      </c>
      <c r="F5411" t="inlineStr">
        <is>
          <t>KRONOBERGS LÄN</t>
        </is>
      </c>
      <c r="G5411" t="inlineStr">
        <is>
          <t>TINGSRYD</t>
        </is>
      </c>
      <c r="I5411" t="n">
        <v>1.7</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21306-2025</t>
        </is>
      </c>
      <c r="B5412" t="inlineStr">
        <is>
          <t>avverkningsanmälan</t>
        </is>
      </c>
      <c r="C5412" t="inlineStr">
        <is>
          <t>Föryngringsavverkning</t>
        </is>
      </c>
      <c r="D5412" s="1" t="n">
        <v>45781</v>
      </c>
      <c r="E5412" s="1" t="n">
        <v>46316</v>
      </c>
      <c r="F5412" t="inlineStr">
        <is>
          <t>KRONOBERGS LÄN</t>
        </is>
      </c>
      <c r="G5412" t="inlineStr">
        <is>
          <t>ÄLMHULT</t>
        </is>
      </c>
      <c r="I5412" t="n">
        <v>0.7</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21807-2025</t>
        </is>
      </c>
      <c r="B5413" t="inlineStr">
        <is>
          <t>avverkningsanmälan</t>
        </is>
      </c>
      <c r="C5413" t="inlineStr">
        <is>
          <t>Föryngringsavverkning</t>
        </is>
      </c>
      <c r="D5413" s="1" t="n">
        <v>45783</v>
      </c>
      <c r="E5413" s="1" t="n">
        <v>46316</v>
      </c>
      <c r="F5413" t="inlineStr">
        <is>
          <t>KRONOBERGS LÄN</t>
        </is>
      </c>
      <c r="G5413" t="inlineStr">
        <is>
          <t>LJUNGBY</t>
        </is>
      </c>
      <c r="I5413" t="n">
        <v>0.8</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21813-2025</t>
        </is>
      </c>
      <c r="B5414" t="inlineStr">
        <is>
          <t>avverkningsanmälan</t>
        </is>
      </c>
      <c r="C5414" t="inlineStr">
        <is>
          <t>Föryngringsavverkning</t>
        </is>
      </c>
      <c r="D5414" s="1" t="n">
        <v>45783</v>
      </c>
      <c r="E5414" s="1" t="n">
        <v>46316</v>
      </c>
      <c r="F5414" t="inlineStr">
        <is>
          <t>KRONOBERGS LÄN</t>
        </is>
      </c>
      <c r="G5414" t="inlineStr">
        <is>
          <t>LJUNGBY</t>
        </is>
      </c>
      <c r="I5414" t="n">
        <v>0.6</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21816-2025</t>
        </is>
      </c>
      <c r="B5415" t="inlineStr">
        <is>
          <t>avverkningsanmälan</t>
        </is>
      </c>
      <c r="C5415" t="inlineStr">
        <is>
          <t>Föryngringsavverkning</t>
        </is>
      </c>
      <c r="D5415" s="1" t="n">
        <v>45783</v>
      </c>
      <c r="E5415" s="1" t="n">
        <v>46316</v>
      </c>
      <c r="F5415" t="inlineStr">
        <is>
          <t>KRONOBERGS LÄN</t>
        </is>
      </c>
      <c r="G5415" t="inlineStr">
        <is>
          <t>LJUNGBY</t>
        </is>
      </c>
      <c r="I5415" t="n">
        <v>0.3</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16320-2024</t>
        </is>
      </c>
      <c r="B5416" t="inlineStr">
        <is>
          <t>avverkningsanmälan</t>
        </is>
      </c>
      <c r="C5416" t="inlineStr">
        <is>
          <t>Föryngringsavverkning</t>
        </is>
      </c>
      <c r="D5416" s="1" t="n">
        <v>45407</v>
      </c>
      <c r="E5416" s="1" t="n">
        <v>46316</v>
      </c>
      <c r="F5416" t="inlineStr">
        <is>
          <t>KRONOBERGS LÄN</t>
        </is>
      </c>
      <c r="G5416" t="inlineStr">
        <is>
          <t>ÄLMHULT</t>
        </is>
      </c>
      <c r="I5416" t="n">
        <v>0.9</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38614-2024</t>
        </is>
      </c>
      <c r="B5417" t="inlineStr">
        <is>
          <t>avverkningsanmälan</t>
        </is>
      </c>
      <c r="C5417" t="inlineStr">
        <is>
          <t>Föryngringsavverkning</t>
        </is>
      </c>
      <c r="D5417" s="1" t="n">
        <v>45546</v>
      </c>
      <c r="E5417" s="1" t="n">
        <v>46316</v>
      </c>
      <c r="F5417" t="inlineStr">
        <is>
          <t>KRONOBERGS LÄN</t>
        </is>
      </c>
      <c r="G5417" t="inlineStr">
        <is>
          <t>TINGSRYD</t>
        </is>
      </c>
      <c r="I5417" t="n">
        <v>2.1</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59269-2024</t>
        </is>
      </c>
      <c r="B5418" t="inlineStr">
        <is>
          <t>avverkningsanmälan</t>
        </is>
      </c>
      <c r="C5418" t="inlineStr">
        <is>
          <t>Föryngringsavverkning</t>
        </is>
      </c>
      <c r="D5418" s="1" t="n">
        <v>45637</v>
      </c>
      <c r="E5418" s="1" t="n">
        <v>46316</v>
      </c>
      <c r="F5418" t="inlineStr">
        <is>
          <t>KRONOBERGS LÄN</t>
        </is>
      </c>
      <c r="G5418" t="inlineStr">
        <is>
          <t>MARKARYD</t>
        </is>
      </c>
      <c r="H5418" t="inlineStr">
        <is>
          <t>Övriga Aktiebolag</t>
        </is>
      </c>
      <c r="I5418" t="n">
        <v>3.7</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21913-2025</t>
        </is>
      </c>
      <c r="B5419" t="inlineStr">
        <is>
          <t>avverkningsanmälan</t>
        </is>
      </c>
      <c r="C5419" t="inlineStr">
        <is>
          <t>Föryngringsavverkning</t>
        </is>
      </c>
      <c r="D5419" s="1" t="n">
        <v>45784</v>
      </c>
      <c r="E5419" s="1" t="n">
        <v>46316</v>
      </c>
      <c r="F5419" t="inlineStr">
        <is>
          <t>KRONOBERGS LÄN</t>
        </is>
      </c>
      <c r="G5419" t="inlineStr">
        <is>
          <t>TINGSRYD</t>
        </is>
      </c>
      <c r="I5419" t="n">
        <v>3.1</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21951-2025</t>
        </is>
      </c>
      <c r="B5420" t="inlineStr">
        <is>
          <t>avverkningsanmälan</t>
        </is>
      </c>
      <c r="C5420" t="inlineStr">
        <is>
          <t>Avverkning för att bevara och utveckla /försöksver</t>
        </is>
      </c>
      <c r="D5420" s="1" t="n">
        <v>45784</v>
      </c>
      <c r="E5420" s="1" t="n">
        <v>46316</v>
      </c>
      <c r="F5420" t="inlineStr">
        <is>
          <t>KRONOBERGS LÄN</t>
        </is>
      </c>
      <c r="G5420" t="inlineStr">
        <is>
          <t>LESSEBO</t>
        </is>
      </c>
      <c r="H5420" t="inlineStr">
        <is>
          <t>Kommuner</t>
        </is>
      </c>
      <c r="I5420" t="n">
        <v>3.8</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8543-2025</t>
        </is>
      </c>
      <c r="B5421" t="inlineStr">
        <is>
          <t>avverkningsanmälan</t>
        </is>
      </c>
      <c r="C5421" t="inlineStr">
        <is>
          <t>Föryngringsavverkning</t>
        </is>
      </c>
      <c r="D5421" s="1" t="n">
        <v>45709</v>
      </c>
      <c r="E5421" s="1" t="n">
        <v>46316</v>
      </c>
      <c r="F5421" t="inlineStr">
        <is>
          <t>KRONOBERGS LÄN</t>
        </is>
      </c>
      <c r="G5421" t="inlineStr">
        <is>
          <t>TINGSRYD</t>
        </is>
      </c>
      <c r="I5421" t="n">
        <v>1</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8251-2025</t>
        </is>
      </c>
      <c r="B5422" t="inlineStr">
        <is>
          <t>avverkningsanmälan</t>
        </is>
      </c>
      <c r="C5422" t="inlineStr">
        <is>
          <t>Föryngringsavverkning</t>
        </is>
      </c>
      <c r="D5422" s="1" t="n">
        <v>45708</v>
      </c>
      <c r="E5422" s="1" t="n">
        <v>46316</v>
      </c>
      <c r="F5422" t="inlineStr">
        <is>
          <t>KRONOBERGS LÄN</t>
        </is>
      </c>
      <c r="G5422" t="inlineStr">
        <is>
          <t>LJUNGBY</t>
        </is>
      </c>
      <c r="I5422" t="n">
        <v>1.5</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16376-2024</t>
        </is>
      </c>
      <c r="B5423" t="inlineStr">
        <is>
          <t>avverkningsanmälan</t>
        </is>
      </c>
      <c r="C5423" t="inlineStr">
        <is>
          <t>Föryngringsavverkning</t>
        </is>
      </c>
      <c r="D5423" s="1" t="n">
        <v>45407</v>
      </c>
      <c r="E5423" s="1" t="n">
        <v>46316</v>
      </c>
      <c r="F5423" t="inlineStr">
        <is>
          <t>KRONOBERGS LÄN</t>
        </is>
      </c>
      <c r="G5423" t="inlineStr">
        <is>
          <t>ALVESTA</t>
        </is>
      </c>
      <c r="I5423" t="n">
        <v>1.3</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52497-2024</t>
        </is>
      </c>
      <c r="B5424" t="inlineStr">
        <is>
          <t>avverkningsanmälan</t>
        </is>
      </c>
      <c r="C5424" t="inlineStr">
        <is>
          <t>Föryngringsavverkning</t>
        </is>
      </c>
      <c r="D5424" s="1" t="n">
        <v>45609</v>
      </c>
      <c r="E5424" s="1" t="n">
        <v>46316</v>
      </c>
      <c r="F5424" t="inlineStr">
        <is>
          <t>KRONOBERGS LÄN</t>
        </is>
      </c>
      <c r="G5424" t="inlineStr">
        <is>
          <t>MARKARYD</t>
        </is>
      </c>
      <c r="I5424" t="n">
        <v>1.8</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52554-2024</t>
        </is>
      </c>
      <c r="B5425" t="inlineStr">
        <is>
          <t>avverkningsanmälan</t>
        </is>
      </c>
      <c r="C5425" t="inlineStr">
        <is>
          <t>Föryngringsavverkning</t>
        </is>
      </c>
      <c r="D5425" s="1" t="n">
        <v>45609</v>
      </c>
      <c r="E5425" s="1" t="n">
        <v>46316</v>
      </c>
      <c r="F5425" t="inlineStr">
        <is>
          <t>KRONOBERGS LÄN</t>
        </is>
      </c>
      <c r="G5425" t="inlineStr">
        <is>
          <t>MARKARYD</t>
        </is>
      </c>
      <c r="I5425" t="n">
        <v>1.8</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21914-2025</t>
        </is>
      </c>
      <c r="B5426" t="inlineStr">
        <is>
          <t>avverkningsanmälan</t>
        </is>
      </c>
      <c r="C5426" t="inlineStr">
        <is>
          <t>Föryngringsavverkning</t>
        </is>
      </c>
      <c r="D5426" s="1" t="n">
        <v>45784</v>
      </c>
      <c r="E5426" s="1" t="n">
        <v>46316</v>
      </c>
      <c r="F5426" t="inlineStr">
        <is>
          <t>KRONOBERGS LÄN</t>
        </is>
      </c>
      <c r="G5426" t="inlineStr">
        <is>
          <t>TINGSRYD</t>
        </is>
      </c>
      <c r="I5426" t="n">
        <v>4.9</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41824-2023</t>
        </is>
      </c>
      <c r="B5427" t="inlineStr">
        <is>
          <t>avverkningsanmälan</t>
        </is>
      </c>
      <c r="C5427" t="inlineStr">
        <is>
          <t>Föryngringsavverkning</t>
        </is>
      </c>
      <c r="D5427" s="1" t="n">
        <v>45176</v>
      </c>
      <c r="E5427" s="1" t="n">
        <v>46316</v>
      </c>
      <c r="F5427" t="inlineStr">
        <is>
          <t>KRONOBERGS LÄN</t>
        </is>
      </c>
      <c r="G5427" t="inlineStr">
        <is>
          <t>TINGSRYD</t>
        </is>
      </c>
      <c r="I5427" t="n">
        <v>1.7</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56799-2024</t>
        </is>
      </c>
      <c r="B5428" t="inlineStr">
        <is>
          <t>avverkningsanmälan</t>
        </is>
      </c>
      <c r="C5428" t="inlineStr">
        <is>
          <t>Föryngringsavverkning</t>
        </is>
      </c>
      <c r="D5428" s="1" t="n">
        <v>45628</v>
      </c>
      <c r="E5428" s="1" t="n">
        <v>46316</v>
      </c>
      <c r="F5428" t="inlineStr">
        <is>
          <t>KRONOBERGS LÄN</t>
        </is>
      </c>
      <c r="G5428" t="inlineStr">
        <is>
          <t>LJUNGBY</t>
        </is>
      </c>
      <c r="I5428" t="n">
        <v>3.2</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36235-2024</t>
        </is>
      </c>
      <c r="B5429" t="inlineStr">
        <is>
          <t>avverkningsanmälan</t>
        </is>
      </c>
      <c r="C5429" t="inlineStr">
        <is>
          <t>Föryngringsavverkning</t>
        </is>
      </c>
      <c r="D5429" s="1" t="n">
        <v>45534</v>
      </c>
      <c r="E5429" s="1" t="n">
        <v>46316</v>
      </c>
      <c r="F5429" t="inlineStr">
        <is>
          <t>KRONOBERGS LÄN</t>
        </is>
      </c>
      <c r="G5429" t="inlineStr">
        <is>
          <t>VÄXJÖ</t>
        </is>
      </c>
      <c r="I5429" t="n">
        <v>1.4</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38148-2023</t>
        </is>
      </c>
      <c r="B5430" t="inlineStr">
        <is>
          <t>avverkningsanmälan</t>
        </is>
      </c>
      <c r="C5430" t="inlineStr">
        <is>
          <t>Föryngringsavverkning</t>
        </is>
      </c>
      <c r="D5430" s="1" t="n">
        <v>45161</v>
      </c>
      <c r="E5430" s="1" t="n">
        <v>46316</v>
      </c>
      <c r="F5430" t="inlineStr">
        <is>
          <t>KRONOBERGS LÄN</t>
        </is>
      </c>
      <c r="G5430" t="inlineStr">
        <is>
          <t>LJUNGBY</t>
        </is>
      </c>
      <c r="I5430" t="n">
        <v>2.9</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13020-2025</t>
        </is>
      </c>
      <c r="B5431" t="inlineStr">
        <is>
          <t>avverkningsanmälan</t>
        </is>
      </c>
      <c r="C5431" t="inlineStr">
        <is>
          <t>Föryngringsavverkning</t>
        </is>
      </c>
      <c r="D5431" s="1" t="n">
        <v>45734</v>
      </c>
      <c r="E5431" s="1" t="n">
        <v>46316</v>
      </c>
      <c r="F5431" t="inlineStr">
        <is>
          <t>KRONOBERGS LÄN</t>
        </is>
      </c>
      <c r="G5431" t="inlineStr">
        <is>
          <t>LJUNGBY</t>
        </is>
      </c>
      <c r="I5431" t="n">
        <v>1.3</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32612-2022</t>
        </is>
      </c>
      <c r="B5432" t="inlineStr">
        <is>
          <t>avverkningsanmälan</t>
        </is>
      </c>
      <c r="C5432" t="inlineStr">
        <is>
          <t>Föryngringsavverkning</t>
        </is>
      </c>
      <c r="D5432" s="1" t="n">
        <v>44783</v>
      </c>
      <c r="E5432" s="1" t="n">
        <v>46316</v>
      </c>
      <c r="F5432" t="inlineStr">
        <is>
          <t>KRONOBERGS LÄN</t>
        </is>
      </c>
      <c r="G5432" t="inlineStr">
        <is>
          <t>TINGSRYD</t>
        </is>
      </c>
      <c r="I5432" t="n">
        <v>1.8</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22131-2024</t>
        </is>
      </c>
      <c r="B5433" t="inlineStr">
        <is>
          <t>avverkningsanmälan</t>
        </is>
      </c>
      <c r="C5433" t="inlineStr">
        <is>
          <t>Föryngringsavverkning</t>
        </is>
      </c>
      <c r="D5433" s="1" t="n">
        <v>45444</v>
      </c>
      <c r="E5433" s="1" t="n">
        <v>46316</v>
      </c>
      <c r="F5433" t="inlineStr">
        <is>
          <t>KRONOBERGS LÄN</t>
        </is>
      </c>
      <c r="G5433" t="inlineStr">
        <is>
          <t>MARKARYD</t>
        </is>
      </c>
      <c r="I5433" t="n">
        <v>1.9</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11356-2024</t>
        </is>
      </c>
      <c r="B5434" t="inlineStr">
        <is>
          <t>avverkningsanmälan</t>
        </is>
      </c>
      <c r="C5434" t="inlineStr">
        <is>
          <t>Föryngringsavverkning</t>
        </is>
      </c>
      <c r="D5434" s="1" t="n">
        <v>45372</v>
      </c>
      <c r="E5434" s="1" t="n">
        <v>46316</v>
      </c>
      <c r="F5434" t="inlineStr">
        <is>
          <t>KRONOBERGS LÄN</t>
        </is>
      </c>
      <c r="G5434" t="inlineStr">
        <is>
          <t>LJUNGBY</t>
        </is>
      </c>
      <c r="I5434" t="n">
        <v>1.9</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29978-2023</t>
        </is>
      </c>
      <c r="B5435" t="inlineStr">
        <is>
          <t>avverkningsanmälan</t>
        </is>
      </c>
      <c r="C5435" t="inlineStr">
        <is>
          <t>Föryngringsavverkning</t>
        </is>
      </c>
      <c r="D5435" s="1" t="n">
        <v>45108</v>
      </c>
      <c r="E5435" s="1" t="n">
        <v>46316</v>
      </c>
      <c r="F5435" t="inlineStr">
        <is>
          <t>KRONOBERGS LÄN</t>
        </is>
      </c>
      <c r="G5435" t="inlineStr">
        <is>
          <t>VÄXJÖ</t>
        </is>
      </c>
      <c r="I5435" t="n">
        <v>1.2</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28042-2024</t>
        </is>
      </c>
      <c r="B5436" t="inlineStr">
        <is>
          <t>avverkningsanmälan</t>
        </is>
      </c>
      <c r="C5436" t="inlineStr">
        <is>
          <t>Föryngringsavverkning</t>
        </is>
      </c>
      <c r="D5436" s="1" t="n">
        <v>45476</v>
      </c>
      <c r="E5436" s="1" t="n">
        <v>46316</v>
      </c>
      <c r="F5436" t="inlineStr">
        <is>
          <t>KRONOBERGS LÄN</t>
        </is>
      </c>
      <c r="G5436" t="inlineStr">
        <is>
          <t>UPPVIDINGE</t>
        </is>
      </c>
      <c r="I5436" t="n">
        <v>3.7</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32246-2022</t>
        </is>
      </c>
      <c r="B5437" t="inlineStr">
        <is>
          <t>avverkningsanmälan</t>
        </is>
      </c>
      <c r="C5437" t="inlineStr">
        <is>
          <t>Föryngringsavverkning</t>
        </is>
      </c>
      <c r="D5437" s="1" t="n">
        <v>44781</v>
      </c>
      <c r="E5437" s="1" t="n">
        <v>46316</v>
      </c>
      <c r="F5437" t="inlineStr">
        <is>
          <t>KRONOBERGS LÄN</t>
        </is>
      </c>
      <c r="G5437" t="inlineStr">
        <is>
          <t>VÄXJÖ</t>
        </is>
      </c>
      <c r="H5437" t="inlineStr">
        <is>
          <t>Sveaskog</t>
        </is>
      </c>
      <c r="I5437" t="n">
        <v>2</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61851-2023</t>
        </is>
      </c>
      <c r="B5438" t="inlineStr">
        <is>
          <t>avverkningsanmälan</t>
        </is>
      </c>
      <c r="C5438" t="inlineStr">
        <is>
          <t>Föryngringsavverkning</t>
        </is>
      </c>
      <c r="D5438" s="1" t="n">
        <v>45266</v>
      </c>
      <c r="E5438" s="1" t="n">
        <v>46316</v>
      </c>
      <c r="F5438" t="inlineStr">
        <is>
          <t>KRONOBERGS LÄN</t>
        </is>
      </c>
      <c r="G5438" t="inlineStr">
        <is>
          <t>TINGSRYD</t>
        </is>
      </c>
      <c r="H5438" t="inlineStr">
        <is>
          <t>Övriga Aktiebolag</t>
        </is>
      </c>
      <c r="I5438" t="n">
        <v>2</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37964-2024</t>
        </is>
      </c>
      <c r="B5439" t="inlineStr">
        <is>
          <t>avverkningsanmälan</t>
        </is>
      </c>
      <c r="C5439" t="inlineStr">
        <is>
          <t>Avverkning för att bevara och utveckla /försöksver</t>
        </is>
      </c>
      <c r="D5439" s="1" t="n">
        <v>45544</v>
      </c>
      <c r="E5439" s="1" t="n">
        <v>46316</v>
      </c>
      <c r="F5439" t="inlineStr">
        <is>
          <t>KRONOBERGS LÄN</t>
        </is>
      </c>
      <c r="G5439" t="inlineStr">
        <is>
          <t>LESSEBO</t>
        </is>
      </c>
      <c r="I5439" t="n">
        <v>4.2</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31092-2024</t>
        </is>
      </c>
      <c r="B5440" t="inlineStr">
        <is>
          <t>avverkningsanmälan</t>
        </is>
      </c>
      <c r="C5440" t="inlineStr">
        <is>
          <t>Föryngringsavverkning</t>
        </is>
      </c>
      <c r="D5440" s="1" t="n">
        <v>45502</v>
      </c>
      <c r="E5440" s="1" t="n">
        <v>46316</v>
      </c>
      <c r="F5440" t="inlineStr">
        <is>
          <t>KRONOBERGS LÄN</t>
        </is>
      </c>
      <c r="G5440" t="inlineStr">
        <is>
          <t>UPPVIDINGE</t>
        </is>
      </c>
      <c r="H5440" t="inlineStr">
        <is>
          <t>Sveaskog</t>
        </is>
      </c>
      <c r="I5440" t="n">
        <v>1.4</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8743-2025</t>
        </is>
      </c>
      <c r="B5441" t="inlineStr">
        <is>
          <t>avverkningsanmälan</t>
        </is>
      </c>
      <c r="C5441" t="inlineStr">
        <is>
          <t>Föryngringsavverkning</t>
        </is>
      </c>
      <c r="D5441" s="1" t="n">
        <v>45712</v>
      </c>
      <c r="E5441" s="1" t="n">
        <v>46316</v>
      </c>
      <c r="F5441" t="inlineStr">
        <is>
          <t>KRONOBERGS LÄN</t>
        </is>
      </c>
      <c r="G5441" t="inlineStr">
        <is>
          <t>TINGSRYD</t>
        </is>
      </c>
      <c r="I5441" t="n">
        <v>2</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3303-2025</t>
        </is>
      </c>
      <c r="B5442" t="inlineStr">
        <is>
          <t>avverkningsanmälan</t>
        </is>
      </c>
      <c r="C5442" t="inlineStr">
        <is>
          <t>Föryngringsavverkning</t>
        </is>
      </c>
      <c r="D5442" s="1" t="n">
        <v>45679</v>
      </c>
      <c r="E5442" s="1" t="n">
        <v>46316</v>
      </c>
      <c r="F5442" t="inlineStr">
        <is>
          <t>KRONOBERGS LÄN</t>
        </is>
      </c>
      <c r="G5442" t="inlineStr">
        <is>
          <t>TINGSRYD</t>
        </is>
      </c>
      <c r="I5442" t="n">
        <v>1.5</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59977-2024</t>
        </is>
      </c>
      <c r="B5443" t="inlineStr">
        <is>
          <t>avverkningsanmälan</t>
        </is>
      </c>
      <c r="C5443" t="inlineStr">
        <is>
          <t>Föryngringsavverkning</t>
        </is>
      </c>
      <c r="D5443" s="1" t="n">
        <v>45642</v>
      </c>
      <c r="E5443" s="1" t="n">
        <v>46316</v>
      </c>
      <c r="F5443" t="inlineStr">
        <is>
          <t>KRONOBERGS LÄN</t>
        </is>
      </c>
      <c r="G5443" t="inlineStr">
        <is>
          <t>VÄXJÖ</t>
        </is>
      </c>
      <c r="I5443" t="n">
        <v>1.9</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22583-2025</t>
        </is>
      </c>
      <c r="B5444" t="inlineStr">
        <is>
          <t>avverkningsanmälan</t>
        </is>
      </c>
      <c r="C5444" t="inlineStr">
        <is>
          <t>Föryngringsavverkning</t>
        </is>
      </c>
      <c r="D5444" s="1" t="n">
        <v>45789</v>
      </c>
      <c r="E5444" s="1" t="n">
        <v>46316</v>
      </c>
      <c r="F5444" t="inlineStr">
        <is>
          <t>KRONOBERGS LÄN</t>
        </is>
      </c>
      <c r="G5444" t="inlineStr">
        <is>
          <t>TINGSRYD</t>
        </is>
      </c>
      <c r="I5444" t="n">
        <v>0.5</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3190-2025</t>
        </is>
      </c>
      <c r="B5445" t="inlineStr">
        <is>
          <t>avverkningsanmälan</t>
        </is>
      </c>
      <c r="C5445" t="inlineStr">
        <is>
          <t>Föryngringsavverkning</t>
        </is>
      </c>
      <c r="D5445" s="1" t="n">
        <v>45679</v>
      </c>
      <c r="E5445" s="1" t="n">
        <v>46316</v>
      </c>
      <c r="F5445" t="inlineStr">
        <is>
          <t>KRONOBERGS LÄN</t>
        </is>
      </c>
      <c r="G5445" t="inlineStr">
        <is>
          <t>TINGSRYD</t>
        </is>
      </c>
      <c r="I5445" t="n">
        <v>5.9</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17790-2024</t>
        </is>
      </c>
      <c r="B5446" t="inlineStr">
        <is>
          <t>avverkningsanmälan</t>
        </is>
      </c>
      <c r="C5446" t="inlineStr">
        <is>
          <t>Föryngringsavverkning</t>
        </is>
      </c>
      <c r="D5446" s="1" t="n">
        <v>45418</v>
      </c>
      <c r="E5446" s="1" t="n">
        <v>46316</v>
      </c>
      <c r="F5446" t="inlineStr">
        <is>
          <t>KRONOBERGS LÄN</t>
        </is>
      </c>
      <c r="G5446" t="inlineStr">
        <is>
          <t>ALVESTA</t>
        </is>
      </c>
      <c r="I5446" t="n">
        <v>1.6</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10018-2025</t>
        </is>
      </c>
      <c r="B5447" t="inlineStr">
        <is>
          <t>avverkningsanmälan</t>
        </is>
      </c>
      <c r="C5447" t="inlineStr">
        <is>
          <t>Föryngringsavverkning</t>
        </is>
      </c>
      <c r="D5447" s="1" t="n">
        <v>45719</v>
      </c>
      <c r="E5447" s="1" t="n">
        <v>46316</v>
      </c>
      <c r="F5447" t="inlineStr">
        <is>
          <t>KRONOBERGS LÄN</t>
        </is>
      </c>
      <c r="G5447" t="inlineStr">
        <is>
          <t>ÄLMHULT</t>
        </is>
      </c>
      <c r="I5447" t="n">
        <v>0.9</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54196-2023</t>
        </is>
      </c>
      <c r="B5448" t="inlineStr">
        <is>
          <t>avverkningsanmälan</t>
        </is>
      </c>
      <c r="C5448" t="inlineStr">
        <is>
          <t>Föryngringsavverkning</t>
        </is>
      </c>
      <c r="D5448" s="1" t="n">
        <v>45232</v>
      </c>
      <c r="E5448" s="1" t="n">
        <v>46316</v>
      </c>
      <c r="F5448" t="inlineStr">
        <is>
          <t>KRONOBERGS LÄN</t>
        </is>
      </c>
      <c r="G5448" t="inlineStr">
        <is>
          <t>MARKARYD</t>
        </is>
      </c>
      <c r="I5448" t="n">
        <v>1</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4742-2025</t>
        </is>
      </c>
      <c r="B5449" t="inlineStr">
        <is>
          <t>avverkningsanmälan</t>
        </is>
      </c>
      <c r="C5449" t="inlineStr">
        <is>
          <t>Föryngringsavverkning</t>
        </is>
      </c>
      <c r="D5449" s="1" t="n">
        <v>45688</v>
      </c>
      <c r="E5449" s="1" t="n">
        <v>46316</v>
      </c>
      <c r="F5449" t="inlineStr">
        <is>
          <t>KRONOBERGS LÄN</t>
        </is>
      </c>
      <c r="G5449" t="inlineStr">
        <is>
          <t>LESSEBO</t>
        </is>
      </c>
      <c r="H5449" t="inlineStr">
        <is>
          <t>Kommuner</t>
        </is>
      </c>
      <c r="I5449" t="n">
        <v>3.6</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55126-2023</t>
        </is>
      </c>
      <c r="B5450" t="inlineStr">
        <is>
          <t>avverkningsanmälan</t>
        </is>
      </c>
      <c r="C5450" t="inlineStr">
        <is>
          <t>Föryngringsavverkning</t>
        </is>
      </c>
      <c r="D5450" s="1" t="n">
        <v>45230</v>
      </c>
      <c r="E5450" s="1" t="n">
        <v>46316</v>
      </c>
      <c r="F5450" t="inlineStr">
        <is>
          <t>KRONOBERGS LÄN</t>
        </is>
      </c>
      <c r="G5450" t="inlineStr">
        <is>
          <t>TINGSRYD</t>
        </is>
      </c>
      <c r="I5450" t="n">
        <v>3.2</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32624-2022</t>
        </is>
      </c>
      <c r="B5451" t="inlineStr">
        <is>
          <t>avverkningsanmälan</t>
        </is>
      </c>
      <c r="C5451" t="inlineStr">
        <is>
          <t>Föryngringsavverkning</t>
        </is>
      </c>
      <c r="D5451" s="1" t="n">
        <v>44783</v>
      </c>
      <c r="E5451" s="1" t="n">
        <v>46316</v>
      </c>
      <c r="F5451" t="inlineStr">
        <is>
          <t>KRONOBERGS LÄN</t>
        </is>
      </c>
      <c r="G5451" t="inlineStr">
        <is>
          <t>TINGSRYD</t>
        </is>
      </c>
      <c r="I5451" t="n">
        <v>3.2</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43263-2024</t>
        </is>
      </c>
      <c r="B5452" t="inlineStr">
        <is>
          <t>avverkningsanmälan</t>
        </is>
      </c>
      <c r="C5452" t="inlineStr">
        <is>
          <t>Föryngringsavverkning</t>
        </is>
      </c>
      <c r="D5452" s="1" t="n">
        <v>45568</v>
      </c>
      <c r="E5452" s="1" t="n">
        <v>46316</v>
      </c>
      <c r="F5452" t="inlineStr">
        <is>
          <t>KRONOBERGS LÄN</t>
        </is>
      </c>
      <c r="G5452" t="inlineStr">
        <is>
          <t>TINGSRYD</t>
        </is>
      </c>
      <c r="I5452" t="n">
        <v>1.7</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32142-2024</t>
        </is>
      </c>
      <c r="B5453" t="inlineStr">
        <is>
          <t>avverkningsanmälan</t>
        </is>
      </c>
      <c r="C5453" t="inlineStr">
        <is>
          <t>Föryngringsavverkning</t>
        </is>
      </c>
      <c r="D5453" s="1" t="n">
        <v>45511</v>
      </c>
      <c r="E5453" s="1" t="n">
        <v>46316</v>
      </c>
      <c r="F5453" t="inlineStr">
        <is>
          <t>KRONOBERGS LÄN</t>
        </is>
      </c>
      <c r="G5453" t="inlineStr">
        <is>
          <t>TINGSRYD</t>
        </is>
      </c>
      <c r="I5453" t="n">
        <v>0.7</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34848-2024</t>
        </is>
      </c>
      <c r="B5454" t="inlineStr">
        <is>
          <t>avverkningsanmälan</t>
        </is>
      </c>
      <c r="C5454" t="inlineStr">
        <is>
          <t>Föryngringsavverkning</t>
        </is>
      </c>
      <c r="D5454" s="1" t="n">
        <v>45527</v>
      </c>
      <c r="E5454" s="1" t="n">
        <v>46316</v>
      </c>
      <c r="F5454" t="inlineStr">
        <is>
          <t>KRONOBERGS LÄN</t>
        </is>
      </c>
      <c r="G5454" t="inlineStr">
        <is>
          <t>ÄLMHULT</t>
        </is>
      </c>
      <c r="I5454" t="n">
        <v>1.2</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48796-2024</t>
        </is>
      </c>
      <c r="B5455" t="inlineStr">
        <is>
          <t>avverkningsanmälan</t>
        </is>
      </c>
      <c r="C5455" t="inlineStr">
        <is>
          <t>Föryngringsavverkning</t>
        </is>
      </c>
      <c r="D5455" s="1" t="n">
        <v>45593</v>
      </c>
      <c r="E5455" s="1" t="n">
        <v>46316</v>
      </c>
      <c r="F5455" t="inlineStr">
        <is>
          <t>KRONOBERGS LÄN</t>
        </is>
      </c>
      <c r="G5455" t="inlineStr">
        <is>
          <t>MARKARYD</t>
        </is>
      </c>
      <c r="H5455" t="inlineStr">
        <is>
          <t>Kyrkan</t>
        </is>
      </c>
      <c r="I5455" t="n">
        <v>1.6</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58819-2024</t>
        </is>
      </c>
      <c r="B5456" t="inlineStr">
        <is>
          <t>avverkningsanmälan</t>
        </is>
      </c>
      <c r="C5456" t="inlineStr">
        <is>
          <t>Föryngringsavverkning</t>
        </is>
      </c>
      <c r="D5456" s="1" t="n">
        <v>45636</v>
      </c>
      <c r="E5456" s="1" t="n">
        <v>46316</v>
      </c>
      <c r="F5456" t="inlineStr">
        <is>
          <t>KRONOBERGS LÄN</t>
        </is>
      </c>
      <c r="G5456" t="inlineStr">
        <is>
          <t>TINGSRYD</t>
        </is>
      </c>
      <c r="H5456" t="inlineStr">
        <is>
          <t>Övriga Aktiebolag</t>
        </is>
      </c>
      <c r="I5456" t="n">
        <v>3</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59454-2024</t>
        </is>
      </c>
      <c r="B5457" t="inlineStr">
        <is>
          <t>avverkningsanmälan</t>
        </is>
      </c>
      <c r="C5457" t="inlineStr">
        <is>
          <t>Föryngringsavverkning</t>
        </is>
      </c>
      <c r="D5457" s="1" t="n">
        <v>45638</v>
      </c>
      <c r="E5457" s="1" t="n">
        <v>46316</v>
      </c>
      <c r="F5457" t="inlineStr">
        <is>
          <t>KRONOBERGS LÄN</t>
        </is>
      </c>
      <c r="G5457" t="inlineStr">
        <is>
          <t>ÄLMHULT</t>
        </is>
      </c>
      <c r="I5457" t="n">
        <v>2.2</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7307-2024</t>
        </is>
      </c>
      <c r="B5458" t="inlineStr">
        <is>
          <t>avverkningsanmälan</t>
        </is>
      </c>
      <c r="C5458" t="inlineStr">
        <is>
          <t>Föryngringsavverkning</t>
        </is>
      </c>
      <c r="D5458" s="1" t="n">
        <v>45345</v>
      </c>
      <c r="E5458" s="1" t="n">
        <v>46316</v>
      </c>
      <c r="F5458" t="inlineStr">
        <is>
          <t>KRONOBERGS LÄN</t>
        </is>
      </c>
      <c r="G5458" t="inlineStr">
        <is>
          <t>TINGSRYD</t>
        </is>
      </c>
      <c r="I5458" t="n">
        <v>1.8</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39359-2023</t>
        </is>
      </c>
      <c r="B5459" t="inlineStr">
        <is>
          <t>avverkningsanmälan</t>
        </is>
      </c>
      <c r="C5459" t="inlineStr">
        <is>
          <t>Föryngringsavverkning</t>
        </is>
      </c>
      <c r="D5459" s="1" t="n">
        <v>45166</v>
      </c>
      <c r="E5459" s="1" t="n">
        <v>46316</v>
      </c>
      <c r="F5459" t="inlineStr">
        <is>
          <t>KRONOBERGS LÄN</t>
        </is>
      </c>
      <c r="G5459" t="inlineStr">
        <is>
          <t>LJUNGBY</t>
        </is>
      </c>
      <c r="I5459" t="n">
        <v>2.9</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58927-2023</t>
        </is>
      </c>
      <c r="B5460" t="inlineStr">
        <is>
          <t>avverkningsanmälan</t>
        </is>
      </c>
      <c r="C5460" t="inlineStr">
        <is>
          <t>Föryngringsavverkning</t>
        </is>
      </c>
      <c r="D5460" s="1" t="n">
        <v>45252</v>
      </c>
      <c r="E5460" s="1" t="n">
        <v>46316</v>
      </c>
      <c r="F5460" t="inlineStr">
        <is>
          <t>KRONOBERGS LÄN</t>
        </is>
      </c>
      <c r="G5460" t="inlineStr">
        <is>
          <t>TINGSRYD</t>
        </is>
      </c>
      <c r="I5460" t="n">
        <v>3.2</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29566-2024</t>
        </is>
      </c>
      <c r="B5461" t="inlineStr">
        <is>
          <t>avverkningsanmälan</t>
        </is>
      </c>
      <c r="C5461" t="inlineStr">
        <is>
          <t>Föryngringsavverkning</t>
        </is>
      </c>
      <c r="D5461" s="1" t="n">
        <v>45484</v>
      </c>
      <c r="E5461" s="1" t="n">
        <v>46316</v>
      </c>
      <c r="F5461" t="inlineStr">
        <is>
          <t>KRONOBERGS LÄN</t>
        </is>
      </c>
      <c r="G5461" t="inlineStr">
        <is>
          <t>LESSEBO</t>
        </is>
      </c>
      <c r="I5461" t="n">
        <v>21.3</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17145-2025</t>
        </is>
      </c>
      <c r="B5462" t="inlineStr">
        <is>
          <t>avverkningsanmälan</t>
        </is>
      </c>
      <c r="C5462" t="inlineStr">
        <is>
          <t>Föryngringsavverkning</t>
        </is>
      </c>
      <c r="D5462" s="1" t="n">
        <v>45756</v>
      </c>
      <c r="E5462" s="1" t="n">
        <v>46316</v>
      </c>
      <c r="F5462" t="inlineStr">
        <is>
          <t>KRONOBERGS LÄN</t>
        </is>
      </c>
      <c r="G5462" t="inlineStr">
        <is>
          <t>LJUNGBY</t>
        </is>
      </c>
      <c r="I5462" t="n">
        <v>2.8</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32044-2024</t>
        </is>
      </c>
      <c r="B5463" t="inlineStr">
        <is>
          <t>avverkningsanmälan</t>
        </is>
      </c>
      <c r="C5463" t="inlineStr">
        <is>
          <t>Föryngringsavverkning</t>
        </is>
      </c>
      <c r="D5463" s="1" t="n">
        <v>45510</v>
      </c>
      <c r="E5463" s="1" t="n">
        <v>46316</v>
      </c>
      <c r="F5463" t="inlineStr">
        <is>
          <t>KRONOBERGS LÄN</t>
        </is>
      </c>
      <c r="G5463" t="inlineStr">
        <is>
          <t>LJUNGBY</t>
        </is>
      </c>
      <c r="I5463" t="n">
        <v>4.2</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53275-2024</t>
        </is>
      </c>
      <c r="B5464" t="inlineStr">
        <is>
          <t>avverkningsanmälan</t>
        </is>
      </c>
      <c r="C5464" t="inlineStr">
        <is>
          <t>Föryngringsavverkning</t>
        </is>
      </c>
      <c r="D5464" s="1" t="n">
        <v>45614</v>
      </c>
      <c r="E5464" s="1" t="n">
        <v>46316</v>
      </c>
      <c r="F5464" t="inlineStr">
        <is>
          <t>KRONOBERGS LÄN</t>
        </is>
      </c>
      <c r="G5464" t="inlineStr">
        <is>
          <t>VÄXJÖ</t>
        </is>
      </c>
      <c r="I5464" t="n">
        <v>1.3</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48953-2024</t>
        </is>
      </c>
      <c r="B5465" t="inlineStr">
        <is>
          <t>avverkningsanmälan</t>
        </is>
      </c>
      <c r="C5465" t="inlineStr">
        <is>
          <t>Föryngringsavverkning</t>
        </is>
      </c>
      <c r="D5465" s="1" t="n">
        <v>45594</v>
      </c>
      <c r="E5465" s="1" t="n">
        <v>46316</v>
      </c>
      <c r="F5465" t="inlineStr">
        <is>
          <t>KRONOBERGS LÄN</t>
        </is>
      </c>
      <c r="G5465" t="inlineStr">
        <is>
          <t>TINGSRYD</t>
        </is>
      </c>
      <c r="I5465" t="n">
        <v>4.3</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7310-2024</t>
        </is>
      </c>
      <c r="B5466" t="inlineStr">
        <is>
          <t>avverkningsanmälan</t>
        </is>
      </c>
      <c r="C5466" t="inlineStr">
        <is>
          <t>Föryngringsavverkning</t>
        </is>
      </c>
      <c r="D5466" s="1" t="n">
        <v>45345</v>
      </c>
      <c r="E5466" s="1" t="n">
        <v>46316</v>
      </c>
      <c r="F5466" t="inlineStr">
        <is>
          <t>KRONOBERGS LÄN</t>
        </is>
      </c>
      <c r="G5466" t="inlineStr">
        <is>
          <t>TINGSRYD</t>
        </is>
      </c>
      <c r="I5466" t="n">
        <v>1.3</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9902-2025</t>
        </is>
      </c>
      <c r="B5467" t="inlineStr">
        <is>
          <t>avverkningsanmälan</t>
        </is>
      </c>
      <c r="C5467" t="inlineStr">
        <is>
          <t>Föryngringsavverkning</t>
        </is>
      </c>
      <c r="D5467" s="1" t="n">
        <v>45716</v>
      </c>
      <c r="E5467" s="1" t="n">
        <v>46316</v>
      </c>
      <c r="F5467" t="inlineStr">
        <is>
          <t>KRONOBERGS LÄN</t>
        </is>
      </c>
      <c r="G5467" t="inlineStr">
        <is>
          <t>VÄXJÖ</t>
        </is>
      </c>
      <c r="I5467" t="n">
        <v>1.7</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22375-2025</t>
        </is>
      </c>
      <c r="B5468" t="inlineStr">
        <is>
          <t>avverkningsanmälan</t>
        </is>
      </c>
      <c r="C5468" t="inlineStr">
        <is>
          <t>Föryngringsavverkning</t>
        </is>
      </c>
      <c r="D5468" s="1" t="n">
        <v>45786</v>
      </c>
      <c r="E5468" s="1" t="n">
        <v>46316</v>
      </c>
      <c r="F5468" t="inlineStr">
        <is>
          <t>KRONOBERGS LÄN</t>
        </is>
      </c>
      <c r="G5468" t="inlineStr">
        <is>
          <t>UPPVIDINGE</t>
        </is>
      </c>
      <c r="I5468" t="n">
        <v>5</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42349-2024</t>
        </is>
      </c>
      <c r="B5469" t="inlineStr">
        <is>
          <t>avverkningsanmälan</t>
        </is>
      </c>
      <c r="C5469" t="inlineStr">
        <is>
          <t>Föryngringsavverkning</t>
        </is>
      </c>
      <c r="D5469" s="1" t="n">
        <v>45562</v>
      </c>
      <c r="E5469" s="1" t="n">
        <v>46316</v>
      </c>
      <c r="F5469" t="inlineStr">
        <is>
          <t>KRONOBERGS LÄN</t>
        </is>
      </c>
      <c r="G5469" t="inlineStr">
        <is>
          <t>TINGSRYD</t>
        </is>
      </c>
      <c r="I5469" t="n">
        <v>3.3</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48306-2024</t>
        </is>
      </c>
      <c r="B5470" t="inlineStr">
        <is>
          <t>avverkningsanmälan</t>
        </is>
      </c>
      <c r="C5470" t="inlineStr">
        <is>
          <t>Föryngringsavverkning</t>
        </is>
      </c>
      <c r="D5470" s="1" t="n">
        <v>45590</v>
      </c>
      <c r="E5470" s="1" t="n">
        <v>46316</v>
      </c>
      <c r="F5470" t="inlineStr">
        <is>
          <t>KRONOBERGS LÄN</t>
        </is>
      </c>
      <c r="G5470" t="inlineStr">
        <is>
          <t>TINGSRYD</t>
        </is>
      </c>
      <c r="I5470" t="n">
        <v>1.5</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49965-2024</t>
        </is>
      </c>
      <c r="B5471" t="inlineStr">
        <is>
          <t>avverkningsanmälan</t>
        </is>
      </c>
      <c r="C5471" t="inlineStr">
        <is>
          <t>Föryngringsavverkning</t>
        </is>
      </c>
      <c r="D5471" s="1" t="n">
        <v>45597</v>
      </c>
      <c r="E5471" s="1" t="n">
        <v>46316</v>
      </c>
      <c r="F5471" t="inlineStr">
        <is>
          <t>KRONOBERGS LÄN</t>
        </is>
      </c>
      <c r="G5471" t="inlineStr">
        <is>
          <t>TINGSRYD</t>
        </is>
      </c>
      <c r="I5471" t="n">
        <v>3.5</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51414-2024</t>
        </is>
      </c>
      <c r="B5472" t="inlineStr">
        <is>
          <t>avverkningsanmälan</t>
        </is>
      </c>
      <c r="C5472" t="inlineStr">
        <is>
          <t>Föryngringsavverkning</t>
        </is>
      </c>
      <c r="D5472" s="1" t="n">
        <v>45604</v>
      </c>
      <c r="E5472" s="1" t="n">
        <v>46316</v>
      </c>
      <c r="F5472" t="inlineStr">
        <is>
          <t>KRONOBERGS LÄN</t>
        </is>
      </c>
      <c r="G5472" t="inlineStr">
        <is>
          <t>UPPVIDINGE</t>
        </is>
      </c>
      <c r="I5472" t="n">
        <v>7.8</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39737-2024</t>
        </is>
      </c>
      <c r="B5473" t="inlineStr">
        <is>
          <t>avverkningsanmälan</t>
        </is>
      </c>
      <c r="C5473" t="inlineStr">
        <is>
          <t>Föryngringsavverkning</t>
        </is>
      </c>
      <c r="D5473" s="1" t="n">
        <v>45552</v>
      </c>
      <c r="E5473" s="1" t="n">
        <v>46316</v>
      </c>
      <c r="F5473" t="inlineStr">
        <is>
          <t>KRONOBERGS LÄN</t>
        </is>
      </c>
      <c r="G5473" t="inlineStr">
        <is>
          <t>UPPVIDINGE</t>
        </is>
      </c>
      <c r="I5473" t="n">
        <v>1.2</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59085-2024</t>
        </is>
      </c>
      <c r="B5474" t="inlineStr">
        <is>
          <t>avverkningsanmälan</t>
        </is>
      </c>
      <c r="C5474" t="inlineStr">
        <is>
          <t>Föryngringsavverkning</t>
        </is>
      </c>
      <c r="D5474" s="1" t="n">
        <v>45637</v>
      </c>
      <c r="E5474" s="1" t="n">
        <v>46316</v>
      </c>
      <c r="F5474" t="inlineStr">
        <is>
          <t>KRONOBERGS LÄN</t>
        </is>
      </c>
      <c r="G5474" t="inlineStr">
        <is>
          <t>TINGSRYD</t>
        </is>
      </c>
      <c r="H5474" t="inlineStr">
        <is>
          <t>Övriga Aktiebolag</t>
        </is>
      </c>
      <c r="I5474" t="n">
        <v>1.4</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45393-2024</t>
        </is>
      </c>
      <c r="B5475" t="inlineStr">
        <is>
          <t>avverkningsanmälan</t>
        </is>
      </c>
      <c r="C5475" t="inlineStr">
        <is>
          <t>Föryngringsavverkning</t>
        </is>
      </c>
      <c r="D5475" s="1" t="n">
        <v>45576</v>
      </c>
      <c r="E5475" s="1" t="n">
        <v>46316</v>
      </c>
      <c r="F5475" t="inlineStr">
        <is>
          <t>KRONOBERGS LÄN</t>
        </is>
      </c>
      <c r="G5475" t="inlineStr">
        <is>
          <t>TINGSRYD</t>
        </is>
      </c>
      <c r="I5475" t="n">
        <v>1.8</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42390-2024</t>
        </is>
      </c>
      <c r="B5476" t="inlineStr">
        <is>
          <t>avverkningsanmälan</t>
        </is>
      </c>
      <c r="C5476" t="inlineStr">
        <is>
          <t>Föryngringsavverkning</t>
        </is>
      </c>
      <c r="D5476" s="1" t="n">
        <v>45565</v>
      </c>
      <c r="E5476" s="1" t="n">
        <v>46316</v>
      </c>
      <c r="F5476" t="inlineStr">
        <is>
          <t>KRONOBERGS LÄN</t>
        </is>
      </c>
      <c r="G5476" t="inlineStr">
        <is>
          <t>TINGSRYD</t>
        </is>
      </c>
      <c r="I5476" t="n">
        <v>0.9</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52191-2024</t>
        </is>
      </c>
      <c r="B5477" t="inlineStr">
        <is>
          <t>avverkningsanmälan</t>
        </is>
      </c>
      <c r="C5477" t="inlineStr">
        <is>
          <t>Föryngringsavverkning</t>
        </is>
      </c>
      <c r="D5477" s="1" t="n">
        <v>45608</v>
      </c>
      <c r="E5477" s="1" t="n">
        <v>46316</v>
      </c>
      <c r="F5477" t="inlineStr">
        <is>
          <t>KRONOBERGS LÄN</t>
        </is>
      </c>
      <c r="G5477" t="inlineStr">
        <is>
          <t>VÄXJÖ</t>
        </is>
      </c>
      <c r="I5477" t="n">
        <v>1.5</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34247-2024</t>
        </is>
      </c>
      <c r="B5478" t="inlineStr">
        <is>
          <t>avverkningsanmälan</t>
        </is>
      </c>
      <c r="C5478" t="inlineStr">
        <is>
          <t>Föryngringsavverkning</t>
        </is>
      </c>
      <c r="D5478" s="1" t="n">
        <v>45524</v>
      </c>
      <c r="E5478" s="1" t="n">
        <v>46316</v>
      </c>
      <c r="F5478" t="inlineStr">
        <is>
          <t>KRONOBERGS LÄN</t>
        </is>
      </c>
      <c r="G5478" t="inlineStr">
        <is>
          <t>TINGSRYD</t>
        </is>
      </c>
      <c r="I5478" t="n">
        <v>0.9</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50155-2024</t>
        </is>
      </c>
      <c r="B5479" t="inlineStr">
        <is>
          <t>avverkningsanmälan</t>
        </is>
      </c>
      <c r="C5479" t="inlineStr">
        <is>
          <t>Föryngringsavverkning</t>
        </is>
      </c>
      <c r="D5479" s="1" t="n">
        <v>45600</v>
      </c>
      <c r="E5479" s="1" t="n">
        <v>46316</v>
      </c>
      <c r="F5479" t="inlineStr">
        <is>
          <t>KRONOBERGS LÄN</t>
        </is>
      </c>
      <c r="G5479" t="inlineStr">
        <is>
          <t>MARKARYD</t>
        </is>
      </c>
      <c r="I5479" t="n">
        <v>2</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14798-2025</t>
        </is>
      </c>
      <c r="B5480" t="inlineStr">
        <is>
          <t>avverkningsanmälan</t>
        </is>
      </c>
      <c r="C5480" t="inlineStr">
        <is>
          <t>Föryngringsavverkning</t>
        </is>
      </c>
      <c r="D5480" s="1" t="n">
        <v>45742</v>
      </c>
      <c r="E5480" s="1" t="n">
        <v>46316</v>
      </c>
      <c r="F5480" t="inlineStr">
        <is>
          <t>KRONOBERGS LÄN</t>
        </is>
      </c>
      <c r="G5480" t="inlineStr">
        <is>
          <t>UPPVIDINGE</t>
        </is>
      </c>
      <c r="I5480" t="n">
        <v>1.1</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21296-2024</t>
        </is>
      </c>
      <c r="B5481" t="inlineStr">
        <is>
          <t>avverkningsanmälan</t>
        </is>
      </c>
      <c r="C5481" t="inlineStr">
        <is>
          <t>Föryngringsavverkning</t>
        </is>
      </c>
      <c r="D5481" s="1" t="n">
        <v>45440</v>
      </c>
      <c r="E5481" s="1" t="n">
        <v>46316</v>
      </c>
      <c r="F5481" t="inlineStr">
        <is>
          <t>KRONOBERGS LÄN</t>
        </is>
      </c>
      <c r="G5481" t="inlineStr">
        <is>
          <t>ALVESTA</t>
        </is>
      </c>
      <c r="I5481" t="n">
        <v>2.2</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1534-2025</t>
        </is>
      </c>
      <c r="B5482" t="inlineStr">
        <is>
          <t>avverkningsanmälan</t>
        </is>
      </c>
      <c r="C5482" t="inlineStr">
        <is>
          <t>Föryngringsavverkning</t>
        </is>
      </c>
      <c r="D5482" s="1" t="n">
        <v>45670</v>
      </c>
      <c r="E5482" s="1" t="n">
        <v>46316</v>
      </c>
      <c r="F5482" t="inlineStr">
        <is>
          <t>KRONOBERGS LÄN</t>
        </is>
      </c>
      <c r="G5482" t="inlineStr">
        <is>
          <t>TINGSRYD</t>
        </is>
      </c>
      <c r="I5482" t="n">
        <v>1.8</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3782-2025</t>
        </is>
      </c>
      <c r="B5483" t="inlineStr">
        <is>
          <t>avverkningsanmälan</t>
        </is>
      </c>
      <c r="C5483" t="inlineStr">
        <is>
          <t>Föryngringsavverkning</t>
        </is>
      </c>
      <c r="D5483" s="1" t="n">
        <v>45681</v>
      </c>
      <c r="E5483" s="1" t="n">
        <v>46316</v>
      </c>
      <c r="F5483" t="inlineStr">
        <is>
          <t>KRONOBERGS LÄN</t>
        </is>
      </c>
      <c r="G5483" t="inlineStr">
        <is>
          <t>LJUNGBY</t>
        </is>
      </c>
      <c r="I5483" t="n">
        <v>1.7</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S 2372-2023</t>
        </is>
      </c>
      <c r="B5484" t="inlineStr">
        <is>
          <t>samrådsanmälan</t>
        </is>
      </c>
      <c r="C5484" t="inlineStr">
        <is>
          <t>Annan skogsbruksåtgärd</t>
        </is>
      </c>
      <c r="D5484" s="1" t="n">
        <v>45110</v>
      </c>
      <c r="E5484" s="1" t="n">
        <v>46316</v>
      </c>
      <c r="F5484" t="inlineStr">
        <is>
          <t>KRONOBERGS LÄN</t>
        </is>
      </c>
      <c r="G5484" t="inlineStr">
        <is>
          <t>LJUNGBY</t>
        </is>
      </c>
      <c r="I5484" t="n">
        <v>0.4</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S 1037-2024</t>
        </is>
      </c>
      <c r="B5485" t="inlineStr">
        <is>
          <t>samrådsanmälan</t>
        </is>
      </c>
      <c r="C5485" t="inlineStr">
        <is>
          <t>Askåterföring</t>
        </is>
      </c>
      <c r="D5485" s="1" t="n">
        <v>45387</v>
      </c>
      <c r="E5485" s="1" t="n">
        <v>46316</v>
      </c>
      <c r="F5485" t="inlineStr">
        <is>
          <t>KRONOBERGS LÄN</t>
        </is>
      </c>
      <c r="G5485" t="inlineStr">
        <is>
          <t>TINGSRYD</t>
        </is>
      </c>
      <c r="I5485" t="n">
        <v>21.1</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S 5211-2022</t>
        </is>
      </c>
      <c r="B5486" t="inlineStr">
        <is>
          <t>samrådsanmälan</t>
        </is>
      </c>
      <c r="C5486" t="inlineStr">
        <is>
          <t>Askåterföring</t>
        </is>
      </c>
      <c r="D5486" s="1" t="n">
        <v>44820</v>
      </c>
      <c r="E5486" s="1" t="n">
        <v>46316</v>
      </c>
      <c r="F5486" t="inlineStr">
        <is>
          <t>KRONOBERGS LÄN</t>
        </is>
      </c>
      <c r="G5486" t="inlineStr">
        <is>
          <t>LJUNGBY</t>
        </is>
      </c>
      <c r="I5486" t="n">
        <v>13.4</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S 2321-2023</t>
        </is>
      </c>
      <c r="B5487" t="inlineStr">
        <is>
          <t>samrådsanmälan</t>
        </is>
      </c>
      <c r="C5487" t="inlineStr">
        <is>
          <t>Annan skogsbruksåtgärd</t>
        </is>
      </c>
      <c r="D5487" s="1" t="n">
        <v>45105</v>
      </c>
      <c r="E5487" s="1" t="n">
        <v>46316</v>
      </c>
      <c r="F5487" t="inlineStr">
        <is>
          <t>KRONOBERGS LÄN</t>
        </is>
      </c>
      <c r="G5487" t="inlineStr">
        <is>
          <t>LESSEBO</t>
        </is>
      </c>
      <c r="I5487" t="n">
        <v>0.7</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S 1547-2023</t>
        </is>
      </c>
      <c r="B5488" t="inlineStr">
        <is>
          <t>samrådsanmälan</t>
        </is>
      </c>
      <c r="C5488" t="inlineStr">
        <is>
          <t>Askåterföring</t>
        </is>
      </c>
      <c r="D5488" s="1" t="n">
        <v>45054</v>
      </c>
      <c r="E5488" s="1" t="n">
        <v>46316</v>
      </c>
      <c r="F5488" t="inlineStr">
        <is>
          <t>KRONOBERGS LÄN</t>
        </is>
      </c>
      <c r="G5488" t="inlineStr">
        <is>
          <t>VÄXJÖ</t>
        </is>
      </c>
      <c r="I5488" t="n">
        <v>4.1</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S 3880-2023</t>
        </is>
      </c>
      <c r="B5489" t="inlineStr">
        <is>
          <t>samrådsanmälan</t>
        </is>
      </c>
      <c r="C5489" t="inlineStr">
        <is>
          <t>Askåterföring</t>
        </is>
      </c>
      <c r="D5489" s="1" t="n">
        <v>45230</v>
      </c>
      <c r="E5489" s="1" t="n">
        <v>46316</v>
      </c>
      <c r="F5489" t="inlineStr">
        <is>
          <t>KRONOBERGS LÄN</t>
        </is>
      </c>
      <c r="G5489" t="inlineStr">
        <is>
          <t>VÄXJÖ</t>
        </is>
      </c>
      <c r="H5489" t="inlineStr">
        <is>
          <t>Övriga Aktiebolag</t>
        </is>
      </c>
      <c r="I5489" t="n">
        <v>8.9</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S 3418-2024</t>
        </is>
      </c>
      <c r="B5490" t="inlineStr">
        <is>
          <t>samrådsanmälan</t>
        </is>
      </c>
      <c r="C5490" t="inlineStr">
        <is>
          <t>Annan skogsbruksåtgärd</t>
        </is>
      </c>
      <c r="D5490" s="1" t="n">
        <v>45537</v>
      </c>
      <c r="E5490" s="1" t="n">
        <v>46316</v>
      </c>
      <c r="F5490" t="inlineStr">
        <is>
          <t>KRONOBERGS LÄN</t>
        </is>
      </c>
      <c r="G5490" t="inlineStr">
        <is>
          <t>LJUNGBY</t>
        </is>
      </c>
      <c r="I5490" t="n">
        <v>1.7</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S 4661-2022</t>
        </is>
      </c>
      <c r="B5491" t="inlineStr">
        <is>
          <t>samrådsanmälan</t>
        </is>
      </c>
      <c r="C5491" t="inlineStr">
        <is>
          <t>Askåterföring</t>
        </is>
      </c>
      <c r="D5491" s="1" t="n">
        <v>44795</v>
      </c>
      <c r="E5491" s="1" t="n">
        <v>46316</v>
      </c>
      <c r="F5491" t="inlineStr">
        <is>
          <t>KRONOBERGS LÄN</t>
        </is>
      </c>
      <c r="G5491" t="inlineStr">
        <is>
          <t>LESSEBO</t>
        </is>
      </c>
      <c r="I5491" t="n">
        <v>43.6</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S 1046-2024</t>
        </is>
      </c>
      <c r="B5492" t="inlineStr">
        <is>
          <t>samrådsanmälan</t>
        </is>
      </c>
      <c r="C5492" t="inlineStr">
        <is>
          <t>Askåterföring</t>
        </is>
      </c>
      <c r="D5492" s="1" t="n">
        <v>45387</v>
      </c>
      <c r="E5492" s="1" t="n">
        <v>46316</v>
      </c>
      <c r="F5492" t="inlineStr">
        <is>
          <t>KRONOBERGS LÄN</t>
        </is>
      </c>
      <c r="G5492" t="inlineStr">
        <is>
          <t>TINGSRYD</t>
        </is>
      </c>
      <c r="I5492" t="n">
        <v>4.7</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S 8484-2021</t>
        </is>
      </c>
      <c r="B5493" t="inlineStr">
        <is>
          <t>samrådsanmälan</t>
        </is>
      </c>
      <c r="C5493" t="inlineStr">
        <is>
          <t>Skogsbilväg</t>
        </is>
      </c>
      <c r="D5493" s="1" t="n">
        <v>44498</v>
      </c>
      <c r="E5493" s="1" t="n">
        <v>46316</v>
      </c>
      <c r="F5493" t="inlineStr">
        <is>
          <t>KRONOBERGS LÄN</t>
        </is>
      </c>
      <c r="G5493" t="inlineStr">
        <is>
          <t>VÄXJÖ</t>
        </is>
      </c>
      <c r="I5493" t="n">
        <v>3</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S 3836-2023</t>
        </is>
      </c>
      <c r="B5494" t="inlineStr">
        <is>
          <t>samrådsanmälan</t>
        </is>
      </c>
      <c r="C5494" t="inlineStr">
        <is>
          <t>Annan skogsbruksåtgärd</t>
        </is>
      </c>
      <c r="D5494" s="1" t="n">
        <v>45226</v>
      </c>
      <c r="E5494" s="1" t="n">
        <v>46316</v>
      </c>
      <c r="F5494" t="inlineStr">
        <is>
          <t>KRONOBERGS LÄN</t>
        </is>
      </c>
      <c r="G5494" t="inlineStr">
        <is>
          <t>LJUNGBY</t>
        </is>
      </c>
      <c r="I5494" t="n">
        <v>1.1</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S 3838-2022</t>
        </is>
      </c>
      <c r="B5495" t="inlineStr">
        <is>
          <t>samrådsanmälan</t>
        </is>
      </c>
      <c r="C5495" t="inlineStr">
        <is>
          <t>Askåterföring</t>
        </is>
      </c>
      <c r="D5495" s="1" t="n">
        <v>44743</v>
      </c>
      <c r="E5495" s="1" t="n">
        <v>46316</v>
      </c>
      <c r="F5495" t="inlineStr">
        <is>
          <t>KRONOBERGS LÄN</t>
        </is>
      </c>
      <c r="G5495" t="inlineStr">
        <is>
          <t>ALVESTA</t>
        </is>
      </c>
      <c r="I5495" t="n">
        <v>15.8</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S 572-2024</t>
        </is>
      </c>
      <c r="B5496" t="inlineStr">
        <is>
          <t>samrådsanmälan</t>
        </is>
      </c>
      <c r="C5496" t="inlineStr">
        <is>
          <t>Askåterföring</t>
        </is>
      </c>
      <c r="D5496" s="1" t="n">
        <v>45350</v>
      </c>
      <c r="E5496" s="1" t="n">
        <v>46316</v>
      </c>
      <c r="F5496" t="inlineStr">
        <is>
          <t>KRONOBERGS LÄN</t>
        </is>
      </c>
      <c r="G5496" t="inlineStr">
        <is>
          <t>ALVESTA</t>
        </is>
      </c>
      <c r="I5496" t="n">
        <v>32.7</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S 4904-2024</t>
        </is>
      </c>
      <c r="B5497" t="inlineStr">
        <is>
          <t>samrådsanmälan</t>
        </is>
      </c>
      <c r="C5497" t="inlineStr">
        <is>
          <t>Annan skogsbruksåtgärd</t>
        </is>
      </c>
      <c r="D5497" s="1" t="n">
        <v>45622</v>
      </c>
      <c r="E5497" s="1" t="n">
        <v>46316</v>
      </c>
      <c r="F5497" t="inlineStr">
        <is>
          <t>KRONOBERGS LÄN</t>
        </is>
      </c>
      <c r="G5497" t="inlineStr">
        <is>
          <t>VÄXJÖ</t>
        </is>
      </c>
      <c r="I5497" t="n">
        <v>0.7</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S 1546-2023</t>
        </is>
      </c>
      <c r="B5498" t="inlineStr">
        <is>
          <t>samrådsanmälan</t>
        </is>
      </c>
      <c r="C5498" t="inlineStr">
        <is>
          <t>Askåterföring</t>
        </is>
      </c>
      <c r="D5498" s="1" t="n">
        <v>45054</v>
      </c>
      <c r="E5498" s="1" t="n">
        <v>46316</v>
      </c>
      <c r="F5498" t="inlineStr">
        <is>
          <t>KRONOBERGS LÄN</t>
        </is>
      </c>
      <c r="G5498" t="inlineStr">
        <is>
          <t>VÄXJÖ</t>
        </is>
      </c>
      <c r="I5498" t="n">
        <v>1.6</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S 396-2023</t>
        </is>
      </c>
      <c r="B5499" t="inlineStr">
        <is>
          <t>samrådsanmälan</t>
        </is>
      </c>
      <c r="C5499" t="inlineStr">
        <is>
          <t>Askåterföring</t>
        </is>
      </c>
      <c r="D5499" s="1" t="n">
        <v>44959</v>
      </c>
      <c r="E5499" s="1" t="n">
        <v>46316</v>
      </c>
      <c r="F5499" t="inlineStr">
        <is>
          <t>KRONOBERGS LÄN</t>
        </is>
      </c>
      <c r="G5499" t="inlineStr">
        <is>
          <t>LESSEBO</t>
        </is>
      </c>
      <c r="I5499" t="n">
        <v>78.8</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S 3278-2024</t>
        </is>
      </c>
      <c r="B5500" t="inlineStr">
        <is>
          <t>samrådsanmälan</t>
        </is>
      </c>
      <c r="C5500" t="inlineStr">
        <is>
          <t>Skogsbilväg</t>
        </is>
      </c>
      <c r="D5500" s="1" t="n">
        <v>45527</v>
      </c>
      <c r="E5500" s="1" t="n">
        <v>46316</v>
      </c>
      <c r="F5500" t="inlineStr">
        <is>
          <t>KRONOBERGS LÄN</t>
        </is>
      </c>
      <c r="G5500" t="inlineStr">
        <is>
          <t>LJUNGBY</t>
        </is>
      </c>
      <c r="I5500" t="n">
        <v>0.3</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S 1541-2023</t>
        </is>
      </c>
      <c r="B5501" t="inlineStr">
        <is>
          <t>samrådsanmälan</t>
        </is>
      </c>
      <c r="C5501" t="inlineStr">
        <is>
          <t>Askåterföring</t>
        </is>
      </c>
      <c r="D5501" s="1" t="n">
        <v>45054</v>
      </c>
      <c r="E5501" s="1" t="n">
        <v>46316</v>
      </c>
      <c r="F5501" t="inlineStr">
        <is>
          <t>KRONOBERGS LÄN</t>
        </is>
      </c>
      <c r="G5501" t="inlineStr">
        <is>
          <t>VÄXJÖ</t>
        </is>
      </c>
      <c r="I5501" t="n">
        <v>8.5</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S 4450-2024</t>
        </is>
      </c>
      <c r="B5502" t="inlineStr">
        <is>
          <t>samrådsanmälan</t>
        </is>
      </c>
      <c r="C5502" t="inlineStr">
        <is>
          <t>Annan skogsbruksåtgärd</t>
        </is>
      </c>
      <c r="D5502" s="1" t="n">
        <v>45593</v>
      </c>
      <c r="E5502" s="1" t="n">
        <v>46316</v>
      </c>
      <c r="F5502" t="inlineStr">
        <is>
          <t>KRONOBERGS LÄN</t>
        </is>
      </c>
      <c r="G5502" t="inlineStr">
        <is>
          <t>LJUNGBY</t>
        </is>
      </c>
      <c r="I5502" t="n">
        <v>1.4</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S 2061-2022</t>
        </is>
      </c>
      <c r="B5503" t="inlineStr">
        <is>
          <t>samrådsanmälan</t>
        </is>
      </c>
      <c r="C5503" t="inlineStr">
        <is>
          <t>Annan skogsbruksåtgärd</t>
        </is>
      </c>
      <c r="D5503" s="1" t="n">
        <v>44672</v>
      </c>
      <c r="E5503" s="1" t="n">
        <v>46316</v>
      </c>
      <c r="F5503" t="inlineStr">
        <is>
          <t>KRONOBERGS LÄN</t>
        </is>
      </c>
      <c r="G5503" t="inlineStr">
        <is>
          <t>LESSEBO</t>
        </is>
      </c>
      <c r="I5503" t="n">
        <v>1.6</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S 2146-2024</t>
        </is>
      </c>
      <c r="B5504" t="inlineStr">
        <is>
          <t>samrådsanmälan</t>
        </is>
      </c>
      <c r="C5504" t="inlineStr">
        <is>
          <t>Askåterföring</t>
        </is>
      </c>
      <c r="D5504" s="1" t="n">
        <v>45456</v>
      </c>
      <c r="E5504" s="1" t="n">
        <v>46316</v>
      </c>
      <c r="F5504" t="inlineStr">
        <is>
          <t>KRONOBERGS LÄN</t>
        </is>
      </c>
      <c r="G5504" t="inlineStr">
        <is>
          <t>TINGSRYD</t>
        </is>
      </c>
      <c r="I5504" t="n">
        <v>24.1</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S 4641-2024</t>
        </is>
      </c>
      <c r="B5505" t="inlineStr">
        <is>
          <t>samrådsanmälan</t>
        </is>
      </c>
      <c r="C5505" t="inlineStr">
        <is>
          <t>Askåterföring</t>
        </is>
      </c>
      <c r="D5505" s="1" t="n">
        <v>45602</v>
      </c>
      <c r="E5505" s="1" t="n">
        <v>46316</v>
      </c>
      <c r="F5505" t="inlineStr">
        <is>
          <t>KRONOBERGS LÄN</t>
        </is>
      </c>
      <c r="G5505" t="inlineStr">
        <is>
          <t>TINGSRYD</t>
        </is>
      </c>
      <c r="I5505" t="n">
        <v>17.9</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S 1523-2022</t>
        </is>
      </c>
      <c r="B5506" t="inlineStr">
        <is>
          <t>samrådsanmälan</t>
        </is>
      </c>
      <c r="C5506" t="inlineStr">
        <is>
          <t>Skogsbilväg</t>
        </is>
      </c>
      <c r="D5506" s="1" t="n">
        <v>44638</v>
      </c>
      <c r="E5506" s="1" t="n">
        <v>46316</v>
      </c>
      <c r="F5506" t="inlineStr">
        <is>
          <t>KRONOBERGS LÄN</t>
        </is>
      </c>
      <c r="G5506" t="inlineStr">
        <is>
          <t>LJUNGBY</t>
        </is>
      </c>
      <c r="I5506" t="n">
        <v>1</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S 1591-2023</t>
        </is>
      </c>
      <c r="B5507" t="inlineStr">
        <is>
          <t>samrådsanmälan</t>
        </is>
      </c>
      <c r="C5507" t="inlineStr">
        <is>
          <t>Askåterföring</t>
        </is>
      </c>
      <c r="D5507" s="1" t="n">
        <v>45056</v>
      </c>
      <c r="E5507" s="1" t="n">
        <v>46316</v>
      </c>
      <c r="F5507" t="inlineStr">
        <is>
          <t>KRONOBERGS LÄN</t>
        </is>
      </c>
      <c r="G5507" t="inlineStr">
        <is>
          <t>VÄXJÖ</t>
        </is>
      </c>
      <c r="I5507" t="n">
        <v>18.3</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S 3047-2022</t>
        </is>
      </c>
      <c r="B5508" t="inlineStr">
        <is>
          <t>samrådsanmälan</t>
        </is>
      </c>
      <c r="C5508" t="inlineStr">
        <is>
          <t>Annan skogsbruksåtgärd</t>
        </is>
      </c>
      <c r="D5508" s="1" t="n">
        <v>44715</v>
      </c>
      <c r="E5508" s="1" t="n">
        <v>46316</v>
      </c>
      <c r="F5508" t="inlineStr">
        <is>
          <t>KRONOBERGS LÄN</t>
        </is>
      </c>
      <c r="G5508" t="inlineStr">
        <is>
          <t>VÄXJÖ</t>
        </is>
      </c>
      <c r="I5508" t="n">
        <v>5.1</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S 6869-2022</t>
        </is>
      </c>
      <c r="B5509" t="inlineStr">
        <is>
          <t>samrådsanmälan</t>
        </is>
      </c>
      <c r="C5509" t="inlineStr">
        <is>
          <t>Annan skogsbruksåtgärd</t>
        </is>
      </c>
      <c r="D5509" s="1" t="n">
        <v>44903</v>
      </c>
      <c r="E5509" s="1" t="n">
        <v>46316</v>
      </c>
      <c r="F5509" t="inlineStr">
        <is>
          <t>KRONOBERGS LÄN</t>
        </is>
      </c>
      <c r="G5509" t="inlineStr">
        <is>
          <t>ALVESTA</t>
        </is>
      </c>
      <c r="I5509" t="n">
        <v>0.5</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S 6823-2022</t>
        </is>
      </c>
      <c r="B5510" t="inlineStr">
        <is>
          <t>samrådsanmälan</t>
        </is>
      </c>
      <c r="C5510" t="inlineStr">
        <is>
          <t>Askåterföring</t>
        </is>
      </c>
      <c r="D5510" s="1" t="n">
        <v>44894</v>
      </c>
      <c r="E5510" s="1" t="n">
        <v>46316</v>
      </c>
      <c r="F5510" t="inlineStr">
        <is>
          <t>KRONOBERGS LÄN</t>
        </is>
      </c>
      <c r="G5510" t="inlineStr">
        <is>
          <t>TINGSRYD</t>
        </is>
      </c>
      <c r="I5510" t="n">
        <v>60.6</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S 3232-2022</t>
        </is>
      </c>
      <c r="B5511" t="inlineStr">
        <is>
          <t>samrådsanmälan</t>
        </is>
      </c>
      <c r="C5511" t="inlineStr">
        <is>
          <t>Askåterföring</t>
        </is>
      </c>
      <c r="D5511" s="1" t="n">
        <v>44722</v>
      </c>
      <c r="E5511" s="1" t="n">
        <v>46316</v>
      </c>
      <c r="F5511" t="inlineStr">
        <is>
          <t>KRONOBERGS LÄN</t>
        </is>
      </c>
      <c r="G5511" t="inlineStr">
        <is>
          <t>VÄXJÖ</t>
        </is>
      </c>
      <c r="I5511" t="n">
        <v>40.2</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S 1726-2024</t>
        </is>
      </c>
      <c r="B5512" t="inlineStr">
        <is>
          <t>samrådsanmälan</t>
        </is>
      </c>
      <c r="C5512" t="inlineStr">
        <is>
          <t>Askåterföring</t>
        </is>
      </c>
      <c r="D5512" s="1" t="n">
        <v>45434</v>
      </c>
      <c r="E5512" s="1" t="n">
        <v>46316</v>
      </c>
      <c r="F5512" t="inlineStr">
        <is>
          <t>KRONOBERGS LÄN</t>
        </is>
      </c>
      <c r="G5512" t="inlineStr">
        <is>
          <t>VÄXJÖ</t>
        </is>
      </c>
      <c r="I5512" t="n">
        <v>9.300000000000001</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S 1420-2022</t>
        </is>
      </c>
      <c r="B5513" t="inlineStr">
        <is>
          <t>samrådsanmälan</t>
        </is>
      </c>
      <c r="C5513" t="inlineStr">
        <is>
          <t>Skogsbilväg</t>
        </is>
      </c>
      <c r="D5513" s="1" t="n">
        <v>44634</v>
      </c>
      <c r="E5513" s="1" t="n">
        <v>46316</v>
      </c>
      <c r="F5513" t="inlineStr">
        <is>
          <t>KRONOBERGS LÄN</t>
        </is>
      </c>
      <c r="G5513" t="inlineStr">
        <is>
          <t>ÄLMHULT</t>
        </is>
      </c>
      <c r="I5513" t="n">
        <v>2</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S 1542-2023</t>
        </is>
      </c>
      <c r="B5514" t="inlineStr">
        <is>
          <t>samrådsanmälan</t>
        </is>
      </c>
      <c r="C5514" t="inlineStr">
        <is>
          <t>Askåterföring</t>
        </is>
      </c>
      <c r="D5514" s="1" t="n">
        <v>45054</v>
      </c>
      <c r="E5514" s="1" t="n">
        <v>46316</v>
      </c>
      <c r="F5514" t="inlineStr">
        <is>
          <t>KRONOBERGS LÄN</t>
        </is>
      </c>
      <c r="G5514" t="inlineStr">
        <is>
          <t>VÄXJÖ</t>
        </is>
      </c>
      <c r="I5514" t="n">
        <v>5.6</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S 1344-2024</t>
        </is>
      </c>
      <c r="B5515" t="inlineStr">
        <is>
          <t>samrådsanmälan</t>
        </is>
      </c>
      <c r="C5515" t="inlineStr">
        <is>
          <t>Annan skogsbruksåtgärd</t>
        </is>
      </c>
      <c r="D5515" s="1" t="n">
        <v>45407</v>
      </c>
      <c r="E5515" s="1" t="n">
        <v>46316</v>
      </c>
      <c r="F5515" t="inlineStr">
        <is>
          <t>KRONOBERGS LÄN</t>
        </is>
      </c>
      <c r="G5515" t="inlineStr">
        <is>
          <t>VÄXJÖ</t>
        </is>
      </c>
      <c r="I5515" t="n">
        <v>0.2</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S 4783-2022</t>
        </is>
      </c>
      <c r="B5516" t="inlineStr">
        <is>
          <t>samrådsanmälan</t>
        </is>
      </c>
      <c r="C5516" t="inlineStr">
        <is>
          <t>Annan skogsbruksåtgärd</t>
        </is>
      </c>
      <c r="D5516" s="1" t="n">
        <v>44802</v>
      </c>
      <c r="E5516" s="1" t="n">
        <v>46316</v>
      </c>
      <c r="F5516" t="inlineStr">
        <is>
          <t>KRONOBERGS LÄN</t>
        </is>
      </c>
      <c r="G5516" t="inlineStr">
        <is>
          <t>VÄXJÖ</t>
        </is>
      </c>
      <c r="I5516" t="n">
        <v>1.2</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S 1943-2024</t>
        </is>
      </c>
      <c r="B5517" t="inlineStr">
        <is>
          <t>samrådsanmälan</t>
        </is>
      </c>
      <c r="C5517" t="inlineStr">
        <is>
          <t>Askåterföring</t>
        </is>
      </c>
      <c r="D5517" s="1" t="n">
        <v>45443</v>
      </c>
      <c r="E5517" s="1" t="n">
        <v>46316</v>
      </c>
      <c r="F5517" t="inlineStr">
        <is>
          <t>KRONOBERGS LÄN</t>
        </is>
      </c>
      <c r="G5517" t="inlineStr">
        <is>
          <t>TINGSRYD</t>
        </is>
      </c>
      <c r="I5517" t="n">
        <v>24.1</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S 928-2023</t>
        </is>
      </c>
      <c r="B5518" t="inlineStr">
        <is>
          <t>samrådsanmälan</t>
        </is>
      </c>
      <c r="C5518" t="inlineStr">
        <is>
          <t>Askåterföring</t>
        </is>
      </c>
      <c r="D5518" s="1" t="n">
        <v>45000</v>
      </c>
      <c r="E5518" s="1" t="n">
        <v>46316</v>
      </c>
      <c r="F5518" t="inlineStr">
        <is>
          <t>KRONOBERGS LÄN</t>
        </is>
      </c>
      <c r="G5518" t="inlineStr">
        <is>
          <t>LJUNGBY</t>
        </is>
      </c>
      <c r="I5518" t="n">
        <v>8.800000000000001</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S 2051-2022</t>
        </is>
      </c>
      <c r="B5519" t="inlineStr">
        <is>
          <t>samrådsanmälan</t>
        </is>
      </c>
      <c r="C5519" t="inlineStr">
        <is>
          <t>Annan skogsbruksåtgärd</t>
        </is>
      </c>
      <c r="D5519" s="1" t="n">
        <v>44672</v>
      </c>
      <c r="E5519" s="1" t="n">
        <v>46316</v>
      </c>
      <c r="F5519" t="inlineStr">
        <is>
          <t>KRONOBERGS LÄN</t>
        </is>
      </c>
      <c r="G5519" t="inlineStr">
        <is>
          <t>TINGSRYD</t>
        </is>
      </c>
      <c r="I5519" t="n">
        <v>0.7</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S 6684-2022</t>
        </is>
      </c>
      <c r="B5520" t="inlineStr">
        <is>
          <t>samrådsanmälan</t>
        </is>
      </c>
      <c r="C5520" t="inlineStr">
        <is>
          <t>Askåterföring</t>
        </is>
      </c>
      <c r="D5520" s="1" t="n">
        <v>44888</v>
      </c>
      <c r="E5520" s="1" t="n">
        <v>46316</v>
      </c>
      <c r="F5520" t="inlineStr">
        <is>
          <t>KRONOBERGS LÄN</t>
        </is>
      </c>
      <c r="G5520" t="inlineStr">
        <is>
          <t>TINGSRYD</t>
        </is>
      </c>
      <c r="I5520" t="n">
        <v>45.8</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S 1600-2022</t>
        </is>
      </c>
      <c r="B5521" t="inlineStr">
        <is>
          <t>samrådsanmälan</t>
        </is>
      </c>
      <c r="C5521" t="inlineStr">
        <is>
          <t>Askåterföring</t>
        </is>
      </c>
      <c r="D5521" s="1" t="n">
        <v>44644</v>
      </c>
      <c r="E5521" s="1" t="n">
        <v>46316</v>
      </c>
      <c r="F5521" t="inlineStr">
        <is>
          <t>KRONOBERGS LÄN</t>
        </is>
      </c>
      <c r="G5521" t="inlineStr">
        <is>
          <t>LJUNGBY</t>
        </is>
      </c>
      <c r="I5521" t="n">
        <v>49.2</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S 1795-2023</t>
        </is>
      </c>
      <c r="B5522" t="inlineStr">
        <is>
          <t>samrådsanmälan</t>
        </is>
      </c>
      <c r="C5522" t="inlineStr">
        <is>
          <t>Askåterföring</t>
        </is>
      </c>
      <c r="D5522" s="1" t="n">
        <v>45071</v>
      </c>
      <c r="E5522" s="1" t="n">
        <v>46316</v>
      </c>
      <c r="F5522" t="inlineStr">
        <is>
          <t>KRONOBERGS LÄN</t>
        </is>
      </c>
      <c r="G5522" t="inlineStr">
        <is>
          <t>VÄXJÖ</t>
        </is>
      </c>
      <c r="I5522" t="n">
        <v>8.4</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S 5212-2022</t>
        </is>
      </c>
      <c r="B5523" t="inlineStr">
        <is>
          <t>samrådsanmälan</t>
        </is>
      </c>
      <c r="C5523" t="inlineStr">
        <is>
          <t>Askåterföring</t>
        </is>
      </c>
      <c r="D5523" s="1" t="n">
        <v>44820</v>
      </c>
      <c r="E5523" s="1" t="n">
        <v>46316</v>
      </c>
      <c r="F5523" t="inlineStr">
        <is>
          <t>KRONOBERGS LÄN</t>
        </is>
      </c>
      <c r="G5523" t="inlineStr">
        <is>
          <t>LJUNGBY</t>
        </is>
      </c>
      <c r="I5523" t="n">
        <v>7.9</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S 1592-2023</t>
        </is>
      </c>
      <c r="B5524" t="inlineStr">
        <is>
          <t>samrådsanmälan</t>
        </is>
      </c>
      <c r="C5524" t="inlineStr">
        <is>
          <t>Askåterföring</t>
        </is>
      </c>
      <c r="D5524" s="1" t="n">
        <v>45056</v>
      </c>
      <c r="E5524" s="1" t="n">
        <v>46316</v>
      </c>
      <c r="F5524" t="inlineStr">
        <is>
          <t>KRONOBERGS LÄN</t>
        </is>
      </c>
      <c r="G5524" t="inlineStr">
        <is>
          <t>LESSEBO</t>
        </is>
      </c>
      <c r="I5524" t="n">
        <v>19.5</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S 1099-2023</t>
        </is>
      </c>
      <c r="B5525" t="inlineStr">
        <is>
          <t>samrådsanmälan</t>
        </is>
      </c>
      <c r="C5525" t="inlineStr">
        <is>
          <t>Askåterföring</t>
        </is>
      </c>
      <c r="D5525" s="1" t="n">
        <v>45014</v>
      </c>
      <c r="E5525" s="1" t="n">
        <v>46316</v>
      </c>
      <c r="F5525" t="inlineStr">
        <is>
          <t>KRONOBERGS LÄN</t>
        </is>
      </c>
      <c r="G5525" t="inlineStr">
        <is>
          <t>MARKARYD</t>
        </is>
      </c>
      <c r="I5525" t="n">
        <v>14.9</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S 8459-2021</t>
        </is>
      </c>
      <c r="B5526" t="inlineStr">
        <is>
          <t>samrådsanmälan</t>
        </is>
      </c>
      <c r="C5526" t="inlineStr">
        <is>
          <t>Annan skogsbruksåtgärd</t>
        </is>
      </c>
      <c r="D5526" s="1" t="n">
        <v>44495</v>
      </c>
      <c r="E5526" s="1" t="n">
        <v>46316</v>
      </c>
      <c r="F5526" t="inlineStr">
        <is>
          <t>KRONOBERGS LÄN</t>
        </is>
      </c>
      <c r="G5526" t="inlineStr">
        <is>
          <t>VÄXJÖ</t>
        </is>
      </c>
      <c r="I5526" t="n">
        <v>1.7</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S 526-2022</t>
        </is>
      </c>
      <c r="B5527" t="inlineStr">
        <is>
          <t>samrådsanmälan</t>
        </is>
      </c>
      <c r="C5527" t="inlineStr">
        <is>
          <t>Askåterföring</t>
        </is>
      </c>
      <c r="D5527" s="1" t="n">
        <v>44588</v>
      </c>
      <c r="E5527" s="1" t="n">
        <v>46316</v>
      </c>
      <c r="F5527" t="inlineStr">
        <is>
          <t>KRONOBERGS LÄN</t>
        </is>
      </c>
      <c r="G5527" t="inlineStr">
        <is>
          <t>VÄXJÖ</t>
        </is>
      </c>
      <c r="I5527" t="n">
        <v>15.4</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S 366-2023</t>
        </is>
      </c>
      <c r="B5528" t="inlineStr">
        <is>
          <t>samrådsanmälan</t>
        </is>
      </c>
      <c r="C5528" t="inlineStr">
        <is>
          <t>Askåterföring</t>
        </is>
      </c>
      <c r="D5528" s="1" t="n">
        <v>44959</v>
      </c>
      <c r="E5528" s="1" t="n">
        <v>46316</v>
      </c>
      <c r="F5528" t="inlineStr">
        <is>
          <t>KRONOBERGS LÄN</t>
        </is>
      </c>
      <c r="G5528" t="inlineStr">
        <is>
          <t>LESSEBO</t>
        </is>
      </c>
      <c r="I5528" t="n">
        <v>35.8</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S 3312-2022</t>
        </is>
      </c>
      <c r="B5529" t="inlineStr">
        <is>
          <t>samrådsanmälan</t>
        </is>
      </c>
      <c r="C5529" t="inlineStr">
        <is>
          <t>Askåterföring</t>
        </is>
      </c>
      <c r="D5529" s="1" t="n">
        <v>44727</v>
      </c>
      <c r="E5529" s="1" t="n">
        <v>46316</v>
      </c>
      <c r="F5529" t="inlineStr">
        <is>
          <t>KRONOBERGS LÄN</t>
        </is>
      </c>
      <c r="G5529" t="inlineStr">
        <is>
          <t>VÄXJÖ</t>
        </is>
      </c>
      <c r="I5529" t="n">
        <v>11.1</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S 1556-2022</t>
        </is>
      </c>
      <c r="B5530" t="inlineStr">
        <is>
          <t>samrådsanmälan</t>
        </is>
      </c>
      <c r="C5530" t="inlineStr">
        <is>
          <t>Askåterföring</t>
        </is>
      </c>
      <c r="D5530" s="1" t="n">
        <v>44643</v>
      </c>
      <c r="E5530" s="1" t="n">
        <v>46316</v>
      </c>
      <c r="F5530" t="inlineStr">
        <is>
          <t>KRONOBERGS LÄN</t>
        </is>
      </c>
      <c r="G5530" t="inlineStr">
        <is>
          <t>LJUNGBY</t>
        </is>
      </c>
      <c r="I5530" t="n">
        <v>17.6</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S 3286-2022</t>
        </is>
      </c>
      <c r="B5531" t="inlineStr">
        <is>
          <t>samrådsanmälan</t>
        </is>
      </c>
      <c r="C5531" t="inlineStr">
        <is>
          <t>Askåterföring</t>
        </is>
      </c>
      <c r="D5531" s="1" t="n">
        <v>44726</v>
      </c>
      <c r="E5531" s="1" t="n">
        <v>46316</v>
      </c>
      <c r="F5531" t="inlineStr">
        <is>
          <t>KRONOBERGS LÄN</t>
        </is>
      </c>
      <c r="G5531" t="inlineStr">
        <is>
          <t>UPPVIDINGE</t>
        </is>
      </c>
      <c r="I5531" t="n">
        <v>36.7</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S 6944-2022</t>
        </is>
      </c>
      <c r="B5532" t="inlineStr">
        <is>
          <t>samrådsanmälan</t>
        </is>
      </c>
      <c r="C5532" t="inlineStr">
        <is>
          <t>Askåterföring</t>
        </is>
      </c>
      <c r="D5532" s="1" t="n">
        <v>44900</v>
      </c>
      <c r="E5532" s="1" t="n">
        <v>46316</v>
      </c>
      <c r="F5532" t="inlineStr">
        <is>
          <t>KRONOBERGS LÄN</t>
        </is>
      </c>
      <c r="G5532" t="inlineStr">
        <is>
          <t>TINGSRYD</t>
        </is>
      </c>
      <c r="I5532" t="n">
        <v>71</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S 1395-2024</t>
        </is>
      </c>
      <c r="B5533" t="inlineStr">
        <is>
          <t>samrådsanmälan</t>
        </is>
      </c>
      <c r="C5533" t="inlineStr">
        <is>
          <t>Annan skogsbruksåtgärd</t>
        </is>
      </c>
      <c r="D5533" s="1" t="n">
        <v>45412</v>
      </c>
      <c r="E5533" s="1" t="n">
        <v>46316</v>
      </c>
      <c r="F5533" t="inlineStr">
        <is>
          <t>KRONOBERGS LÄN</t>
        </is>
      </c>
      <c r="G5533" t="inlineStr">
        <is>
          <t>LJUNGBY</t>
        </is>
      </c>
      <c r="I5533" t="n">
        <v>2.2</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S 1835-2022</t>
        </is>
      </c>
      <c r="B5534" t="inlineStr">
        <is>
          <t>samrådsanmälan</t>
        </is>
      </c>
      <c r="C5534" t="inlineStr">
        <is>
          <t>Åtgärd i nyckelbiotop</t>
        </is>
      </c>
      <c r="D5534" s="1" t="n">
        <v>44658</v>
      </c>
      <c r="E5534" s="1" t="n">
        <v>46316</v>
      </c>
      <c r="F5534" t="inlineStr">
        <is>
          <t>KRONOBERGS LÄN</t>
        </is>
      </c>
      <c r="G5534" t="inlineStr">
        <is>
          <t>ÄLMHULT</t>
        </is>
      </c>
      <c r="I5534" t="n">
        <v>1.4</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S 3794-2023</t>
        </is>
      </c>
      <c r="B5535" t="inlineStr">
        <is>
          <t>samrådsanmälan</t>
        </is>
      </c>
      <c r="C5535" t="inlineStr">
        <is>
          <t>Askåterföring</t>
        </is>
      </c>
      <c r="D5535" s="1" t="n">
        <v>45224</v>
      </c>
      <c r="E5535" s="1" t="n">
        <v>46316</v>
      </c>
      <c r="F5535" t="inlineStr">
        <is>
          <t>KRONOBERGS LÄN</t>
        </is>
      </c>
      <c r="G5535" t="inlineStr">
        <is>
          <t>VÄXJÖ</t>
        </is>
      </c>
      <c r="H5535" t="inlineStr">
        <is>
          <t>Övriga Aktiebolag</t>
        </is>
      </c>
      <c r="I5535" t="n">
        <v>14.2</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S 691-2024</t>
        </is>
      </c>
      <c r="B5536" t="inlineStr">
        <is>
          <t>samrådsanmälan</t>
        </is>
      </c>
      <c r="C5536" t="inlineStr">
        <is>
          <t>Askåterföring</t>
        </is>
      </c>
      <c r="D5536" s="1" t="n">
        <v>45359</v>
      </c>
      <c r="E5536" s="1" t="n">
        <v>46316</v>
      </c>
      <c r="F5536" t="inlineStr">
        <is>
          <t>KRONOBERGS LÄN</t>
        </is>
      </c>
      <c r="G5536" t="inlineStr">
        <is>
          <t>TINGSRYD</t>
        </is>
      </c>
      <c r="I5536" t="n">
        <v>15</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S 3230-2022</t>
        </is>
      </c>
      <c r="B5537" t="inlineStr">
        <is>
          <t>samrådsanmälan</t>
        </is>
      </c>
      <c r="C5537" t="inlineStr">
        <is>
          <t>Askåterföring</t>
        </is>
      </c>
      <c r="D5537" s="1" t="n">
        <v>44722</v>
      </c>
      <c r="E5537" s="1" t="n">
        <v>46316</v>
      </c>
      <c r="F5537" t="inlineStr">
        <is>
          <t>KRONOBERGS LÄN</t>
        </is>
      </c>
      <c r="G5537" t="inlineStr">
        <is>
          <t>VÄXJÖ</t>
        </is>
      </c>
      <c r="I5537" t="n">
        <v>9.300000000000001</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S 4474-2023</t>
        </is>
      </c>
      <c r="B5538" t="inlineStr">
        <is>
          <t>samrådsanmälan</t>
        </is>
      </c>
      <c r="C5538" t="inlineStr">
        <is>
          <t>Annan skogsbruksåtgärd</t>
        </is>
      </c>
      <c r="D5538" s="1" t="n">
        <v>45272</v>
      </c>
      <c r="E5538" s="1" t="n">
        <v>46316</v>
      </c>
      <c r="F5538" t="inlineStr">
        <is>
          <t>KRONOBERGS LÄN</t>
        </is>
      </c>
      <c r="G5538" t="inlineStr">
        <is>
          <t>LJUNGBY</t>
        </is>
      </c>
      <c r="I5538" t="n">
        <v>2.4</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S 7179-2022</t>
        </is>
      </c>
      <c r="B5539" t="inlineStr">
        <is>
          <t>samrådsanmälan</t>
        </is>
      </c>
      <c r="C5539" t="inlineStr">
        <is>
          <t>Askåterföring</t>
        </is>
      </c>
      <c r="D5539" s="1" t="n">
        <v>44916</v>
      </c>
      <c r="E5539" s="1" t="n">
        <v>46316</v>
      </c>
      <c r="F5539" t="inlineStr">
        <is>
          <t>KRONOBERGS LÄN</t>
        </is>
      </c>
      <c r="G5539" t="inlineStr">
        <is>
          <t>UPPVIDINGE</t>
        </is>
      </c>
      <c r="I5539" t="n">
        <v>4.2</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S 623-2023</t>
        </is>
      </c>
      <c r="B5540" t="inlineStr">
        <is>
          <t>samrådsanmälan</t>
        </is>
      </c>
      <c r="C5540" t="inlineStr">
        <is>
          <t>Annan skogsbruksåtgärd</t>
        </is>
      </c>
      <c r="D5540" s="1" t="n">
        <v>44972</v>
      </c>
      <c r="E5540" s="1" t="n">
        <v>46316</v>
      </c>
      <c r="F5540" t="inlineStr">
        <is>
          <t>KRONOBERGS LÄN</t>
        </is>
      </c>
      <c r="G5540" t="inlineStr">
        <is>
          <t>VÄXJÖ</t>
        </is>
      </c>
      <c r="I5540" t="n">
        <v>5.2</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S 1203-2022</t>
        </is>
      </c>
      <c r="B5541" t="inlineStr">
        <is>
          <t>samrådsanmälan</t>
        </is>
      </c>
      <c r="C5541" t="inlineStr">
        <is>
          <t>Askåterföring</t>
        </is>
      </c>
      <c r="D5541" s="1" t="n">
        <v>44621</v>
      </c>
      <c r="E5541" s="1" t="n">
        <v>46316</v>
      </c>
      <c r="F5541" t="inlineStr">
        <is>
          <t>KRONOBERGS LÄN</t>
        </is>
      </c>
      <c r="G5541" t="inlineStr">
        <is>
          <t>ÄLMHULT</t>
        </is>
      </c>
      <c r="I5541" t="n">
        <v>44.9</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S 2871-2023</t>
        </is>
      </c>
      <c r="B5542" t="inlineStr">
        <is>
          <t>samrådsanmälan</t>
        </is>
      </c>
      <c r="C5542" t="inlineStr">
        <is>
          <t>Annan skogsbruksåtgärd</t>
        </is>
      </c>
      <c r="D5542" s="1" t="n">
        <v>45168</v>
      </c>
      <c r="E5542" s="1" t="n">
        <v>46316</v>
      </c>
      <c r="F5542" t="inlineStr">
        <is>
          <t>KRONOBERGS LÄN</t>
        </is>
      </c>
      <c r="G5542" t="inlineStr">
        <is>
          <t>LJUNGBY</t>
        </is>
      </c>
      <c r="I5542" t="n">
        <v>0.4</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S 6799-2022</t>
        </is>
      </c>
      <c r="B5543" t="inlineStr">
        <is>
          <t>samrådsanmälan</t>
        </is>
      </c>
      <c r="C5543" t="inlineStr">
        <is>
          <t>Askåterföring</t>
        </is>
      </c>
      <c r="D5543" s="1" t="n">
        <v>44893</v>
      </c>
      <c r="E5543" s="1" t="n">
        <v>46316</v>
      </c>
      <c r="F5543" t="inlineStr">
        <is>
          <t>KRONOBERGS LÄN</t>
        </is>
      </c>
      <c r="G5543" t="inlineStr">
        <is>
          <t>LESSEBO</t>
        </is>
      </c>
      <c r="I5543" t="n">
        <v>28.2</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S 943-2024</t>
        </is>
      </c>
      <c r="B5544" t="inlineStr">
        <is>
          <t>samrådsanmälan</t>
        </is>
      </c>
      <c r="C5544" t="inlineStr">
        <is>
          <t>Skogsgödsling</t>
        </is>
      </c>
      <c r="D5544" s="1" t="n">
        <v>45378</v>
      </c>
      <c r="E5544" s="1" t="n">
        <v>46316</v>
      </c>
      <c r="F5544" t="inlineStr">
        <is>
          <t>KRONOBERGS LÄN</t>
        </is>
      </c>
      <c r="G5544" t="inlineStr">
        <is>
          <t>LJUNGBY</t>
        </is>
      </c>
      <c r="I5544" t="n">
        <v>24.5</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S 1583-2022</t>
        </is>
      </c>
      <c r="B5545" t="inlineStr">
        <is>
          <t>samrådsanmälan</t>
        </is>
      </c>
      <c r="C5545" t="inlineStr">
        <is>
          <t>Askåterföring</t>
        </is>
      </c>
      <c r="D5545" s="1" t="n">
        <v>44643</v>
      </c>
      <c r="E5545" s="1" t="n">
        <v>46316</v>
      </c>
      <c r="F5545" t="inlineStr">
        <is>
          <t>KRONOBERGS LÄN</t>
        </is>
      </c>
      <c r="G5545" t="inlineStr">
        <is>
          <t>LJUNGBY</t>
        </is>
      </c>
      <c r="I5545" t="n">
        <v>11.4</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S 1772-2022</t>
        </is>
      </c>
      <c r="B5546" t="inlineStr">
        <is>
          <t>samrådsanmälan</t>
        </is>
      </c>
      <c r="C5546" t="inlineStr">
        <is>
          <t>Askåterföring</t>
        </is>
      </c>
      <c r="D5546" s="1" t="n">
        <v>44655</v>
      </c>
      <c r="E5546" s="1" t="n">
        <v>46316</v>
      </c>
      <c r="F5546" t="inlineStr">
        <is>
          <t>KRONOBERGS LÄN</t>
        </is>
      </c>
      <c r="G5546" t="inlineStr">
        <is>
          <t>LJUNGBY</t>
        </is>
      </c>
      <c r="I5546" t="n">
        <v>28.9</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S 2789-2023</t>
        </is>
      </c>
      <c r="B5547" t="inlineStr">
        <is>
          <t>samrådsanmälan</t>
        </is>
      </c>
      <c r="C5547" t="inlineStr">
        <is>
          <t>Annan skogsbruksåtgärd</t>
        </is>
      </c>
      <c r="D5547" s="1" t="n">
        <v>45161</v>
      </c>
      <c r="E5547" s="1" t="n">
        <v>46316</v>
      </c>
      <c r="F5547" t="inlineStr">
        <is>
          <t>KRONOBERGS LÄN</t>
        </is>
      </c>
      <c r="G5547" t="inlineStr">
        <is>
          <t>UPPVIDINGE</t>
        </is>
      </c>
      <c r="H5547" t="inlineStr">
        <is>
          <t>Sveaskog</t>
        </is>
      </c>
      <c r="I5547" t="n">
        <v>3.1</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S 901-2022</t>
        </is>
      </c>
      <c r="B5548" t="inlineStr">
        <is>
          <t>samrådsanmälan</t>
        </is>
      </c>
      <c r="C5548" t="inlineStr">
        <is>
          <t>Annan skogsbruksåtgärd</t>
        </is>
      </c>
      <c r="D5548" s="1" t="n">
        <v>44607</v>
      </c>
      <c r="E5548" s="1" t="n">
        <v>46316</v>
      </c>
      <c r="F5548" t="inlineStr">
        <is>
          <t>KRONOBERGS LÄN</t>
        </is>
      </c>
      <c r="G5548" t="inlineStr">
        <is>
          <t>ÄLMHULT</t>
        </is>
      </c>
      <c r="I5548" t="n">
        <v>0.7</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S 690-2024</t>
        </is>
      </c>
      <c r="B5549" t="inlineStr">
        <is>
          <t>samrådsanmälan</t>
        </is>
      </c>
      <c r="C5549" t="inlineStr">
        <is>
          <t>Askåterföring</t>
        </is>
      </c>
      <c r="D5549" s="1" t="n">
        <v>45359</v>
      </c>
      <c r="E5549" s="1" t="n">
        <v>46316</v>
      </c>
      <c r="F5549" t="inlineStr">
        <is>
          <t>KRONOBERGS LÄN</t>
        </is>
      </c>
      <c r="G5549" t="inlineStr">
        <is>
          <t>TINGSRYD</t>
        </is>
      </c>
      <c r="I5549" t="n">
        <v>37.8</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S 3507-2022</t>
        </is>
      </c>
      <c r="B5550" t="inlineStr">
        <is>
          <t>samrådsanmälan</t>
        </is>
      </c>
      <c r="C5550" t="inlineStr">
        <is>
          <t>Annan skogsbruksåtgärd</t>
        </is>
      </c>
      <c r="D5550" s="1" t="n">
        <v>44733</v>
      </c>
      <c r="E5550" s="1" t="n">
        <v>46316</v>
      </c>
      <c r="F5550" t="inlineStr">
        <is>
          <t>KRONOBERGS LÄN</t>
        </is>
      </c>
      <c r="G5550" t="inlineStr">
        <is>
          <t>ÄLMHULT</t>
        </is>
      </c>
      <c r="H5550" t="inlineStr">
        <is>
          <t>Kyrkan</t>
        </is>
      </c>
      <c r="I5550" t="n">
        <v>1</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S 2591-2024</t>
        </is>
      </c>
      <c r="B5551" t="inlineStr">
        <is>
          <t>samrådsanmälan</t>
        </is>
      </c>
      <c r="C5551" t="inlineStr">
        <is>
          <t>Askåterföring</t>
        </is>
      </c>
      <c r="D5551" s="1" t="n">
        <v>45476</v>
      </c>
      <c r="E5551" s="1" t="n">
        <v>46316</v>
      </c>
      <c r="F5551" t="inlineStr">
        <is>
          <t>KRONOBERGS LÄN</t>
        </is>
      </c>
      <c r="G5551" t="inlineStr">
        <is>
          <t>UPPVIDINGE</t>
        </is>
      </c>
      <c r="I5551" t="n">
        <v>32</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S 3725-2024</t>
        </is>
      </c>
      <c r="B5552" t="inlineStr">
        <is>
          <t>samrådsanmälan</t>
        </is>
      </c>
      <c r="C5552" t="inlineStr">
        <is>
          <t>Askåterföring</t>
        </is>
      </c>
      <c r="D5552" s="1" t="n">
        <v>45554</v>
      </c>
      <c r="E5552" s="1" t="n">
        <v>46316</v>
      </c>
      <c r="F5552" t="inlineStr">
        <is>
          <t>KRONOBERGS LÄN</t>
        </is>
      </c>
      <c r="G5552" t="inlineStr">
        <is>
          <t>LJUNGBY</t>
        </is>
      </c>
      <c r="I5552" t="n">
        <v>9</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S 3193-2022</t>
        </is>
      </c>
      <c r="B5553" t="inlineStr">
        <is>
          <t>samrådsanmälan</t>
        </is>
      </c>
      <c r="C5553" t="inlineStr">
        <is>
          <t>Åtgärd i nyckelbiotop</t>
        </is>
      </c>
      <c r="D5553" s="1" t="n">
        <v>44722</v>
      </c>
      <c r="E5553" s="1" t="n">
        <v>46316</v>
      </c>
      <c r="F5553" t="inlineStr">
        <is>
          <t>KRONOBERGS LÄN</t>
        </is>
      </c>
      <c r="G5553" t="inlineStr">
        <is>
          <t>TINGSRYD</t>
        </is>
      </c>
      <c r="I5553" t="n">
        <v>1.6</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S 3797-2023</t>
        </is>
      </c>
      <c r="B5554" t="inlineStr">
        <is>
          <t>samrådsanmälan</t>
        </is>
      </c>
      <c r="C5554" t="inlineStr">
        <is>
          <t>Annan skogsbruksåtgärd</t>
        </is>
      </c>
      <c r="D5554" s="1" t="n">
        <v>45230</v>
      </c>
      <c r="E5554" s="1" t="n">
        <v>46316</v>
      </c>
      <c r="F5554" t="inlineStr">
        <is>
          <t>KRONOBERGS LÄN</t>
        </is>
      </c>
      <c r="G5554" t="inlineStr">
        <is>
          <t>VÄXJÖ</t>
        </is>
      </c>
      <c r="I5554" t="n">
        <v>1</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S 2119-2022</t>
        </is>
      </c>
      <c r="B5555" t="inlineStr">
        <is>
          <t>samrådsanmälan</t>
        </is>
      </c>
      <c r="C5555" t="inlineStr">
        <is>
          <t>Askåterföring</t>
        </is>
      </c>
      <c r="D5555" s="1" t="n">
        <v>44675</v>
      </c>
      <c r="E5555" s="1" t="n">
        <v>46316</v>
      </c>
      <c r="F5555" t="inlineStr">
        <is>
          <t>KRONOBERGS LÄN</t>
        </is>
      </c>
      <c r="G5555" t="inlineStr">
        <is>
          <t>ALVESTA</t>
        </is>
      </c>
      <c r="I5555" t="n">
        <v>24.5</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S 439-2023</t>
        </is>
      </c>
      <c r="B5556" t="inlineStr">
        <is>
          <t>samrådsanmälan</t>
        </is>
      </c>
      <c r="C5556" t="inlineStr">
        <is>
          <t>Annan skogsbruksåtgärd</t>
        </is>
      </c>
      <c r="D5556" s="1" t="n">
        <v>44963</v>
      </c>
      <c r="E5556" s="1" t="n">
        <v>46316</v>
      </c>
      <c r="F5556" t="inlineStr">
        <is>
          <t>KRONOBERGS LÄN</t>
        </is>
      </c>
      <c r="G5556" t="inlineStr">
        <is>
          <t>UPPVIDINGE</t>
        </is>
      </c>
      <c r="I5556" t="n">
        <v>0.6</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S 135-2023</t>
        </is>
      </c>
      <c r="B5557" t="inlineStr">
        <is>
          <t>samrådsanmälan</t>
        </is>
      </c>
      <c r="C5557" t="inlineStr">
        <is>
          <t>Askåterföring</t>
        </is>
      </c>
      <c r="D5557" s="1" t="n">
        <v>44939</v>
      </c>
      <c r="E5557" s="1" t="n">
        <v>46316</v>
      </c>
      <c r="F5557" t="inlineStr">
        <is>
          <t>KRONOBERGS LÄN</t>
        </is>
      </c>
      <c r="G5557" t="inlineStr">
        <is>
          <t>VÄXJÖ</t>
        </is>
      </c>
      <c r="I5557" t="n">
        <v>18.3</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S 4103-2024</t>
        </is>
      </c>
      <c r="B5558" t="inlineStr">
        <is>
          <t>samrådsanmälan</t>
        </is>
      </c>
      <c r="C5558" t="inlineStr">
        <is>
          <t>Annan skogsbruksåtgärd</t>
        </is>
      </c>
      <c r="D5558" s="1" t="n">
        <v>45574</v>
      </c>
      <c r="E5558" s="1" t="n">
        <v>46316</v>
      </c>
      <c r="F5558" t="inlineStr">
        <is>
          <t>KRONOBERGS LÄN</t>
        </is>
      </c>
      <c r="G5558" t="inlineStr">
        <is>
          <t>LJUNGBY</t>
        </is>
      </c>
      <c r="I5558" t="n">
        <v>0.3</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S 2120-2022</t>
        </is>
      </c>
      <c r="B5559" t="inlineStr">
        <is>
          <t>samrådsanmälan</t>
        </is>
      </c>
      <c r="C5559" t="inlineStr">
        <is>
          <t>Askåterföring</t>
        </is>
      </c>
      <c r="D5559" s="1" t="n">
        <v>44675</v>
      </c>
      <c r="E5559" s="1" t="n">
        <v>46316</v>
      </c>
      <c r="F5559" t="inlineStr">
        <is>
          <t>KRONOBERGS LÄN</t>
        </is>
      </c>
      <c r="G5559" t="inlineStr">
        <is>
          <t>ALVESTA</t>
        </is>
      </c>
      <c r="I5559" t="n">
        <v>6.8</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S 2385-2023</t>
        </is>
      </c>
      <c r="B5560" t="inlineStr">
        <is>
          <t>samrådsanmälan</t>
        </is>
      </c>
      <c r="C5560" t="inlineStr">
        <is>
          <t>Askåterföring</t>
        </is>
      </c>
      <c r="D5560" s="1" t="n">
        <v>45111</v>
      </c>
      <c r="E5560" s="1" t="n">
        <v>46316</v>
      </c>
      <c r="F5560" t="inlineStr">
        <is>
          <t>KRONOBERGS LÄN</t>
        </is>
      </c>
      <c r="G5560" t="inlineStr">
        <is>
          <t>ALVESTA</t>
        </is>
      </c>
      <c r="I5560" t="n">
        <v>4.9</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S 1040-2024</t>
        </is>
      </c>
      <c r="B5561" t="inlineStr">
        <is>
          <t>samrådsanmälan</t>
        </is>
      </c>
      <c r="C5561" t="inlineStr">
        <is>
          <t>Askåterföring</t>
        </is>
      </c>
      <c r="D5561" s="1" t="n">
        <v>45387</v>
      </c>
      <c r="E5561" s="1" t="n">
        <v>46316</v>
      </c>
      <c r="F5561" t="inlineStr">
        <is>
          <t>KRONOBERGS LÄN</t>
        </is>
      </c>
      <c r="G5561" t="inlineStr">
        <is>
          <t>TINGSRYD</t>
        </is>
      </c>
      <c r="I5561" t="n">
        <v>33.6</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S 3669-2024</t>
        </is>
      </c>
      <c r="B5562" t="inlineStr">
        <is>
          <t>samrådsanmälan</t>
        </is>
      </c>
      <c r="C5562" t="inlineStr">
        <is>
          <t>Askåterföring</t>
        </is>
      </c>
      <c r="D5562" s="1" t="n">
        <v>45551</v>
      </c>
      <c r="E5562" s="1" t="n">
        <v>46316</v>
      </c>
      <c r="F5562" t="inlineStr">
        <is>
          <t>KRONOBERGS LÄN</t>
        </is>
      </c>
      <c r="G5562" t="inlineStr">
        <is>
          <t>MARKARYD</t>
        </is>
      </c>
      <c r="I5562" t="n">
        <v>41.3</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S 2531-2023</t>
        </is>
      </c>
      <c r="B5563" t="inlineStr">
        <is>
          <t>samrådsanmälan</t>
        </is>
      </c>
      <c r="C5563" t="inlineStr">
        <is>
          <t>Askåterföring</t>
        </is>
      </c>
      <c r="D5563" s="1" t="n">
        <v>45128</v>
      </c>
      <c r="E5563" s="1" t="n">
        <v>46316</v>
      </c>
      <c r="F5563" t="inlineStr">
        <is>
          <t>KRONOBERGS LÄN</t>
        </is>
      </c>
      <c r="G5563" t="inlineStr">
        <is>
          <t>TINGSRYD</t>
        </is>
      </c>
      <c r="I5563" t="n">
        <v>17.9</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S 3364-2024</t>
        </is>
      </c>
      <c r="B5564" t="inlineStr">
        <is>
          <t>samrådsanmälan</t>
        </is>
      </c>
      <c r="C5564" t="inlineStr">
        <is>
          <t>Annan skogsbruksåtgärd</t>
        </is>
      </c>
      <c r="D5564" s="1" t="n">
        <v>45532</v>
      </c>
      <c r="E5564" s="1" t="n">
        <v>46316</v>
      </c>
      <c r="F5564" t="inlineStr">
        <is>
          <t>KRONOBERGS LÄN</t>
        </is>
      </c>
      <c r="G5564" t="inlineStr">
        <is>
          <t>ALVESTA</t>
        </is>
      </c>
      <c r="I5564" t="n">
        <v>1</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S 2387-2024</t>
        </is>
      </c>
      <c r="B5565" t="inlineStr">
        <is>
          <t>samrådsanmälan</t>
        </is>
      </c>
      <c r="C5565" t="inlineStr">
        <is>
          <t>Askåterföring</t>
        </is>
      </c>
      <c r="D5565" s="1" t="n">
        <v>45468</v>
      </c>
      <c r="E5565" s="1" t="n">
        <v>46316</v>
      </c>
      <c r="F5565" t="inlineStr">
        <is>
          <t>KRONOBERGS LÄN</t>
        </is>
      </c>
      <c r="G5565" t="inlineStr">
        <is>
          <t>VÄXJÖ</t>
        </is>
      </c>
      <c r="I5565" t="n">
        <v>6.6</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S 4818-2024</t>
        </is>
      </c>
      <c r="B5566" t="inlineStr">
        <is>
          <t>samrådsanmälan</t>
        </is>
      </c>
      <c r="C5566" t="inlineStr">
        <is>
          <t>Askåterföring</t>
        </is>
      </c>
      <c r="D5566" s="1" t="n">
        <v>45615</v>
      </c>
      <c r="E5566" s="1" t="n">
        <v>46316</v>
      </c>
      <c r="F5566" t="inlineStr">
        <is>
          <t>KRONOBERGS LÄN</t>
        </is>
      </c>
      <c r="G5566" t="inlineStr">
        <is>
          <t>LJUNGBY</t>
        </is>
      </c>
      <c r="I5566" t="n">
        <v>58.1</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S 23-2023</t>
        </is>
      </c>
      <c r="B5567" t="inlineStr">
        <is>
          <t>samrådsanmälan</t>
        </is>
      </c>
      <c r="C5567" t="inlineStr">
        <is>
          <t>Askåterföring</t>
        </is>
      </c>
      <c r="D5567" s="1" t="n">
        <v>44916</v>
      </c>
      <c r="E5567" s="1" t="n">
        <v>46316</v>
      </c>
      <c r="F5567" t="inlineStr">
        <is>
          <t>KRONOBERGS LÄN</t>
        </is>
      </c>
      <c r="G5567" t="inlineStr">
        <is>
          <t>UPPVIDINGE</t>
        </is>
      </c>
      <c r="I5567" t="n">
        <v>55.1</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S 3272-2024</t>
        </is>
      </c>
      <c r="B5568" t="inlineStr">
        <is>
          <t>samrådsanmälan</t>
        </is>
      </c>
      <c r="C5568" t="inlineStr">
        <is>
          <t>Skogsbilväg</t>
        </is>
      </c>
      <c r="D5568" s="1" t="n">
        <v>45526</v>
      </c>
      <c r="E5568" s="1" t="n">
        <v>46316</v>
      </c>
      <c r="F5568" t="inlineStr">
        <is>
          <t>KRONOBERGS LÄN</t>
        </is>
      </c>
      <c r="G5568" t="inlineStr">
        <is>
          <t>LJUNGBY</t>
        </is>
      </c>
      <c r="I5568" t="n">
        <v>0.3</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S 3581-2023</t>
        </is>
      </c>
      <c r="B5569" t="inlineStr">
        <is>
          <t>samrådsanmälan</t>
        </is>
      </c>
      <c r="C5569" t="inlineStr">
        <is>
          <t>Annan skogsbruksåtgärd</t>
        </is>
      </c>
      <c r="D5569" s="1" t="n">
        <v>45218</v>
      </c>
      <c r="E5569" s="1" t="n">
        <v>46316</v>
      </c>
      <c r="F5569" t="inlineStr">
        <is>
          <t>KRONOBERGS LÄN</t>
        </is>
      </c>
      <c r="G5569" t="inlineStr">
        <is>
          <t>VÄXJÖ</t>
        </is>
      </c>
      <c r="I5569" t="n">
        <v>1.2</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S 1047-2024</t>
        </is>
      </c>
      <c r="B5570" t="inlineStr">
        <is>
          <t>samrådsanmälan</t>
        </is>
      </c>
      <c r="C5570" t="inlineStr">
        <is>
          <t>Askåterföring</t>
        </is>
      </c>
      <c r="D5570" s="1" t="n">
        <v>45387</v>
      </c>
      <c r="E5570" s="1" t="n">
        <v>46316</v>
      </c>
      <c r="F5570" t="inlineStr">
        <is>
          <t>KRONOBERGS LÄN</t>
        </is>
      </c>
      <c r="G5570" t="inlineStr">
        <is>
          <t>TINGSRYD</t>
        </is>
      </c>
      <c r="I5570" t="n">
        <v>9.4</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S 1544-2023</t>
        </is>
      </c>
      <c r="B5571" t="inlineStr">
        <is>
          <t>samrådsanmälan</t>
        </is>
      </c>
      <c r="C5571" t="inlineStr">
        <is>
          <t>Askåterföring</t>
        </is>
      </c>
      <c r="D5571" s="1" t="n">
        <v>45054</v>
      </c>
      <c r="E5571" s="1" t="n">
        <v>46316</v>
      </c>
      <c r="F5571" t="inlineStr">
        <is>
          <t>KRONOBERGS LÄN</t>
        </is>
      </c>
      <c r="G5571" t="inlineStr">
        <is>
          <t>VÄXJÖ</t>
        </is>
      </c>
      <c r="I5571" t="n">
        <v>4.6</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S 4543-2024</t>
        </is>
      </c>
      <c r="B5572" t="inlineStr">
        <is>
          <t>samrådsanmälan</t>
        </is>
      </c>
      <c r="C5572" t="inlineStr">
        <is>
          <t>Askåterföring</t>
        </is>
      </c>
      <c r="D5572" s="1" t="n">
        <v>45597</v>
      </c>
      <c r="E5572" s="1" t="n">
        <v>46316</v>
      </c>
      <c r="F5572" t="inlineStr">
        <is>
          <t>KRONOBERGS LÄN</t>
        </is>
      </c>
      <c r="G5572" t="inlineStr">
        <is>
          <t>LJUNGBY</t>
        </is>
      </c>
      <c r="I5572" t="n">
        <v>16.8</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S 2565-2023</t>
        </is>
      </c>
      <c r="B5573" t="inlineStr">
        <is>
          <t>samrådsanmälan</t>
        </is>
      </c>
      <c r="C5573" t="inlineStr">
        <is>
          <t>Annan skogsbruksåtgärd</t>
        </is>
      </c>
      <c r="D5573" s="1" t="n">
        <v>45140</v>
      </c>
      <c r="E5573" s="1" t="n">
        <v>46316</v>
      </c>
      <c r="F5573" t="inlineStr">
        <is>
          <t>KRONOBERGS LÄN</t>
        </is>
      </c>
      <c r="G5573" t="inlineStr">
        <is>
          <t>UPPVIDINGE</t>
        </is>
      </c>
      <c r="I5573" t="n">
        <v>0.3</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S 2693-2024</t>
        </is>
      </c>
      <c r="B5574" t="inlineStr">
        <is>
          <t>samrådsanmälan</t>
        </is>
      </c>
      <c r="C5574" t="inlineStr">
        <is>
          <t>Annan skogsbruksåtgärd</t>
        </is>
      </c>
      <c r="D5574" s="1" t="n">
        <v>45481</v>
      </c>
      <c r="E5574" s="1" t="n">
        <v>46316</v>
      </c>
      <c r="F5574" t="inlineStr">
        <is>
          <t>KRONOBERGS LÄN</t>
        </is>
      </c>
      <c r="G5574" t="inlineStr">
        <is>
          <t>ALVESTA</t>
        </is>
      </c>
      <c r="I5574" t="n">
        <v>0.9</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S 1299-2023</t>
        </is>
      </c>
      <c r="B5575" t="inlineStr">
        <is>
          <t>samrådsanmälan</t>
        </is>
      </c>
      <c r="C5575" t="inlineStr">
        <is>
          <t>Askåterföring</t>
        </is>
      </c>
      <c r="D5575" s="1" t="n">
        <v>45033</v>
      </c>
      <c r="E5575" s="1" t="n">
        <v>46316</v>
      </c>
      <c r="F5575" t="inlineStr">
        <is>
          <t>KRONOBERGS LÄN</t>
        </is>
      </c>
      <c r="G5575" t="inlineStr">
        <is>
          <t>LJUNGBY</t>
        </is>
      </c>
      <c r="I5575" t="n">
        <v>14.7</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S 802-2022</t>
        </is>
      </c>
      <c r="B5576" t="inlineStr">
        <is>
          <t>samrådsanmälan</t>
        </is>
      </c>
      <c r="C5576" t="inlineStr">
        <is>
          <t>Skogsbilväg</t>
        </is>
      </c>
      <c r="D5576" s="1" t="n">
        <v>44603</v>
      </c>
      <c r="E5576" s="1" t="n">
        <v>46316</v>
      </c>
      <c r="F5576" t="inlineStr">
        <is>
          <t>KRONOBERGS LÄN</t>
        </is>
      </c>
      <c r="G5576" t="inlineStr">
        <is>
          <t>VÄXJÖ</t>
        </is>
      </c>
      <c r="I5576" t="n">
        <v>0.9</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S 106-2024</t>
        </is>
      </c>
      <c r="B5577" t="inlineStr">
        <is>
          <t>samrådsanmälan</t>
        </is>
      </c>
      <c r="C5577" t="inlineStr">
        <is>
          <t>Annan skogsbruksåtgärd</t>
        </is>
      </c>
      <c r="D5577" s="1" t="n">
        <v>45302</v>
      </c>
      <c r="E5577" s="1" t="n">
        <v>46316</v>
      </c>
      <c r="F5577" t="inlineStr">
        <is>
          <t>KRONOBERGS LÄN</t>
        </is>
      </c>
      <c r="G5577" t="inlineStr">
        <is>
          <t>ÄLMHULT</t>
        </is>
      </c>
      <c r="I5577" t="n">
        <v>0.8</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S 82-2023</t>
        </is>
      </c>
      <c r="B5578" t="inlineStr">
        <is>
          <t>samrådsanmälan</t>
        </is>
      </c>
      <c r="C5578" t="inlineStr">
        <is>
          <t>Annan skogsbruksåtgärd</t>
        </is>
      </c>
      <c r="D5578" s="1" t="n">
        <v>44930</v>
      </c>
      <c r="E5578" s="1" t="n">
        <v>46316</v>
      </c>
      <c r="F5578" t="inlineStr">
        <is>
          <t>KRONOBERGS LÄN</t>
        </is>
      </c>
      <c r="G5578" t="inlineStr">
        <is>
          <t>VÄXJÖ</t>
        </is>
      </c>
      <c r="H5578" t="inlineStr">
        <is>
          <t>Sveaskog</t>
        </is>
      </c>
      <c r="I5578" t="n">
        <v>5.3</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S 638-2023</t>
        </is>
      </c>
      <c r="B5579" t="inlineStr">
        <is>
          <t>samrådsanmälan</t>
        </is>
      </c>
      <c r="C5579" t="inlineStr">
        <is>
          <t>Annan skogsbruksåtgärd</t>
        </is>
      </c>
      <c r="D5579" s="1" t="n">
        <v>44973</v>
      </c>
      <c r="E5579" s="1" t="n">
        <v>46316</v>
      </c>
      <c r="F5579" t="inlineStr">
        <is>
          <t>KRONOBERGS LÄN</t>
        </is>
      </c>
      <c r="G5579" t="inlineStr">
        <is>
          <t>VÄXJÖ</t>
        </is>
      </c>
      <c r="I5579" t="n">
        <v>1.3</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S 7073-2022</t>
        </is>
      </c>
      <c r="B5580" t="inlineStr">
        <is>
          <t>samrådsanmälan</t>
        </is>
      </c>
      <c r="C5580" t="inlineStr">
        <is>
          <t>Askåterföring</t>
        </is>
      </c>
      <c r="D5580" s="1" t="n">
        <v>44908</v>
      </c>
      <c r="E5580" s="1" t="n">
        <v>46316</v>
      </c>
      <c r="F5580" t="inlineStr">
        <is>
          <t>KRONOBERGS LÄN</t>
        </is>
      </c>
      <c r="G5580" t="inlineStr">
        <is>
          <t>VÄXJÖ</t>
        </is>
      </c>
      <c r="I5580" t="n">
        <v>15.8</v>
      </c>
      <c r="J5580" t="n">
        <v>0</v>
      </c>
      <c r="K5580" t="n">
        <v>0</v>
      </c>
      <c r="L5580" t="n">
        <v>0</v>
      </c>
      <c r="M5580" t="n">
        <v>0</v>
      </c>
      <c r="N5580" t="n">
        <v>0</v>
      </c>
      <c r="O5580" t="n">
        <v>0</v>
      </c>
      <c r="P5580" t="n">
        <v>0</v>
      </c>
      <c r="Q5580" t="n">
        <v>0</v>
      </c>
      <c r="R5580" t="n">
        <v>0</v>
      </c>
      <c r="S5580" t="n">
        <v>0</v>
      </c>
      <c r="T5580" t="n">
        <v>0</v>
      </c>
      <c r="U5580" t="n">
        <v>0</v>
      </c>
      <c r="V5580" s="2" t="inlineStr"/>
      <c r="Z5580">
        <f>HYPERLINK("https://klasma.github.io/Logging_0780/knärot/S 7073-2022 karta knärot.png", "S 7073-2022")</f>
        <v/>
      </c>
      <c r="AA5580">
        <f>HYPERLINK("https://klasma.github.io/Logging_0780/klagomål/S 7073-2022 FSC-klagomål.docx", "S 7073-2022")</f>
        <v/>
      </c>
      <c r="AB5580">
        <f>HYPERLINK("https://klasma.github.io/Logging_0780/klagomålsmail/S 7073-2022 FSC-klagomål mail.docx", "S 7073-2022")</f>
        <v/>
      </c>
      <c r="AC5580">
        <f>HYPERLINK("https://klasma.github.io/Logging_0780/tillsyn/S 7073-2022 tillsynsbegäran.docx", "S 7073-2022")</f>
        <v/>
      </c>
      <c r="AD5580">
        <f>HYPERLINK("https://klasma.github.io/Logging_0780/tillsynsmail/S 7073-2022 tillsynsbegäran mail.docx", "S 7073-2022")</f>
        <v/>
      </c>
    </row>
    <row r="5581" ht="15" customHeight="1">
      <c r="A5581" t="inlineStr">
        <is>
          <t>S 3711-2024</t>
        </is>
      </c>
      <c r="B5581" t="inlineStr">
        <is>
          <t>samrådsanmälan</t>
        </is>
      </c>
      <c r="C5581" t="inlineStr">
        <is>
          <t>Annan skogsbruksåtgärd</t>
        </is>
      </c>
      <c r="D5581" s="1" t="n">
        <v>45553</v>
      </c>
      <c r="E5581" s="1" t="n">
        <v>46316</v>
      </c>
      <c r="F5581" t="inlineStr">
        <is>
          <t>KRONOBERGS LÄN</t>
        </is>
      </c>
      <c r="G5581" t="inlineStr">
        <is>
          <t>LJUNGBY</t>
        </is>
      </c>
      <c r="I5581" t="n">
        <v>4.3</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S 671-2024</t>
        </is>
      </c>
      <c r="B5582" t="inlineStr">
        <is>
          <t>samrådsanmälan</t>
        </is>
      </c>
      <c r="C5582" t="inlineStr">
        <is>
          <t>Askåterföring</t>
        </is>
      </c>
      <c r="D5582" s="1" t="n">
        <v>45357</v>
      </c>
      <c r="E5582" s="1" t="n">
        <v>46316</v>
      </c>
      <c r="F5582" t="inlineStr">
        <is>
          <t>KRONOBERGS LÄN</t>
        </is>
      </c>
      <c r="G5582" t="inlineStr">
        <is>
          <t>LJUNGBY</t>
        </is>
      </c>
      <c r="I5582" t="n">
        <v>22.9</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S 2488-2022</t>
        </is>
      </c>
      <c r="B5583" t="inlineStr">
        <is>
          <t>samrådsanmälan</t>
        </is>
      </c>
      <c r="C5583" t="inlineStr">
        <is>
          <t>Askåterföring</t>
        </is>
      </c>
      <c r="D5583" s="1" t="n">
        <v>44693</v>
      </c>
      <c r="E5583" s="1" t="n">
        <v>46316</v>
      </c>
      <c r="F5583" t="inlineStr">
        <is>
          <t>KRONOBERGS LÄN</t>
        </is>
      </c>
      <c r="G5583" t="inlineStr">
        <is>
          <t>VÄXJÖ</t>
        </is>
      </c>
      <c r="I5583" t="n">
        <v>16.1</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S 3275-2022</t>
        </is>
      </c>
      <c r="B5584" t="inlineStr">
        <is>
          <t>samrådsanmälan</t>
        </is>
      </c>
      <c r="C5584" t="inlineStr">
        <is>
          <t>Askåterföring</t>
        </is>
      </c>
      <c r="D5584" s="1" t="n">
        <v>44726</v>
      </c>
      <c r="E5584" s="1" t="n">
        <v>46316</v>
      </c>
      <c r="F5584" t="inlineStr">
        <is>
          <t>KRONOBERGS LÄN</t>
        </is>
      </c>
      <c r="G5584" t="inlineStr">
        <is>
          <t>VÄXJÖ</t>
        </is>
      </c>
      <c r="I5584" t="n">
        <v>12.2</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S 710-2024</t>
        </is>
      </c>
      <c r="B5585" t="inlineStr">
        <is>
          <t>samrådsanmälan</t>
        </is>
      </c>
      <c r="C5585" t="inlineStr">
        <is>
          <t>Askåterföring</t>
        </is>
      </c>
      <c r="D5585" s="1" t="n">
        <v>45362</v>
      </c>
      <c r="E5585" s="1" t="n">
        <v>46316</v>
      </c>
      <c r="F5585" t="inlineStr">
        <is>
          <t>KRONOBERGS LÄN</t>
        </is>
      </c>
      <c r="G5585" t="inlineStr">
        <is>
          <t>TINGSRYD</t>
        </is>
      </c>
      <c r="I5585" t="n">
        <v>26</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S 4281-2024</t>
        </is>
      </c>
      <c r="B5586" t="inlineStr">
        <is>
          <t>samrådsanmälan</t>
        </is>
      </c>
      <c r="C5586" t="inlineStr">
        <is>
          <t>Askåterföring</t>
        </is>
      </c>
      <c r="D5586" s="1" t="n">
        <v>45583</v>
      </c>
      <c r="E5586" s="1" t="n">
        <v>46316</v>
      </c>
      <c r="F5586" t="inlineStr">
        <is>
          <t>KRONOBERGS LÄN</t>
        </is>
      </c>
      <c r="G5586" t="inlineStr">
        <is>
          <t>VÄXJÖ</t>
        </is>
      </c>
      <c r="I5586" t="n">
        <v>11.1</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S 1587-2024</t>
        </is>
      </c>
      <c r="B5587" t="inlineStr">
        <is>
          <t>samrådsanmälan</t>
        </is>
      </c>
      <c r="C5587" t="inlineStr">
        <is>
          <t>Askåterföring</t>
        </is>
      </c>
      <c r="D5587" s="1" t="n">
        <v>45427</v>
      </c>
      <c r="E5587" s="1" t="n">
        <v>46316</v>
      </c>
      <c r="F5587" t="inlineStr">
        <is>
          <t>KRONOBERGS LÄN</t>
        </is>
      </c>
      <c r="G5587" t="inlineStr">
        <is>
          <t>LJUNGBY</t>
        </is>
      </c>
      <c r="I5587" t="n">
        <v>12.3</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S 5540-2022</t>
        </is>
      </c>
      <c r="B5588" t="inlineStr">
        <is>
          <t>samrådsanmälan</t>
        </is>
      </c>
      <c r="C5588" t="inlineStr">
        <is>
          <t>Skogsbilväg</t>
        </is>
      </c>
      <c r="D5588" s="1" t="n">
        <v>44837</v>
      </c>
      <c r="E5588" s="1" t="n">
        <v>46316</v>
      </c>
      <c r="F5588" t="inlineStr">
        <is>
          <t>KRONOBERGS LÄN</t>
        </is>
      </c>
      <c r="G5588" t="inlineStr">
        <is>
          <t>UPPVIDINGE</t>
        </is>
      </c>
      <c r="I5588" t="n">
        <v>0.7</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S 1548-2023</t>
        </is>
      </c>
      <c r="B5589" t="inlineStr">
        <is>
          <t>samrådsanmälan</t>
        </is>
      </c>
      <c r="C5589" t="inlineStr">
        <is>
          <t>Askåterföring</t>
        </is>
      </c>
      <c r="D5589" s="1" t="n">
        <v>45054</v>
      </c>
      <c r="E5589" s="1" t="n">
        <v>46316</v>
      </c>
      <c r="F5589" t="inlineStr">
        <is>
          <t>KRONOBERGS LÄN</t>
        </is>
      </c>
      <c r="G5589" t="inlineStr">
        <is>
          <t>VÄXJÖ</t>
        </is>
      </c>
      <c r="I5589" t="n">
        <v>3.4</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S 2937-2022</t>
        </is>
      </c>
      <c r="B5590" t="inlineStr">
        <is>
          <t>samrådsanmälan</t>
        </is>
      </c>
      <c r="C5590" t="inlineStr">
        <is>
          <t>Askåterföring</t>
        </is>
      </c>
      <c r="D5590" s="1" t="n">
        <v>44712</v>
      </c>
      <c r="E5590" s="1" t="n">
        <v>46316</v>
      </c>
      <c r="F5590" t="inlineStr">
        <is>
          <t>KRONOBERGS LÄN</t>
        </is>
      </c>
      <c r="G5590" t="inlineStr">
        <is>
          <t>VÄXJÖ</t>
        </is>
      </c>
      <c r="I5590" t="n">
        <v>19.3</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S 1543-2023</t>
        </is>
      </c>
      <c r="B5591" t="inlineStr">
        <is>
          <t>samrådsanmälan</t>
        </is>
      </c>
      <c r="C5591" t="inlineStr">
        <is>
          <t>Askåterföring</t>
        </is>
      </c>
      <c r="D5591" s="1" t="n">
        <v>45054</v>
      </c>
      <c r="E5591" s="1" t="n">
        <v>46316</v>
      </c>
      <c r="F5591" t="inlineStr">
        <is>
          <t>KRONOBERGS LÄN</t>
        </is>
      </c>
      <c r="G5591" t="inlineStr">
        <is>
          <t>VÄXJÖ</t>
        </is>
      </c>
      <c r="I5591" t="n">
        <v>2.6</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S 6798-2022</t>
        </is>
      </c>
      <c r="B5592" t="inlineStr">
        <is>
          <t>samrådsanmälan</t>
        </is>
      </c>
      <c r="C5592" t="inlineStr">
        <is>
          <t>Askåterföring</t>
        </is>
      </c>
      <c r="D5592" s="1" t="n">
        <v>44893</v>
      </c>
      <c r="E5592" s="1" t="n">
        <v>46316</v>
      </c>
      <c r="F5592" t="inlineStr">
        <is>
          <t>KRONOBERGS LÄN</t>
        </is>
      </c>
      <c r="G5592" t="inlineStr">
        <is>
          <t>LESSEBO</t>
        </is>
      </c>
      <c r="I5592" t="n">
        <v>149.8</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S 3229-2022</t>
        </is>
      </c>
      <c r="B5593" t="inlineStr">
        <is>
          <t>samrådsanmälan</t>
        </is>
      </c>
      <c r="C5593" t="inlineStr">
        <is>
          <t>Askåterföring</t>
        </is>
      </c>
      <c r="D5593" s="1" t="n">
        <v>44722</v>
      </c>
      <c r="E5593" s="1" t="n">
        <v>46316</v>
      </c>
      <c r="F5593" t="inlineStr">
        <is>
          <t>KRONOBERGS LÄN</t>
        </is>
      </c>
      <c r="G5593" t="inlineStr">
        <is>
          <t>VÄXJÖ</t>
        </is>
      </c>
      <c r="I5593" t="n">
        <v>3.2</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S 1806-2023</t>
        </is>
      </c>
      <c r="B5594" t="inlineStr">
        <is>
          <t>samrådsanmälan</t>
        </is>
      </c>
      <c r="C5594" t="inlineStr">
        <is>
          <t>Askåterföring</t>
        </is>
      </c>
      <c r="D5594" s="1" t="n">
        <v>45072</v>
      </c>
      <c r="E5594" s="1" t="n">
        <v>46316</v>
      </c>
      <c r="F5594" t="inlineStr">
        <is>
          <t>KRONOBERGS LÄN</t>
        </is>
      </c>
      <c r="G5594" t="inlineStr">
        <is>
          <t>LESSEBO</t>
        </is>
      </c>
      <c r="I5594" t="n">
        <v>61.9</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S 7075-2022</t>
        </is>
      </c>
      <c r="B5595" t="inlineStr">
        <is>
          <t>samrådsanmälan</t>
        </is>
      </c>
      <c r="C5595" t="inlineStr">
        <is>
          <t>Askåterföring</t>
        </is>
      </c>
      <c r="D5595" s="1" t="n">
        <v>44908</v>
      </c>
      <c r="E5595" s="1" t="n">
        <v>46316</v>
      </c>
      <c r="F5595" t="inlineStr">
        <is>
          <t>KRONOBERGS LÄN</t>
        </is>
      </c>
      <c r="G5595" t="inlineStr">
        <is>
          <t>VÄXJÖ</t>
        </is>
      </c>
      <c r="I5595" t="n">
        <v>2.3</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S 8442-2021</t>
        </is>
      </c>
      <c r="B5596" t="inlineStr">
        <is>
          <t>samrådsanmälan</t>
        </is>
      </c>
      <c r="C5596" t="inlineStr">
        <is>
          <t>Åtgärd i nyckelbiotop</t>
        </is>
      </c>
      <c r="D5596" s="1" t="n">
        <v>44497</v>
      </c>
      <c r="E5596" s="1" t="n">
        <v>46316</v>
      </c>
      <c r="F5596" t="inlineStr">
        <is>
          <t>KRONOBERGS LÄN</t>
        </is>
      </c>
      <c r="G5596" t="inlineStr">
        <is>
          <t>ALVESTA</t>
        </is>
      </c>
      <c r="I5596" t="n">
        <v>3.1</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S 622-2023</t>
        </is>
      </c>
      <c r="B5597" t="inlineStr">
        <is>
          <t>samrådsanmälan</t>
        </is>
      </c>
      <c r="C5597" t="inlineStr">
        <is>
          <t>Annan skogsbruksåtgärd</t>
        </is>
      </c>
      <c r="D5597" s="1" t="n">
        <v>44972</v>
      </c>
      <c r="E5597" s="1" t="n">
        <v>46316</v>
      </c>
      <c r="F5597" t="inlineStr">
        <is>
          <t>KRONOBERGS LÄN</t>
        </is>
      </c>
      <c r="G5597" t="inlineStr">
        <is>
          <t>VÄXJÖ</t>
        </is>
      </c>
      <c r="I5597" t="n">
        <v>1.1</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S 1544-2022</t>
        </is>
      </c>
      <c r="B5598" t="inlineStr">
        <is>
          <t>samrådsanmälan</t>
        </is>
      </c>
      <c r="C5598" t="inlineStr">
        <is>
          <t>Annan skogsbruksåtgärd</t>
        </is>
      </c>
      <c r="D5598" s="1" t="n">
        <v>44642</v>
      </c>
      <c r="E5598" s="1" t="n">
        <v>46316</v>
      </c>
      <c r="F5598" t="inlineStr">
        <is>
          <t>KRONOBERGS LÄN</t>
        </is>
      </c>
      <c r="G5598" t="inlineStr">
        <is>
          <t>LJUNGBY</t>
        </is>
      </c>
      <c r="I5598" t="n">
        <v>3.4</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S 3254-2023</t>
        </is>
      </c>
      <c r="B5599" t="inlineStr">
        <is>
          <t>samrådsanmälan</t>
        </is>
      </c>
      <c r="C5599" t="inlineStr">
        <is>
          <t>Askåterföring</t>
        </is>
      </c>
      <c r="D5599" s="1" t="n">
        <v>45193</v>
      </c>
      <c r="E5599" s="1" t="n">
        <v>46316</v>
      </c>
      <c r="F5599" t="inlineStr">
        <is>
          <t>KRONOBERGS LÄN</t>
        </is>
      </c>
      <c r="G5599" t="inlineStr">
        <is>
          <t>LESSEBO</t>
        </is>
      </c>
      <c r="I5599" t="n">
        <v>88.59999999999999</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S 2002-2024</t>
        </is>
      </c>
      <c r="B5600" t="inlineStr">
        <is>
          <t>samrådsanmälan</t>
        </is>
      </c>
      <c r="C5600" t="inlineStr">
        <is>
          <t>Askåterföring</t>
        </is>
      </c>
      <c r="D5600" s="1" t="n">
        <v>45447</v>
      </c>
      <c r="E5600" s="1" t="n">
        <v>46316</v>
      </c>
      <c r="F5600" t="inlineStr">
        <is>
          <t>KRONOBERGS LÄN</t>
        </is>
      </c>
      <c r="G5600" t="inlineStr">
        <is>
          <t>LJUNGBY</t>
        </is>
      </c>
      <c r="I5600" t="n">
        <v>14.8</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S 2790-2023</t>
        </is>
      </c>
      <c r="B5601" t="inlineStr">
        <is>
          <t>samrådsanmälan</t>
        </is>
      </c>
      <c r="C5601" t="inlineStr">
        <is>
          <t>Annan skogsbruksåtgärd</t>
        </is>
      </c>
      <c r="D5601" s="1" t="n">
        <v>45161</v>
      </c>
      <c r="E5601" s="1" t="n">
        <v>46316</v>
      </c>
      <c r="F5601" t="inlineStr">
        <is>
          <t>KRONOBERGS LÄN</t>
        </is>
      </c>
      <c r="G5601" t="inlineStr">
        <is>
          <t>UPPVIDINGE</t>
        </is>
      </c>
      <c r="H5601" t="inlineStr">
        <is>
          <t>Sveaskog</t>
        </is>
      </c>
      <c r="I5601" t="n">
        <v>1.8</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S 46-2024</t>
        </is>
      </c>
      <c r="B5602" t="inlineStr">
        <is>
          <t>samrådsanmälan</t>
        </is>
      </c>
      <c r="C5602" t="inlineStr">
        <is>
          <t>Askåterföring</t>
        </is>
      </c>
      <c r="D5602" s="1" t="n">
        <v>45294</v>
      </c>
      <c r="E5602" s="1" t="n">
        <v>46316</v>
      </c>
      <c r="F5602" t="inlineStr">
        <is>
          <t>KRONOBERGS LÄN</t>
        </is>
      </c>
      <c r="G5602" t="inlineStr">
        <is>
          <t>LJUNGBY</t>
        </is>
      </c>
      <c r="I5602" t="n">
        <v>50.3</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S 3365-2024</t>
        </is>
      </c>
      <c r="B5603" t="inlineStr">
        <is>
          <t>samrådsanmälan</t>
        </is>
      </c>
      <c r="C5603" t="inlineStr">
        <is>
          <t>Annan skogsbruksåtgärd</t>
        </is>
      </c>
      <c r="D5603" s="1" t="n">
        <v>45532</v>
      </c>
      <c r="E5603" s="1" t="n">
        <v>46316</v>
      </c>
      <c r="F5603" t="inlineStr">
        <is>
          <t>KRONOBERGS LÄN</t>
        </is>
      </c>
      <c r="G5603" t="inlineStr">
        <is>
          <t>ALVESTA</t>
        </is>
      </c>
      <c r="I5603" t="n">
        <v>0.4</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S 3395-2024</t>
        </is>
      </c>
      <c r="B5604" t="inlineStr">
        <is>
          <t>samrådsanmälan</t>
        </is>
      </c>
      <c r="C5604" t="inlineStr">
        <is>
          <t>Askåterföring</t>
        </is>
      </c>
      <c r="D5604" s="1" t="n">
        <v>45534</v>
      </c>
      <c r="E5604" s="1" t="n">
        <v>46316</v>
      </c>
      <c r="F5604" t="inlineStr">
        <is>
          <t>KRONOBERGS LÄN</t>
        </is>
      </c>
      <c r="G5604" t="inlineStr">
        <is>
          <t>TINGSRYD</t>
        </is>
      </c>
      <c r="I5604" t="n">
        <v>36.4</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S 6989-2022</t>
        </is>
      </c>
      <c r="B5605" t="inlineStr">
        <is>
          <t>samrådsanmälan</t>
        </is>
      </c>
      <c r="C5605" t="inlineStr">
        <is>
          <t>Askåterföring</t>
        </is>
      </c>
      <c r="D5605" s="1" t="n">
        <v>44901</v>
      </c>
      <c r="E5605" s="1" t="n">
        <v>46316</v>
      </c>
      <c r="F5605" t="inlineStr">
        <is>
          <t>KRONOBERGS LÄN</t>
        </is>
      </c>
      <c r="G5605" t="inlineStr">
        <is>
          <t>TINGSRYD</t>
        </is>
      </c>
      <c r="I5605" t="n">
        <v>97.7</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S 4636-2022</t>
        </is>
      </c>
      <c r="B5606" t="inlineStr">
        <is>
          <t>samrådsanmälan</t>
        </is>
      </c>
      <c r="C5606" t="inlineStr">
        <is>
          <t>Askåterföring</t>
        </is>
      </c>
      <c r="D5606" s="1" t="n">
        <v>44792</v>
      </c>
      <c r="E5606" s="1" t="n">
        <v>46316</v>
      </c>
      <c r="F5606" t="inlineStr">
        <is>
          <t>KRONOBERGS LÄN</t>
        </is>
      </c>
      <c r="G5606" t="inlineStr">
        <is>
          <t>TINGSRYD</t>
        </is>
      </c>
      <c r="H5606" t="inlineStr">
        <is>
          <t>Kyrkan</t>
        </is>
      </c>
      <c r="I5606" t="n">
        <v>51.2</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S 709-2024</t>
        </is>
      </c>
      <c r="B5607" t="inlineStr">
        <is>
          <t>samrådsanmälan</t>
        </is>
      </c>
      <c r="C5607" t="inlineStr">
        <is>
          <t>Askåterföring</t>
        </is>
      </c>
      <c r="D5607" s="1" t="n">
        <v>45362</v>
      </c>
      <c r="E5607" s="1" t="n">
        <v>46316</v>
      </c>
      <c r="F5607" t="inlineStr">
        <is>
          <t>KRONOBERGS LÄN</t>
        </is>
      </c>
      <c r="G5607" t="inlineStr">
        <is>
          <t>TINGSRYD</t>
        </is>
      </c>
      <c r="I5607" t="n">
        <v>81.7</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S 927-2023</t>
        </is>
      </c>
      <c r="B5608" t="inlineStr">
        <is>
          <t>samrådsanmälan</t>
        </is>
      </c>
      <c r="C5608" t="inlineStr">
        <is>
          <t>Askåterföring</t>
        </is>
      </c>
      <c r="D5608" s="1" t="n">
        <v>45000</v>
      </c>
      <c r="E5608" s="1" t="n">
        <v>46316</v>
      </c>
      <c r="F5608" t="inlineStr">
        <is>
          <t>KRONOBERGS LÄN</t>
        </is>
      </c>
      <c r="G5608" t="inlineStr">
        <is>
          <t>LJUNGBY</t>
        </is>
      </c>
      <c r="I5608" t="n">
        <v>19.5</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S 6804-2022</t>
        </is>
      </c>
      <c r="B5609" t="inlineStr">
        <is>
          <t>samrådsanmälan</t>
        </is>
      </c>
      <c r="C5609" t="inlineStr">
        <is>
          <t>Askåterföring</t>
        </is>
      </c>
      <c r="D5609" s="1" t="n">
        <v>44893</v>
      </c>
      <c r="E5609" s="1" t="n">
        <v>46316</v>
      </c>
      <c r="F5609" t="inlineStr">
        <is>
          <t>KRONOBERGS LÄN</t>
        </is>
      </c>
      <c r="G5609" t="inlineStr">
        <is>
          <t>UPPVIDINGE</t>
        </is>
      </c>
      <c r="I5609" t="n">
        <v>121</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S 1202-2022</t>
        </is>
      </c>
      <c r="B5610" t="inlineStr">
        <is>
          <t>samrådsanmälan</t>
        </is>
      </c>
      <c r="C5610" t="inlineStr">
        <is>
          <t>Askåterföring</t>
        </is>
      </c>
      <c r="D5610" s="1" t="n">
        <v>44621</v>
      </c>
      <c r="E5610" s="1" t="n">
        <v>46316</v>
      </c>
      <c r="F5610" t="inlineStr">
        <is>
          <t>KRONOBERGS LÄN</t>
        </is>
      </c>
      <c r="G5610" t="inlineStr">
        <is>
          <t>MARKARYD</t>
        </is>
      </c>
      <c r="I5610" t="n">
        <v>47.1</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S 682-2023</t>
        </is>
      </c>
      <c r="B5611" t="inlineStr">
        <is>
          <t>samrådsanmälan</t>
        </is>
      </c>
      <c r="C5611" t="inlineStr">
        <is>
          <t>Annan skogsbruksåtgärd</t>
        </is>
      </c>
      <c r="D5611" s="1" t="n">
        <v>44978</v>
      </c>
      <c r="E5611" s="1" t="n">
        <v>46316</v>
      </c>
      <c r="F5611" t="inlineStr">
        <is>
          <t>KRONOBERGS LÄN</t>
        </is>
      </c>
      <c r="G5611" t="inlineStr">
        <is>
          <t>VÄXJÖ</t>
        </is>
      </c>
      <c r="I5611" t="n">
        <v>2.5</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S 4437-2023</t>
        </is>
      </c>
      <c r="B5612" t="inlineStr">
        <is>
          <t>samrådsanmälan</t>
        </is>
      </c>
      <c r="C5612" t="inlineStr">
        <is>
          <t>Askåterföring</t>
        </is>
      </c>
      <c r="D5612" s="1" t="n">
        <v>45267</v>
      </c>
      <c r="E5612" s="1" t="n">
        <v>46316</v>
      </c>
      <c r="F5612" t="inlineStr">
        <is>
          <t>KRONOBERGS LÄN</t>
        </is>
      </c>
      <c r="G5612" t="inlineStr">
        <is>
          <t>ALVESTA</t>
        </is>
      </c>
      <c r="I5612" t="n">
        <v>10.6</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S 2931-2022</t>
        </is>
      </c>
      <c r="B5613" t="inlineStr">
        <is>
          <t>samrådsanmälan</t>
        </is>
      </c>
      <c r="C5613" t="inlineStr">
        <is>
          <t>Askåterföring</t>
        </is>
      </c>
      <c r="D5613" s="1" t="n">
        <v>44712</v>
      </c>
      <c r="E5613" s="1" t="n">
        <v>46316</v>
      </c>
      <c r="F5613" t="inlineStr">
        <is>
          <t>KRONOBERGS LÄN</t>
        </is>
      </c>
      <c r="G5613" t="inlineStr">
        <is>
          <t>VÄXJÖ</t>
        </is>
      </c>
      <c r="I5613" t="n">
        <v>33.3</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S 1019-2024</t>
        </is>
      </c>
      <c r="B5614" t="inlineStr">
        <is>
          <t>samrådsanmälan</t>
        </is>
      </c>
      <c r="C5614" t="inlineStr">
        <is>
          <t>Askåterföring</t>
        </is>
      </c>
      <c r="D5614" s="1" t="n">
        <v>45386</v>
      </c>
      <c r="E5614" s="1" t="n">
        <v>46316</v>
      </c>
      <c r="F5614" t="inlineStr">
        <is>
          <t>KRONOBERGS LÄN</t>
        </is>
      </c>
      <c r="G5614" t="inlineStr">
        <is>
          <t>LESSEBO</t>
        </is>
      </c>
      <c r="I5614" t="n">
        <v>14.5</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S 6660-2022</t>
        </is>
      </c>
      <c r="B5615" t="inlineStr">
        <is>
          <t>samrådsanmälan</t>
        </is>
      </c>
      <c r="C5615" t="inlineStr">
        <is>
          <t>Annan skogsbruksåtgärd</t>
        </is>
      </c>
      <c r="D5615" s="1" t="n">
        <v>44887</v>
      </c>
      <c r="E5615" s="1" t="n">
        <v>46316</v>
      </c>
      <c r="F5615" t="inlineStr">
        <is>
          <t>KRONOBERGS LÄN</t>
        </is>
      </c>
      <c r="G5615" t="inlineStr">
        <is>
          <t>VÄXJÖ</t>
        </is>
      </c>
      <c r="I5615" t="n">
        <v>0</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S 2714-2022</t>
        </is>
      </c>
      <c r="B5616" t="inlineStr">
        <is>
          <t>samrådsanmälan</t>
        </is>
      </c>
      <c r="C5616" t="inlineStr">
        <is>
          <t>Askåterföring</t>
        </is>
      </c>
      <c r="D5616" s="1" t="n">
        <v>44704</v>
      </c>
      <c r="E5616" s="1" t="n">
        <v>46316</v>
      </c>
      <c r="F5616" t="inlineStr">
        <is>
          <t>KRONOBERGS LÄN</t>
        </is>
      </c>
      <c r="G5616" t="inlineStr">
        <is>
          <t>VÄXJÖ</t>
        </is>
      </c>
      <c r="I5616" t="n">
        <v>16.9</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S 2870-2023</t>
        </is>
      </c>
      <c r="B5617" t="inlineStr">
        <is>
          <t>samrådsanmälan</t>
        </is>
      </c>
      <c r="C5617" t="inlineStr">
        <is>
          <t>Annan skogsbruksåtgärd</t>
        </is>
      </c>
      <c r="D5617" s="1" t="n">
        <v>45168</v>
      </c>
      <c r="E5617" s="1" t="n">
        <v>46316</v>
      </c>
      <c r="F5617" t="inlineStr">
        <is>
          <t>KRONOBERGS LÄN</t>
        </is>
      </c>
      <c r="G5617" t="inlineStr">
        <is>
          <t>LJUNGBY</t>
        </is>
      </c>
      <c r="I5617" t="n">
        <v>1</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S 1441-2023</t>
        </is>
      </c>
      <c r="B5618" t="inlineStr">
        <is>
          <t>samrådsanmälan</t>
        </is>
      </c>
      <c r="C5618" t="inlineStr">
        <is>
          <t>Askåterföring</t>
        </is>
      </c>
      <c r="D5618" s="1" t="n">
        <v>45044</v>
      </c>
      <c r="E5618" s="1" t="n">
        <v>46316</v>
      </c>
      <c r="F5618" t="inlineStr">
        <is>
          <t>KRONOBERGS LÄN</t>
        </is>
      </c>
      <c r="G5618" t="inlineStr">
        <is>
          <t>LJUNGBY</t>
        </is>
      </c>
      <c r="I5618" t="n">
        <v>26.9</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S 363-2024</t>
        </is>
      </c>
      <c r="B5619" t="inlineStr">
        <is>
          <t>samrådsanmälan</t>
        </is>
      </c>
      <c r="C5619" t="inlineStr">
        <is>
          <t>Askåterföring</t>
        </is>
      </c>
      <c r="D5619" s="1" t="n">
        <v>45330</v>
      </c>
      <c r="E5619" s="1" t="n">
        <v>46316</v>
      </c>
      <c r="F5619" t="inlineStr">
        <is>
          <t>KRONOBERGS LÄN</t>
        </is>
      </c>
      <c r="G5619" t="inlineStr">
        <is>
          <t>TINGSRYD</t>
        </is>
      </c>
      <c r="I5619" t="n">
        <v>7.9</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S 6544-2022</t>
        </is>
      </c>
      <c r="B5620" t="inlineStr">
        <is>
          <t>samrådsanmälan</t>
        </is>
      </c>
      <c r="C5620" t="inlineStr">
        <is>
          <t>Annan skogsbruksåtgärd</t>
        </is>
      </c>
      <c r="D5620" s="1" t="n">
        <v>44883</v>
      </c>
      <c r="E5620" s="1" t="n">
        <v>46316</v>
      </c>
      <c r="F5620" t="inlineStr">
        <is>
          <t>KRONOBERGS LÄN</t>
        </is>
      </c>
      <c r="G5620" t="inlineStr">
        <is>
          <t>TINGSRYD</t>
        </is>
      </c>
      <c r="I5620" t="n">
        <v>3.1</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S 360-2024</t>
        </is>
      </c>
      <c r="B5621" t="inlineStr">
        <is>
          <t>samrådsanmälan</t>
        </is>
      </c>
      <c r="C5621" t="inlineStr">
        <is>
          <t>Askåterföring</t>
        </is>
      </c>
      <c r="D5621" s="1" t="n">
        <v>45330</v>
      </c>
      <c r="E5621" s="1" t="n">
        <v>46316</v>
      </c>
      <c r="F5621" t="inlineStr">
        <is>
          <t>KRONOBERGS LÄN</t>
        </is>
      </c>
      <c r="G5621" t="inlineStr">
        <is>
          <t>TINGSRYD</t>
        </is>
      </c>
      <c r="I5621" t="n">
        <v>17.8</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S 5959-2022</t>
        </is>
      </c>
      <c r="B5622" t="inlineStr">
        <is>
          <t>samrådsanmälan</t>
        </is>
      </c>
      <c r="C5622" t="inlineStr">
        <is>
          <t>Annan skogsbruksåtgärd</t>
        </is>
      </c>
      <c r="D5622" s="1" t="n">
        <v>44858</v>
      </c>
      <c r="E5622" s="1" t="n">
        <v>46316</v>
      </c>
      <c r="F5622" t="inlineStr">
        <is>
          <t>KRONOBERGS LÄN</t>
        </is>
      </c>
      <c r="G5622" t="inlineStr">
        <is>
          <t>MARKARYD</t>
        </is>
      </c>
      <c r="I5622" t="n">
        <v>0.8</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S 936-2023</t>
        </is>
      </c>
      <c r="B5623" t="inlineStr">
        <is>
          <t>samrådsanmälan</t>
        </is>
      </c>
      <c r="C5623" t="inlineStr">
        <is>
          <t>Annan skogsbruksåtgärd</t>
        </is>
      </c>
      <c r="D5623" s="1" t="n">
        <v>45002</v>
      </c>
      <c r="E5623" s="1" t="n">
        <v>46316</v>
      </c>
      <c r="F5623" t="inlineStr">
        <is>
          <t>KRONOBERGS LÄN</t>
        </is>
      </c>
      <c r="G5623" t="inlineStr">
        <is>
          <t>MARKARYD</t>
        </is>
      </c>
      <c r="I5623" t="n">
        <v>1.5</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S 7090-2022</t>
        </is>
      </c>
      <c r="B5624" t="inlineStr">
        <is>
          <t>samrådsanmälan</t>
        </is>
      </c>
      <c r="C5624" t="inlineStr">
        <is>
          <t>Askåterföring</t>
        </is>
      </c>
      <c r="D5624" s="1" t="n">
        <v>44909</v>
      </c>
      <c r="E5624" s="1" t="n">
        <v>46316</v>
      </c>
      <c r="F5624" t="inlineStr">
        <is>
          <t>KRONOBERGS LÄN</t>
        </is>
      </c>
      <c r="G5624" t="inlineStr">
        <is>
          <t>VÄXJÖ</t>
        </is>
      </c>
      <c r="I5624" t="n">
        <v>11.1</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S 70-2023</t>
        </is>
      </c>
      <c r="B5625" t="inlineStr">
        <is>
          <t>samrådsanmälan</t>
        </is>
      </c>
      <c r="C5625" t="inlineStr">
        <is>
          <t>Askåterföring</t>
        </is>
      </c>
      <c r="D5625" s="1" t="n">
        <v>44928</v>
      </c>
      <c r="E5625" s="1" t="n">
        <v>46316</v>
      </c>
      <c r="F5625" t="inlineStr">
        <is>
          <t>KRONOBERGS LÄN</t>
        </is>
      </c>
      <c r="G5625" t="inlineStr">
        <is>
          <t>TINGSRYD</t>
        </is>
      </c>
      <c r="I5625" t="n">
        <v>25.4</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S 1358-2024</t>
        </is>
      </c>
      <c r="B5626" t="inlineStr">
        <is>
          <t>samrådsanmälan</t>
        </is>
      </c>
      <c r="C5626" t="inlineStr">
        <is>
          <t>Askåterföring</t>
        </is>
      </c>
      <c r="D5626" s="1" t="n">
        <v>45408</v>
      </c>
      <c r="E5626" s="1" t="n">
        <v>46316</v>
      </c>
      <c r="F5626" t="inlineStr">
        <is>
          <t>KRONOBERGS LÄN</t>
        </is>
      </c>
      <c r="G5626" t="inlineStr">
        <is>
          <t>VÄXJÖ</t>
        </is>
      </c>
      <c r="I5626" t="n">
        <v>38.8</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S 701-2022</t>
        </is>
      </c>
      <c r="B5627" t="inlineStr">
        <is>
          <t>samrådsanmälan</t>
        </is>
      </c>
      <c r="C5627" t="inlineStr">
        <is>
          <t>Skogsbilväg</t>
        </is>
      </c>
      <c r="D5627" s="1" t="n">
        <v>44596</v>
      </c>
      <c r="E5627" s="1" t="n">
        <v>46316</v>
      </c>
      <c r="F5627" t="inlineStr">
        <is>
          <t>KRONOBERGS LÄN</t>
        </is>
      </c>
      <c r="G5627" t="inlineStr">
        <is>
          <t>VÄXJÖ</t>
        </is>
      </c>
      <c r="I5627" t="n">
        <v>1.6</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S 7177-2022</t>
        </is>
      </c>
      <c r="B5628" t="inlineStr">
        <is>
          <t>samrådsanmälan</t>
        </is>
      </c>
      <c r="C5628" t="inlineStr">
        <is>
          <t>Askåterföring</t>
        </is>
      </c>
      <c r="D5628" s="1" t="n">
        <v>44916</v>
      </c>
      <c r="E5628" s="1" t="n">
        <v>46316</v>
      </c>
      <c r="F5628" t="inlineStr">
        <is>
          <t>KRONOBERGS LÄN</t>
        </is>
      </c>
      <c r="G5628" t="inlineStr">
        <is>
          <t>UPPVIDINGE</t>
        </is>
      </c>
      <c r="I5628" t="n">
        <v>2.2</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S 1762-2024</t>
        </is>
      </c>
      <c r="B5629" t="inlineStr">
        <is>
          <t>samrådsanmälan</t>
        </is>
      </c>
      <c r="C5629" t="inlineStr">
        <is>
          <t>Askåterföring</t>
        </is>
      </c>
      <c r="D5629" s="1" t="n">
        <v>45435</v>
      </c>
      <c r="E5629" s="1" t="n">
        <v>46316</v>
      </c>
      <c r="F5629" t="inlineStr">
        <is>
          <t>KRONOBERGS LÄN</t>
        </is>
      </c>
      <c r="G5629" t="inlineStr">
        <is>
          <t>ALVESTA</t>
        </is>
      </c>
      <c r="I5629" t="n">
        <v>17.4</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S 7076-2022</t>
        </is>
      </c>
      <c r="B5630" t="inlineStr">
        <is>
          <t>samrådsanmälan</t>
        </is>
      </c>
      <c r="C5630" t="inlineStr">
        <is>
          <t>Askåterföring</t>
        </is>
      </c>
      <c r="D5630" s="1" t="n">
        <v>44908</v>
      </c>
      <c r="E5630" s="1" t="n">
        <v>46316</v>
      </c>
      <c r="F5630" t="inlineStr">
        <is>
          <t>KRONOBERGS LÄN</t>
        </is>
      </c>
      <c r="G5630" t="inlineStr">
        <is>
          <t>VÄXJÖ</t>
        </is>
      </c>
      <c r="I5630" t="n">
        <v>4.4</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S 2719-2022</t>
        </is>
      </c>
      <c r="B5631" t="inlineStr">
        <is>
          <t>samrådsanmälan</t>
        </is>
      </c>
      <c r="C5631" t="inlineStr">
        <is>
          <t>Askåterföring</t>
        </is>
      </c>
      <c r="D5631" s="1" t="n">
        <v>44704</v>
      </c>
      <c r="E5631" s="1" t="n">
        <v>46316</v>
      </c>
      <c r="F5631" t="inlineStr">
        <is>
          <t>KRONOBERGS LÄN</t>
        </is>
      </c>
      <c r="G5631" t="inlineStr">
        <is>
          <t>VÄXJÖ</t>
        </is>
      </c>
      <c r="I5631" t="n">
        <v>22.5</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S 1569-2022</t>
        </is>
      </c>
      <c r="B5632" t="inlineStr">
        <is>
          <t>samrådsanmälan</t>
        </is>
      </c>
      <c r="C5632" t="inlineStr">
        <is>
          <t>Askåterföring</t>
        </is>
      </c>
      <c r="D5632" s="1" t="n">
        <v>44643</v>
      </c>
      <c r="E5632" s="1" t="n">
        <v>46316</v>
      </c>
      <c r="F5632" t="inlineStr">
        <is>
          <t>KRONOBERGS LÄN</t>
        </is>
      </c>
      <c r="G5632" t="inlineStr">
        <is>
          <t>ALVESTA</t>
        </is>
      </c>
      <c r="I5632" t="n">
        <v>21</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S 4438-2023</t>
        </is>
      </c>
      <c r="B5633" t="inlineStr">
        <is>
          <t>samrådsanmälan</t>
        </is>
      </c>
      <c r="C5633" t="inlineStr">
        <is>
          <t>Annan skogsbruksåtgärd</t>
        </is>
      </c>
      <c r="D5633" s="1" t="n">
        <v>45267</v>
      </c>
      <c r="E5633" s="1" t="n">
        <v>46316</v>
      </c>
      <c r="F5633" t="inlineStr">
        <is>
          <t>KRONOBERGS LÄN</t>
        </is>
      </c>
      <c r="G5633" t="inlineStr">
        <is>
          <t>LJUNGBY</t>
        </is>
      </c>
      <c r="I5633" t="n">
        <v>1.6</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S 1545-2023</t>
        </is>
      </c>
      <c r="B5634" t="inlineStr">
        <is>
          <t>samrådsanmälan</t>
        </is>
      </c>
      <c r="C5634" t="inlineStr">
        <is>
          <t>Askåterföring</t>
        </is>
      </c>
      <c r="D5634" s="1" t="n">
        <v>45054</v>
      </c>
      <c r="E5634" s="1" t="n">
        <v>46316</v>
      </c>
      <c r="F5634" t="inlineStr">
        <is>
          <t>KRONOBERGS LÄN</t>
        </is>
      </c>
      <c r="G5634" t="inlineStr">
        <is>
          <t>VÄXJÖ</t>
        </is>
      </c>
      <c r="I5634" t="n">
        <v>1.2</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S 3246-2024</t>
        </is>
      </c>
      <c r="B5635" t="inlineStr">
        <is>
          <t>samrådsanmälan</t>
        </is>
      </c>
      <c r="C5635" t="inlineStr">
        <is>
          <t>Askåterföring</t>
        </is>
      </c>
      <c r="D5635" s="1" t="n">
        <v>45526</v>
      </c>
      <c r="E5635" s="1" t="n">
        <v>46316</v>
      </c>
      <c r="F5635" t="inlineStr">
        <is>
          <t>KRONOBERGS LÄN</t>
        </is>
      </c>
      <c r="G5635" t="inlineStr">
        <is>
          <t>VÄXJÖ</t>
        </is>
      </c>
      <c r="I5635" t="n">
        <v>9.199999999999999</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S 2627-2024</t>
        </is>
      </c>
      <c r="B5636" t="inlineStr">
        <is>
          <t>samrådsanmälan</t>
        </is>
      </c>
      <c r="C5636" t="inlineStr">
        <is>
          <t>Annan skogsbruksåtgärd</t>
        </is>
      </c>
      <c r="D5636" s="1" t="n">
        <v>45477</v>
      </c>
      <c r="E5636" s="1" t="n">
        <v>46316</v>
      </c>
      <c r="F5636" t="inlineStr">
        <is>
          <t>KRONOBERGS LÄN</t>
        </is>
      </c>
      <c r="G5636" t="inlineStr">
        <is>
          <t>TINGSRYD</t>
        </is>
      </c>
      <c r="I5636" t="n">
        <v>1.5</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S 2445-2024</t>
        </is>
      </c>
      <c r="B5637" t="inlineStr">
        <is>
          <t>samrådsanmälan</t>
        </is>
      </c>
      <c r="C5637" t="inlineStr">
        <is>
          <t>Annan skogsbruksåtgärd</t>
        </is>
      </c>
      <c r="D5637" s="1" t="n">
        <v>45470</v>
      </c>
      <c r="E5637" s="1" t="n">
        <v>46316</v>
      </c>
      <c r="F5637" t="inlineStr">
        <is>
          <t>KRONOBERGS LÄN</t>
        </is>
      </c>
      <c r="G5637" t="inlineStr">
        <is>
          <t>MARKARYD</t>
        </is>
      </c>
      <c r="I5637" t="n">
        <v>0.2</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S 1908-2024</t>
        </is>
      </c>
      <c r="B5638" t="inlineStr">
        <is>
          <t>samrådsanmälan</t>
        </is>
      </c>
      <c r="C5638" t="inlineStr">
        <is>
          <t>Askåterföring</t>
        </is>
      </c>
      <c r="D5638" s="1" t="n">
        <v>45442</v>
      </c>
      <c r="E5638" s="1" t="n">
        <v>46316</v>
      </c>
      <c r="F5638" t="inlineStr">
        <is>
          <t>KRONOBERGS LÄN</t>
        </is>
      </c>
      <c r="G5638" t="inlineStr">
        <is>
          <t>LJUNGBY</t>
        </is>
      </c>
      <c r="I5638" t="n">
        <v>19.4</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S 1803-2024</t>
        </is>
      </c>
      <c r="B5639" t="inlineStr">
        <is>
          <t>samrådsanmälan</t>
        </is>
      </c>
      <c r="C5639" t="inlineStr">
        <is>
          <t>Askåterföring</t>
        </is>
      </c>
      <c r="D5639" s="1" t="n">
        <v>45436</v>
      </c>
      <c r="E5639" s="1" t="n">
        <v>46316</v>
      </c>
      <c r="F5639" t="inlineStr">
        <is>
          <t>KRONOBERGS LÄN</t>
        </is>
      </c>
      <c r="G5639" t="inlineStr">
        <is>
          <t>VÄXJÖ</t>
        </is>
      </c>
      <c r="I5639" t="n">
        <v>23.3</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S 600-2023</t>
        </is>
      </c>
      <c r="B5640" t="inlineStr">
        <is>
          <t>samrådsanmälan</t>
        </is>
      </c>
      <c r="C5640" t="inlineStr">
        <is>
          <t>Askåterföring</t>
        </is>
      </c>
      <c r="D5640" s="1" t="n">
        <v>44971</v>
      </c>
      <c r="E5640" s="1" t="n">
        <v>46316</v>
      </c>
      <c r="F5640" t="inlineStr">
        <is>
          <t>KRONOBERGS LÄN</t>
        </is>
      </c>
      <c r="G5640" t="inlineStr">
        <is>
          <t>TINGSRYD</t>
        </is>
      </c>
      <c r="I5640" t="n">
        <v>8.1</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S 6948-2022</t>
        </is>
      </c>
      <c r="B5641" t="inlineStr">
        <is>
          <t>samrådsanmälan</t>
        </is>
      </c>
      <c r="C5641" t="inlineStr">
        <is>
          <t>Askåterföring</t>
        </is>
      </c>
      <c r="D5641" s="1" t="n">
        <v>44900</v>
      </c>
      <c r="E5641" s="1" t="n">
        <v>46316</v>
      </c>
      <c r="F5641" t="inlineStr">
        <is>
          <t>KRONOBERGS LÄN</t>
        </is>
      </c>
      <c r="G5641" t="inlineStr">
        <is>
          <t>TINGSRYD</t>
        </is>
      </c>
      <c r="I5641" t="n">
        <v>16</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S 340-2023</t>
        </is>
      </c>
      <c r="B5642" t="inlineStr">
        <is>
          <t>samrådsanmälan</t>
        </is>
      </c>
      <c r="C5642" t="inlineStr">
        <is>
          <t>Annan skogsbruksåtgärd</t>
        </is>
      </c>
      <c r="D5642" s="1" t="n">
        <v>44960</v>
      </c>
      <c r="E5642" s="1" t="n">
        <v>46316</v>
      </c>
      <c r="F5642" t="inlineStr">
        <is>
          <t>KRONOBERGS LÄN</t>
        </is>
      </c>
      <c r="G5642" t="inlineStr">
        <is>
          <t>LJUNGBY</t>
        </is>
      </c>
      <c r="I5642" t="n">
        <v>0.2</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S 2791-2024</t>
        </is>
      </c>
      <c r="B5643" t="inlineStr">
        <is>
          <t>samrådsanmälan</t>
        </is>
      </c>
      <c r="C5643" t="inlineStr">
        <is>
          <t>Askåterföring</t>
        </is>
      </c>
      <c r="D5643" s="1" t="n">
        <v>45485</v>
      </c>
      <c r="E5643" s="1" t="n">
        <v>46316</v>
      </c>
      <c r="F5643" t="inlineStr">
        <is>
          <t>KRONOBERGS LÄN</t>
        </is>
      </c>
      <c r="G5643" t="inlineStr">
        <is>
          <t>VÄXJÖ</t>
        </is>
      </c>
      <c r="I5643" t="n">
        <v>14.1</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S 525-2022</t>
        </is>
      </c>
      <c r="B5644" t="inlineStr">
        <is>
          <t>samrådsanmälan</t>
        </is>
      </c>
      <c r="C5644" t="inlineStr">
        <is>
          <t>Askåterföring</t>
        </is>
      </c>
      <c r="D5644" s="1" t="n">
        <v>44588</v>
      </c>
      <c r="E5644" s="1" t="n">
        <v>46316</v>
      </c>
      <c r="F5644" t="inlineStr">
        <is>
          <t>KRONOBERGS LÄN</t>
        </is>
      </c>
      <c r="G5644" t="inlineStr">
        <is>
          <t>VÄXJÖ</t>
        </is>
      </c>
      <c r="I5644" t="n">
        <v>20.4</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S 563-2023</t>
        </is>
      </c>
      <c r="B5645" t="inlineStr">
        <is>
          <t>samrådsanmälan</t>
        </is>
      </c>
      <c r="C5645" t="inlineStr">
        <is>
          <t>Annan skogsbruksåtgärd</t>
        </is>
      </c>
      <c r="D5645" s="1" t="n">
        <v>44973</v>
      </c>
      <c r="E5645" s="1" t="n">
        <v>46316</v>
      </c>
      <c r="F5645" t="inlineStr">
        <is>
          <t>KRONOBERGS LÄN</t>
        </is>
      </c>
      <c r="G5645" t="inlineStr">
        <is>
          <t>LJUNGBY</t>
        </is>
      </c>
      <c r="I5645" t="n">
        <v>0.1</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S 4655-2022</t>
        </is>
      </c>
      <c r="B5646" t="inlineStr">
        <is>
          <t>samrådsanmälan</t>
        </is>
      </c>
      <c r="C5646" t="inlineStr">
        <is>
          <t>Askåterföring</t>
        </is>
      </c>
      <c r="D5646" s="1" t="n">
        <v>44795</v>
      </c>
      <c r="E5646" s="1" t="n">
        <v>46316</v>
      </c>
      <c r="F5646" t="inlineStr">
        <is>
          <t>KRONOBERGS LÄN</t>
        </is>
      </c>
      <c r="G5646" t="inlineStr">
        <is>
          <t>LESSEBO</t>
        </is>
      </c>
      <c r="I5646" t="n">
        <v>19.1</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S 602-2023</t>
        </is>
      </c>
      <c r="B5647" t="inlineStr">
        <is>
          <t>samrådsanmälan</t>
        </is>
      </c>
      <c r="C5647" t="inlineStr">
        <is>
          <t>Askåterföring</t>
        </is>
      </c>
      <c r="D5647" s="1" t="n">
        <v>44971</v>
      </c>
      <c r="E5647" s="1" t="n">
        <v>46316</v>
      </c>
      <c r="F5647" t="inlineStr">
        <is>
          <t>KRONOBERGS LÄN</t>
        </is>
      </c>
      <c r="G5647" t="inlineStr">
        <is>
          <t>TINGSRYD</t>
        </is>
      </c>
      <c r="I5647" t="n">
        <v>7.3</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S 3849-2024</t>
        </is>
      </c>
      <c r="B5648" t="inlineStr">
        <is>
          <t>samrådsanmälan</t>
        </is>
      </c>
      <c r="C5648" t="inlineStr">
        <is>
          <t>Annan skogsbruksåtgärd</t>
        </is>
      </c>
      <c r="D5648" s="1" t="n">
        <v>45560</v>
      </c>
      <c r="E5648" s="1" t="n">
        <v>46316</v>
      </c>
      <c r="F5648" t="inlineStr">
        <is>
          <t>KRONOBERGS LÄN</t>
        </is>
      </c>
      <c r="G5648" t="inlineStr">
        <is>
          <t>LJUNGBY</t>
        </is>
      </c>
      <c r="I5648" t="n">
        <v>1.2</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S 3283-2022</t>
        </is>
      </c>
      <c r="B5649" t="inlineStr">
        <is>
          <t>samrådsanmälan</t>
        </is>
      </c>
      <c r="C5649" t="inlineStr">
        <is>
          <t>Askåterföring</t>
        </is>
      </c>
      <c r="D5649" s="1" t="n">
        <v>44726</v>
      </c>
      <c r="E5649" s="1" t="n">
        <v>46316</v>
      </c>
      <c r="F5649" t="inlineStr">
        <is>
          <t>KRONOBERGS LÄN</t>
        </is>
      </c>
      <c r="G5649" t="inlineStr">
        <is>
          <t>UPPVIDINGE</t>
        </is>
      </c>
      <c r="I5649" t="n">
        <v>36</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S 704-2023</t>
        </is>
      </c>
      <c r="B5650" t="inlineStr">
        <is>
          <t>samrådsanmälan</t>
        </is>
      </c>
      <c r="C5650" t="inlineStr">
        <is>
          <t>Askåterföring</t>
        </is>
      </c>
      <c r="D5650" s="1" t="n">
        <v>44978</v>
      </c>
      <c r="E5650" s="1" t="n">
        <v>46316</v>
      </c>
      <c r="F5650" t="inlineStr">
        <is>
          <t>KRONOBERGS LÄN</t>
        </is>
      </c>
      <c r="G5650" t="inlineStr">
        <is>
          <t>MARKARYD</t>
        </is>
      </c>
      <c r="I5650" t="n">
        <v>37.6</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S 2570-2024</t>
        </is>
      </c>
      <c r="B5651" t="inlineStr">
        <is>
          <t>samrådsanmälan</t>
        </is>
      </c>
      <c r="C5651" t="inlineStr">
        <is>
          <t>Askåterföring</t>
        </is>
      </c>
      <c r="D5651" s="1" t="n">
        <v>45476</v>
      </c>
      <c r="E5651" s="1" t="n">
        <v>46316</v>
      </c>
      <c r="F5651" t="inlineStr">
        <is>
          <t>KRONOBERGS LÄN</t>
        </is>
      </c>
      <c r="G5651" t="inlineStr">
        <is>
          <t>ÄLMHULT</t>
        </is>
      </c>
      <c r="I5651" t="n">
        <v>27.8</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S 3883-2023</t>
        </is>
      </c>
      <c r="B5652" t="inlineStr">
        <is>
          <t>samrådsanmälan</t>
        </is>
      </c>
      <c r="C5652" t="inlineStr">
        <is>
          <t>Annan skogsbruksåtgärd</t>
        </is>
      </c>
      <c r="D5652" s="1" t="n">
        <v>45230</v>
      </c>
      <c r="E5652" s="1" t="n">
        <v>46316</v>
      </c>
      <c r="F5652" t="inlineStr">
        <is>
          <t>KRONOBERGS LÄN</t>
        </is>
      </c>
      <c r="G5652" t="inlineStr">
        <is>
          <t>TINGSRYD</t>
        </is>
      </c>
      <c r="I5652" t="n">
        <v>3.1</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S 670-2024</t>
        </is>
      </c>
      <c r="B5653" t="inlineStr">
        <is>
          <t>samrådsanmälan</t>
        </is>
      </c>
      <c r="C5653" t="inlineStr">
        <is>
          <t>Askåterföring</t>
        </is>
      </c>
      <c r="D5653" s="1" t="n">
        <v>45357</v>
      </c>
      <c r="E5653" s="1" t="n">
        <v>46316</v>
      </c>
      <c r="F5653" t="inlineStr">
        <is>
          <t>KRONOBERGS LÄN</t>
        </is>
      </c>
      <c r="G5653" t="inlineStr">
        <is>
          <t>LJUNGBY</t>
        </is>
      </c>
      <c r="I5653" t="n">
        <v>38.8</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S 6542-2022</t>
        </is>
      </c>
      <c r="B5654" t="inlineStr">
        <is>
          <t>samrådsanmälan</t>
        </is>
      </c>
      <c r="C5654" t="inlineStr">
        <is>
          <t>Annan skogsbruksåtgärd</t>
        </is>
      </c>
      <c r="D5654" s="1" t="n">
        <v>44882</v>
      </c>
      <c r="E5654" s="1" t="n">
        <v>46316</v>
      </c>
      <c r="F5654" t="inlineStr">
        <is>
          <t>KRONOBERGS LÄN</t>
        </is>
      </c>
      <c r="G5654" t="inlineStr">
        <is>
          <t>LJUNGBY</t>
        </is>
      </c>
      <c r="I5654" t="n">
        <v>2.4</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S 2373-2023</t>
        </is>
      </c>
      <c r="B5655" t="inlineStr">
        <is>
          <t>samrådsanmälan</t>
        </is>
      </c>
      <c r="C5655" t="inlineStr">
        <is>
          <t>Annan skogsbruksåtgärd</t>
        </is>
      </c>
      <c r="D5655" s="1" t="n">
        <v>45110</v>
      </c>
      <c r="E5655" s="1" t="n">
        <v>46316</v>
      </c>
      <c r="F5655" t="inlineStr">
        <is>
          <t>KRONOBERGS LÄN</t>
        </is>
      </c>
      <c r="G5655" t="inlineStr">
        <is>
          <t>LJUNGBY</t>
        </is>
      </c>
      <c r="I5655" t="n">
        <v>0.2</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S 1382-2024</t>
        </is>
      </c>
      <c r="B5656" t="inlineStr">
        <is>
          <t>samrådsanmälan</t>
        </is>
      </c>
      <c r="C5656" t="inlineStr">
        <is>
          <t>Askåterföring</t>
        </is>
      </c>
      <c r="D5656" s="1" t="n">
        <v>45411</v>
      </c>
      <c r="E5656" s="1" t="n">
        <v>46316</v>
      </c>
      <c r="F5656" t="inlineStr">
        <is>
          <t>KRONOBERGS LÄN</t>
        </is>
      </c>
      <c r="G5656" t="inlineStr">
        <is>
          <t>UPPVIDINGE</t>
        </is>
      </c>
      <c r="I5656" t="n">
        <v>26.7</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S 1132-2025</t>
        </is>
      </c>
      <c r="B5657" t="inlineStr">
        <is>
          <t>samrådsanmälan</t>
        </is>
      </c>
      <c r="C5657" t="inlineStr">
        <is>
          <t>Askåterföring</t>
        </is>
      </c>
      <c r="D5657" s="1" t="n">
        <v>45755</v>
      </c>
      <c r="E5657" s="1" t="n">
        <v>46316</v>
      </c>
      <c r="F5657" t="inlineStr">
        <is>
          <t>KRONOBERGS LÄN</t>
        </is>
      </c>
      <c r="G5657" t="inlineStr">
        <is>
          <t>LJUNGBY</t>
        </is>
      </c>
      <c r="I5657" t="n">
        <v>29</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S 722-2025</t>
        </is>
      </c>
      <c r="B5658" t="inlineStr">
        <is>
          <t>samrådsanmälan</t>
        </is>
      </c>
      <c r="C5658" t="inlineStr">
        <is>
          <t>Askåterföring</t>
        </is>
      </c>
      <c r="D5658" s="1" t="n">
        <v>45721</v>
      </c>
      <c r="E5658" s="1" t="n">
        <v>46316</v>
      </c>
      <c r="F5658" t="inlineStr">
        <is>
          <t>KRONOBERGS LÄN</t>
        </is>
      </c>
      <c r="G5658" t="inlineStr">
        <is>
          <t>MARKARYD</t>
        </is>
      </c>
      <c r="I5658" t="n">
        <v>14.6</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S 5163-2024</t>
        </is>
      </c>
      <c r="B5659" t="inlineStr">
        <is>
          <t>samrådsanmälan</t>
        </is>
      </c>
      <c r="C5659" t="inlineStr">
        <is>
          <t>Annan skogsbruksåtgärd</t>
        </is>
      </c>
      <c r="D5659" s="1" t="n">
        <v>45649</v>
      </c>
      <c r="E5659" s="1" t="n">
        <v>46316</v>
      </c>
      <c r="F5659" t="inlineStr">
        <is>
          <t>KRONOBERGS LÄN</t>
        </is>
      </c>
      <c r="G5659" t="inlineStr">
        <is>
          <t>ÄLMHULT</t>
        </is>
      </c>
      <c r="I5659" t="n">
        <v>0.1</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S 807-2025</t>
        </is>
      </c>
      <c r="B5660" t="inlineStr">
        <is>
          <t>samrådsanmälan</t>
        </is>
      </c>
      <c r="C5660" t="inlineStr">
        <is>
          <t>Askåterföring</t>
        </is>
      </c>
      <c r="D5660" s="1" t="n">
        <v>45730</v>
      </c>
      <c r="E5660" s="1" t="n">
        <v>46316</v>
      </c>
      <c r="F5660" t="inlineStr">
        <is>
          <t>KRONOBERGS LÄN</t>
        </is>
      </c>
      <c r="G5660" t="inlineStr">
        <is>
          <t>TINGSRYD</t>
        </is>
      </c>
      <c r="I5660" t="n">
        <v>17</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S 5044-2024</t>
        </is>
      </c>
      <c r="B5661" t="inlineStr">
        <is>
          <t>samrådsanmälan</t>
        </is>
      </c>
      <c r="C5661" t="inlineStr">
        <is>
          <t>Askåterföring</t>
        </is>
      </c>
      <c r="D5661" s="1" t="n">
        <v>45637</v>
      </c>
      <c r="E5661" s="1" t="n">
        <v>46316</v>
      </c>
      <c r="F5661" t="inlineStr">
        <is>
          <t>KRONOBERGS LÄN</t>
        </is>
      </c>
      <c r="G5661" t="inlineStr">
        <is>
          <t>LJUNGBY</t>
        </is>
      </c>
      <c r="I5661" t="n">
        <v>25.9</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S 562-2025</t>
        </is>
      </c>
      <c r="B5662" t="inlineStr">
        <is>
          <t>samrådsanmälan</t>
        </is>
      </c>
      <c r="C5662" t="inlineStr">
        <is>
          <t>Askåterföring</t>
        </is>
      </c>
      <c r="D5662" s="1" t="n">
        <v>45709</v>
      </c>
      <c r="E5662" s="1" t="n">
        <v>46316</v>
      </c>
      <c r="F5662" t="inlineStr">
        <is>
          <t>KRONOBERGS LÄN</t>
        </is>
      </c>
      <c r="G5662" t="inlineStr">
        <is>
          <t>ALVESTA</t>
        </is>
      </c>
      <c r="I5662" t="n">
        <v>20.4</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S 358-2025</t>
        </is>
      </c>
      <c r="B5663" t="inlineStr">
        <is>
          <t>samrådsanmälan</t>
        </is>
      </c>
      <c r="C5663" t="inlineStr">
        <is>
          <t>Annan skogsbruksåtgärd</t>
        </is>
      </c>
      <c r="D5663" s="1" t="n">
        <v>45694</v>
      </c>
      <c r="E5663" s="1" t="n">
        <v>46316</v>
      </c>
      <c r="F5663" t="inlineStr">
        <is>
          <t>KRONOBERGS LÄN</t>
        </is>
      </c>
      <c r="G5663" t="inlineStr">
        <is>
          <t>ALVESTA</t>
        </is>
      </c>
      <c r="I5663" t="n">
        <v>1.6</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S 772-2025</t>
        </is>
      </c>
      <c r="B5664" t="inlineStr">
        <is>
          <t>samrådsanmälan</t>
        </is>
      </c>
      <c r="C5664" t="inlineStr">
        <is>
          <t>Askåterföring</t>
        </is>
      </c>
      <c r="D5664" s="1" t="n">
        <v>45727</v>
      </c>
      <c r="E5664" s="1" t="n">
        <v>46316</v>
      </c>
      <c r="F5664" t="inlineStr">
        <is>
          <t>KRONOBERGS LÄN</t>
        </is>
      </c>
      <c r="G5664" t="inlineStr">
        <is>
          <t>VÄXJÖ</t>
        </is>
      </c>
      <c r="I5664" t="n">
        <v>4.9</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S 5130-2024</t>
        </is>
      </c>
      <c r="B5665" t="inlineStr">
        <is>
          <t>samrådsanmälan</t>
        </is>
      </c>
      <c r="C5665" t="inlineStr">
        <is>
          <t>Askåterföring</t>
        </is>
      </c>
      <c r="D5665" s="1" t="n">
        <v>45645</v>
      </c>
      <c r="E5665" s="1" t="n">
        <v>46316</v>
      </c>
      <c r="F5665" t="inlineStr">
        <is>
          <t>KRONOBERGS LÄN</t>
        </is>
      </c>
      <c r="G5665" t="inlineStr">
        <is>
          <t>LJUNGBY</t>
        </is>
      </c>
      <c r="I5665" t="n">
        <v>24.1</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S 945-2025</t>
        </is>
      </c>
      <c r="B5666" t="inlineStr">
        <is>
          <t>samrådsanmälan</t>
        </is>
      </c>
      <c r="C5666" t="inlineStr">
        <is>
          <t>Askåterföring</t>
        </is>
      </c>
      <c r="D5666" s="1" t="n">
        <v>45740</v>
      </c>
      <c r="E5666" s="1" t="n">
        <v>46316</v>
      </c>
      <c r="F5666" t="inlineStr">
        <is>
          <t>KRONOBERGS LÄN</t>
        </is>
      </c>
      <c r="G5666" t="inlineStr">
        <is>
          <t>VÄXJÖ</t>
        </is>
      </c>
      <c r="I5666" t="n">
        <v>20.8</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S 597-2025</t>
        </is>
      </c>
      <c r="B5667" t="inlineStr">
        <is>
          <t>samrådsanmälan</t>
        </is>
      </c>
      <c r="C5667" t="inlineStr">
        <is>
          <t>Annan skogsbruksåtgärd</t>
        </is>
      </c>
      <c r="D5667" s="1" t="n">
        <v>45713</v>
      </c>
      <c r="E5667" s="1" t="n">
        <v>46316</v>
      </c>
      <c r="F5667" t="inlineStr">
        <is>
          <t>KRONOBERGS LÄN</t>
        </is>
      </c>
      <c r="G5667" t="inlineStr">
        <is>
          <t>LJUNGBY</t>
        </is>
      </c>
      <c r="I5667" t="n">
        <v>3.9</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S 711-2025</t>
        </is>
      </c>
      <c r="B5668" t="inlineStr">
        <is>
          <t>samrådsanmälan</t>
        </is>
      </c>
      <c r="C5668" t="inlineStr">
        <is>
          <t>Askåterföring</t>
        </is>
      </c>
      <c r="D5668" s="1" t="n">
        <v>45720</v>
      </c>
      <c r="E5668" s="1" t="n">
        <v>46316</v>
      </c>
      <c r="F5668" t="inlineStr">
        <is>
          <t>KRONOBERGS LÄN</t>
        </is>
      </c>
      <c r="G5668" t="inlineStr">
        <is>
          <t>ALVESTA</t>
        </is>
      </c>
      <c r="I5668" t="n">
        <v>22.2</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S 359-2025</t>
        </is>
      </c>
      <c r="B5669" t="inlineStr">
        <is>
          <t>samrådsanmälan</t>
        </is>
      </c>
      <c r="C5669" t="inlineStr">
        <is>
          <t>Annan skogsbruksåtgärd</t>
        </is>
      </c>
      <c r="D5669" s="1" t="n">
        <v>45694</v>
      </c>
      <c r="E5669" s="1" t="n">
        <v>46316</v>
      </c>
      <c r="F5669" t="inlineStr">
        <is>
          <t>KRONOBERGS LÄN</t>
        </is>
      </c>
      <c r="G5669" t="inlineStr">
        <is>
          <t>ALVESTA</t>
        </is>
      </c>
      <c r="I5669" t="n">
        <v>0.7</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S 962-2025</t>
        </is>
      </c>
      <c r="B5670" t="inlineStr">
        <is>
          <t>samrådsanmälan</t>
        </is>
      </c>
      <c r="C5670" t="inlineStr">
        <is>
          <t>Askåterföring</t>
        </is>
      </c>
      <c r="D5670" s="1" t="n">
        <v>45742</v>
      </c>
      <c r="E5670" s="1" t="n">
        <v>46316</v>
      </c>
      <c r="F5670" t="inlineStr">
        <is>
          <t>KRONOBERGS LÄN</t>
        </is>
      </c>
      <c r="G5670" t="inlineStr">
        <is>
          <t>LJUNGBY</t>
        </is>
      </c>
      <c r="I5670" t="n">
        <v>18.8</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S 312-2025</t>
        </is>
      </c>
      <c r="B5671" t="inlineStr">
        <is>
          <t>samrådsanmälan</t>
        </is>
      </c>
      <c r="C5671" t="inlineStr">
        <is>
          <t>Askåterföring</t>
        </is>
      </c>
      <c r="D5671" s="1" t="n">
        <v>45688</v>
      </c>
      <c r="E5671" s="1" t="n">
        <v>46316</v>
      </c>
      <c r="F5671" t="inlineStr">
        <is>
          <t>KRONOBERGS LÄN</t>
        </is>
      </c>
      <c r="G5671" t="inlineStr">
        <is>
          <t>LESSEBO</t>
        </is>
      </c>
      <c r="I5671" t="n">
        <v>25.8</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S 30-2025</t>
        </is>
      </c>
      <c r="B5672" t="inlineStr">
        <is>
          <t>samrådsanmälan</t>
        </is>
      </c>
      <c r="C5672" t="inlineStr">
        <is>
          <t>Askåterföring</t>
        </is>
      </c>
      <c r="D5672" s="1" t="n">
        <v>45665</v>
      </c>
      <c r="E5672" s="1" t="n">
        <v>46316</v>
      </c>
      <c r="F5672" t="inlineStr">
        <is>
          <t>KRONOBERGS LÄN</t>
        </is>
      </c>
      <c r="G5672" t="inlineStr">
        <is>
          <t>TINGSRYD</t>
        </is>
      </c>
      <c r="I5672" t="n">
        <v>12.5</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S 712-2025</t>
        </is>
      </c>
      <c r="B5673" t="inlineStr">
        <is>
          <t>samrådsanmälan</t>
        </is>
      </c>
      <c r="C5673" t="inlineStr">
        <is>
          <t>Askåterföring</t>
        </is>
      </c>
      <c r="D5673" s="1" t="n">
        <v>45720</v>
      </c>
      <c r="E5673" s="1" t="n">
        <v>46316</v>
      </c>
      <c r="F5673" t="inlineStr">
        <is>
          <t>KRONOBERGS LÄN</t>
        </is>
      </c>
      <c r="G5673" t="inlineStr">
        <is>
          <t>LJUNGBY</t>
        </is>
      </c>
      <c r="I5673" t="n">
        <v>15.1</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S 5018-2024</t>
        </is>
      </c>
      <c r="B5674" t="inlineStr">
        <is>
          <t>samrådsanmälan</t>
        </is>
      </c>
      <c r="C5674" t="inlineStr">
        <is>
          <t>Askåterföring</t>
        </is>
      </c>
      <c r="D5674" s="1" t="n">
        <v>45632</v>
      </c>
      <c r="E5674" s="1" t="n">
        <v>46316</v>
      </c>
      <c r="F5674" t="inlineStr">
        <is>
          <t>KRONOBERGS LÄN</t>
        </is>
      </c>
      <c r="G5674" t="inlineStr">
        <is>
          <t>LJUNGBY</t>
        </is>
      </c>
      <c r="I5674" t="n">
        <v>13.7</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S 759-2025</t>
        </is>
      </c>
      <c r="B5675" t="inlineStr">
        <is>
          <t>samrådsanmälan</t>
        </is>
      </c>
      <c r="C5675" t="inlineStr">
        <is>
          <t>Askåterföring</t>
        </is>
      </c>
      <c r="D5675" s="1" t="n">
        <v>45727</v>
      </c>
      <c r="E5675" s="1" t="n">
        <v>46316</v>
      </c>
      <c r="F5675" t="inlineStr">
        <is>
          <t>KRONOBERGS LÄN</t>
        </is>
      </c>
      <c r="G5675" t="inlineStr">
        <is>
          <t>TINGSRYD</t>
        </is>
      </c>
      <c r="I5675" t="n">
        <v>38.5</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S 4999-2024</t>
        </is>
      </c>
      <c r="B5676" t="inlineStr">
        <is>
          <t>samrådsanmälan</t>
        </is>
      </c>
      <c r="C5676" t="inlineStr">
        <is>
          <t>Askåterföring</t>
        </is>
      </c>
      <c r="D5676" s="1" t="n">
        <v>45631</v>
      </c>
      <c r="E5676" s="1" t="n">
        <v>46316</v>
      </c>
      <c r="F5676" t="inlineStr">
        <is>
          <t>KRONOBERGS LÄN</t>
        </is>
      </c>
      <c r="G5676" t="inlineStr">
        <is>
          <t>LJUNGBY</t>
        </is>
      </c>
      <c r="I5676" t="n">
        <v>11.6</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S 755-2025</t>
        </is>
      </c>
      <c r="B5677" t="inlineStr">
        <is>
          <t>samrådsanmälan</t>
        </is>
      </c>
      <c r="C5677" t="inlineStr">
        <is>
          <t>Askåterföring</t>
        </is>
      </c>
      <c r="D5677" s="1" t="n">
        <v>45726</v>
      </c>
      <c r="E5677" s="1" t="n">
        <v>46316</v>
      </c>
      <c r="F5677" t="inlineStr">
        <is>
          <t>KRONOBERGS LÄN</t>
        </is>
      </c>
      <c r="G5677" t="inlineStr">
        <is>
          <t>VÄXJÖ</t>
        </is>
      </c>
      <c r="I5677" t="n">
        <v>4.4</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S 31-2025</t>
        </is>
      </c>
      <c r="B5678" t="inlineStr">
        <is>
          <t>samrådsanmälan</t>
        </is>
      </c>
      <c r="C5678" t="inlineStr">
        <is>
          <t>Askåterföring</t>
        </is>
      </c>
      <c r="D5678" s="1" t="n">
        <v>45665</v>
      </c>
      <c r="E5678" s="1" t="n">
        <v>46316</v>
      </c>
      <c r="F5678" t="inlineStr">
        <is>
          <t>KRONOBERGS LÄN</t>
        </is>
      </c>
      <c r="G5678" t="inlineStr">
        <is>
          <t>TINGSRYD</t>
        </is>
      </c>
      <c r="I5678" t="n">
        <v>10.5</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S 786-2025</t>
        </is>
      </c>
      <c r="B5679" t="inlineStr">
        <is>
          <t>samrådsanmälan</t>
        </is>
      </c>
      <c r="C5679" t="inlineStr">
        <is>
          <t>Annan skogsbruksåtgärd</t>
        </is>
      </c>
      <c r="D5679" s="1" t="n">
        <v>45728</v>
      </c>
      <c r="E5679" s="1" t="n">
        <v>46316</v>
      </c>
      <c r="F5679" t="inlineStr">
        <is>
          <t>KRONOBERGS LÄN</t>
        </is>
      </c>
      <c r="G5679" t="inlineStr">
        <is>
          <t>ÄLMHULT</t>
        </is>
      </c>
      <c r="I5679" t="n">
        <v>0.6</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S 450-2025</t>
        </is>
      </c>
      <c r="B5680" t="inlineStr">
        <is>
          <t>samrådsanmälan</t>
        </is>
      </c>
      <c r="C5680" t="inlineStr">
        <is>
          <t>Askåterföring</t>
        </is>
      </c>
      <c r="D5680" s="1" t="n">
        <v>45701</v>
      </c>
      <c r="E5680" s="1" t="n">
        <v>46316</v>
      </c>
      <c r="F5680" t="inlineStr">
        <is>
          <t>KRONOBERGS LÄN</t>
        </is>
      </c>
      <c r="G5680" t="inlineStr">
        <is>
          <t>ALVESTA</t>
        </is>
      </c>
      <c r="I5680" t="n">
        <v>42</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S 604-2025</t>
        </is>
      </c>
      <c r="B5681" t="inlineStr">
        <is>
          <t>samrådsanmälan</t>
        </is>
      </c>
      <c r="C5681" t="inlineStr">
        <is>
          <t>Annan skogsbruksåtgärd</t>
        </is>
      </c>
      <c r="D5681" s="1" t="n">
        <v>45713</v>
      </c>
      <c r="E5681" s="1" t="n">
        <v>46316</v>
      </c>
      <c r="F5681" t="inlineStr">
        <is>
          <t>KRONOBERGS LÄN</t>
        </is>
      </c>
      <c r="G5681" t="inlineStr">
        <is>
          <t>LJUNGBY</t>
        </is>
      </c>
      <c r="I5681" t="n">
        <v>1.8</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S 608-2025</t>
        </is>
      </c>
      <c r="B5682" t="inlineStr">
        <is>
          <t>samrådsanmälan</t>
        </is>
      </c>
      <c r="C5682" t="inlineStr">
        <is>
          <t>Askåterföring</t>
        </is>
      </c>
      <c r="D5682" s="1" t="n">
        <v>45714</v>
      </c>
      <c r="E5682" s="1" t="n">
        <v>46316</v>
      </c>
      <c r="F5682" t="inlineStr">
        <is>
          <t>KRONOBERGS LÄN</t>
        </is>
      </c>
      <c r="G5682" t="inlineStr">
        <is>
          <t>ALVESTA</t>
        </is>
      </c>
      <c r="I5682" t="n">
        <v>40.3</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S 362-2025</t>
        </is>
      </c>
      <c r="B5683" t="inlineStr">
        <is>
          <t>samrådsanmälan</t>
        </is>
      </c>
      <c r="C5683" t="inlineStr">
        <is>
          <t>Askåterföring</t>
        </is>
      </c>
      <c r="D5683" s="1" t="n">
        <v>45694</v>
      </c>
      <c r="E5683" s="1" t="n">
        <v>46316</v>
      </c>
      <c r="F5683" t="inlineStr">
        <is>
          <t>KRONOBERGS LÄN</t>
        </is>
      </c>
      <c r="G5683" t="inlineStr">
        <is>
          <t>ALVESTA</t>
        </is>
      </c>
      <c r="I5683" t="n">
        <v>21.9</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S 1495-2025</t>
        </is>
      </c>
      <c r="B5684" t="inlineStr">
        <is>
          <t>samrådsanmälan</t>
        </is>
      </c>
      <c r="C5684" t="inlineStr">
        <is>
          <t>Askåterföring</t>
        </is>
      </c>
      <c r="D5684" s="1" t="n">
        <v>45789</v>
      </c>
      <c r="E5684" s="1" t="n">
        <v>46316</v>
      </c>
      <c r="F5684" t="inlineStr">
        <is>
          <t>KRONOBERGS LÄN</t>
        </is>
      </c>
      <c r="G5684" t="inlineStr">
        <is>
          <t>LJUNGBY</t>
        </is>
      </c>
      <c r="I5684" t="n">
        <v>25.7</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S 1523-2025</t>
        </is>
      </c>
      <c r="B5685" t="inlineStr">
        <is>
          <t>samrådsanmälan</t>
        </is>
      </c>
      <c r="C5685" t="inlineStr">
        <is>
          <t>Skogsbilväg</t>
        </is>
      </c>
      <c r="D5685" s="1" t="n">
        <v>45791</v>
      </c>
      <c r="E5685" s="1" t="n">
        <v>46316</v>
      </c>
      <c r="F5685" t="inlineStr">
        <is>
          <t>KRONOBERGS LÄN</t>
        </is>
      </c>
      <c r="G5685" t="inlineStr">
        <is>
          <t>UPPVIDINGE</t>
        </is>
      </c>
      <c r="I5685" t="n">
        <v>0.1</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S 1551-2025</t>
        </is>
      </c>
      <c r="B5686" t="inlineStr">
        <is>
          <t>samrådsanmälan</t>
        </is>
      </c>
      <c r="C5686" t="inlineStr">
        <is>
          <t>Askåterföring</t>
        </is>
      </c>
      <c r="D5686" s="1" t="n">
        <v>45792</v>
      </c>
      <c r="E5686" s="1" t="n">
        <v>46316</v>
      </c>
      <c r="F5686" t="inlineStr">
        <is>
          <t>KRONOBERGS LÄN</t>
        </is>
      </c>
      <c r="G5686" t="inlineStr">
        <is>
          <t>MARKARYD</t>
        </is>
      </c>
      <c r="I5686" t="n">
        <v>21.5</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S 1590-2025</t>
        </is>
      </c>
      <c r="B5687" t="inlineStr">
        <is>
          <t>samrådsanmälan</t>
        </is>
      </c>
      <c r="C5687" t="inlineStr">
        <is>
          <t>Annan skogsbruksåtgärd</t>
        </is>
      </c>
      <c r="D5687" s="1" t="n">
        <v>45797</v>
      </c>
      <c r="E5687" s="1" t="n">
        <v>46316</v>
      </c>
      <c r="F5687" t="inlineStr">
        <is>
          <t>KRONOBERGS LÄN</t>
        </is>
      </c>
      <c r="G5687" t="inlineStr">
        <is>
          <t>VÄXJÖ</t>
        </is>
      </c>
      <c r="I5687" t="n">
        <v>0.8</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S 1702-2025</t>
        </is>
      </c>
      <c r="B5688" t="inlineStr">
        <is>
          <t>samrådsanmälan</t>
        </is>
      </c>
      <c r="C5688" t="inlineStr">
        <is>
          <t>Annan skogsbruksåtgärd</t>
        </is>
      </c>
      <c r="D5688" s="1" t="n">
        <v>45805</v>
      </c>
      <c r="E5688" s="1" t="n">
        <v>46316</v>
      </c>
      <c r="F5688" t="inlineStr">
        <is>
          <t>KRONOBERGS LÄN</t>
        </is>
      </c>
      <c r="G5688" t="inlineStr">
        <is>
          <t>VÄXJÖ</t>
        </is>
      </c>
      <c r="I5688" t="n">
        <v>8.800000000000001</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S 1799-2025</t>
        </is>
      </c>
      <c r="B5689" t="inlineStr">
        <is>
          <t>samrådsanmälan</t>
        </is>
      </c>
      <c r="C5689" t="inlineStr">
        <is>
          <t>Askåterföring</t>
        </is>
      </c>
      <c r="D5689" s="1" t="n">
        <v>45817</v>
      </c>
      <c r="E5689" s="1" t="n">
        <v>46316</v>
      </c>
      <c r="F5689" t="inlineStr">
        <is>
          <t>KRONOBERGS LÄN</t>
        </is>
      </c>
      <c r="G5689" t="inlineStr">
        <is>
          <t>LESSEBO</t>
        </is>
      </c>
      <c r="I5689" t="n">
        <v>21.2</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S 1786-2025</t>
        </is>
      </c>
      <c r="B5690" t="inlineStr">
        <is>
          <t>samrådsanmälan</t>
        </is>
      </c>
      <c r="C5690" t="inlineStr">
        <is>
          <t>Annan skogsbruksåtgärd</t>
        </is>
      </c>
      <c r="D5690" s="1" t="n">
        <v>45814</v>
      </c>
      <c r="E5690" s="1" t="n">
        <v>46316</v>
      </c>
      <c r="F5690" t="inlineStr">
        <is>
          <t>KRONOBERGS LÄN</t>
        </is>
      </c>
      <c r="G5690" t="inlineStr">
        <is>
          <t>ALVESTA</t>
        </is>
      </c>
      <c r="I5690" t="n">
        <v>3</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S 1798-2025</t>
        </is>
      </c>
      <c r="B5691" t="inlineStr">
        <is>
          <t>samrådsanmälan</t>
        </is>
      </c>
      <c r="C5691" t="inlineStr">
        <is>
          <t>Askåterföring</t>
        </is>
      </c>
      <c r="D5691" s="1" t="n">
        <v>45817</v>
      </c>
      <c r="E5691" s="1" t="n">
        <v>46316</v>
      </c>
      <c r="F5691" t="inlineStr">
        <is>
          <t>KRONOBERGS LÄN</t>
        </is>
      </c>
      <c r="G5691" t="inlineStr">
        <is>
          <t>LESSEBO</t>
        </is>
      </c>
      <c r="I5691" t="n">
        <v>73.40000000000001</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S 1787-2025</t>
        </is>
      </c>
      <c r="B5692" t="inlineStr">
        <is>
          <t>samrådsanmälan</t>
        </is>
      </c>
      <c r="C5692" t="inlineStr">
        <is>
          <t>Annan skogsbruksåtgärd</t>
        </is>
      </c>
      <c r="D5692" s="1" t="n">
        <v>45814</v>
      </c>
      <c r="E5692" s="1" t="n">
        <v>46316</v>
      </c>
      <c r="F5692" t="inlineStr">
        <is>
          <t>KRONOBERGS LÄN</t>
        </is>
      </c>
      <c r="G5692" t="inlineStr">
        <is>
          <t>MARKARYD</t>
        </is>
      </c>
      <c r="I5692" t="n">
        <v>0</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S 1813-2025</t>
        </is>
      </c>
      <c r="B5693" t="inlineStr">
        <is>
          <t>samrådsanmälan</t>
        </is>
      </c>
      <c r="C5693" t="inlineStr">
        <is>
          <t>Annan skogsbruksåtgärd</t>
        </is>
      </c>
      <c r="D5693" s="1" t="n">
        <v>45818</v>
      </c>
      <c r="E5693" s="1" t="n">
        <v>46316</v>
      </c>
      <c r="F5693" t="inlineStr">
        <is>
          <t>KRONOBERGS LÄN</t>
        </is>
      </c>
      <c r="G5693" t="inlineStr">
        <is>
          <t>LJUNGBY</t>
        </is>
      </c>
      <c r="I5693" t="n">
        <v>0.2</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S 1718-2025</t>
        </is>
      </c>
      <c r="B5694" t="inlineStr">
        <is>
          <t>samrådsanmälan</t>
        </is>
      </c>
      <c r="C5694" t="inlineStr">
        <is>
          <t>Askåterföring</t>
        </is>
      </c>
      <c r="D5694" s="1" t="n">
        <v>45807</v>
      </c>
      <c r="E5694" s="1" t="n">
        <v>46316</v>
      </c>
      <c r="F5694" t="inlineStr">
        <is>
          <t>KRONOBERGS LÄN</t>
        </is>
      </c>
      <c r="G5694" t="inlineStr">
        <is>
          <t>TINGSRYD</t>
        </is>
      </c>
      <c r="I5694" t="n">
        <v>23.5</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S 1720-2025</t>
        </is>
      </c>
      <c r="B5695" t="inlineStr">
        <is>
          <t>samrådsanmälan</t>
        </is>
      </c>
      <c r="C5695" t="inlineStr">
        <is>
          <t>Askåterföring</t>
        </is>
      </c>
      <c r="D5695" s="1" t="n">
        <v>45807</v>
      </c>
      <c r="E5695" s="1" t="n">
        <v>46316</v>
      </c>
      <c r="F5695" t="inlineStr">
        <is>
          <t>KRONOBERGS LÄN</t>
        </is>
      </c>
      <c r="G5695" t="inlineStr">
        <is>
          <t>TINGSRYD</t>
        </is>
      </c>
      <c r="I5695" t="n">
        <v>25</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S 1952-2025</t>
        </is>
      </c>
      <c r="B5696" t="inlineStr">
        <is>
          <t>samrådsanmälan</t>
        </is>
      </c>
      <c r="C5696" t="inlineStr">
        <is>
          <t>Askåterföring</t>
        </is>
      </c>
      <c r="D5696" s="1" t="n">
        <v>45831</v>
      </c>
      <c r="E5696" s="1" t="n">
        <v>46316</v>
      </c>
      <c r="F5696" t="inlineStr">
        <is>
          <t>KRONOBERGS LÄN</t>
        </is>
      </c>
      <c r="G5696" t="inlineStr">
        <is>
          <t>LJUNGBY</t>
        </is>
      </c>
      <c r="I5696" t="n">
        <v>16.2</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S 1954-2025</t>
        </is>
      </c>
      <c r="B5697" t="inlineStr">
        <is>
          <t>samrådsanmälan</t>
        </is>
      </c>
      <c r="C5697" t="inlineStr">
        <is>
          <t>Askåterföring</t>
        </is>
      </c>
      <c r="D5697" s="1" t="n">
        <v>45831</v>
      </c>
      <c r="E5697" s="1" t="n">
        <v>46316</v>
      </c>
      <c r="F5697" t="inlineStr">
        <is>
          <t>KRONOBERGS LÄN</t>
        </is>
      </c>
      <c r="G5697" t="inlineStr">
        <is>
          <t>LJUNGBY</t>
        </is>
      </c>
      <c r="I5697" t="n">
        <v>16.2</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S 1965-2025</t>
        </is>
      </c>
      <c r="B5698" t="inlineStr">
        <is>
          <t>samrådsanmälan</t>
        </is>
      </c>
      <c r="C5698" t="inlineStr">
        <is>
          <t>Askåterföring</t>
        </is>
      </c>
      <c r="D5698" s="1" t="n">
        <v>45831</v>
      </c>
      <c r="E5698" s="1" t="n">
        <v>46316</v>
      </c>
      <c r="F5698" t="inlineStr">
        <is>
          <t>KRONOBERGS LÄN</t>
        </is>
      </c>
      <c r="G5698" t="inlineStr">
        <is>
          <t>VÄXJÖ</t>
        </is>
      </c>
      <c r="I5698" t="n">
        <v>30.9</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S 2299-2025</t>
        </is>
      </c>
      <c r="B5699" t="inlineStr">
        <is>
          <t>samrådsanmälan</t>
        </is>
      </c>
      <c r="C5699" t="inlineStr">
        <is>
          <t>Askåterföring</t>
        </is>
      </c>
      <c r="D5699" s="1" t="n">
        <v>45880</v>
      </c>
      <c r="E5699" s="1" t="n">
        <v>46316</v>
      </c>
      <c r="F5699" t="inlineStr">
        <is>
          <t>KRONOBERGS LÄN</t>
        </is>
      </c>
      <c r="G5699" t="inlineStr">
        <is>
          <t>MARKARYD</t>
        </is>
      </c>
      <c r="I5699" t="n">
        <v>25.1</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S 2405-2025</t>
        </is>
      </c>
      <c r="B5700" t="inlineStr">
        <is>
          <t>samrådsanmälan</t>
        </is>
      </c>
      <c r="C5700" t="inlineStr">
        <is>
          <t>Askåterföring</t>
        </is>
      </c>
      <c r="D5700" s="1" t="n">
        <v>45895</v>
      </c>
      <c r="E5700" s="1" t="n">
        <v>46316</v>
      </c>
      <c r="F5700" t="inlineStr">
        <is>
          <t>KRONOBERGS LÄN</t>
        </is>
      </c>
      <c r="G5700" t="inlineStr">
        <is>
          <t>LJUNGBY</t>
        </is>
      </c>
      <c r="I5700" t="n">
        <v>45.2</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S 2401-2025</t>
        </is>
      </c>
      <c r="B5701" t="inlineStr">
        <is>
          <t>samrådsanmälan</t>
        </is>
      </c>
      <c r="C5701" t="inlineStr">
        <is>
          <t>Askåterföring</t>
        </is>
      </c>
      <c r="D5701" s="1" t="n">
        <v>45895</v>
      </c>
      <c r="E5701" s="1" t="n">
        <v>46316</v>
      </c>
      <c r="F5701" t="inlineStr">
        <is>
          <t>KRONOBERGS LÄN</t>
        </is>
      </c>
      <c r="G5701" t="inlineStr">
        <is>
          <t>LJUNGBY</t>
        </is>
      </c>
      <c r="I5701" t="n">
        <v>26.2</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S 2541-2025</t>
        </is>
      </c>
      <c r="B5702" t="inlineStr">
        <is>
          <t>samrådsanmälan</t>
        </is>
      </c>
      <c r="C5702" t="inlineStr">
        <is>
          <t>Annan skogsbruksåtgärd</t>
        </is>
      </c>
      <c r="D5702" s="1" t="n">
        <v>45910</v>
      </c>
      <c r="E5702" s="1" t="n">
        <v>46316</v>
      </c>
      <c r="F5702" t="inlineStr">
        <is>
          <t>KRONOBERGS LÄN</t>
        </is>
      </c>
      <c r="G5702" t="inlineStr">
        <is>
          <t>UPPVIDINGE</t>
        </is>
      </c>
      <c r="I5702" t="n">
        <v>3.6</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S 2394-2025</t>
        </is>
      </c>
      <c r="B5703" t="inlineStr">
        <is>
          <t>samrådsanmälan</t>
        </is>
      </c>
      <c r="C5703" t="inlineStr">
        <is>
          <t>Askåterföring</t>
        </is>
      </c>
      <c r="D5703" s="1" t="n">
        <v>45894</v>
      </c>
      <c r="E5703" s="1" t="n">
        <v>46316</v>
      </c>
      <c r="F5703" t="inlineStr">
        <is>
          <t>KRONOBERGS LÄN</t>
        </is>
      </c>
      <c r="G5703" t="inlineStr">
        <is>
          <t>LJUNGBY</t>
        </is>
      </c>
      <c r="I5703" t="n">
        <v>7.6</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S 2934-2025</t>
        </is>
      </c>
      <c r="B5704" t="inlineStr">
        <is>
          <t>samrådsanmälan</t>
        </is>
      </c>
      <c r="C5704" t="inlineStr">
        <is>
          <t>Annan skogsbruksåtgärd</t>
        </is>
      </c>
      <c r="D5704" s="1" t="n">
        <v>45951</v>
      </c>
      <c r="E5704" s="1" t="n">
        <v>46316</v>
      </c>
      <c r="F5704" t="inlineStr">
        <is>
          <t>KRONOBERGS LÄN</t>
        </is>
      </c>
      <c r="G5704" t="inlineStr">
        <is>
          <t>VÄXJÖ</t>
        </is>
      </c>
      <c r="I5704" t="n">
        <v>0.2</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S 3010-2025</t>
        </is>
      </c>
      <c r="B5705" t="inlineStr">
        <is>
          <t>samrådsanmälan</t>
        </is>
      </c>
      <c r="C5705" t="inlineStr">
        <is>
          <t>Askåterföring</t>
        </is>
      </c>
      <c r="D5705" s="1" t="n">
        <v>45958</v>
      </c>
      <c r="E5705" s="1" t="n">
        <v>46316</v>
      </c>
      <c r="F5705" t="inlineStr">
        <is>
          <t>KRONOBERGS LÄN</t>
        </is>
      </c>
      <c r="G5705" t="inlineStr">
        <is>
          <t>VÄXJÖ</t>
        </is>
      </c>
      <c r="I5705" t="n">
        <v>24</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S 3003-2025</t>
        </is>
      </c>
      <c r="B5706" t="inlineStr">
        <is>
          <t>samrådsanmälan</t>
        </is>
      </c>
      <c r="C5706" t="inlineStr">
        <is>
          <t>Annan skogsbruksåtgärd</t>
        </is>
      </c>
      <c r="D5706" s="1" t="n">
        <v>45953</v>
      </c>
      <c r="E5706" s="1" t="n">
        <v>46316</v>
      </c>
      <c r="F5706" t="inlineStr">
        <is>
          <t>KRONOBERGS LÄN</t>
        </is>
      </c>
      <c r="G5706" t="inlineStr">
        <is>
          <t>ÄLMHULT</t>
        </is>
      </c>
      <c r="I5706" t="n">
        <v>2.1</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S 3070-2025</t>
        </is>
      </c>
      <c r="B5707" t="inlineStr">
        <is>
          <t>samrådsanmälan</t>
        </is>
      </c>
      <c r="C5707" t="inlineStr">
        <is>
          <t>Askåterföring</t>
        </is>
      </c>
      <c r="D5707" s="1" t="n">
        <v>45964</v>
      </c>
      <c r="E5707" s="1" t="n">
        <v>46316</v>
      </c>
      <c r="F5707" t="inlineStr">
        <is>
          <t>KRONOBERGS LÄN</t>
        </is>
      </c>
      <c r="G5707" t="inlineStr">
        <is>
          <t>VÄXJÖ</t>
        </is>
      </c>
      <c r="I5707" t="n">
        <v>10.2</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S 3076-2025</t>
        </is>
      </c>
      <c r="B5708" t="inlineStr">
        <is>
          <t>samrådsanmälan</t>
        </is>
      </c>
      <c r="C5708" t="inlineStr">
        <is>
          <t>Annan skogsbruksåtgärd</t>
        </is>
      </c>
      <c r="D5708" s="1" t="n">
        <v>45965</v>
      </c>
      <c r="E5708" s="1" t="n">
        <v>46316</v>
      </c>
      <c r="F5708" t="inlineStr">
        <is>
          <t>KRONOBERGS LÄN</t>
        </is>
      </c>
      <c r="G5708" t="inlineStr">
        <is>
          <t>VÄXJÖ</t>
        </is>
      </c>
      <c r="I5708" t="n">
        <v>1.9</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S 3102-2025</t>
        </is>
      </c>
      <c r="B5709" t="inlineStr">
        <is>
          <t>samrådsanmälan</t>
        </is>
      </c>
      <c r="C5709" t="inlineStr">
        <is>
          <t>Annan skogsbruksåtgärd</t>
        </is>
      </c>
      <c r="D5709" s="1" t="n">
        <v>45967</v>
      </c>
      <c r="E5709" s="1" t="n">
        <v>46316</v>
      </c>
      <c r="F5709" t="inlineStr">
        <is>
          <t>KRONOBERGS LÄN</t>
        </is>
      </c>
      <c r="G5709" t="inlineStr">
        <is>
          <t>ÄLMHULT</t>
        </is>
      </c>
      <c r="I5709" t="n">
        <v>1.1</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S 3139-2025</t>
        </is>
      </c>
      <c r="B5710" t="inlineStr">
        <is>
          <t>samrådsanmälan</t>
        </is>
      </c>
      <c r="C5710" t="inlineStr">
        <is>
          <t>Askåterföring</t>
        </is>
      </c>
      <c r="D5710" s="1" t="n">
        <v>45972</v>
      </c>
      <c r="E5710" s="1" t="n">
        <v>46316</v>
      </c>
      <c r="F5710" t="inlineStr">
        <is>
          <t>KRONOBERGS LÄN</t>
        </is>
      </c>
      <c r="G5710" t="inlineStr">
        <is>
          <t>ALVESTA</t>
        </is>
      </c>
      <c r="I5710" t="n">
        <v>10.4</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S 3128-2025</t>
        </is>
      </c>
      <c r="B5711" t="inlineStr">
        <is>
          <t>samrådsanmälan</t>
        </is>
      </c>
      <c r="C5711" t="inlineStr">
        <is>
          <t>Skogsgödsling</t>
        </is>
      </c>
      <c r="D5711" s="1" t="n">
        <v>45971</v>
      </c>
      <c r="E5711" s="1" t="n">
        <v>46316</v>
      </c>
      <c r="F5711" t="inlineStr">
        <is>
          <t>KRONOBERGS LÄN</t>
        </is>
      </c>
      <c r="G5711" t="inlineStr">
        <is>
          <t>ALVESTA</t>
        </is>
      </c>
      <c r="I5711" t="n">
        <v>11.6</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S 3239-2025</t>
        </is>
      </c>
      <c r="B5712" t="inlineStr">
        <is>
          <t>samrådsanmälan</t>
        </is>
      </c>
      <c r="C5712" t="inlineStr">
        <is>
          <t>Annan skogsbruksåtgärd</t>
        </is>
      </c>
      <c r="D5712" s="1" t="n">
        <v>45981</v>
      </c>
      <c r="E5712" s="1" t="n">
        <v>46316</v>
      </c>
      <c r="F5712" t="inlineStr">
        <is>
          <t>KRONOBERGS LÄN</t>
        </is>
      </c>
      <c r="G5712" t="inlineStr">
        <is>
          <t>VÄXJÖ</t>
        </is>
      </c>
      <c r="H5712" t="inlineStr">
        <is>
          <t>Kyrkan</t>
        </is>
      </c>
      <c r="I5712" t="n">
        <v>1.3</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S 3314-2025</t>
        </is>
      </c>
      <c r="B5713" t="inlineStr">
        <is>
          <t>samrådsanmälan</t>
        </is>
      </c>
      <c r="C5713" t="inlineStr">
        <is>
          <t>Askåterföring</t>
        </is>
      </c>
      <c r="D5713" s="1" t="n">
        <v>45988</v>
      </c>
      <c r="E5713" s="1" t="n">
        <v>46316</v>
      </c>
      <c r="F5713" t="inlineStr">
        <is>
          <t>KRONOBERGS LÄN</t>
        </is>
      </c>
      <c r="G5713" t="inlineStr">
        <is>
          <t>VÄXJÖ</t>
        </is>
      </c>
      <c r="I5713" t="n">
        <v>12.7</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S 3553-2025</t>
        </is>
      </c>
      <c r="B5714" t="inlineStr">
        <is>
          <t>samrådsanmälan</t>
        </is>
      </c>
      <c r="C5714" t="inlineStr">
        <is>
          <t>Annan skogsbruksåtgärd</t>
        </is>
      </c>
      <c r="D5714" s="1" t="n">
        <v>46010</v>
      </c>
      <c r="E5714" s="1" t="n">
        <v>46316</v>
      </c>
      <c r="F5714" t="inlineStr">
        <is>
          <t>KRONOBERGS LÄN</t>
        </is>
      </c>
      <c r="G5714" t="inlineStr">
        <is>
          <t>ÄLMHULT</t>
        </is>
      </c>
      <c r="I5714" t="n">
        <v>0.3</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S 3564-2025</t>
        </is>
      </c>
      <c r="B5715" t="inlineStr">
        <is>
          <t>samrådsanmälan</t>
        </is>
      </c>
      <c r="C5715" t="inlineStr">
        <is>
          <t>Askåterföring</t>
        </is>
      </c>
      <c r="D5715" s="1" t="n">
        <v>46013</v>
      </c>
      <c r="E5715" s="1" t="n">
        <v>46316</v>
      </c>
      <c r="F5715" t="inlineStr">
        <is>
          <t>KRONOBERGS LÄN</t>
        </is>
      </c>
      <c r="G5715" t="inlineStr">
        <is>
          <t>LESSEBO</t>
        </is>
      </c>
      <c r="I5715" t="n">
        <v>55.7</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S 3565-2025</t>
        </is>
      </c>
      <c r="B5716" t="inlineStr">
        <is>
          <t>samrådsanmälan</t>
        </is>
      </c>
      <c r="C5716" t="inlineStr">
        <is>
          <t>Askåterföring</t>
        </is>
      </c>
      <c r="D5716" s="1" t="n">
        <v>46013</v>
      </c>
      <c r="E5716" s="1" t="n">
        <v>46316</v>
      </c>
      <c r="F5716" t="inlineStr">
        <is>
          <t>KRONOBERGS LÄN</t>
        </is>
      </c>
      <c r="G5716" t="inlineStr">
        <is>
          <t>LESSEBO</t>
        </is>
      </c>
      <c r="I5716" t="n">
        <v>24</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S 3552-2025</t>
        </is>
      </c>
      <c r="B5717" t="inlineStr">
        <is>
          <t>samrådsanmälan</t>
        </is>
      </c>
      <c r="C5717" t="inlineStr">
        <is>
          <t>Annan skogsbruksåtgärd</t>
        </is>
      </c>
      <c r="D5717" s="1" t="n">
        <v>46010</v>
      </c>
      <c r="E5717" s="1" t="n">
        <v>46316</v>
      </c>
      <c r="F5717" t="inlineStr">
        <is>
          <t>KRONOBERGS LÄN</t>
        </is>
      </c>
      <c r="G5717" t="inlineStr">
        <is>
          <t>ÄLMHULT</t>
        </is>
      </c>
      <c r="I5717" t="n">
        <v>0.2</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S 12-2026</t>
        </is>
      </c>
      <c r="B5718" t="inlineStr">
        <is>
          <t>samrådsanmälan</t>
        </is>
      </c>
      <c r="C5718" t="inlineStr">
        <is>
          <t>Annan skogsbruksåtgärd</t>
        </is>
      </c>
      <c r="D5718" s="1" t="n">
        <v>46027</v>
      </c>
      <c r="E5718" s="1" t="n">
        <v>46316</v>
      </c>
      <c r="F5718" t="inlineStr">
        <is>
          <t>KRONOBERGS LÄN</t>
        </is>
      </c>
      <c r="G5718" t="inlineStr">
        <is>
          <t>LJUNGBY</t>
        </is>
      </c>
      <c r="I5718" t="n">
        <v>1.8</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S 16-2026</t>
        </is>
      </c>
      <c r="B5719" t="inlineStr">
        <is>
          <t>samrådsanmälan</t>
        </is>
      </c>
      <c r="C5719" t="inlineStr">
        <is>
          <t>Askåterföring</t>
        </is>
      </c>
      <c r="D5719" s="1" t="n">
        <v>46024</v>
      </c>
      <c r="E5719" s="1" t="n">
        <v>46316</v>
      </c>
      <c r="F5719" t="inlineStr">
        <is>
          <t>KRONOBERGS LÄN</t>
        </is>
      </c>
      <c r="G5719" t="inlineStr">
        <is>
          <t>LJUNGBY</t>
        </is>
      </c>
      <c r="I5719" t="n">
        <v>13</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S 18-2026</t>
        </is>
      </c>
      <c r="B5720" t="inlineStr">
        <is>
          <t>samrådsanmälan</t>
        </is>
      </c>
      <c r="C5720" t="inlineStr">
        <is>
          <t>Askåterföring</t>
        </is>
      </c>
      <c r="D5720" s="1" t="n">
        <v>46024</v>
      </c>
      <c r="E5720" s="1" t="n">
        <v>46316</v>
      </c>
      <c r="F5720" t="inlineStr">
        <is>
          <t>KRONOBERGS LÄN</t>
        </is>
      </c>
      <c r="G5720" t="inlineStr">
        <is>
          <t>LJUNGBY</t>
        </is>
      </c>
      <c r="I5720" t="n">
        <v>15.7</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S 37-2026</t>
        </is>
      </c>
      <c r="B5721" t="inlineStr">
        <is>
          <t>samrådsanmälan</t>
        </is>
      </c>
      <c r="C5721" t="inlineStr">
        <is>
          <t>Annan skogsbruksåtgärd</t>
        </is>
      </c>
      <c r="D5721" s="1" t="n">
        <v>46029</v>
      </c>
      <c r="E5721" s="1" t="n">
        <v>46316</v>
      </c>
      <c r="F5721" t="inlineStr">
        <is>
          <t>KRONOBERGS LÄN</t>
        </is>
      </c>
      <c r="G5721" t="inlineStr">
        <is>
          <t>ÄLMHULT</t>
        </is>
      </c>
      <c r="H5721" t="inlineStr">
        <is>
          <t>Sveaskog</t>
        </is>
      </c>
      <c r="I5721" t="n">
        <v>8</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S 38-2026</t>
        </is>
      </c>
      <c r="B5722" t="inlineStr">
        <is>
          <t>samrådsanmälan</t>
        </is>
      </c>
      <c r="C5722" t="inlineStr">
        <is>
          <t>Annan skogsbruksåtgärd</t>
        </is>
      </c>
      <c r="D5722" s="1" t="n">
        <v>46029</v>
      </c>
      <c r="E5722" s="1" t="n">
        <v>46316</v>
      </c>
      <c r="F5722" t="inlineStr">
        <is>
          <t>KRONOBERGS LÄN</t>
        </is>
      </c>
      <c r="G5722" t="inlineStr">
        <is>
          <t>LJUNGBY</t>
        </is>
      </c>
      <c r="H5722" t="inlineStr">
        <is>
          <t>Sveaskog</t>
        </is>
      </c>
      <c r="I5722" t="n">
        <v>6.3</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S 35-2026</t>
        </is>
      </c>
      <c r="B5723" t="inlineStr">
        <is>
          <t>samrådsanmälan</t>
        </is>
      </c>
      <c r="C5723" t="inlineStr">
        <is>
          <t>Askåterföring</t>
        </is>
      </c>
      <c r="D5723" s="1" t="n">
        <v>46030</v>
      </c>
      <c r="E5723" s="1" t="n">
        <v>46316</v>
      </c>
      <c r="F5723" t="inlineStr">
        <is>
          <t>KRONOBERGS LÄN</t>
        </is>
      </c>
      <c r="G5723" t="inlineStr">
        <is>
          <t>UPPVIDINGE</t>
        </is>
      </c>
      <c r="I5723" t="n">
        <v>41</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S 106-2026</t>
        </is>
      </c>
      <c r="B5724" t="inlineStr">
        <is>
          <t>samrådsanmälan</t>
        </is>
      </c>
      <c r="C5724" t="inlineStr">
        <is>
          <t>Askåterföring</t>
        </is>
      </c>
      <c r="D5724" s="1" t="n">
        <v>46038</v>
      </c>
      <c r="E5724" s="1" t="n">
        <v>46316</v>
      </c>
      <c r="F5724" t="inlineStr">
        <is>
          <t>KRONOBERGS LÄN</t>
        </is>
      </c>
      <c r="G5724" t="inlineStr">
        <is>
          <t>TINGSRYD</t>
        </is>
      </c>
      <c r="I5724" t="n">
        <v>27.3</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S 119-2026</t>
        </is>
      </c>
      <c r="B5725" t="inlineStr">
        <is>
          <t>samrådsanmälan</t>
        </is>
      </c>
      <c r="C5725" t="inlineStr">
        <is>
          <t>Annan skogsbruksåtgärd</t>
        </is>
      </c>
      <c r="D5725" s="1" t="n">
        <v>46040</v>
      </c>
      <c r="E5725" s="1" t="n">
        <v>46316</v>
      </c>
      <c r="F5725" t="inlineStr">
        <is>
          <t>KRONOBERGS LÄN</t>
        </is>
      </c>
      <c r="G5725" t="inlineStr">
        <is>
          <t>ALVESTA</t>
        </is>
      </c>
      <c r="I5725" t="n">
        <v>2</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S 132-2026</t>
        </is>
      </c>
      <c r="B5726" t="inlineStr">
        <is>
          <t>samrådsanmälan</t>
        </is>
      </c>
      <c r="C5726" t="inlineStr">
        <is>
          <t>Askåterföring</t>
        </is>
      </c>
      <c r="D5726" s="1" t="n">
        <v>46042</v>
      </c>
      <c r="E5726" s="1" t="n">
        <v>46316</v>
      </c>
      <c r="F5726" t="inlineStr">
        <is>
          <t>KRONOBERGS LÄN</t>
        </is>
      </c>
      <c r="G5726" t="inlineStr">
        <is>
          <t>TINGSRYD</t>
        </is>
      </c>
      <c r="I5726" t="n">
        <v>30.2</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S 133-2026</t>
        </is>
      </c>
      <c r="B5727" t="inlineStr">
        <is>
          <t>samrådsanmälan</t>
        </is>
      </c>
      <c r="C5727" t="inlineStr">
        <is>
          <t>Askåterföring</t>
        </is>
      </c>
      <c r="D5727" s="1" t="n">
        <v>46042</v>
      </c>
      <c r="E5727" s="1" t="n">
        <v>46316</v>
      </c>
      <c r="F5727" t="inlineStr">
        <is>
          <t>KRONOBERGS LÄN</t>
        </is>
      </c>
      <c r="G5727" t="inlineStr">
        <is>
          <t>TINGSRYD</t>
        </is>
      </c>
      <c r="I5727" t="n">
        <v>6.1</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S 131-2026</t>
        </is>
      </c>
      <c r="B5728" t="inlineStr">
        <is>
          <t>samrådsanmälan</t>
        </is>
      </c>
      <c r="C5728" t="inlineStr">
        <is>
          <t>Askåterföring</t>
        </is>
      </c>
      <c r="D5728" s="1" t="n">
        <v>46042</v>
      </c>
      <c r="E5728" s="1" t="n">
        <v>46316</v>
      </c>
      <c r="F5728" t="inlineStr">
        <is>
          <t>KRONOBERGS LÄN</t>
        </is>
      </c>
      <c r="G5728" t="inlineStr">
        <is>
          <t>TINGSRYD</t>
        </is>
      </c>
      <c r="I5728" t="n">
        <v>35</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S 134-2026</t>
        </is>
      </c>
      <c r="B5729" t="inlineStr">
        <is>
          <t>samrådsanmälan</t>
        </is>
      </c>
      <c r="C5729" t="inlineStr">
        <is>
          <t>Askåterföring</t>
        </is>
      </c>
      <c r="D5729" s="1" t="n">
        <v>46042</v>
      </c>
      <c r="E5729" s="1" t="n">
        <v>46316</v>
      </c>
      <c r="F5729" t="inlineStr">
        <is>
          <t>KRONOBERGS LÄN</t>
        </is>
      </c>
      <c r="G5729" t="inlineStr">
        <is>
          <t>TINGSRYD</t>
        </is>
      </c>
      <c r="I5729" t="n">
        <v>5.3</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S 175-2026</t>
        </is>
      </c>
      <c r="B5730" t="inlineStr">
        <is>
          <t>samrådsanmälan</t>
        </is>
      </c>
      <c r="C5730" t="inlineStr">
        <is>
          <t>Askåterföring</t>
        </is>
      </c>
      <c r="D5730" s="1" t="n">
        <v>46045</v>
      </c>
      <c r="E5730" s="1" t="n">
        <v>46316</v>
      </c>
      <c r="F5730" t="inlineStr">
        <is>
          <t>KRONOBERGS LÄN</t>
        </is>
      </c>
      <c r="G5730" t="inlineStr">
        <is>
          <t>TINGSRYD</t>
        </is>
      </c>
      <c r="I5730" t="n">
        <v>13.3</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S 253-2026</t>
        </is>
      </c>
      <c r="B5731" t="inlineStr">
        <is>
          <t>samrådsanmälan</t>
        </is>
      </c>
      <c r="C5731" t="inlineStr">
        <is>
          <t>Annan skogsbruksåtgärd</t>
        </is>
      </c>
      <c r="D5731" s="1" t="n">
        <v>46049</v>
      </c>
      <c r="E5731" s="1" t="n">
        <v>46316</v>
      </c>
      <c r="F5731" t="inlineStr">
        <is>
          <t>KRONOBERGS LÄN</t>
        </is>
      </c>
      <c r="G5731" t="inlineStr">
        <is>
          <t>MARKARYD</t>
        </is>
      </c>
      <c r="I5731" t="n">
        <v>2.1</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S 276-2026</t>
        </is>
      </c>
      <c r="B5732" t="inlineStr">
        <is>
          <t>samrådsanmälan</t>
        </is>
      </c>
      <c r="C5732" t="inlineStr">
        <is>
          <t>Askåterföring</t>
        </is>
      </c>
      <c r="D5732" s="1" t="n">
        <v>46056</v>
      </c>
      <c r="E5732" s="1" t="n">
        <v>46316</v>
      </c>
      <c r="F5732" t="inlineStr">
        <is>
          <t>KRONOBERGS LÄN</t>
        </is>
      </c>
      <c r="G5732" t="inlineStr">
        <is>
          <t>ALVESTA</t>
        </is>
      </c>
      <c r="I5732" t="n">
        <v>16.2</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S 234-2026</t>
        </is>
      </c>
      <c r="B5733" t="inlineStr">
        <is>
          <t>samrådsanmälan</t>
        </is>
      </c>
      <c r="C5733" t="inlineStr">
        <is>
          <t>Annan skogsbruksåtgärd</t>
        </is>
      </c>
      <c r="D5733" s="1" t="n">
        <v>46051</v>
      </c>
      <c r="E5733" s="1" t="n">
        <v>46316</v>
      </c>
      <c r="F5733" t="inlineStr">
        <is>
          <t>KRONOBERGS LÄN</t>
        </is>
      </c>
      <c r="G5733" t="inlineStr">
        <is>
          <t>UPPVIDINGE</t>
        </is>
      </c>
      <c r="I5733" t="n">
        <v>10.5</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S 338-2026</t>
        </is>
      </c>
      <c r="B5734" t="inlineStr">
        <is>
          <t>samrådsanmälan</t>
        </is>
      </c>
      <c r="C5734" t="inlineStr">
        <is>
          <t>Annan skogsbruksåtgärd</t>
        </is>
      </c>
      <c r="D5734" s="1" t="n">
        <v>46063</v>
      </c>
      <c r="E5734" s="1" t="n">
        <v>46316</v>
      </c>
      <c r="F5734" t="inlineStr">
        <is>
          <t>KRONOBERGS LÄN</t>
        </is>
      </c>
      <c r="G5734" t="inlineStr">
        <is>
          <t>LJUNGBY</t>
        </is>
      </c>
      <c r="I5734" t="n">
        <v>2.2</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S 330-2026</t>
        </is>
      </c>
      <c r="B5735" t="inlineStr">
        <is>
          <t>samrådsanmälan</t>
        </is>
      </c>
      <c r="C5735" t="inlineStr">
        <is>
          <t>Askåterföring</t>
        </is>
      </c>
      <c r="D5735" s="1" t="n">
        <v>46062</v>
      </c>
      <c r="E5735" s="1" t="n">
        <v>46316</v>
      </c>
      <c r="F5735" t="inlineStr">
        <is>
          <t>KRONOBERGS LÄN</t>
        </is>
      </c>
      <c r="G5735" t="inlineStr">
        <is>
          <t>LJUNGBY</t>
        </is>
      </c>
      <c r="I5735" t="n">
        <v>27.9</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S 375-2026</t>
        </is>
      </c>
      <c r="B5736" t="inlineStr">
        <is>
          <t>samrådsanmälan</t>
        </is>
      </c>
      <c r="C5736" t="inlineStr">
        <is>
          <t>Askåterföring</t>
        </is>
      </c>
      <c r="D5736" s="1" t="n">
        <v>46065</v>
      </c>
      <c r="E5736" s="1" t="n">
        <v>46316</v>
      </c>
      <c r="F5736" t="inlineStr">
        <is>
          <t>KRONOBERGS LÄN</t>
        </is>
      </c>
      <c r="G5736" t="inlineStr">
        <is>
          <t>LESSEBO</t>
        </is>
      </c>
      <c r="I5736" t="n">
        <v>17.6</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S 366-2026</t>
        </is>
      </c>
      <c r="B5737" t="inlineStr">
        <is>
          <t>samrådsanmälan</t>
        </is>
      </c>
      <c r="C5737" t="inlineStr">
        <is>
          <t>Annan skogsbruksåtgärd</t>
        </is>
      </c>
      <c r="D5737" s="1" t="n">
        <v>46064</v>
      </c>
      <c r="E5737" s="1" t="n">
        <v>46316</v>
      </c>
      <c r="F5737" t="inlineStr">
        <is>
          <t>KRONOBERGS LÄN</t>
        </is>
      </c>
      <c r="G5737" t="inlineStr">
        <is>
          <t>LJUNGBY</t>
        </is>
      </c>
      <c r="I5737" t="n">
        <v>0.8</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S 416-2026</t>
        </is>
      </c>
      <c r="B5738" t="inlineStr">
        <is>
          <t>samrådsanmälan</t>
        </is>
      </c>
      <c r="C5738" t="inlineStr">
        <is>
          <t>Annan skogsbruksåtgärd</t>
        </is>
      </c>
      <c r="D5738" s="1" t="n">
        <v>46071</v>
      </c>
      <c r="E5738" s="1" t="n">
        <v>46316</v>
      </c>
      <c r="F5738" t="inlineStr">
        <is>
          <t>KRONOBERGS LÄN</t>
        </is>
      </c>
      <c r="G5738" t="inlineStr">
        <is>
          <t>ALVESTA</t>
        </is>
      </c>
      <c r="I5738" t="n">
        <v>0.6</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S 532-2026</t>
        </is>
      </c>
      <c r="B5739" t="inlineStr">
        <is>
          <t>samrådsanmälan</t>
        </is>
      </c>
      <c r="C5739" t="inlineStr">
        <is>
          <t>Annan skogsbruksåtgärd</t>
        </is>
      </c>
      <c r="D5739" s="1" t="n">
        <v>46079</v>
      </c>
      <c r="E5739" s="1" t="n">
        <v>46316</v>
      </c>
      <c r="F5739" t="inlineStr">
        <is>
          <t>KRONOBERGS LÄN</t>
        </is>
      </c>
      <c r="G5739" t="inlineStr">
        <is>
          <t>ÄLMHULT</t>
        </is>
      </c>
      <c r="I5739" t="n">
        <v>1.9</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S 705-2026</t>
        </is>
      </c>
      <c r="B5740" t="inlineStr">
        <is>
          <t>samrådsanmälan</t>
        </is>
      </c>
      <c r="C5740" t="inlineStr">
        <is>
          <t>Askåterföring</t>
        </is>
      </c>
      <c r="D5740" s="1" t="n">
        <v>46092</v>
      </c>
      <c r="E5740" s="1" t="n">
        <v>46316</v>
      </c>
      <c r="F5740" t="inlineStr">
        <is>
          <t>KRONOBERGS LÄN</t>
        </is>
      </c>
      <c r="G5740" t="inlineStr">
        <is>
          <t>VÄXJÖ</t>
        </is>
      </c>
      <c r="H5740" t="inlineStr">
        <is>
          <t>Övriga Aktiebolag</t>
        </is>
      </c>
      <c r="I5740" t="n">
        <v>7.3</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S 743-2026</t>
        </is>
      </c>
      <c r="B5741" t="inlineStr">
        <is>
          <t>samrådsanmälan</t>
        </is>
      </c>
      <c r="C5741" t="inlineStr">
        <is>
          <t>Askåterföring</t>
        </is>
      </c>
      <c r="D5741" s="1" t="n">
        <v>46094</v>
      </c>
      <c r="E5741" s="1" t="n">
        <v>46316</v>
      </c>
      <c r="F5741" t="inlineStr">
        <is>
          <t>KRONOBERGS LÄN</t>
        </is>
      </c>
      <c r="G5741" t="inlineStr">
        <is>
          <t>ÄLMHULT</t>
        </is>
      </c>
      <c r="I5741" t="n">
        <v>61.7</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S 784-2026</t>
        </is>
      </c>
      <c r="B5742" t="inlineStr">
        <is>
          <t>samrådsanmälan</t>
        </is>
      </c>
      <c r="C5742" t="inlineStr">
        <is>
          <t>Annan skogsbruksåtgärd</t>
        </is>
      </c>
      <c r="D5742" s="1" t="n">
        <v>46099</v>
      </c>
      <c r="E5742" s="1" t="n">
        <v>46316</v>
      </c>
      <c r="F5742" t="inlineStr">
        <is>
          <t>KRONOBERGS LÄN</t>
        </is>
      </c>
      <c r="G5742" t="inlineStr">
        <is>
          <t>ALVESTA</t>
        </is>
      </c>
      <c r="I5742" t="n">
        <v>5.2</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S 986-2026</t>
        </is>
      </c>
      <c r="B5743" t="inlineStr">
        <is>
          <t>samrådsanmälan</t>
        </is>
      </c>
      <c r="C5743" t="inlineStr">
        <is>
          <t>Annan skogsbruksåtgärd</t>
        </is>
      </c>
      <c r="D5743" s="1" t="n">
        <v>46119</v>
      </c>
      <c r="E5743" s="1" t="n">
        <v>46316</v>
      </c>
      <c r="F5743" t="inlineStr">
        <is>
          <t>KRONOBERGS LÄN</t>
        </is>
      </c>
      <c r="G5743" t="inlineStr">
        <is>
          <t>ÄLMHULT</t>
        </is>
      </c>
      <c r="I5743" t="n">
        <v>0.6</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S 1090-2026</t>
        </is>
      </c>
      <c r="B5744" t="inlineStr">
        <is>
          <t>samrådsanmälan</t>
        </is>
      </c>
      <c r="C5744" t="inlineStr">
        <is>
          <t>Annan skogsbruksåtgärd</t>
        </is>
      </c>
      <c r="D5744" s="1" t="n">
        <v>46132</v>
      </c>
      <c r="E5744" s="1" t="n">
        <v>46316</v>
      </c>
      <c r="F5744" t="inlineStr">
        <is>
          <t>KRONOBERGS LÄN</t>
        </is>
      </c>
      <c r="G5744" t="inlineStr">
        <is>
          <t>TINGSRYD</t>
        </is>
      </c>
      <c r="I5744" t="n">
        <v>1.8</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S 1350-2026</t>
        </is>
      </c>
      <c r="B5745" t="inlineStr">
        <is>
          <t>samrådsanmälan</t>
        </is>
      </c>
      <c r="C5745" t="inlineStr">
        <is>
          <t>Annan skogsbruksåtgärd</t>
        </is>
      </c>
      <c r="D5745" s="1" t="n">
        <v>46150</v>
      </c>
      <c r="E5745" s="1" t="n">
        <v>46316</v>
      </c>
      <c r="F5745" t="inlineStr">
        <is>
          <t>KRONOBERGS LÄN</t>
        </is>
      </c>
      <c r="G5745" t="inlineStr">
        <is>
          <t>LJUNGBY</t>
        </is>
      </c>
      <c r="I5745" t="n">
        <v>1.9</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S 1348-2026</t>
        </is>
      </c>
      <c r="B5746" t="inlineStr">
        <is>
          <t>samrådsanmälan</t>
        </is>
      </c>
      <c r="C5746" t="inlineStr">
        <is>
          <t>Annan skogsbruksåtgärd</t>
        </is>
      </c>
      <c r="D5746" s="1" t="n">
        <v>46150</v>
      </c>
      <c r="E5746" s="1" t="n">
        <v>46316</v>
      </c>
      <c r="F5746" t="inlineStr">
        <is>
          <t>KRONOBERGS LÄN</t>
        </is>
      </c>
      <c r="G5746" t="inlineStr">
        <is>
          <t>LJUNGBY</t>
        </is>
      </c>
      <c r="I5746" t="n">
        <v>1.5</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S 1393-2026</t>
        </is>
      </c>
      <c r="B5747" t="inlineStr">
        <is>
          <t>samrådsanmälan</t>
        </is>
      </c>
      <c r="C5747" t="inlineStr">
        <is>
          <t>Annan skogsbruksåtgärd</t>
        </is>
      </c>
      <c r="D5747" s="1" t="n">
        <v>46154</v>
      </c>
      <c r="E5747" s="1" t="n">
        <v>46316</v>
      </c>
      <c r="F5747" t="inlineStr">
        <is>
          <t>KRONOBERGS LÄN</t>
        </is>
      </c>
      <c r="G5747" t="inlineStr">
        <is>
          <t>LESSEBO</t>
        </is>
      </c>
      <c r="I5747" t="n">
        <v>3.4</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S 1425-2026</t>
        </is>
      </c>
      <c r="B5748" t="inlineStr">
        <is>
          <t>samrådsanmälan</t>
        </is>
      </c>
      <c r="C5748" t="inlineStr">
        <is>
          <t>Askåterföring</t>
        </is>
      </c>
      <c r="D5748" s="1" t="n">
        <v>46156</v>
      </c>
      <c r="E5748" s="1" t="n">
        <v>46316</v>
      </c>
      <c r="F5748" t="inlineStr">
        <is>
          <t>KRONOBERGS LÄN</t>
        </is>
      </c>
      <c r="G5748" t="inlineStr">
        <is>
          <t>LJUNGBY</t>
        </is>
      </c>
      <c r="I5748" t="n">
        <v>1.2</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S 1458-2026</t>
        </is>
      </c>
      <c r="B5749" t="inlineStr">
        <is>
          <t>samrådsanmälan</t>
        </is>
      </c>
      <c r="C5749" t="inlineStr">
        <is>
          <t>Askåterföring</t>
        </is>
      </c>
      <c r="D5749" s="1" t="n">
        <v>46161</v>
      </c>
      <c r="E5749" s="1" t="n">
        <v>46316</v>
      </c>
      <c r="F5749" t="inlineStr">
        <is>
          <t>KRONOBERGS LÄN</t>
        </is>
      </c>
      <c r="G5749" t="inlineStr">
        <is>
          <t>LJUNGBY</t>
        </is>
      </c>
      <c r="I5749" t="n">
        <v>45.4</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S 1459-2026</t>
        </is>
      </c>
      <c r="B5750" t="inlineStr">
        <is>
          <t>samrådsanmälan</t>
        </is>
      </c>
      <c r="C5750" t="inlineStr">
        <is>
          <t>Askåterföring</t>
        </is>
      </c>
      <c r="D5750" s="1" t="n">
        <v>46161</v>
      </c>
      <c r="E5750" s="1" t="n">
        <v>46316</v>
      </c>
      <c r="F5750" t="inlineStr">
        <is>
          <t>KRONOBERGS LÄN</t>
        </is>
      </c>
      <c r="G5750" t="inlineStr">
        <is>
          <t>LJUNGBY</t>
        </is>
      </c>
      <c r="I5750" t="n">
        <v>20.3</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S 1660-2026</t>
        </is>
      </c>
      <c r="B5751" t="inlineStr">
        <is>
          <t>samrådsanmälan</t>
        </is>
      </c>
      <c r="C5751" t="inlineStr">
        <is>
          <t>Annan skogsbruksåtgärd</t>
        </is>
      </c>
      <c r="D5751" s="1" t="n">
        <v>46181</v>
      </c>
      <c r="E5751" s="1" t="n">
        <v>46316</v>
      </c>
      <c r="F5751" t="inlineStr">
        <is>
          <t>KRONOBERGS LÄN</t>
        </is>
      </c>
      <c r="G5751" t="inlineStr">
        <is>
          <t>TINGSRYD</t>
        </is>
      </c>
      <c r="I5751" t="n">
        <v>1.6</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S 1732-2026</t>
        </is>
      </c>
      <c r="B5752" t="inlineStr">
        <is>
          <t>samrådsanmälan</t>
        </is>
      </c>
      <c r="C5752" t="inlineStr">
        <is>
          <t>Annan skogsbruksåtgärd</t>
        </is>
      </c>
      <c r="D5752" s="1" t="n">
        <v>46188</v>
      </c>
      <c r="E5752" s="1" t="n">
        <v>46316</v>
      </c>
      <c r="F5752" t="inlineStr">
        <is>
          <t>KRONOBERGS LÄN</t>
        </is>
      </c>
      <c r="G5752" t="inlineStr">
        <is>
          <t>TINGSRYD</t>
        </is>
      </c>
      <c r="I5752" t="n">
        <v>4.2</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S 1769-2026</t>
        </is>
      </c>
      <c r="B5753" t="inlineStr">
        <is>
          <t>samrådsanmälan</t>
        </is>
      </c>
      <c r="C5753" t="inlineStr">
        <is>
          <t>Annan skogsbruksåtgärd</t>
        </is>
      </c>
      <c r="D5753" s="1" t="n">
        <v>46191</v>
      </c>
      <c r="E5753" s="1" t="n">
        <v>46316</v>
      </c>
      <c r="F5753" t="inlineStr">
        <is>
          <t>KRONOBERGS LÄN</t>
        </is>
      </c>
      <c r="G5753" t="inlineStr">
        <is>
          <t>ALVESTA</t>
        </is>
      </c>
      <c r="I5753" t="n">
        <v>0.8</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S 1876-2026</t>
        </is>
      </c>
      <c r="B5754" t="inlineStr">
        <is>
          <t>samrådsanmälan</t>
        </is>
      </c>
      <c r="C5754" t="inlineStr">
        <is>
          <t>Annan skogsbruksåtgärd</t>
        </is>
      </c>
      <c r="D5754" s="1" t="n">
        <v>46202</v>
      </c>
      <c r="E5754" s="1" t="n">
        <v>46316</v>
      </c>
      <c r="F5754" t="inlineStr">
        <is>
          <t>KRONOBERGS LÄN</t>
        </is>
      </c>
      <c r="G5754" t="inlineStr">
        <is>
          <t>VÄXJÖ</t>
        </is>
      </c>
      <c r="I5754" t="n">
        <v>4.1</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S 2003-2026</t>
        </is>
      </c>
      <c r="B5755" t="inlineStr">
        <is>
          <t>samrådsanmälan</t>
        </is>
      </c>
      <c r="C5755" t="inlineStr">
        <is>
          <t>Annan skogsbruksåtgärd</t>
        </is>
      </c>
      <c r="D5755" s="1" t="n">
        <v>46209</v>
      </c>
      <c r="E5755" s="1" t="n">
        <v>46316</v>
      </c>
      <c r="F5755" t="inlineStr">
        <is>
          <t>KRONOBERGS LÄN</t>
        </is>
      </c>
      <c r="G5755" t="inlineStr">
        <is>
          <t>LJUNGBY</t>
        </is>
      </c>
      <c r="H5755" t="inlineStr">
        <is>
          <t>Kommuner</t>
        </is>
      </c>
      <c r="I5755" t="n">
        <v>6.7</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S 2141-2026</t>
        </is>
      </c>
      <c r="B5756" t="inlineStr">
        <is>
          <t>samrådsanmälan</t>
        </is>
      </c>
      <c r="C5756" t="inlineStr">
        <is>
          <t>Skogsbilväg</t>
        </is>
      </c>
      <c r="D5756" s="1" t="n">
        <v>46182</v>
      </c>
      <c r="E5756" s="1" t="n">
        <v>46316</v>
      </c>
      <c r="F5756" t="inlineStr">
        <is>
          <t>KRONOBERGS LÄN</t>
        </is>
      </c>
      <c r="G5756" t="inlineStr">
        <is>
          <t>ÄLMHULT</t>
        </is>
      </c>
      <c r="I5756" t="n">
        <v>0.1</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S 2046-2026</t>
        </is>
      </c>
      <c r="B5757" t="inlineStr">
        <is>
          <t>samrådsanmälan</t>
        </is>
      </c>
      <c r="C5757" t="inlineStr">
        <is>
          <t>Askåterföring</t>
        </is>
      </c>
      <c r="D5757" s="1" t="n">
        <v>46213</v>
      </c>
      <c r="E5757" s="1" t="n">
        <v>46316</v>
      </c>
      <c r="F5757" t="inlineStr">
        <is>
          <t>KRONOBERGS LÄN</t>
        </is>
      </c>
      <c r="G5757" t="inlineStr">
        <is>
          <t>TINGSRYD</t>
        </is>
      </c>
      <c r="I5757" t="n">
        <v>87.5</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S 2379-2026</t>
        </is>
      </c>
      <c r="B5758" t="inlineStr">
        <is>
          <t>samrådsanmälan</t>
        </is>
      </c>
      <c r="C5758" t="inlineStr">
        <is>
          <t>Annan skogsbruksåtgärd</t>
        </is>
      </c>
      <c r="D5758" s="1" t="n">
        <v>46275</v>
      </c>
      <c r="E5758" s="1" t="n">
        <v>46316</v>
      </c>
      <c r="F5758" t="inlineStr">
        <is>
          <t>KRONOBERGS LÄN</t>
        </is>
      </c>
      <c r="G5758" t="inlineStr">
        <is>
          <t>UPPVIDINGE</t>
        </is>
      </c>
      <c r="I5758" t="n">
        <v>0.9</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S 2411-2026</t>
        </is>
      </c>
      <c r="B5759" t="inlineStr">
        <is>
          <t>samrådsanmälan</t>
        </is>
      </c>
      <c r="C5759" t="inlineStr">
        <is>
          <t>Annan skogsbruksåtgärd</t>
        </is>
      </c>
      <c r="D5759" s="1" t="n">
        <v>46279</v>
      </c>
      <c r="E5759" s="1" t="n">
        <v>46316</v>
      </c>
      <c r="F5759" t="inlineStr">
        <is>
          <t>KRONOBERGS LÄN</t>
        </is>
      </c>
      <c r="G5759" t="inlineStr">
        <is>
          <t>LJUNGBY</t>
        </is>
      </c>
      <c r="H5759" t="inlineStr">
        <is>
          <t>Sveaskog</t>
        </is>
      </c>
      <c r="I5759" t="n">
        <v>1.5</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S 2408-2026</t>
        </is>
      </c>
      <c r="B5760" t="inlineStr">
        <is>
          <t>samrådsanmälan</t>
        </is>
      </c>
      <c r="C5760" t="inlineStr">
        <is>
          <t>Annan skogsbruksåtgärd</t>
        </is>
      </c>
      <c r="D5760" s="1" t="n">
        <v>46279</v>
      </c>
      <c r="E5760" s="1" t="n">
        <v>46316</v>
      </c>
      <c r="F5760" t="inlineStr">
        <is>
          <t>KRONOBERGS LÄN</t>
        </is>
      </c>
      <c r="G5760" t="inlineStr">
        <is>
          <t>LJUNGBY</t>
        </is>
      </c>
      <c r="H5760" t="inlineStr">
        <is>
          <t>Sveaskog</t>
        </is>
      </c>
      <c r="I5760" t="n">
        <v>1.3</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S 2170-2026</t>
        </is>
      </c>
      <c r="B5761" t="inlineStr">
        <is>
          <t>samrådsanmälan</t>
        </is>
      </c>
      <c r="C5761" t="inlineStr">
        <is>
          <t>Annan skogsbruksåtgärd</t>
        </is>
      </c>
      <c r="D5761" s="1" t="n">
        <v>46251</v>
      </c>
      <c r="E5761" s="1" t="n">
        <v>46316</v>
      </c>
      <c r="F5761" t="inlineStr">
        <is>
          <t>KRONOBERGS LÄN</t>
        </is>
      </c>
      <c r="G5761" t="inlineStr">
        <is>
          <t>ALVESTA</t>
        </is>
      </c>
      <c r="I5761" t="n">
        <v>2.2</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S 2592-2026</t>
        </is>
      </c>
      <c r="B5762" t="inlineStr">
        <is>
          <t>samrådsanmälan</t>
        </is>
      </c>
      <c r="C5762" t="inlineStr">
        <is>
          <t>Askåterföring</t>
        </is>
      </c>
      <c r="D5762" s="1" t="n">
        <v>46296</v>
      </c>
      <c r="E5762" s="1" t="n">
        <v>46316</v>
      </c>
      <c r="F5762" t="inlineStr">
        <is>
          <t>KRONOBERGS LÄN</t>
        </is>
      </c>
      <c r="G5762" t="inlineStr">
        <is>
          <t>ALVESTA</t>
        </is>
      </c>
      <c r="I5762" t="n">
        <v>22.6</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S 2171-2026</t>
        </is>
      </c>
      <c r="B5763" t="inlineStr">
        <is>
          <t>samrådsanmälan</t>
        </is>
      </c>
      <c r="C5763" t="inlineStr">
        <is>
          <t>Annan skogsbruksåtgärd</t>
        </is>
      </c>
      <c r="D5763" s="1" t="n">
        <v>46251</v>
      </c>
      <c r="E5763" s="1" t="n">
        <v>46316</v>
      </c>
      <c r="F5763" t="inlineStr">
        <is>
          <t>KRONOBERGS LÄN</t>
        </is>
      </c>
      <c r="G5763" t="inlineStr">
        <is>
          <t>ALVESTA</t>
        </is>
      </c>
      <c r="I5763" t="n">
        <v>0.9</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S 2599-2026</t>
        </is>
      </c>
      <c r="B5764" t="inlineStr">
        <is>
          <t>samrådsanmälan</t>
        </is>
      </c>
      <c r="C5764" t="inlineStr">
        <is>
          <t>Annan skogsbruksåtgärd</t>
        </is>
      </c>
      <c r="D5764" s="1" t="n">
        <v>46300</v>
      </c>
      <c r="E5764" s="1" t="n">
        <v>46316</v>
      </c>
      <c r="F5764" t="inlineStr">
        <is>
          <t>KRONOBERGS LÄN</t>
        </is>
      </c>
      <c r="G5764" t="inlineStr">
        <is>
          <t>VÄXJÖ</t>
        </is>
      </c>
      <c r="I5764" t="n">
        <v>9.6</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S 2591-2026</t>
        </is>
      </c>
      <c r="B5765" t="inlineStr">
        <is>
          <t>samrådsanmälan</t>
        </is>
      </c>
      <c r="C5765" t="inlineStr">
        <is>
          <t>Askåterföring</t>
        </is>
      </c>
      <c r="D5765" s="1" t="n">
        <v>46296</v>
      </c>
      <c r="E5765" s="1" t="n">
        <v>46316</v>
      </c>
      <c r="F5765" t="inlineStr">
        <is>
          <t>KRONOBERGS LÄN</t>
        </is>
      </c>
      <c r="G5765" t="inlineStr">
        <is>
          <t>ALVESTA</t>
        </is>
      </c>
      <c r="I5765" t="n">
        <v>22.4</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S 2419-2026</t>
        </is>
      </c>
      <c r="B5766" t="inlineStr">
        <is>
          <t>samrådsanmälan</t>
        </is>
      </c>
      <c r="C5766" t="inlineStr">
        <is>
          <t>Askåterföring</t>
        </is>
      </c>
      <c r="D5766" s="1" t="n">
        <v>46280</v>
      </c>
      <c r="E5766" s="1" t="n">
        <v>46316</v>
      </c>
      <c r="F5766" t="inlineStr">
        <is>
          <t>KRONOBERGS LÄN</t>
        </is>
      </c>
      <c r="G5766" t="inlineStr">
        <is>
          <t>UPPVIDINGE</t>
        </is>
      </c>
      <c r="H5766" t="inlineStr">
        <is>
          <t>Kyrkan</t>
        </is>
      </c>
      <c r="I5766" t="n">
        <v>68.8</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S 2265-2026</t>
        </is>
      </c>
      <c r="B5767" t="inlineStr">
        <is>
          <t>samrådsanmälan</t>
        </is>
      </c>
      <c r="C5767" t="inlineStr">
        <is>
          <t>Annan skogsbruksåtgärd</t>
        </is>
      </c>
      <c r="D5767" s="1" t="n">
        <v>46262</v>
      </c>
      <c r="E5767" s="1" t="n">
        <v>46316</v>
      </c>
      <c r="F5767" t="inlineStr">
        <is>
          <t>KRONOBERGS LÄN</t>
        </is>
      </c>
      <c r="G5767" t="inlineStr">
        <is>
          <t>VÄXJÖ</t>
        </is>
      </c>
      <c r="I5767" t="n">
        <v>7.6</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S 2644-2026</t>
        </is>
      </c>
      <c r="B5768" t="inlineStr">
        <is>
          <t>samrådsanmälan</t>
        </is>
      </c>
      <c r="C5768" t="inlineStr">
        <is>
          <t>Askåterföring</t>
        </is>
      </c>
      <c r="D5768" s="1" t="n">
        <v>46304</v>
      </c>
      <c r="E5768" s="1" t="n">
        <v>46316</v>
      </c>
      <c r="F5768" t="inlineStr">
        <is>
          <t>KRONOBERGS LÄN</t>
        </is>
      </c>
      <c r="G5768" t="inlineStr">
        <is>
          <t>ALVESTA</t>
        </is>
      </c>
      <c r="I5768" t="n">
        <v>19</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S 2642-2026</t>
        </is>
      </c>
      <c r="B5769" t="inlineStr">
        <is>
          <t>samrådsanmälan</t>
        </is>
      </c>
      <c r="C5769" t="inlineStr">
        <is>
          <t>Annan skogsbruksåtgärd</t>
        </is>
      </c>
      <c r="D5769" s="1" t="n">
        <v>46304</v>
      </c>
      <c r="E5769" s="1" t="n">
        <v>46316</v>
      </c>
      <c r="F5769" t="inlineStr">
        <is>
          <t>KRONOBERGS LÄN</t>
        </is>
      </c>
      <c r="G5769" t="inlineStr">
        <is>
          <t>VÄXJÖ</t>
        </is>
      </c>
      <c r="I5769" t="n">
        <v>1.2</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S 2627-2026</t>
        </is>
      </c>
      <c r="B5770" t="inlineStr">
        <is>
          <t>samrådsanmälan</t>
        </is>
      </c>
      <c r="C5770" t="inlineStr">
        <is>
          <t>Askåterföring</t>
        </is>
      </c>
      <c r="D5770" s="1" t="n">
        <v>46302</v>
      </c>
      <c r="E5770" s="1" t="n">
        <v>46316</v>
      </c>
      <c r="F5770" t="inlineStr">
        <is>
          <t>KRONOBERGS LÄN</t>
        </is>
      </c>
      <c r="G5770" t="inlineStr">
        <is>
          <t>LESSEBO</t>
        </is>
      </c>
      <c r="I5770" t="n">
        <v>29.3</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S 2643-2026</t>
        </is>
      </c>
      <c r="B5771" t="inlineStr">
        <is>
          <t>samrådsanmälan</t>
        </is>
      </c>
      <c r="C5771" t="inlineStr">
        <is>
          <t>Stubbskörd</t>
        </is>
      </c>
      <c r="D5771" s="1" t="n">
        <v>46304</v>
      </c>
      <c r="E5771" s="1" t="n">
        <v>46316</v>
      </c>
      <c r="F5771" t="inlineStr">
        <is>
          <t>KRONOBERGS LÄN</t>
        </is>
      </c>
      <c r="G5771" t="inlineStr">
        <is>
          <t>ALVESTA</t>
        </is>
      </c>
      <c r="I5771" t="n">
        <v>0.3</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S 2286-2026</t>
        </is>
      </c>
      <c r="B5772" t="inlineStr">
        <is>
          <t>samrådsanmälan</t>
        </is>
      </c>
      <c r="C5772" t="inlineStr">
        <is>
          <t>Askåterföring</t>
        </is>
      </c>
      <c r="D5772" s="1" t="n">
        <v>46266</v>
      </c>
      <c r="E5772" s="1" t="n">
        <v>46316</v>
      </c>
      <c r="F5772" t="inlineStr">
        <is>
          <t>KRONOBERGS LÄN</t>
        </is>
      </c>
      <c r="G5772" t="inlineStr">
        <is>
          <t>LJUNGBY</t>
        </is>
      </c>
      <c r="I5772" t="n">
        <v>13.4</v>
      </c>
      <c r="J5772" t="n">
        <v>0</v>
      </c>
      <c r="K5772" t="n">
        <v>0</v>
      </c>
      <c r="L5772" t="n">
        <v>0</v>
      </c>
      <c r="M5772" t="n">
        <v>0</v>
      </c>
      <c r="N5772" t="n">
        <v>0</v>
      </c>
      <c r="O5772" t="n">
        <v>0</v>
      </c>
      <c r="P5772" t="n">
        <v>0</v>
      </c>
      <c r="Q5772" t="n">
        <v>0</v>
      </c>
      <c r="R5772" t="n">
        <v>0</v>
      </c>
      <c r="S5772" t="n">
        <v>0</v>
      </c>
      <c r="T5772" t="n">
        <v>0</v>
      </c>
      <c r="U5772" t="n">
        <v>0</v>
      </c>
      <c r="V5772" s="2" t="inlineStr"/>
    </row>
    <row r="5773">
      <c r="A5773" t="inlineStr">
        <is>
          <t>S 2715-2026</t>
        </is>
      </c>
      <c r="B5773" t="inlineStr">
        <is>
          <t>samrådsanmälan</t>
        </is>
      </c>
      <c r="C5773" t="inlineStr">
        <is>
          <t>Annan skogsbruksåtgärd</t>
        </is>
      </c>
      <c r="D5773" s="1" t="n">
        <v>46314</v>
      </c>
      <c r="E5773" s="1" t="n">
        <v>46316</v>
      </c>
      <c r="F5773" t="inlineStr">
        <is>
          <t>KRONOBERGS LÄN</t>
        </is>
      </c>
      <c r="G5773" t="inlineStr">
        <is>
          <t>TINGSRYD</t>
        </is>
      </c>
      <c r="I5773" t="n">
        <v>0.3</v>
      </c>
      <c r="J5773" t="n">
        <v>0</v>
      </c>
      <c r="K5773" t="n">
        <v>0</v>
      </c>
      <c r="L5773" t="n">
        <v>0</v>
      </c>
      <c r="M5773" t="n">
        <v>0</v>
      </c>
      <c r="N5773" t="n">
        <v>0</v>
      </c>
      <c r="O5773" t="n">
        <v>0</v>
      </c>
      <c r="P5773" t="n">
        <v>0</v>
      </c>
      <c r="Q5773" t="n">
        <v>0</v>
      </c>
      <c r="R5773" t="n">
        <v>0</v>
      </c>
      <c r="S5773" t="n">
        <v>0</v>
      </c>
      <c r="T5773" t="n">
        <v>0</v>
      </c>
      <c r="U5773" t="n">
        <v>0</v>
      </c>
      <c r="V577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2026-10-21T02:00:40Z</dcterms:created>
  <dcterms:modified xmlns:dcterms="http://purl.org/dc/terms/" xmlns:xsi="http://www.w3.org/2001/XMLSchema-instance" xsi:type="dcterms:W3CDTF">2026-10-21T02:00:46Z</dcterms:modified>
</cp:coreProperties>
</file>