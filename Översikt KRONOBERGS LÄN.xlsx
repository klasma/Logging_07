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45667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45667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45667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45667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45667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45667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45667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45667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45667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45667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45667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45667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45667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45667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45667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45667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45667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45667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45667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45667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45667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45667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45667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45667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45667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45667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45667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45667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45667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45667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45667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45667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45667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45667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45667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45667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45667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45667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45667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45667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45667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45667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45667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45667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45667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45667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45667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45667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45667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45667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45667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45667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45667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45667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45667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45667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45667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45667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45667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45667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45667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45667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45667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45667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45667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45667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45667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45667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45667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45667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45667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45667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45667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45667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45667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45667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45667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45667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45667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45667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45667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45667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45667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45667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45667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45667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45667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45667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45667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45667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45667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45667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45667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45667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45667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45667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45667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45667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45667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45667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45667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45667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45667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45667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45667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45667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45667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45667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45667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45667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45667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45667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45667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45667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45667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45667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45667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45667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45667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45667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45667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45667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45667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45667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45667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45667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45667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45667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45667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45667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45667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45667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45667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45667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45667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45667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45667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45667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45667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45667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45667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45667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45667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45667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45667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45667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45667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45667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45667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45667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45667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45667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45667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45667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45667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45667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45667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45667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45667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45667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45667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45667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45667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45667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45667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45667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45667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45667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45667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45667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45667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45667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45667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45667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45667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45667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45667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45667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45667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45667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45667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45667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45667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45667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45667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45667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45667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45667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45667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45667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45667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45667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45667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45667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45667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45667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45667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45667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45667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45667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45667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45667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45667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45667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45667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45667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45667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45667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45667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45667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45667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45667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45667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45667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45667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45667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45667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45667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45667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45667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45667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45667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45667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45667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45667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45667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45667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45667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45667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45667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45667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45667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45667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45667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45667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430-2025</t>
        </is>
      </c>
      <c r="B297" s="1" t="n">
        <v>45664</v>
      </c>
      <c r="C297" s="1" t="n">
        <v>45667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HYPERLINK("https://klasma.github.io/Logging_0764/artfynd/A 430-2025 artfynd.xlsx", "A 430-2025")</f>
        <v/>
      </c>
      <c r="T297">
        <f>HYPERLINK("https://klasma.github.io/Logging_0764/kartor/A 430-2025 karta.png", "A 430-2025")</f>
        <v/>
      </c>
      <c r="V297">
        <f>HYPERLINK("https://klasma.github.io/Logging_0764/klagomål/A 430-2025 FSC-klagomål.docx", "A 430-2025")</f>
        <v/>
      </c>
      <c r="W297">
        <f>HYPERLINK("https://klasma.github.io/Logging_0764/klagomålsmail/A 430-2025 FSC-klagomål mail.docx", "A 430-2025")</f>
        <v/>
      </c>
      <c r="X297">
        <f>HYPERLINK("https://klasma.github.io/Logging_0764/tillsyn/A 430-2025 tillsynsbegäran.docx", "A 430-2025")</f>
        <v/>
      </c>
      <c r="Y297">
        <f>HYPERLINK("https://klasma.github.io/Logging_0764/tillsynsmail/A 430-2025 tillsynsbegäran mail.docx", "A 430-2025")</f>
        <v/>
      </c>
      <c r="Z297">
        <f>HYPERLINK("https://klasma.github.io/Logging_0764/fåglar/A 430-2025 prioriterade fågelarter.docx", "A 430-2025")</f>
        <v/>
      </c>
    </row>
    <row r="298" ht="15" customHeight="1">
      <c r="A298" t="inlineStr">
        <is>
          <t>A 792-2025</t>
        </is>
      </c>
      <c r="B298" s="1" t="n">
        <v>45665</v>
      </c>
      <c r="C298" s="1" t="n">
        <v>45667</v>
      </c>
      <c r="D298" t="inlineStr">
        <is>
          <t>KRONOBERGS LÄN</t>
        </is>
      </c>
      <c r="E298" t="inlineStr">
        <is>
          <t>ÄLMHULT</t>
        </is>
      </c>
      <c r="G298" t="n">
        <v>6.1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HYPERLINK("https://klasma.github.io/Logging_0765/artfynd/A 792-2025 artfynd.xlsx", "A 792-2025")</f>
        <v/>
      </c>
      <c r="T298">
        <f>HYPERLINK("https://klasma.github.io/Logging_0765/kartor/A 792-2025 karta.png", "A 792-2025")</f>
        <v/>
      </c>
      <c r="V298">
        <f>HYPERLINK("https://klasma.github.io/Logging_0765/klagomål/A 792-2025 FSC-klagomål.docx", "A 792-2025")</f>
        <v/>
      </c>
      <c r="W298">
        <f>HYPERLINK("https://klasma.github.io/Logging_0765/klagomålsmail/A 792-2025 FSC-klagomål mail.docx", "A 792-2025")</f>
        <v/>
      </c>
      <c r="X298">
        <f>HYPERLINK("https://klasma.github.io/Logging_0765/tillsyn/A 792-2025 tillsynsbegäran.docx", "A 792-2025")</f>
        <v/>
      </c>
      <c r="Y298">
        <f>HYPERLINK("https://klasma.github.io/Logging_0765/tillsynsmail/A 792-2025 tillsynsbegäran mail.docx", "A 792-2025")</f>
        <v/>
      </c>
    </row>
    <row r="299" ht="15" customHeight="1">
      <c r="A299" t="inlineStr">
        <is>
          <t>A 17746-2019</t>
        </is>
      </c>
      <c r="B299" s="1" t="n">
        <v>43556</v>
      </c>
      <c r="C299" s="1" t="n">
        <v>45667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17832-2019</t>
        </is>
      </c>
      <c r="B300" s="1" t="n">
        <v>43556</v>
      </c>
      <c r="C300" s="1" t="n">
        <v>45667</v>
      </c>
      <c r="D300" t="inlineStr">
        <is>
          <t>KRONOBERGS LÄN</t>
        </is>
      </c>
      <c r="E300" t="inlineStr">
        <is>
          <t>UPPVIDINGE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17840-2019</t>
        </is>
      </c>
      <c r="B301" s="1" t="n">
        <v>43556</v>
      </c>
      <c r="C301" s="1" t="n">
        <v>45667</v>
      </c>
      <c r="D301" t="inlineStr">
        <is>
          <t>KRONOBERGS LÄN</t>
        </is>
      </c>
      <c r="E301" t="inlineStr">
        <is>
          <t>ÄLMHULT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17709-2019</t>
        </is>
      </c>
      <c r="B302" s="1" t="n">
        <v>43556</v>
      </c>
      <c r="C302" s="1" t="n">
        <v>45667</v>
      </c>
      <c r="D302" t="inlineStr">
        <is>
          <t>KRONOBERGS LÄN</t>
        </is>
      </c>
      <c r="E302" t="inlineStr">
        <is>
          <t>LJUNGBY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18005-2019</t>
        </is>
      </c>
      <c r="B303" s="1" t="n">
        <v>43556</v>
      </c>
      <c r="C303" s="1" t="n">
        <v>45667</v>
      </c>
      <c r="D303" t="inlineStr">
        <is>
          <t>KRONOBERGS LÄN</t>
        </is>
      </c>
      <c r="E303" t="inlineStr">
        <is>
          <t>TINGSRYD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18046-2019</t>
        </is>
      </c>
      <c r="B304" s="1" t="n">
        <v>43557</v>
      </c>
      <c r="C304" s="1" t="n">
        <v>45667</v>
      </c>
      <c r="D304" t="inlineStr">
        <is>
          <t>KRONOBERGS LÄN</t>
        </is>
      </c>
      <c r="E304" t="inlineStr">
        <is>
          <t>TINGSRYD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18025-2019</t>
        </is>
      </c>
      <c r="B305" s="1" t="n">
        <v>43557</v>
      </c>
      <c r="C305" s="1" t="n">
        <v>45667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18007-2019</t>
        </is>
      </c>
      <c r="B306" s="1" t="n">
        <v>43557</v>
      </c>
      <c r="C306" s="1" t="n">
        <v>45667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18084-2019</t>
        </is>
      </c>
      <c r="B307" s="1" t="n">
        <v>43558</v>
      </c>
      <c r="C307" s="1" t="n">
        <v>45667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18263-2019</t>
        </is>
      </c>
      <c r="B308" s="1" t="n">
        <v>43558</v>
      </c>
      <c r="C308" s="1" t="n">
        <v>45667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18280-2019</t>
        </is>
      </c>
      <c r="B309" s="1" t="n">
        <v>43558</v>
      </c>
      <c r="C309" s="1" t="n">
        <v>45667</v>
      </c>
      <c r="D309" t="inlineStr">
        <is>
          <t>KRONOBERGS LÄN</t>
        </is>
      </c>
      <c r="E309" t="inlineStr">
        <is>
          <t>MARKARYD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18089-2019</t>
        </is>
      </c>
      <c r="B310" s="1" t="n">
        <v>43558</v>
      </c>
      <c r="C310" s="1" t="n">
        <v>45667</v>
      </c>
      <c r="D310" t="inlineStr">
        <is>
          <t>KRONOBERGS LÄN</t>
        </is>
      </c>
      <c r="E310" t="inlineStr">
        <is>
          <t>LJUNGBY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18634-2019</t>
        </is>
      </c>
      <c r="B311" s="1" t="n">
        <v>43560</v>
      </c>
      <c r="C311" s="1" t="n">
        <v>45667</v>
      </c>
      <c r="D311" t="inlineStr">
        <is>
          <t>KRONOBERGS LÄN</t>
        </is>
      </c>
      <c r="E311" t="inlineStr">
        <is>
          <t>LJUNGBY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18725-2019</t>
        </is>
      </c>
      <c r="B312" s="1" t="n">
        <v>43560</v>
      </c>
      <c r="C312" s="1" t="n">
        <v>45667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18637-2019</t>
        </is>
      </c>
      <c r="B313" s="1" t="n">
        <v>43560</v>
      </c>
      <c r="C313" s="1" t="n">
        <v>45667</v>
      </c>
      <c r="D313" t="inlineStr">
        <is>
          <t>KRONOBERGS LÄN</t>
        </is>
      </c>
      <c r="E313" t="inlineStr">
        <is>
          <t>ALVESTA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18677-2019</t>
        </is>
      </c>
      <c r="B314" s="1" t="n">
        <v>43560</v>
      </c>
      <c r="C314" s="1" t="n">
        <v>45667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18726-2019</t>
        </is>
      </c>
      <c r="B315" s="1" t="n">
        <v>43560</v>
      </c>
      <c r="C315" s="1" t="n">
        <v>45667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18594-2019</t>
        </is>
      </c>
      <c r="B316" s="1" t="n">
        <v>43560</v>
      </c>
      <c r="C316" s="1" t="n">
        <v>45667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18742-2019</t>
        </is>
      </c>
      <c r="B317" s="1" t="n">
        <v>43560</v>
      </c>
      <c r="C317" s="1" t="n">
        <v>45667</v>
      </c>
      <c r="D317" t="inlineStr">
        <is>
          <t>KRONOBERGS LÄN</t>
        </is>
      </c>
      <c r="E317" t="inlineStr">
        <is>
          <t>UPPVIDINGE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18775-2019</t>
        </is>
      </c>
      <c r="B318" s="1" t="n">
        <v>43561</v>
      </c>
      <c r="C318" s="1" t="n">
        <v>45667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18945-2019</t>
        </is>
      </c>
      <c r="B319" s="1" t="n">
        <v>43563</v>
      </c>
      <c r="C319" s="1" t="n">
        <v>45667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18983-2019</t>
        </is>
      </c>
      <c r="B320" s="1" t="n">
        <v>43563</v>
      </c>
      <c r="C320" s="1" t="n">
        <v>45667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18974-2019</t>
        </is>
      </c>
      <c r="B321" s="1" t="n">
        <v>43563</v>
      </c>
      <c r="C321" s="1" t="n">
        <v>45667</v>
      </c>
      <c r="D321" t="inlineStr">
        <is>
          <t>KRONOBERGS LÄN</t>
        </is>
      </c>
      <c r="E321" t="inlineStr">
        <is>
          <t>UPPVIDINGE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19002-2019</t>
        </is>
      </c>
      <c r="B322" s="1" t="n">
        <v>43563</v>
      </c>
      <c r="C322" s="1" t="n">
        <v>45667</v>
      </c>
      <c r="D322" t="inlineStr">
        <is>
          <t>KRONOBERGS LÄN</t>
        </is>
      </c>
      <c r="E322" t="inlineStr">
        <is>
          <t>TINGSRYD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19241-2019</t>
        </is>
      </c>
      <c r="B323" s="1" t="n">
        <v>43564</v>
      </c>
      <c r="C323" s="1" t="n">
        <v>45667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19217-2019</t>
        </is>
      </c>
      <c r="B324" s="1" t="n">
        <v>43564</v>
      </c>
      <c r="C324" s="1" t="n">
        <v>45667</v>
      </c>
      <c r="D324" t="inlineStr">
        <is>
          <t>KRONOBERGS LÄN</t>
        </is>
      </c>
      <c r="E324" t="inlineStr">
        <is>
          <t>MARKARYD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19420-2019</t>
        </is>
      </c>
      <c r="B325" s="1" t="n">
        <v>43565</v>
      </c>
      <c r="C325" s="1" t="n">
        <v>45667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19509-2019</t>
        </is>
      </c>
      <c r="B326" s="1" t="n">
        <v>43565</v>
      </c>
      <c r="C326" s="1" t="n">
        <v>45667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19376-2019</t>
        </is>
      </c>
      <c r="B327" s="1" t="n">
        <v>43565</v>
      </c>
      <c r="C327" s="1" t="n">
        <v>45667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19506-2019</t>
        </is>
      </c>
      <c r="B328" s="1" t="n">
        <v>43565</v>
      </c>
      <c r="C328" s="1" t="n">
        <v>45667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19399-2019</t>
        </is>
      </c>
      <c r="B329" s="1" t="n">
        <v>43565</v>
      </c>
      <c r="C329" s="1" t="n">
        <v>45667</v>
      </c>
      <c r="D329" t="inlineStr">
        <is>
          <t>KRONOBERGS LÄN</t>
        </is>
      </c>
      <c r="E329" t="inlineStr">
        <is>
          <t>UPPVIDINGE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19590-2019</t>
        </is>
      </c>
      <c r="B330" s="1" t="n">
        <v>43566</v>
      </c>
      <c r="C330" s="1" t="n">
        <v>45667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19687-2019</t>
        </is>
      </c>
      <c r="B331" s="1" t="n">
        <v>43566</v>
      </c>
      <c r="C331" s="1" t="n">
        <v>45667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19586-2019</t>
        </is>
      </c>
      <c r="B332" s="1" t="n">
        <v>43566</v>
      </c>
      <c r="C332" s="1" t="n">
        <v>45667</v>
      </c>
      <c r="D332" t="inlineStr">
        <is>
          <t>KRONOBERGS LÄN</t>
        </is>
      </c>
      <c r="E332" t="inlineStr">
        <is>
          <t>LJUNGBY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19816-2019</t>
        </is>
      </c>
      <c r="B333" s="1" t="n">
        <v>43567</v>
      </c>
      <c r="C333" s="1" t="n">
        <v>45667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19948-2019</t>
        </is>
      </c>
      <c r="B334" s="1" t="n">
        <v>43569</v>
      </c>
      <c r="C334" s="1" t="n">
        <v>45667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19949-2019</t>
        </is>
      </c>
      <c r="B335" s="1" t="n">
        <v>43569</v>
      </c>
      <c r="C335" s="1" t="n">
        <v>45667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20123-2019</t>
        </is>
      </c>
      <c r="B336" s="1" t="n">
        <v>43570</v>
      </c>
      <c r="C336" s="1" t="n">
        <v>45667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20369-2019</t>
        </is>
      </c>
      <c r="B337" s="1" t="n">
        <v>43571</v>
      </c>
      <c r="C337" s="1" t="n">
        <v>45667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20212-2019</t>
        </is>
      </c>
      <c r="B338" s="1" t="n">
        <v>43571</v>
      </c>
      <c r="C338" s="1" t="n">
        <v>45667</v>
      </c>
      <c r="D338" t="inlineStr">
        <is>
          <t>KRONOBERGS LÄN</t>
        </is>
      </c>
      <c r="E338" t="inlineStr">
        <is>
          <t>LJUNGBY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20598-2019</t>
        </is>
      </c>
      <c r="B339" s="1" t="n">
        <v>43572</v>
      </c>
      <c r="C339" s="1" t="n">
        <v>45667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20542-2019</t>
        </is>
      </c>
      <c r="B340" s="1" t="n">
        <v>43572</v>
      </c>
      <c r="C340" s="1" t="n">
        <v>45667</v>
      </c>
      <c r="D340" t="inlineStr">
        <is>
          <t>KRONOBERGS LÄN</t>
        </is>
      </c>
      <c r="E340" t="inlineStr">
        <is>
          <t>LJUNGBY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20543-2019</t>
        </is>
      </c>
      <c r="B341" s="1" t="n">
        <v>43572</v>
      </c>
      <c r="C341" s="1" t="n">
        <v>45667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20545-2019</t>
        </is>
      </c>
      <c r="B342" s="1" t="n">
        <v>43572</v>
      </c>
      <c r="C342" s="1" t="n">
        <v>45667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20526-2019</t>
        </is>
      </c>
      <c r="B343" s="1" t="n">
        <v>43572</v>
      </c>
      <c r="C343" s="1" t="n">
        <v>45667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20708-2019</t>
        </is>
      </c>
      <c r="B344" s="1" t="n">
        <v>43573</v>
      </c>
      <c r="C344" s="1" t="n">
        <v>45667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20658-2019</t>
        </is>
      </c>
      <c r="B345" s="1" t="n">
        <v>43573</v>
      </c>
      <c r="C345" s="1" t="n">
        <v>45667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20665-2019</t>
        </is>
      </c>
      <c r="B346" s="1" t="n">
        <v>43573</v>
      </c>
      <c r="C346" s="1" t="n">
        <v>45667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20663-2019</t>
        </is>
      </c>
      <c r="B347" s="1" t="n">
        <v>43573</v>
      </c>
      <c r="C347" s="1" t="n">
        <v>45667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20662-2019</t>
        </is>
      </c>
      <c r="B348" s="1" t="n">
        <v>43573</v>
      </c>
      <c r="C348" s="1" t="n">
        <v>45667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20944-2019</t>
        </is>
      </c>
      <c r="B349" s="1" t="n">
        <v>43578</v>
      </c>
      <c r="C349" s="1" t="n">
        <v>45667</v>
      </c>
      <c r="D349" t="inlineStr">
        <is>
          <t>KRONOBERGS LÄN</t>
        </is>
      </c>
      <c r="E349" t="inlineStr">
        <is>
          <t>VÄXJÖ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21043-2019</t>
        </is>
      </c>
      <c r="B350" s="1" t="n">
        <v>43578</v>
      </c>
      <c r="C350" s="1" t="n">
        <v>45667</v>
      </c>
      <c r="D350" t="inlineStr">
        <is>
          <t>KRONOBERGS LÄN</t>
        </is>
      </c>
      <c r="E350" t="inlineStr">
        <is>
          <t>TINGSRYD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21057-2019</t>
        </is>
      </c>
      <c r="B351" s="1" t="n">
        <v>43578</v>
      </c>
      <c r="C351" s="1" t="n">
        <v>45667</v>
      </c>
      <c r="D351" t="inlineStr">
        <is>
          <t>KRONOBERGS LÄN</t>
        </is>
      </c>
      <c r="E351" t="inlineStr">
        <is>
          <t>TINGSRYD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20938-2019</t>
        </is>
      </c>
      <c r="B352" s="1" t="n">
        <v>43578</v>
      </c>
      <c r="C352" s="1" t="n">
        <v>45667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20988-2019</t>
        </is>
      </c>
      <c r="B353" s="1" t="n">
        <v>43578</v>
      </c>
      <c r="C353" s="1" t="n">
        <v>45667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21076-2019</t>
        </is>
      </c>
      <c r="B354" s="1" t="n">
        <v>43578</v>
      </c>
      <c r="C354" s="1" t="n">
        <v>45667</v>
      </c>
      <c r="D354" t="inlineStr">
        <is>
          <t>KRONOBERGS LÄN</t>
        </is>
      </c>
      <c r="E354" t="inlineStr">
        <is>
          <t>VÄXJÖ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21053-2019</t>
        </is>
      </c>
      <c r="B355" s="1" t="n">
        <v>43578</v>
      </c>
      <c r="C355" s="1" t="n">
        <v>45667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21048-2019</t>
        </is>
      </c>
      <c r="B356" s="1" t="n">
        <v>43578</v>
      </c>
      <c r="C356" s="1" t="n">
        <v>45667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21176-2019</t>
        </is>
      </c>
      <c r="B357" s="1" t="n">
        <v>43579</v>
      </c>
      <c r="C357" s="1" t="n">
        <v>45667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21179-2019</t>
        </is>
      </c>
      <c r="B358" s="1" t="n">
        <v>43579</v>
      </c>
      <c r="C358" s="1" t="n">
        <v>45667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21152-2019</t>
        </is>
      </c>
      <c r="B359" s="1" t="n">
        <v>43579</v>
      </c>
      <c r="C359" s="1" t="n">
        <v>45667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21231-2019</t>
        </is>
      </c>
      <c r="B360" s="1" t="n">
        <v>43579</v>
      </c>
      <c r="C360" s="1" t="n">
        <v>45667</v>
      </c>
      <c r="D360" t="inlineStr">
        <is>
          <t>KRONOBERGS LÄN</t>
        </is>
      </c>
      <c r="E360" t="inlineStr">
        <is>
          <t>ÄLMHULT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21317-2019</t>
        </is>
      </c>
      <c r="B361" s="1" t="n">
        <v>43579</v>
      </c>
      <c r="C361" s="1" t="n">
        <v>45667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21313-2019</t>
        </is>
      </c>
      <c r="B362" s="1" t="n">
        <v>43579</v>
      </c>
      <c r="C362" s="1" t="n">
        <v>45667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21318-2019</t>
        </is>
      </c>
      <c r="B363" s="1" t="n">
        <v>43579</v>
      </c>
      <c r="C363" s="1" t="n">
        <v>45667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21314-2019</t>
        </is>
      </c>
      <c r="B364" s="1" t="n">
        <v>43579</v>
      </c>
      <c r="C364" s="1" t="n">
        <v>45667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21320-2019</t>
        </is>
      </c>
      <c r="B365" s="1" t="n">
        <v>43579</v>
      </c>
      <c r="C365" s="1" t="n">
        <v>45667</v>
      </c>
      <c r="D365" t="inlineStr">
        <is>
          <t>KRONOBERGS LÄN</t>
        </is>
      </c>
      <c r="E365" t="inlineStr">
        <is>
          <t>TINGSRYD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21564-2019</t>
        </is>
      </c>
      <c r="B366" s="1" t="n">
        <v>43580</v>
      </c>
      <c r="C366" s="1" t="n">
        <v>45667</v>
      </c>
      <c r="D366" t="inlineStr">
        <is>
          <t>KRONOBERGS LÄN</t>
        </is>
      </c>
      <c r="E366" t="inlineStr">
        <is>
          <t>MARKARYD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21488-2019</t>
        </is>
      </c>
      <c r="B367" s="1" t="n">
        <v>43580</v>
      </c>
      <c r="C367" s="1" t="n">
        <v>45667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21712-2019</t>
        </is>
      </c>
      <c r="B368" s="1" t="n">
        <v>43581</v>
      </c>
      <c r="C368" s="1" t="n">
        <v>45667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21665-2019</t>
        </is>
      </c>
      <c r="B369" s="1" t="n">
        <v>43581</v>
      </c>
      <c r="C369" s="1" t="n">
        <v>45667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21626-2019</t>
        </is>
      </c>
      <c r="B370" s="1" t="n">
        <v>43581</v>
      </c>
      <c r="C370" s="1" t="n">
        <v>45667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21881-2019</t>
        </is>
      </c>
      <c r="B371" s="1" t="n">
        <v>43584</v>
      </c>
      <c r="C371" s="1" t="n">
        <v>45667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22084-2019</t>
        </is>
      </c>
      <c r="B372" s="1" t="n">
        <v>43584</v>
      </c>
      <c r="C372" s="1" t="n">
        <v>45667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22163-2019</t>
        </is>
      </c>
      <c r="B373" s="1" t="n">
        <v>43585</v>
      </c>
      <c r="C373" s="1" t="n">
        <v>45667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22395-2019</t>
        </is>
      </c>
      <c r="B374" s="1" t="n">
        <v>43585</v>
      </c>
      <c r="C374" s="1" t="n">
        <v>45667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22263-2019</t>
        </is>
      </c>
      <c r="B375" s="1" t="n">
        <v>43585</v>
      </c>
      <c r="C375" s="1" t="n">
        <v>45667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22264-2019</t>
        </is>
      </c>
      <c r="B376" s="1" t="n">
        <v>43585</v>
      </c>
      <c r="C376" s="1" t="n">
        <v>45667</v>
      </c>
      <c r="D376" t="inlineStr">
        <is>
          <t>KRONOBERGS LÄN</t>
        </is>
      </c>
      <c r="E376" t="inlineStr">
        <is>
          <t>ÄLMHULT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22381-2019</t>
        </is>
      </c>
      <c r="B377" s="1" t="n">
        <v>43585</v>
      </c>
      <c r="C377" s="1" t="n">
        <v>45667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22397-2019</t>
        </is>
      </c>
      <c r="B378" s="1" t="n">
        <v>43585</v>
      </c>
      <c r="C378" s="1" t="n">
        <v>45667</v>
      </c>
      <c r="D378" t="inlineStr">
        <is>
          <t>KRONOBERGS LÄN</t>
        </is>
      </c>
      <c r="E378" t="inlineStr">
        <is>
          <t>VÄXJÖ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22166-2019</t>
        </is>
      </c>
      <c r="B379" s="1" t="n">
        <v>43585</v>
      </c>
      <c r="C379" s="1" t="n">
        <v>45667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22327-2019</t>
        </is>
      </c>
      <c r="B380" s="1" t="n">
        <v>43586</v>
      </c>
      <c r="C380" s="1" t="n">
        <v>45667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22419-2019</t>
        </is>
      </c>
      <c r="B381" s="1" t="n">
        <v>43587</v>
      </c>
      <c r="C381" s="1" t="n">
        <v>45667</v>
      </c>
      <c r="D381" t="inlineStr">
        <is>
          <t>KRONOBERGS LÄN</t>
        </is>
      </c>
      <c r="E381" t="inlineStr">
        <is>
          <t>ALVESTA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22584-2019</t>
        </is>
      </c>
      <c r="B382" s="1" t="n">
        <v>43587</v>
      </c>
      <c r="C382" s="1" t="n">
        <v>45667</v>
      </c>
      <c r="D382" t="inlineStr">
        <is>
          <t>KRONOBERGS LÄN</t>
        </is>
      </c>
      <c r="E382" t="inlineStr">
        <is>
          <t>TINGSRYD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22458-2019</t>
        </is>
      </c>
      <c r="B383" s="1" t="n">
        <v>43587</v>
      </c>
      <c r="C383" s="1" t="n">
        <v>45667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22346-2019</t>
        </is>
      </c>
      <c r="B384" s="1" t="n">
        <v>43587</v>
      </c>
      <c r="C384" s="1" t="n">
        <v>45667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22349-2019</t>
        </is>
      </c>
      <c r="B385" s="1" t="n">
        <v>43587</v>
      </c>
      <c r="C385" s="1" t="n">
        <v>45667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22677-2019</t>
        </is>
      </c>
      <c r="B386" s="1" t="n">
        <v>43588</v>
      </c>
      <c r="C386" s="1" t="n">
        <v>45667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22731-2019</t>
        </is>
      </c>
      <c r="B387" s="1" t="n">
        <v>43588</v>
      </c>
      <c r="C387" s="1" t="n">
        <v>45667</v>
      </c>
      <c r="D387" t="inlineStr">
        <is>
          <t>KRONOBERGS LÄN</t>
        </is>
      </c>
      <c r="E387" t="inlineStr">
        <is>
          <t>LJUNGBY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22802-2019</t>
        </is>
      </c>
      <c r="B388" s="1" t="n">
        <v>43590</v>
      </c>
      <c r="C388" s="1" t="n">
        <v>45667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22805-2019</t>
        </is>
      </c>
      <c r="B389" s="1" t="n">
        <v>43590</v>
      </c>
      <c r="C389" s="1" t="n">
        <v>45667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22803-2019</t>
        </is>
      </c>
      <c r="B390" s="1" t="n">
        <v>43590</v>
      </c>
      <c r="C390" s="1" t="n">
        <v>45667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22847-2019</t>
        </is>
      </c>
      <c r="B391" s="1" t="n">
        <v>43591</v>
      </c>
      <c r="C391" s="1" t="n">
        <v>45667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22921-2019</t>
        </is>
      </c>
      <c r="B392" s="1" t="n">
        <v>43591</v>
      </c>
      <c r="C392" s="1" t="n">
        <v>45667</v>
      </c>
      <c r="D392" t="inlineStr">
        <is>
          <t>KRONOBERGS LÄN</t>
        </is>
      </c>
      <c r="E392" t="inlineStr">
        <is>
          <t>UPPVIDINGE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22918-2019</t>
        </is>
      </c>
      <c r="B393" s="1" t="n">
        <v>43591</v>
      </c>
      <c r="C393" s="1" t="n">
        <v>45667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22944-2019</t>
        </is>
      </c>
      <c r="B394" s="1" t="n">
        <v>43591</v>
      </c>
      <c r="C394" s="1" t="n">
        <v>45667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22948-2019</t>
        </is>
      </c>
      <c r="B395" s="1" t="n">
        <v>43591</v>
      </c>
      <c r="C395" s="1" t="n">
        <v>45667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22923-2019</t>
        </is>
      </c>
      <c r="B396" s="1" t="n">
        <v>43591</v>
      </c>
      <c r="C396" s="1" t="n">
        <v>45667</v>
      </c>
      <c r="D396" t="inlineStr">
        <is>
          <t>KRONOBERGS LÄN</t>
        </is>
      </c>
      <c r="E396" t="inlineStr">
        <is>
          <t>UPPVIDINGE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22989-2019</t>
        </is>
      </c>
      <c r="B397" s="1" t="n">
        <v>43591</v>
      </c>
      <c r="C397" s="1" t="n">
        <v>45667</v>
      </c>
      <c r="D397" t="inlineStr">
        <is>
          <t>KRONOBERGS LÄN</t>
        </is>
      </c>
      <c r="E397" t="inlineStr">
        <is>
          <t>ÄLMHULT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22870-2019</t>
        </is>
      </c>
      <c r="B398" s="1" t="n">
        <v>43591</v>
      </c>
      <c r="C398" s="1" t="n">
        <v>45667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23183-2019</t>
        </is>
      </c>
      <c r="B399" s="1" t="n">
        <v>43592</v>
      </c>
      <c r="C399" s="1" t="n">
        <v>45667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23427-2019</t>
        </is>
      </c>
      <c r="B400" s="1" t="n">
        <v>43592</v>
      </c>
      <c r="C400" s="1" t="n">
        <v>45667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23252-2019</t>
        </is>
      </c>
      <c r="B401" s="1" t="n">
        <v>43592</v>
      </c>
      <c r="C401" s="1" t="n">
        <v>45667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23224-2019</t>
        </is>
      </c>
      <c r="B402" s="1" t="n">
        <v>43592</v>
      </c>
      <c r="C402" s="1" t="n">
        <v>45667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23207-2019</t>
        </is>
      </c>
      <c r="B403" s="1" t="n">
        <v>43592</v>
      </c>
      <c r="C403" s="1" t="n">
        <v>45667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23258-2019</t>
        </is>
      </c>
      <c r="B404" s="1" t="n">
        <v>43592</v>
      </c>
      <c r="C404" s="1" t="n">
        <v>45667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23355-2019</t>
        </is>
      </c>
      <c r="B405" s="1" t="n">
        <v>43593</v>
      </c>
      <c r="C405" s="1" t="n">
        <v>45667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23375-2019</t>
        </is>
      </c>
      <c r="B406" s="1" t="n">
        <v>43593</v>
      </c>
      <c r="C406" s="1" t="n">
        <v>45667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23469-2019</t>
        </is>
      </c>
      <c r="B407" s="1" t="n">
        <v>43593</v>
      </c>
      <c r="C407" s="1" t="n">
        <v>45667</v>
      </c>
      <c r="D407" t="inlineStr">
        <is>
          <t>KRONOBERGS LÄN</t>
        </is>
      </c>
      <c r="E407" t="inlineStr">
        <is>
          <t>ÄLMHULT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23470-2019</t>
        </is>
      </c>
      <c r="B408" s="1" t="n">
        <v>43593</v>
      </c>
      <c r="C408" s="1" t="n">
        <v>45667</v>
      </c>
      <c r="D408" t="inlineStr">
        <is>
          <t>KRONOBERGS LÄN</t>
        </is>
      </c>
      <c r="E408" t="inlineStr">
        <is>
          <t>ÄLMHULT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23420-2019</t>
        </is>
      </c>
      <c r="B409" s="1" t="n">
        <v>43593</v>
      </c>
      <c r="C409" s="1" t="n">
        <v>45667</v>
      </c>
      <c r="D409" t="inlineStr">
        <is>
          <t>KRONOBERGS LÄN</t>
        </is>
      </c>
      <c r="E409" t="inlineStr">
        <is>
          <t>ÄLMHULT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23472-2019</t>
        </is>
      </c>
      <c r="B410" s="1" t="n">
        <v>43593</v>
      </c>
      <c r="C410" s="1" t="n">
        <v>45667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23467-2019</t>
        </is>
      </c>
      <c r="B411" s="1" t="n">
        <v>43593</v>
      </c>
      <c r="C411" s="1" t="n">
        <v>45667</v>
      </c>
      <c r="D411" t="inlineStr">
        <is>
          <t>KRONOBERGS LÄN</t>
        </is>
      </c>
      <c r="E411" t="inlineStr">
        <is>
          <t>ÄLMHULT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23471-2019</t>
        </is>
      </c>
      <c r="B412" s="1" t="n">
        <v>43593</v>
      </c>
      <c r="C412" s="1" t="n">
        <v>45667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23580-2019</t>
        </is>
      </c>
      <c r="B413" s="1" t="n">
        <v>43594</v>
      </c>
      <c r="C413" s="1" t="n">
        <v>45667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23525-2019</t>
        </is>
      </c>
      <c r="B414" s="1" t="n">
        <v>43594</v>
      </c>
      <c r="C414" s="1" t="n">
        <v>45667</v>
      </c>
      <c r="D414" t="inlineStr">
        <is>
          <t>KRONOBERGS LÄN</t>
        </is>
      </c>
      <c r="E414" t="inlineStr">
        <is>
          <t>VÄXJÖ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23776-2019</t>
        </is>
      </c>
      <c r="B415" s="1" t="n">
        <v>43595</v>
      </c>
      <c r="C415" s="1" t="n">
        <v>45667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23882-2019</t>
        </is>
      </c>
      <c r="B416" s="1" t="n">
        <v>43595</v>
      </c>
      <c r="C416" s="1" t="n">
        <v>45667</v>
      </c>
      <c r="D416" t="inlineStr">
        <is>
          <t>KRONOBERGS LÄN</t>
        </is>
      </c>
      <c r="E416" t="inlineStr">
        <is>
          <t>VÄXJÖ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24093-2019</t>
        </is>
      </c>
      <c r="B417" s="1" t="n">
        <v>43598</v>
      </c>
      <c r="C417" s="1" t="n">
        <v>45667</v>
      </c>
      <c r="D417" t="inlineStr">
        <is>
          <t>KRONOBERGS LÄN</t>
        </is>
      </c>
      <c r="E417" t="inlineStr">
        <is>
          <t>MARKARYD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24049-2019</t>
        </is>
      </c>
      <c r="B418" s="1" t="n">
        <v>43598</v>
      </c>
      <c r="C418" s="1" t="n">
        <v>45667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24044-2019</t>
        </is>
      </c>
      <c r="B419" s="1" t="n">
        <v>43598</v>
      </c>
      <c r="C419" s="1" t="n">
        <v>45667</v>
      </c>
      <c r="D419" t="inlineStr">
        <is>
          <t>KRONOBERGS LÄN</t>
        </is>
      </c>
      <c r="E419" t="inlineStr">
        <is>
          <t>TINGSRYD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23987-2019</t>
        </is>
      </c>
      <c r="B420" s="1" t="n">
        <v>43598</v>
      </c>
      <c r="C420" s="1" t="n">
        <v>45667</v>
      </c>
      <c r="D420" t="inlineStr">
        <is>
          <t>KRONOBERGS LÄN</t>
        </is>
      </c>
      <c r="E420" t="inlineStr">
        <is>
          <t>TINGSRYD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23983-2019</t>
        </is>
      </c>
      <c r="B421" s="1" t="n">
        <v>43598</v>
      </c>
      <c r="C421" s="1" t="n">
        <v>45667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24055-2019</t>
        </is>
      </c>
      <c r="B422" s="1" t="n">
        <v>43598</v>
      </c>
      <c r="C422" s="1" t="n">
        <v>45667</v>
      </c>
      <c r="D422" t="inlineStr">
        <is>
          <t>KRONOBERGS LÄN</t>
        </is>
      </c>
      <c r="E422" t="inlineStr">
        <is>
          <t>VÄXJÖ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24310-2019</t>
        </is>
      </c>
      <c r="B423" s="1" t="n">
        <v>43599</v>
      </c>
      <c r="C423" s="1" t="n">
        <v>45667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24377-2019</t>
        </is>
      </c>
      <c r="B424" s="1" t="n">
        <v>43599</v>
      </c>
      <c r="C424" s="1" t="n">
        <v>45667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24244-2019</t>
        </is>
      </c>
      <c r="B425" s="1" t="n">
        <v>43599</v>
      </c>
      <c r="C425" s="1" t="n">
        <v>45667</v>
      </c>
      <c r="D425" t="inlineStr">
        <is>
          <t>KRONOBERGS LÄN</t>
        </is>
      </c>
      <c r="E425" t="inlineStr">
        <is>
          <t>TINGSRYD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24373-2019</t>
        </is>
      </c>
      <c r="B426" s="1" t="n">
        <v>43599</v>
      </c>
      <c r="C426" s="1" t="n">
        <v>45667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24378-2019</t>
        </is>
      </c>
      <c r="B427" s="1" t="n">
        <v>43599</v>
      </c>
      <c r="C427" s="1" t="n">
        <v>45667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24374-2019</t>
        </is>
      </c>
      <c r="B428" s="1" t="n">
        <v>43599</v>
      </c>
      <c r="C428" s="1" t="n">
        <v>45667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24376-2019</t>
        </is>
      </c>
      <c r="B429" s="1" t="n">
        <v>43599</v>
      </c>
      <c r="C429" s="1" t="n">
        <v>45667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24450-2019</t>
        </is>
      </c>
      <c r="B430" s="1" t="n">
        <v>43600</v>
      </c>
      <c r="C430" s="1" t="n">
        <v>45667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24452-2019</t>
        </is>
      </c>
      <c r="B431" s="1" t="n">
        <v>43600</v>
      </c>
      <c r="C431" s="1" t="n">
        <v>45667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25117-2019</t>
        </is>
      </c>
      <c r="B432" s="1" t="n">
        <v>43600</v>
      </c>
      <c r="C432" s="1" t="n">
        <v>45667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24971-2019</t>
        </is>
      </c>
      <c r="B433" s="1" t="n">
        <v>43600</v>
      </c>
      <c r="C433" s="1" t="n">
        <v>45667</v>
      </c>
      <c r="D433" t="inlineStr">
        <is>
          <t>KRONOBERGS LÄN</t>
        </is>
      </c>
      <c r="E433" t="inlineStr">
        <is>
          <t>UPPVIDINGE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24546-2019</t>
        </is>
      </c>
      <c r="B434" s="1" t="n">
        <v>43600</v>
      </c>
      <c r="C434" s="1" t="n">
        <v>45667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25113-2019</t>
        </is>
      </c>
      <c r="B435" s="1" t="n">
        <v>43600</v>
      </c>
      <c r="C435" s="1" t="n">
        <v>45667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24705-2019</t>
        </is>
      </c>
      <c r="B436" s="1" t="n">
        <v>43601</v>
      </c>
      <c r="C436" s="1" t="n">
        <v>45667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24701-2019</t>
        </is>
      </c>
      <c r="B437" s="1" t="n">
        <v>43601</v>
      </c>
      <c r="C437" s="1" t="n">
        <v>45667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24748-2019</t>
        </is>
      </c>
      <c r="B438" s="1" t="n">
        <v>43601</v>
      </c>
      <c r="C438" s="1" t="n">
        <v>45667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24678-2019</t>
        </is>
      </c>
      <c r="B439" s="1" t="n">
        <v>43601</v>
      </c>
      <c r="C439" s="1" t="n">
        <v>45667</v>
      </c>
      <c r="D439" t="inlineStr">
        <is>
          <t>KRONOBERGS LÄN</t>
        </is>
      </c>
      <c r="E439" t="inlineStr">
        <is>
          <t>TINGSRYD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24627-2019</t>
        </is>
      </c>
      <c r="B440" s="1" t="n">
        <v>43601</v>
      </c>
      <c r="C440" s="1" t="n">
        <v>45667</v>
      </c>
      <c r="D440" t="inlineStr">
        <is>
          <t>KRONOBERGS LÄN</t>
        </is>
      </c>
      <c r="E440" t="inlineStr">
        <is>
          <t>UPPVIDINGE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24697-2019</t>
        </is>
      </c>
      <c r="B441" s="1" t="n">
        <v>43601</v>
      </c>
      <c r="C441" s="1" t="n">
        <v>45667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25843-2019</t>
        </is>
      </c>
      <c r="B442" s="1" t="n">
        <v>43605</v>
      </c>
      <c r="C442" s="1" t="n">
        <v>45667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25254-2019</t>
        </is>
      </c>
      <c r="B443" s="1" t="n">
        <v>43605</v>
      </c>
      <c r="C443" s="1" t="n">
        <v>45667</v>
      </c>
      <c r="D443" t="inlineStr">
        <is>
          <t>KRONOBERGS LÄN</t>
        </is>
      </c>
      <c r="E443" t="inlineStr">
        <is>
          <t>LESSEBO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25261-2019</t>
        </is>
      </c>
      <c r="B444" s="1" t="n">
        <v>43605</v>
      </c>
      <c r="C444" s="1" t="n">
        <v>45667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25905-2019</t>
        </is>
      </c>
      <c r="B445" s="1" t="n">
        <v>43605</v>
      </c>
      <c r="C445" s="1" t="n">
        <v>45667</v>
      </c>
      <c r="D445" t="inlineStr">
        <is>
          <t>KRONOBERGS LÄN</t>
        </is>
      </c>
      <c r="E445" t="inlineStr">
        <is>
          <t>ALVESTA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25108-2019</t>
        </is>
      </c>
      <c r="B446" s="1" t="n">
        <v>43605</v>
      </c>
      <c r="C446" s="1" t="n">
        <v>45667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25899-2019</t>
        </is>
      </c>
      <c r="B447" s="1" t="n">
        <v>43605</v>
      </c>
      <c r="C447" s="1" t="n">
        <v>45667</v>
      </c>
      <c r="D447" t="inlineStr">
        <is>
          <t>KRONOBERGS LÄN</t>
        </is>
      </c>
      <c r="E447" t="inlineStr">
        <is>
          <t>ÄLMHULT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25376-2019</t>
        </is>
      </c>
      <c r="B448" s="1" t="n">
        <v>43606</v>
      </c>
      <c r="C448" s="1" t="n">
        <v>45667</v>
      </c>
      <c r="D448" t="inlineStr">
        <is>
          <t>KRONOBERGS LÄN</t>
        </is>
      </c>
      <c r="E448" t="inlineStr">
        <is>
          <t>ALVESTA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25388-2019</t>
        </is>
      </c>
      <c r="B449" s="1" t="n">
        <v>43606</v>
      </c>
      <c r="C449" s="1" t="n">
        <v>45667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25377-2019</t>
        </is>
      </c>
      <c r="B450" s="1" t="n">
        <v>43606</v>
      </c>
      <c r="C450" s="1" t="n">
        <v>45667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26421-2019</t>
        </is>
      </c>
      <c r="B451" s="1" t="n">
        <v>43606</v>
      </c>
      <c r="C451" s="1" t="n">
        <v>45667</v>
      </c>
      <c r="D451" t="inlineStr">
        <is>
          <t>KRONOBERGS LÄN</t>
        </is>
      </c>
      <c r="E451" t="inlineStr">
        <is>
          <t>LESSEBO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25383-2019</t>
        </is>
      </c>
      <c r="B452" s="1" t="n">
        <v>43606</v>
      </c>
      <c r="C452" s="1" t="n">
        <v>45667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26478-2019</t>
        </is>
      </c>
      <c r="B453" s="1" t="n">
        <v>43607</v>
      </c>
      <c r="C453" s="1" t="n">
        <v>45667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26466-2019</t>
        </is>
      </c>
      <c r="B454" s="1" t="n">
        <v>43607</v>
      </c>
      <c r="C454" s="1" t="n">
        <v>45667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26494-2019</t>
        </is>
      </c>
      <c r="B455" s="1" t="n">
        <v>43607</v>
      </c>
      <c r="C455" s="1" t="n">
        <v>45667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26439-2019</t>
        </is>
      </c>
      <c r="B456" s="1" t="n">
        <v>43607</v>
      </c>
      <c r="C456" s="1" t="n">
        <v>45667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25580-2019</t>
        </is>
      </c>
      <c r="B457" s="1" t="n">
        <v>43607</v>
      </c>
      <c r="C457" s="1" t="n">
        <v>45667</v>
      </c>
      <c r="D457" t="inlineStr">
        <is>
          <t>KRONOBERGS LÄN</t>
        </is>
      </c>
      <c r="E457" t="inlineStr">
        <is>
          <t>ÄLMHULT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25761-2019</t>
        </is>
      </c>
      <c r="B458" s="1" t="n">
        <v>43608</v>
      </c>
      <c r="C458" s="1" t="n">
        <v>45667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25734-2019</t>
        </is>
      </c>
      <c r="B459" s="1" t="n">
        <v>43608</v>
      </c>
      <c r="C459" s="1" t="n">
        <v>45667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25879-2019</t>
        </is>
      </c>
      <c r="B460" s="1" t="n">
        <v>43608</v>
      </c>
      <c r="C460" s="1" t="n">
        <v>45667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25732-2019</t>
        </is>
      </c>
      <c r="B461" s="1" t="n">
        <v>43608</v>
      </c>
      <c r="C461" s="1" t="n">
        <v>45667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25735-2019</t>
        </is>
      </c>
      <c r="B462" s="1" t="n">
        <v>43608</v>
      </c>
      <c r="C462" s="1" t="n">
        <v>45667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25731-2019</t>
        </is>
      </c>
      <c r="B463" s="1" t="n">
        <v>43608</v>
      </c>
      <c r="C463" s="1" t="n">
        <v>45667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26152-2019</t>
        </is>
      </c>
      <c r="B464" s="1" t="n">
        <v>43609</v>
      </c>
      <c r="C464" s="1" t="n">
        <v>45667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26160-2019</t>
        </is>
      </c>
      <c r="B465" s="1" t="n">
        <v>43609</v>
      </c>
      <c r="C465" s="1" t="n">
        <v>45667</v>
      </c>
      <c r="D465" t="inlineStr">
        <is>
          <t>KRONOBERGS LÄN</t>
        </is>
      </c>
      <c r="E465" t="inlineStr">
        <is>
          <t>ALVESTA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26159-2019</t>
        </is>
      </c>
      <c r="B466" s="1" t="n">
        <v>43609</v>
      </c>
      <c r="C466" s="1" t="n">
        <v>45667</v>
      </c>
      <c r="D466" t="inlineStr">
        <is>
          <t>KRONOBERGS LÄN</t>
        </is>
      </c>
      <c r="E466" t="inlineStr">
        <is>
          <t>ALVESTA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27105-2019</t>
        </is>
      </c>
      <c r="B467" s="1" t="n">
        <v>43609</v>
      </c>
      <c r="C467" s="1" t="n">
        <v>45667</v>
      </c>
      <c r="D467" t="inlineStr">
        <is>
          <t>KRONOBERGS LÄN</t>
        </is>
      </c>
      <c r="E467" t="inlineStr">
        <is>
          <t>MARKARYD</t>
        </is>
      </c>
      <c r="F467" t="inlineStr">
        <is>
          <t>Övriga Aktiebolag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26108-2019</t>
        </is>
      </c>
      <c r="B468" s="1" t="n">
        <v>43609</v>
      </c>
      <c r="C468" s="1" t="n">
        <v>45667</v>
      </c>
      <c r="D468" t="inlineStr">
        <is>
          <t>KRONOBERGS LÄN</t>
        </is>
      </c>
      <c r="E468" t="inlineStr">
        <is>
          <t>MARKARYD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26630-2019</t>
        </is>
      </c>
      <c r="B469" s="1" t="n">
        <v>43612</v>
      </c>
      <c r="C469" s="1" t="n">
        <v>45667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27695-2019</t>
        </is>
      </c>
      <c r="B470" s="1" t="n">
        <v>43612</v>
      </c>
      <c r="C470" s="1" t="n">
        <v>45667</v>
      </c>
      <c r="D470" t="inlineStr">
        <is>
          <t>KRONOBERGS LÄN</t>
        </is>
      </c>
      <c r="E470" t="inlineStr">
        <is>
          <t>ALVESTA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26299-2019</t>
        </is>
      </c>
      <c r="B471" s="1" t="n">
        <v>43612</v>
      </c>
      <c r="C471" s="1" t="n">
        <v>45667</v>
      </c>
      <c r="D471" t="inlineStr">
        <is>
          <t>KRONOBERGS LÄN</t>
        </is>
      </c>
      <c r="E471" t="inlineStr">
        <is>
          <t>UPPVIDINGE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28022-2019</t>
        </is>
      </c>
      <c r="B472" s="1" t="n">
        <v>43613</v>
      </c>
      <c r="C472" s="1" t="n">
        <v>45667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27192-2019</t>
        </is>
      </c>
      <c r="B473" s="1" t="n">
        <v>43614</v>
      </c>
      <c r="C473" s="1" t="n">
        <v>45667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27380-2019</t>
        </is>
      </c>
      <c r="B474" s="1" t="n">
        <v>43616</v>
      </c>
      <c r="C474" s="1" t="n">
        <v>45667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27353-2019</t>
        </is>
      </c>
      <c r="B475" s="1" t="n">
        <v>43616</v>
      </c>
      <c r="C475" s="1" t="n">
        <v>45667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27537-2019</t>
        </is>
      </c>
      <c r="B476" s="1" t="n">
        <v>43616</v>
      </c>
      <c r="C476" s="1" t="n">
        <v>45667</v>
      </c>
      <c r="D476" t="inlineStr">
        <is>
          <t>KRONOBERGS LÄN</t>
        </is>
      </c>
      <c r="E476" t="inlineStr">
        <is>
          <t>TINGSRYD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27333-2019</t>
        </is>
      </c>
      <c r="B477" s="1" t="n">
        <v>43616</v>
      </c>
      <c r="C477" s="1" t="n">
        <v>45667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27437-2019</t>
        </is>
      </c>
      <c r="B478" s="1" t="n">
        <v>43618</v>
      </c>
      <c r="C478" s="1" t="n">
        <v>45667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27445-2019</t>
        </is>
      </c>
      <c r="B479" s="1" t="n">
        <v>43618</v>
      </c>
      <c r="C479" s="1" t="n">
        <v>45667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27446-2019</t>
        </is>
      </c>
      <c r="B480" s="1" t="n">
        <v>43618</v>
      </c>
      <c r="C480" s="1" t="n">
        <v>45667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27440-2019</t>
        </is>
      </c>
      <c r="B481" s="1" t="n">
        <v>43618</v>
      </c>
      <c r="C481" s="1" t="n">
        <v>45667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27443-2019</t>
        </is>
      </c>
      <c r="B482" s="1" t="n">
        <v>43618</v>
      </c>
      <c r="C482" s="1" t="n">
        <v>45667</v>
      </c>
      <c r="D482" t="inlineStr">
        <is>
          <t>KRONOBERGS LÄN</t>
        </is>
      </c>
      <c r="E482" t="inlineStr">
        <is>
          <t>TINGSRYD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27442-2019</t>
        </is>
      </c>
      <c r="B483" s="1" t="n">
        <v>43618</v>
      </c>
      <c r="C483" s="1" t="n">
        <v>45667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27614-2019</t>
        </is>
      </c>
      <c r="B484" s="1" t="n">
        <v>43619</v>
      </c>
      <c r="C484" s="1" t="n">
        <v>45667</v>
      </c>
      <c r="D484" t="inlineStr">
        <is>
          <t>KRONOBERGS LÄN</t>
        </is>
      </c>
      <c r="E484" t="inlineStr">
        <is>
          <t>VÄXJÖ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27704-2019</t>
        </is>
      </c>
      <c r="B485" s="1" t="n">
        <v>43619</v>
      </c>
      <c r="C485" s="1" t="n">
        <v>45667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28931-2019</t>
        </is>
      </c>
      <c r="B486" s="1" t="n">
        <v>43619</v>
      </c>
      <c r="C486" s="1" t="n">
        <v>45667</v>
      </c>
      <c r="D486" t="inlineStr">
        <is>
          <t>KRONOBERGS LÄN</t>
        </is>
      </c>
      <c r="E486" t="inlineStr">
        <is>
          <t>LESSEBO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27483-2019</t>
        </is>
      </c>
      <c r="B487" s="1" t="n">
        <v>43619</v>
      </c>
      <c r="C487" s="1" t="n">
        <v>45667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27568-2019</t>
        </is>
      </c>
      <c r="B488" s="1" t="n">
        <v>43619</v>
      </c>
      <c r="C488" s="1" t="n">
        <v>45667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27919-2019</t>
        </is>
      </c>
      <c r="B489" s="1" t="n">
        <v>43620</v>
      </c>
      <c r="C489" s="1" t="n">
        <v>45667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27913-2019</t>
        </is>
      </c>
      <c r="B490" s="1" t="n">
        <v>43620</v>
      </c>
      <c r="C490" s="1" t="n">
        <v>45667</v>
      </c>
      <c r="D490" t="inlineStr">
        <is>
          <t>KRONOBERGS LÄN</t>
        </is>
      </c>
      <c r="E490" t="inlineStr">
        <is>
          <t>VÄXJÖ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27936-2019</t>
        </is>
      </c>
      <c r="B491" s="1" t="n">
        <v>43620</v>
      </c>
      <c r="C491" s="1" t="n">
        <v>45667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27940-2019</t>
        </is>
      </c>
      <c r="B492" s="1" t="n">
        <v>43620</v>
      </c>
      <c r="C492" s="1" t="n">
        <v>45667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28145-2019</t>
        </is>
      </c>
      <c r="B493" s="1" t="n">
        <v>43621</v>
      </c>
      <c r="C493" s="1" t="n">
        <v>45667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28198-2019</t>
        </is>
      </c>
      <c r="B494" s="1" t="n">
        <v>43621</v>
      </c>
      <c r="C494" s="1" t="n">
        <v>45667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29431-2019</t>
        </is>
      </c>
      <c r="B495" s="1" t="n">
        <v>43623</v>
      </c>
      <c r="C495" s="1" t="n">
        <v>45667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29432-2019</t>
        </is>
      </c>
      <c r="B496" s="1" t="n">
        <v>43623</v>
      </c>
      <c r="C496" s="1" t="n">
        <v>45667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29198-2019</t>
        </is>
      </c>
      <c r="B497" s="1" t="n">
        <v>43623</v>
      </c>
      <c r="C497" s="1" t="n">
        <v>45667</v>
      </c>
      <c r="D497" t="inlineStr">
        <is>
          <t>KRONOBERGS LÄN</t>
        </is>
      </c>
      <c r="E497" t="inlineStr">
        <is>
          <t>UPPVIDINGE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29425-2019</t>
        </is>
      </c>
      <c r="B498" s="1" t="n">
        <v>43623</v>
      </c>
      <c r="C498" s="1" t="n">
        <v>45667</v>
      </c>
      <c r="D498" t="inlineStr">
        <is>
          <t>KRONOBERGS LÄN</t>
        </is>
      </c>
      <c r="E498" t="inlineStr">
        <is>
          <t>MARKARYD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28547-2019</t>
        </is>
      </c>
      <c r="B499" s="1" t="n">
        <v>43626</v>
      </c>
      <c r="C499" s="1" t="n">
        <v>45667</v>
      </c>
      <c r="D499" t="inlineStr">
        <is>
          <t>KRONOBERGS LÄN</t>
        </is>
      </c>
      <c r="E499" t="inlineStr">
        <is>
          <t>ALVESTA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28458-2019</t>
        </is>
      </c>
      <c r="B500" s="1" t="n">
        <v>43626</v>
      </c>
      <c r="C500" s="1" t="n">
        <v>45667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28447-2019</t>
        </is>
      </c>
      <c r="B501" s="1" t="n">
        <v>43626</v>
      </c>
      <c r="C501" s="1" t="n">
        <v>45667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28556-2019</t>
        </is>
      </c>
      <c r="B502" s="1" t="n">
        <v>43626</v>
      </c>
      <c r="C502" s="1" t="n">
        <v>45667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28686-2019</t>
        </is>
      </c>
      <c r="B503" s="1" t="n">
        <v>43627</v>
      </c>
      <c r="C503" s="1" t="n">
        <v>45667</v>
      </c>
      <c r="D503" t="inlineStr">
        <is>
          <t>KRONOBERGS LÄN</t>
        </is>
      </c>
      <c r="E503" t="inlineStr">
        <is>
          <t>ALVESTA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28760-2019</t>
        </is>
      </c>
      <c r="B504" s="1" t="n">
        <v>43627</v>
      </c>
      <c r="C504" s="1" t="n">
        <v>45667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28844-2019</t>
        </is>
      </c>
      <c r="B505" s="1" t="n">
        <v>43627</v>
      </c>
      <c r="C505" s="1" t="n">
        <v>45667</v>
      </c>
      <c r="D505" t="inlineStr">
        <is>
          <t>KRONOBERGS LÄN</t>
        </is>
      </c>
      <c r="E505" t="inlineStr">
        <is>
          <t>UPPVIDINGE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28728-2019</t>
        </is>
      </c>
      <c r="B506" s="1" t="n">
        <v>43627</v>
      </c>
      <c r="C506" s="1" t="n">
        <v>45667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28758-2019</t>
        </is>
      </c>
      <c r="B507" s="1" t="n">
        <v>43627</v>
      </c>
      <c r="C507" s="1" t="n">
        <v>45667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28833-2019</t>
        </is>
      </c>
      <c r="B508" s="1" t="n">
        <v>43627</v>
      </c>
      <c r="C508" s="1" t="n">
        <v>45667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28648-2019</t>
        </is>
      </c>
      <c r="B509" s="1" t="n">
        <v>43627</v>
      </c>
      <c r="C509" s="1" t="n">
        <v>45667</v>
      </c>
      <c r="D509" t="inlineStr">
        <is>
          <t>KRONOBERGS LÄN</t>
        </is>
      </c>
      <c r="E509" t="inlineStr">
        <is>
          <t>TINGSRYD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28687-2019</t>
        </is>
      </c>
      <c r="B510" s="1" t="n">
        <v>43627</v>
      </c>
      <c r="C510" s="1" t="n">
        <v>45667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28835-2019</t>
        </is>
      </c>
      <c r="B511" s="1" t="n">
        <v>43627</v>
      </c>
      <c r="C511" s="1" t="n">
        <v>45667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28837-2019</t>
        </is>
      </c>
      <c r="B512" s="1" t="n">
        <v>43627</v>
      </c>
      <c r="C512" s="1" t="n">
        <v>45667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28836-2019</t>
        </is>
      </c>
      <c r="B513" s="1" t="n">
        <v>43627</v>
      </c>
      <c r="C513" s="1" t="n">
        <v>45667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28960-2019</t>
        </is>
      </c>
      <c r="B514" s="1" t="n">
        <v>43628</v>
      </c>
      <c r="C514" s="1" t="n">
        <v>45667</v>
      </c>
      <c r="D514" t="inlineStr">
        <is>
          <t>KRONOBERGS LÄN</t>
        </is>
      </c>
      <c r="E514" t="inlineStr">
        <is>
          <t>LESSEBO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28985-2019</t>
        </is>
      </c>
      <c r="B515" s="1" t="n">
        <v>43628</v>
      </c>
      <c r="C515" s="1" t="n">
        <v>45667</v>
      </c>
      <c r="D515" t="inlineStr">
        <is>
          <t>KRONOBERGS LÄN</t>
        </is>
      </c>
      <c r="E515" t="inlineStr">
        <is>
          <t>ALVESTA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28961-2019</t>
        </is>
      </c>
      <c r="B516" s="1" t="n">
        <v>43628</v>
      </c>
      <c r="C516" s="1" t="n">
        <v>45667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29656-2019</t>
        </is>
      </c>
      <c r="B517" s="1" t="n">
        <v>43628</v>
      </c>
      <c r="C517" s="1" t="n">
        <v>45667</v>
      </c>
      <c r="D517" t="inlineStr">
        <is>
          <t>KRONOBERGS LÄN</t>
        </is>
      </c>
      <c r="E517" t="inlineStr">
        <is>
          <t>TINGSRYD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29057-2019</t>
        </is>
      </c>
      <c r="B518" s="1" t="n">
        <v>43628</v>
      </c>
      <c r="C518" s="1" t="n">
        <v>45667</v>
      </c>
      <c r="D518" t="inlineStr">
        <is>
          <t>KRONOBERGS LÄN</t>
        </is>
      </c>
      <c r="E518" t="inlineStr">
        <is>
          <t>UPPVIDINGE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28873-2019</t>
        </is>
      </c>
      <c r="B519" s="1" t="n">
        <v>43628</v>
      </c>
      <c r="C519" s="1" t="n">
        <v>45667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29250-2019</t>
        </is>
      </c>
      <c r="B520" s="1" t="n">
        <v>43629</v>
      </c>
      <c r="C520" s="1" t="n">
        <v>45667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29353-2019</t>
        </is>
      </c>
      <c r="B521" s="1" t="n">
        <v>43629</v>
      </c>
      <c r="C521" s="1" t="n">
        <v>45667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29607-2019</t>
        </is>
      </c>
      <c r="B522" s="1" t="n">
        <v>43630</v>
      </c>
      <c r="C522" s="1" t="n">
        <v>45667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29622-2019</t>
        </is>
      </c>
      <c r="B523" s="1" t="n">
        <v>43630</v>
      </c>
      <c r="C523" s="1" t="n">
        <v>45667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29645-2019</t>
        </is>
      </c>
      <c r="B524" s="1" t="n">
        <v>43630</v>
      </c>
      <c r="C524" s="1" t="n">
        <v>45667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29738-2019</t>
        </is>
      </c>
      <c r="B525" s="1" t="n">
        <v>43630</v>
      </c>
      <c r="C525" s="1" t="n">
        <v>45667</v>
      </c>
      <c r="D525" t="inlineStr">
        <is>
          <t>KRONOBERGS LÄN</t>
        </is>
      </c>
      <c r="E525" t="inlineStr">
        <is>
          <t>UPPVIDINGE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29643-2019</t>
        </is>
      </c>
      <c r="B526" s="1" t="n">
        <v>43630</v>
      </c>
      <c r="C526" s="1" t="n">
        <v>45667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29739-2019</t>
        </is>
      </c>
      <c r="B527" s="1" t="n">
        <v>43630</v>
      </c>
      <c r="C527" s="1" t="n">
        <v>45667</v>
      </c>
      <c r="D527" t="inlineStr">
        <is>
          <t>KRONOBERGS LÄN</t>
        </is>
      </c>
      <c r="E527" t="inlineStr">
        <is>
          <t>UPPVIDINGE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29798-2019</t>
        </is>
      </c>
      <c r="B528" s="1" t="n">
        <v>43633</v>
      </c>
      <c r="C528" s="1" t="n">
        <v>45667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29883-2019</t>
        </is>
      </c>
      <c r="B529" s="1" t="n">
        <v>43633</v>
      </c>
      <c r="C529" s="1" t="n">
        <v>45667</v>
      </c>
      <c r="D529" t="inlineStr">
        <is>
          <t>KRONOBERGS LÄN</t>
        </is>
      </c>
      <c r="E529" t="inlineStr">
        <is>
          <t>LESSEBO</t>
        </is>
      </c>
      <c r="F529" t="inlineStr">
        <is>
          <t>Sveaskog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29982-2019</t>
        </is>
      </c>
      <c r="B530" s="1" t="n">
        <v>43633</v>
      </c>
      <c r="C530" s="1" t="n">
        <v>45667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29797-2019</t>
        </is>
      </c>
      <c r="B531" s="1" t="n">
        <v>43633</v>
      </c>
      <c r="C531" s="1" t="n">
        <v>45667</v>
      </c>
      <c r="D531" t="inlineStr">
        <is>
          <t>KRONOBERGS LÄN</t>
        </is>
      </c>
      <c r="E531" t="inlineStr">
        <is>
          <t>LJUNGBY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30001-2019</t>
        </is>
      </c>
      <c r="B532" s="1" t="n">
        <v>43633</v>
      </c>
      <c r="C532" s="1" t="n">
        <v>45667</v>
      </c>
      <c r="D532" t="inlineStr">
        <is>
          <t>KRONOBERGS LÄN</t>
        </is>
      </c>
      <c r="E532" t="inlineStr">
        <is>
          <t>TINGSRYD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30388-2019</t>
        </is>
      </c>
      <c r="B533" s="1" t="n">
        <v>43633</v>
      </c>
      <c r="C533" s="1" t="n">
        <v>45667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30006-2019</t>
        </is>
      </c>
      <c r="B534" s="1" t="n">
        <v>43633</v>
      </c>
      <c r="C534" s="1" t="n">
        <v>45667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30215-2019</t>
        </is>
      </c>
      <c r="B535" s="1" t="n">
        <v>43634</v>
      </c>
      <c r="C535" s="1" t="n">
        <v>45667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30193-2019</t>
        </is>
      </c>
      <c r="B536" s="1" t="n">
        <v>43634</v>
      </c>
      <c r="C536" s="1" t="n">
        <v>45667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30241-2019</t>
        </is>
      </c>
      <c r="B537" s="1" t="n">
        <v>43634</v>
      </c>
      <c r="C537" s="1" t="n">
        <v>45667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30190-2019</t>
        </is>
      </c>
      <c r="B538" s="1" t="n">
        <v>43634</v>
      </c>
      <c r="C538" s="1" t="n">
        <v>45667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30200-2019</t>
        </is>
      </c>
      <c r="B539" s="1" t="n">
        <v>43634</v>
      </c>
      <c r="C539" s="1" t="n">
        <v>45667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30204-2019</t>
        </is>
      </c>
      <c r="B540" s="1" t="n">
        <v>43634</v>
      </c>
      <c r="C540" s="1" t="n">
        <v>45667</v>
      </c>
      <c r="D540" t="inlineStr">
        <is>
          <t>KRONOBERGS LÄN</t>
        </is>
      </c>
      <c r="E540" t="inlineStr">
        <is>
          <t>TINGSRYD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30201-2019</t>
        </is>
      </c>
      <c r="B541" s="1" t="n">
        <v>43634</v>
      </c>
      <c r="C541" s="1" t="n">
        <v>45667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30208-2019</t>
        </is>
      </c>
      <c r="B542" s="1" t="n">
        <v>43634</v>
      </c>
      <c r="C542" s="1" t="n">
        <v>45667</v>
      </c>
      <c r="D542" t="inlineStr">
        <is>
          <t>KRONOBERGS LÄN</t>
        </is>
      </c>
      <c r="E542" t="inlineStr">
        <is>
          <t>TINGSRYD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30291-2019</t>
        </is>
      </c>
      <c r="B543" s="1" t="n">
        <v>43634</v>
      </c>
      <c r="C543" s="1" t="n">
        <v>45667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30587-2019</t>
        </is>
      </c>
      <c r="B544" s="1" t="n">
        <v>43635</v>
      </c>
      <c r="C544" s="1" t="n">
        <v>45667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30663-2019</t>
        </is>
      </c>
      <c r="B545" s="1" t="n">
        <v>43636</v>
      </c>
      <c r="C545" s="1" t="n">
        <v>45667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30642-2019</t>
        </is>
      </c>
      <c r="B546" s="1" t="n">
        <v>43636</v>
      </c>
      <c r="C546" s="1" t="n">
        <v>45667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30659-2019</t>
        </is>
      </c>
      <c r="B547" s="1" t="n">
        <v>43636</v>
      </c>
      <c r="C547" s="1" t="n">
        <v>45667</v>
      </c>
      <c r="D547" t="inlineStr">
        <is>
          <t>KRONOBERGS LÄN</t>
        </is>
      </c>
      <c r="E547" t="inlineStr">
        <is>
          <t>ALVESTA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30753-2019</t>
        </is>
      </c>
      <c r="B548" s="1" t="n">
        <v>43636</v>
      </c>
      <c r="C548" s="1" t="n">
        <v>45667</v>
      </c>
      <c r="D548" t="inlineStr">
        <is>
          <t>KRONOBERGS LÄN</t>
        </is>
      </c>
      <c r="E548" t="inlineStr">
        <is>
          <t>UPPVIDINGE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30668-2019</t>
        </is>
      </c>
      <c r="B549" s="1" t="n">
        <v>43636</v>
      </c>
      <c r="C549" s="1" t="n">
        <v>45667</v>
      </c>
      <c r="D549" t="inlineStr">
        <is>
          <t>KRONOBERGS LÄN</t>
        </is>
      </c>
      <c r="E549" t="inlineStr">
        <is>
          <t>ALVESTA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30875-2019</t>
        </is>
      </c>
      <c r="B550" s="1" t="n">
        <v>43636</v>
      </c>
      <c r="C550" s="1" t="n">
        <v>45667</v>
      </c>
      <c r="D550" t="inlineStr">
        <is>
          <t>KRONOBERGS LÄN</t>
        </is>
      </c>
      <c r="E550" t="inlineStr">
        <is>
          <t>UPPVIDINGE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30907-2019</t>
        </is>
      </c>
      <c r="B551" s="1" t="n">
        <v>43636</v>
      </c>
      <c r="C551" s="1" t="n">
        <v>45667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31378-2019</t>
        </is>
      </c>
      <c r="B552" s="1" t="n">
        <v>43636</v>
      </c>
      <c r="C552" s="1" t="n">
        <v>45667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30874-2019</t>
        </is>
      </c>
      <c r="B553" s="1" t="n">
        <v>43636</v>
      </c>
      <c r="C553" s="1" t="n">
        <v>45667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30672-2019</t>
        </is>
      </c>
      <c r="B554" s="1" t="n">
        <v>43636</v>
      </c>
      <c r="C554" s="1" t="n">
        <v>45667</v>
      </c>
      <c r="D554" t="inlineStr">
        <is>
          <t>KRONOBERGS LÄN</t>
        </is>
      </c>
      <c r="E554" t="inlineStr">
        <is>
          <t>ALVESTA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30798-2019</t>
        </is>
      </c>
      <c r="B555" s="1" t="n">
        <v>43636</v>
      </c>
      <c r="C555" s="1" t="n">
        <v>45667</v>
      </c>
      <c r="D555" t="inlineStr">
        <is>
          <t>KRONOBERGS LÄN</t>
        </is>
      </c>
      <c r="E555" t="inlineStr">
        <is>
          <t>UPPVIDINGE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30749-2019</t>
        </is>
      </c>
      <c r="B556" s="1" t="n">
        <v>43636</v>
      </c>
      <c r="C556" s="1" t="n">
        <v>45667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31013-2019</t>
        </is>
      </c>
      <c r="B557" s="1" t="n">
        <v>43640</v>
      </c>
      <c r="C557" s="1" t="n">
        <v>45667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31002-2019</t>
        </is>
      </c>
      <c r="B558" s="1" t="n">
        <v>43640</v>
      </c>
      <c r="C558" s="1" t="n">
        <v>45667</v>
      </c>
      <c r="D558" t="inlineStr">
        <is>
          <t>KRONOBERGS LÄN</t>
        </is>
      </c>
      <c r="E558" t="inlineStr">
        <is>
          <t>TINGSRYD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30984-2019</t>
        </is>
      </c>
      <c r="B559" s="1" t="n">
        <v>43640</v>
      </c>
      <c r="C559" s="1" t="n">
        <v>45667</v>
      </c>
      <c r="D559" t="inlineStr">
        <is>
          <t>KRONOBERGS LÄN</t>
        </is>
      </c>
      <c r="E559" t="inlineStr">
        <is>
          <t>LJUNGBY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31003-2019</t>
        </is>
      </c>
      <c r="B560" s="1" t="n">
        <v>43640</v>
      </c>
      <c r="C560" s="1" t="n">
        <v>45667</v>
      </c>
      <c r="D560" t="inlineStr">
        <is>
          <t>KRONOBERGS LÄN</t>
        </is>
      </c>
      <c r="E560" t="inlineStr">
        <is>
          <t>VÄXJÖ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31150-2019</t>
        </is>
      </c>
      <c r="B561" s="1" t="n">
        <v>43640</v>
      </c>
      <c r="C561" s="1" t="n">
        <v>45667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31182-2019</t>
        </is>
      </c>
      <c r="B562" s="1" t="n">
        <v>43640</v>
      </c>
      <c r="C562" s="1" t="n">
        <v>45667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31256-2019</t>
        </is>
      </c>
      <c r="B563" s="1" t="n">
        <v>43640</v>
      </c>
      <c r="C563" s="1" t="n">
        <v>45667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31255-2019</t>
        </is>
      </c>
      <c r="B564" s="1" t="n">
        <v>43640</v>
      </c>
      <c r="C564" s="1" t="n">
        <v>45667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31114-2019</t>
        </is>
      </c>
      <c r="B565" s="1" t="n">
        <v>43640</v>
      </c>
      <c r="C565" s="1" t="n">
        <v>45667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31484-2019</t>
        </is>
      </c>
      <c r="B566" s="1" t="n">
        <v>43641</v>
      </c>
      <c r="C566" s="1" t="n">
        <v>45667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31545-2019</t>
        </is>
      </c>
      <c r="B567" s="1" t="n">
        <v>43641</v>
      </c>
      <c r="C567" s="1" t="n">
        <v>45667</v>
      </c>
      <c r="D567" t="inlineStr">
        <is>
          <t>KRONOBERGS LÄN</t>
        </is>
      </c>
      <c r="E567" t="inlineStr">
        <is>
          <t>TINGSRYD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31339-2019</t>
        </is>
      </c>
      <c r="B568" s="1" t="n">
        <v>43641</v>
      </c>
      <c r="C568" s="1" t="n">
        <v>45667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31550-2019</t>
        </is>
      </c>
      <c r="B569" s="1" t="n">
        <v>43641</v>
      </c>
      <c r="C569" s="1" t="n">
        <v>45667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31505-2019</t>
        </is>
      </c>
      <c r="B570" s="1" t="n">
        <v>43641</v>
      </c>
      <c r="C570" s="1" t="n">
        <v>45667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31741-2019</t>
        </is>
      </c>
      <c r="B571" s="1" t="n">
        <v>43642</v>
      </c>
      <c r="C571" s="1" t="n">
        <v>45667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31623-2019</t>
        </is>
      </c>
      <c r="B572" s="1" t="n">
        <v>43642</v>
      </c>
      <c r="C572" s="1" t="n">
        <v>45667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31694-2019</t>
        </is>
      </c>
      <c r="B573" s="1" t="n">
        <v>43642</v>
      </c>
      <c r="C573" s="1" t="n">
        <v>45667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31797-2019</t>
        </is>
      </c>
      <c r="B574" s="1" t="n">
        <v>43642</v>
      </c>
      <c r="C574" s="1" t="n">
        <v>45667</v>
      </c>
      <c r="D574" t="inlineStr">
        <is>
          <t>KRONOBERGS LÄN</t>
        </is>
      </c>
      <c r="E574" t="inlineStr">
        <is>
          <t>VÄXJÖ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31799-2019</t>
        </is>
      </c>
      <c r="B575" s="1" t="n">
        <v>43642</v>
      </c>
      <c r="C575" s="1" t="n">
        <v>45667</v>
      </c>
      <c r="D575" t="inlineStr">
        <is>
          <t>KRONOBERGS LÄN</t>
        </is>
      </c>
      <c r="E575" t="inlineStr">
        <is>
          <t>VÄXJÖ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31946-2019</t>
        </is>
      </c>
      <c r="B576" s="1" t="n">
        <v>43643</v>
      </c>
      <c r="C576" s="1" t="n">
        <v>45667</v>
      </c>
      <c r="D576" t="inlineStr">
        <is>
          <t>KRONOBERGS LÄN</t>
        </is>
      </c>
      <c r="E576" t="inlineStr">
        <is>
          <t>VÄXJÖ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31999-2019</t>
        </is>
      </c>
      <c r="B577" s="1" t="n">
        <v>43643</v>
      </c>
      <c r="C577" s="1" t="n">
        <v>45667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32004-2019</t>
        </is>
      </c>
      <c r="B578" s="1" t="n">
        <v>43643</v>
      </c>
      <c r="C578" s="1" t="n">
        <v>45667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31928-2019</t>
        </is>
      </c>
      <c r="B579" s="1" t="n">
        <v>43643</v>
      </c>
      <c r="C579" s="1" t="n">
        <v>45667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31943-2019</t>
        </is>
      </c>
      <c r="B580" s="1" t="n">
        <v>43643</v>
      </c>
      <c r="C580" s="1" t="n">
        <v>45667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32118-2019</t>
        </is>
      </c>
      <c r="B581" s="1" t="n">
        <v>43643</v>
      </c>
      <c r="C581" s="1" t="n">
        <v>45667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32080-2019</t>
        </is>
      </c>
      <c r="B582" s="1" t="n">
        <v>43643</v>
      </c>
      <c r="C582" s="1" t="n">
        <v>45667</v>
      </c>
      <c r="D582" t="inlineStr">
        <is>
          <t>KRONOBERGS LÄN</t>
        </is>
      </c>
      <c r="E582" t="inlineStr">
        <is>
          <t>MARKARYD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32063-2019</t>
        </is>
      </c>
      <c r="B583" s="1" t="n">
        <v>43643</v>
      </c>
      <c r="C583" s="1" t="n">
        <v>45667</v>
      </c>
      <c r="D583" t="inlineStr">
        <is>
          <t>KRONOBERGS LÄN</t>
        </is>
      </c>
      <c r="E583" t="inlineStr">
        <is>
          <t>VÄXJÖ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32246-2019</t>
        </is>
      </c>
      <c r="B584" s="1" t="n">
        <v>43644</v>
      </c>
      <c r="C584" s="1" t="n">
        <v>45667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32240-2019</t>
        </is>
      </c>
      <c r="B585" s="1" t="n">
        <v>43644</v>
      </c>
      <c r="C585" s="1" t="n">
        <v>45667</v>
      </c>
      <c r="D585" t="inlineStr">
        <is>
          <t>KRONOBERGS LÄN</t>
        </is>
      </c>
      <c r="E585" t="inlineStr">
        <is>
          <t>ALVESTA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32508-2019</t>
        </is>
      </c>
      <c r="B586" s="1" t="n">
        <v>43645</v>
      </c>
      <c r="C586" s="1" t="n">
        <v>45667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32507-2019</t>
        </is>
      </c>
      <c r="B587" s="1" t="n">
        <v>43645</v>
      </c>
      <c r="C587" s="1" t="n">
        <v>45667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32518-2019</t>
        </is>
      </c>
      <c r="B588" s="1" t="n">
        <v>43646</v>
      </c>
      <c r="C588" s="1" t="n">
        <v>45667</v>
      </c>
      <c r="D588" t="inlineStr">
        <is>
          <t>KRONOBERGS LÄN</t>
        </is>
      </c>
      <c r="E588" t="inlineStr">
        <is>
          <t>VÄXJÖ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32598-2019</t>
        </is>
      </c>
      <c r="B589" s="1" t="n">
        <v>43647</v>
      </c>
      <c r="C589" s="1" t="n">
        <v>45667</v>
      </c>
      <c r="D589" t="inlineStr">
        <is>
          <t>KRONOBERGS LÄN</t>
        </is>
      </c>
      <c r="E589" t="inlineStr">
        <is>
          <t>VÄXJÖ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32605-2019</t>
        </is>
      </c>
      <c r="B590" s="1" t="n">
        <v>43647</v>
      </c>
      <c r="C590" s="1" t="n">
        <v>45667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32574-2019</t>
        </is>
      </c>
      <c r="B591" s="1" t="n">
        <v>43647</v>
      </c>
      <c r="C591" s="1" t="n">
        <v>45667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32892-2019</t>
        </is>
      </c>
      <c r="B592" s="1" t="n">
        <v>43648</v>
      </c>
      <c r="C592" s="1" t="n">
        <v>45667</v>
      </c>
      <c r="D592" t="inlineStr">
        <is>
          <t>KRONOBERGS LÄN</t>
        </is>
      </c>
      <c r="E592" t="inlineStr">
        <is>
          <t>TINGSRYD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32867-2019</t>
        </is>
      </c>
      <c r="B593" s="1" t="n">
        <v>43648</v>
      </c>
      <c r="C593" s="1" t="n">
        <v>45667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32967-2019</t>
        </is>
      </c>
      <c r="B594" s="1" t="n">
        <v>43648</v>
      </c>
      <c r="C594" s="1" t="n">
        <v>45667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32893-2019</t>
        </is>
      </c>
      <c r="B595" s="1" t="n">
        <v>43648</v>
      </c>
      <c r="C595" s="1" t="n">
        <v>45667</v>
      </c>
      <c r="D595" t="inlineStr">
        <is>
          <t>KRONOBERGS LÄN</t>
        </is>
      </c>
      <c r="E595" t="inlineStr">
        <is>
          <t>LJUNGBY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32943-2019</t>
        </is>
      </c>
      <c r="B596" s="1" t="n">
        <v>43648</v>
      </c>
      <c r="C596" s="1" t="n">
        <v>45667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32777-2019</t>
        </is>
      </c>
      <c r="B597" s="1" t="n">
        <v>43648</v>
      </c>
      <c r="C597" s="1" t="n">
        <v>45667</v>
      </c>
      <c r="D597" t="inlineStr">
        <is>
          <t>KRONOBERGS LÄN</t>
        </is>
      </c>
      <c r="E597" t="inlineStr">
        <is>
          <t>LESSEBO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33054-2019</t>
        </is>
      </c>
      <c r="B598" s="1" t="n">
        <v>43649</v>
      </c>
      <c r="C598" s="1" t="n">
        <v>45667</v>
      </c>
      <c r="D598" t="inlineStr">
        <is>
          <t>KRONOBERGS LÄN</t>
        </is>
      </c>
      <c r="E598" t="inlineStr">
        <is>
          <t>ÄLMHULT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33067-2019</t>
        </is>
      </c>
      <c r="B599" s="1" t="n">
        <v>43649</v>
      </c>
      <c r="C599" s="1" t="n">
        <v>45667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33085-2019</t>
        </is>
      </c>
      <c r="B600" s="1" t="n">
        <v>43649</v>
      </c>
      <c r="C600" s="1" t="n">
        <v>45667</v>
      </c>
      <c r="D600" t="inlineStr">
        <is>
          <t>KRONOBERGS LÄN</t>
        </is>
      </c>
      <c r="E600" t="inlineStr">
        <is>
          <t>ÄLMHULT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33152-2019</t>
        </is>
      </c>
      <c r="B601" s="1" t="n">
        <v>43649</v>
      </c>
      <c r="C601" s="1" t="n">
        <v>45667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33105-2019</t>
        </is>
      </c>
      <c r="B602" s="1" t="n">
        <v>43649</v>
      </c>
      <c r="C602" s="1" t="n">
        <v>45667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33049-2019</t>
        </is>
      </c>
      <c r="B603" s="1" t="n">
        <v>43649</v>
      </c>
      <c r="C603" s="1" t="n">
        <v>45667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33139-2019</t>
        </is>
      </c>
      <c r="B604" s="1" t="n">
        <v>43649</v>
      </c>
      <c r="C604" s="1" t="n">
        <v>45667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33178-2019</t>
        </is>
      </c>
      <c r="B605" s="1" t="n">
        <v>43649</v>
      </c>
      <c r="C605" s="1" t="n">
        <v>45667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33190-2019</t>
        </is>
      </c>
      <c r="B606" s="1" t="n">
        <v>43649</v>
      </c>
      <c r="C606" s="1" t="n">
        <v>45667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33022-2019</t>
        </is>
      </c>
      <c r="B607" s="1" t="n">
        <v>43649</v>
      </c>
      <c r="C607" s="1" t="n">
        <v>45667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33273-2019</t>
        </is>
      </c>
      <c r="B608" s="1" t="n">
        <v>43650</v>
      </c>
      <c r="C608" s="1" t="n">
        <v>45667</v>
      </c>
      <c r="D608" t="inlineStr">
        <is>
          <t>KRONOBERGS LÄN</t>
        </is>
      </c>
      <c r="E608" t="inlineStr">
        <is>
          <t>TINGSRYD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33446-2019</t>
        </is>
      </c>
      <c r="B609" s="1" t="n">
        <v>43650</v>
      </c>
      <c r="C609" s="1" t="n">
        <v>45667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33445-2019</t>
        </is>
      </c>
      <c r="B610" s="1" t="n">
        <v>43650</v>
      </c>
      <c r="C610" s="1" t="n">
        <v>45667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33449-2019</t>
        </is>
      </c>
      <c r="B611" s="1" t="n">
        <v>43650</v>
      </c>
      <c r="C611" s="1" t="n">
        <v>45667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33286-2019</t>
        </is>
      </c>
      <c r="B612" s="1" t="n">
        <v>43650</v>
      </c>
      <c r="C612" s="1" t="n">
        <v>45667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35194-2019</t>
        </is>
      </c>
      <c r="B613" s="1" t="n">
        <v>43650</v>
      </c>
      <c r="C613" s="1" t="n">
        <v>45667</v>
      </c>
      <c r="D613" t="inlineStr">
        <is>
          <t>KRONOBERGS LÄN</t>
        </is>
      </c>
      <c r="E613" t="inlineStr">
        <is>
          <t>UPPVIDINGE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33432-2019</t>
        </is>
      </c>
      <c r="B614" s="1" t="n">
        <v>43650</v>
      </c>
      <c r="C614" s="1" t="n">
        <v>45667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33454-2019</t>
        </is>
      </c>
      <c r="B615" s="1" t="n">
        <v>43650</v>
      </c>
      <c r="C615" s="1" t="n">
        <v>45667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33448-2019</t>
        </is>
      </c>
      <c r="B616" s="1" t="n">
        <v>43650</v>
      </c>
      <c r="C616" s="1" t="n">
        <v>45667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35201-2019</t>
        </is>
      </c>
      <c r="B617" s="1" t="n">
        <v>43650</v>
      </c>
      <c r="C617" s="1" t="n">
        <v>45667</v>
      </c>
      <c r="D617" t="inlineStr">
        <is>
          <t>KRONOBERGS LÄN</t>
        </is>
      </c>
      <c r="E617" t="inlineStr">
        <is>
          <t>UPPVIDINGE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34942-2019</t>
        </is>
      </c>
      <c r="B618" s="1" t="n">
        <v>43650</v>
      </c>
      <c r="C618" s="1" t="n">
        <v>45667</v>
      </c>
      <c r="D618" t="inlineStr">
        <is>
          <t>KRONOBERGS LÄN</t>
        </is>
      </c>
      <c r="E618" t="inlineStr">
        <is>
          <t>UPPVIDINGE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35185-2019</t>
        </is>
      </c>
      <c r="B619" s="1" t="n">
        <v>43650</v>
      </c>
      <c r="C619" s="1" t="n">
        <v>45667</v>
      </c>
      <c r="D619" t="inlineStr">
        <is>
          <t>KRONOBERGS LÄN</t>
        </is>
      </c>
      <c r="E619" t="inlineStr">
        <is>
          <t>UPPVIDINGE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33453-2019</t>
        </is>
      </c>
      <c r="B620" s="1" t="n">
        <v>43650</v>
      </c>
      <c r="C620" s="1" t="n">
        <v>45667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33487-2019</t>
        </is>
      </c>
      <c r="B621" s="1" t="n">
        <v>43651</v>
      </c>
      <c r="C621" s="1" t="n">
        <v>45667</v>
      </c>
      <c r="D621" t="inlineStr">
        <is>
          <t>KRONOBERGS LÄN</t>
        </is>
      </c>
      <c r="E621" t="inlineStr">
        <is>
          <t>VÄXJÖ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35278-2019</t>
        </is>
      </c>
      <c r="B622" s="1" t="n">
        <v>43651</v>
      </c>
      <c r="C622" s="1" t="n">
        <v>45667</v>
      </c>
      <c r="D622" t="inlineStr">
        <is>
          <t>KRONOBERGS LÄN</t>
        </is>
      </c>
      <c r="E622" t="inlineStr">
        <is>
          <t>UPPVIDINGE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33754-2019</t>
        </is>
      </c>
      <c r="B623" s="1" t="n">
        <v>43651</v>
      </c>
      <c r="C623" s="1" t="n">
        <v>45667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35352-2019</t>
        </is>
      </c>
      <c r="B624" s="1" t="n">
        <v>43651</v>
      </c>
      <c r="C624" s="1" t="n">
        <v>45667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33894-2019</t>
        </is>
      </c>
      <c r="B625" s="1" t="n">
        <v>43653</v>
      </c>
      <c r="C625" s="1" t="n">
        <v>45667</v>
      </c>
      <c r="D625" t="inlineStr">
        <is>
          <t>KRONOBERGS LÄN</t>
        </is>
      </c>
      <c r="E625" t="inlineStr">
        <is>
          <t>ALVESTA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33896-2019</t>
        </is>
      </c>
      <c r="B626" s="1" t="n">
        <v>43653</v>
      </c>
      <c r="C626" s="1" t="n">
        <v>45667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33897-2019</t>
        </is>
      </c>
      <c r="B627" s="1" t="n">
        <v>43653</v>
      </c>
      <c r="C627" s="1" t="n">
        <v>45667</v>
      </c>
      <c r="D627" t="inlineStr">
        <is>
          <t>KRONOBERGS LÄN</t>
        </is>
      </c>
      <c r="E627" t="inlineStr">
        <is>
          <t>VÄXJÖ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34087-2019</t>
        </is>
      </c>
      <c r="B628" s="1" t="n">
        <v>43654</v>
      </c>
      <c r="C628" s="1" t="n">
        <v>45667</v>
      </c>
      <c r="D628" t="inlineStr">
        <is>
          <t>KRONOBERGS LÄN</t>
        </is>
      </c>
      <c r="E628" t="inlineStr">
        <is>
          <t>LESSEBO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34077-2019</t>
        </is>
      </c>
      <c r="B629" s="1" t="n">
        <v>43654</v>
      </c>
      <c r="C629" s="1" t="n">
        <v>45667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33970-2019</t>
        </is>
      </c>
      <c r="B630" s="1" t="n">
        <v>43654</v>
      </c>
      <c r="C630" s="1" t="n">
        <v>45667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34293-2019</t>
        </is>
      </c>
      <c r="B631" s="1" t="n">
        <v>43655</v>
      </c>
      <c r="C631" s="1" t="n">
        <v>45667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34298-2019</t>
        </is>
      </c>
      <c r="B632" s="1" t="n">
        <v>43655</v>
      </c>
      <c r="C632" s="1" t="n">
        <v>45667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34200-2019</t>
        </is>
      </c>
      <c r="B633" s="1" t="n">
        <v>43655</v>
      </c>
      <c r="C633" s="1" t="n">
        <v>45667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34206-2019</t>
        </is>
      </c>
      <c r="B634" s="1" t="n">
        <v>43655</v>
      </c>
      <c r="C634" s="1" t="n">
        <v>45667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34294-2019</t>
        </is>
      </c>
      <c r="B635" s="1" t="n">
        <v>43655</v>
      </c>
      <c r="C635" s="1" t="n">
        <v>45667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34295-2019</t>
        </is>
      </c>
      <c r="B636" s="1" t="n">
        <v>43655</v>
      </c>
      <c r="C636" s="1" t="n">
        <v>45667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35626-2019</t>
        </is>
      </c>
      <c r="B637" s="1" t="n">
        <v>43655</v>
      </c>
      <c r="C637" s="1" t="n">
        <v>45667</v>
      </c>
      <c r="D637" t="inlineStr">
        <is>
          <t>KRONOBERGS LÄN</t>
        </is>
      </c>
      <c r="E637" t="inlineStr">
        <is>
          <t>ALVESTA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34292-2019</t>
        </is>
      </c>
      <c r="B638" s="1" t="n">
        <v>43655</v>
      </c>
      <c r="C638" s="1" t="n">
        <v>45667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34296-2019</t>
        </is>
      </c>
      <c r="B639" s="1" t="n">
        <v>43655</v>
      </c>
      <c r="C639" s="1" t="n">
        <v>45667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35640-2019</t>
        </is>
      </c>
      <c r="B640" s="1" t="n">
        <v>43655</v>
      </c>
      <c r="C640" s="1" t="n">
        <v>45667</v>
      </c>
      <c r="D640" t="inlineStr">
        <is>
          <t>KRONOBERGS LÄN</t>
        </is>
      </c>
      <c r="E640" t="inlineStr">
        <is>
          <t>VÄXJÖ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35632-2019</t>
        </is>
      </c>
      <c r="B641" s="1" t="n">
        <v>43655</v>
      </c>
      <c r="C641" s="1" t="n">
        <v>45667</v>
      </c>
      <c r="D641" t="inlineStr">
        <is>
          <t>KRONOBERGS LÄN</t>
        </is>
      </c>
      <c r="E641" t="inlineStr">
        <is>
          <t>UPPVIDINGE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35635-2019</t>
        </is>
      </c>
      <c r="B642" s="1" t="n">
        <v>43655</v>
      </c>
      <c r="C642" s="1" t="n">
        <v>45667</v>
      </c>
      <c r="D642" t="inlineStr">
        <is>
          <t>KRONOBERGS LÄN</t>
        </is>
      </c>
      <c r="E642" t="inlineStr">
        <is>
          <t>UPPVIDINGE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34299-2019</t>
        </is>
      </c>
      <c r="B643" s="1" t="n">
        <v>43655</v>
      </c>
      <c r="C643" s="1" t="n">
        <v>45667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34355-2019</t>
        </is>
      </c>
      <c r="B644" s="1" t="n">
        <v>43656</v>
      </c>
      <c r="C644" s="1" t="n">
        <v>45667</v>
      </c>
      <c r="D644" t="inlineStr">
        <is>
          <t>KRONOBERGS LÄN</t>
        </is>
      </c>
      <c r="E644" t="inlineStr">
        <is>
          <t>LJUNGBY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34358-2019</t>
        </is>
      </c>
      <c r="B645" s="1" t="n">
        <v>43656</v>
      </c>
      <c r="C645" s="1" t="n">
        <v>45667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34339-2019</t>
        </is>
      </c>
      <c r="B646" s="1" t="n">
        <v>43656</v>
      </c>
      <c r="C646" s="1" t="n">
        <v>45667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34466-2019</t>
        </is>
      </c>
      <c r="B647" s="1" t="n">
        <v>43656</v>
      </c>
      <c r="C647" s="1" t="n">
        <v>45667</v>
      </c>
      <c r="D647" t="inlineStr">
        <is>
          <t>KRONOBERGS LÄN</t>
        </is>
      </c>
      <c r="E647" t="inlineStr">
        <is>
          <t>LESSEBO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34440-2019</t>
        </is>
      </c>
      <c r="B648" s="1" t="n">
        <v>43656</v>
      </c>
      <c r="C648" s="1" t="n">
        <v>45667</v>
      </c>
      <c r="D648" t="inlineStr">
        <is>
          <t>KRONOBERGS LÄN</t>
        </is>
      </c>
      <c r="E648" t="inlineStr">
        <is>
          <t>UPPVIDINGE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34429-2019</t>
        </is>
      </c>
      <c r="B649" s="1" t="n">
        <v>43656</v>
      </c>
      <c r="C649" s="1" t="n">
        <v>45667</v>
      </c>
      <c r="D649" t="inlineStr">
        <is>
          <t>KRONOBERGS LÄN</t>
        </is>
      </c>
      <c r="E649" t="inlineStr">
        <is>
          <t>TINGSRYD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34761-2019</t>
        </is>
      </c>
      <c r="B650" s="1" t="n">
        <v>43658</v>
      </c>
      <c r="C650" s="1" t="n">
        <v>45667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34931-2019</t>
        </is>
      </c>
      <c r="B651" s="1" t="n">
        <v>43658</v>
      </c>
      <c r="C651" s="1" t="n">
        <v>45667</v>
      </c>
      <c r="D651" t="inlineStr">
        <is>
          <t>KRONOBERGS LÄN</t>
        </is>
      </c>
      <c r="E651" t="inlineStr">
        <is>
          <t>MARKARYD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36110-2019</t>
        </is>
      </c>
      <c r="B652" s="1" t="n">
        <v>43658</v>
      </c>
      <c r="C652" s="1" t="n">
        <v>45667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34990-2019</t>
        </is>
      </c>
      <c r="B653" s="1" t="n">
        <v>43659</v>
      </c>
      <c r="C653" s="1" t="n">
        <v>45667</v>
      </c>
      <c r="D653" t="inlineStr">
        <is>
          <t>KRONOBERGS LÄN</t>
        </is>
      </c>
      <c r="E653" t="inlineStr">
        <is>
          <t>UPPVIDINGE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35159-2019</t>
        </is>
      </c>
      <c r="B654" s="1" t="n">
        <v>43661</v>
      </c>
      <c r="C654" s="1" t="n">
        <v>45667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35008-2019</t>
        </is>
      </c>
      <c r="B655" s="1" t="n">
        <v>43661</v>
      </c>
      <c r="C655" s="1" t="n">
        <v>45667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35162-2019</t>
        </is>
      </c>
      <c r="B656" s="1" t="n">
        <v>43661</v>
      </c>
      <c r="C656" s="1" t="n">
        <v>45667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35305-2019</t>
        </is>
      </c>
      <c r="B657" s="1" t="n">
        <v>43662</v>
      </c>
      <c r="C657" s="1" t="n">
        <v>45667</v>
      </c>
      <c r="D657" t="inlineStr">
        <is>
          <t>KRONOBERGS LÄN</t>
        </is>
      </c>
      <c r="E657" t="inlineStr">
        <is>
          <t>VÄXJÖ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35368-2019</t>
        </is>
      </c>
      <c r="B658" s="1" t="n">
        <v>43663</v>
      </c>
      <c r="C658" s="1" t="n">
        <v>45667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35476-2019</t>
        </is>
      </c>
      <c r="B659" s="1" t="n">
        <v>43663</v>
      </c>
      <c r="C659" s="1" t="n">
        <v>45667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35473-2019</t>
        </is>
      </c>
      <c r="B660" s="1" t="n">
        <v>43663</v>
      </c>
      <c r="C660" s="1" t="n">
        <v>45667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35599-2019</t>
        </is>
      </c>
      <c r="B661" s="1" t="n">
        <v>43664</v>
      </c>
      <c r="C661" s="1" t="n">
        <v>45667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35556-2019</t>
        </is>
      </c>
      <c r="B662" s="1" t="n">
        <v>43664</v>
      </c>
      <c r="C662" s="1" t="n">
        <v>45667</v>
      </c>
      <c r="D662" t="inlineStr">
        <is>
          <t>KRONOBERGS LÄN</t>
        </is>
      </c>
      <c r="E662" t="inlineStr">
        <is>
          <t>UPPVIDINGE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35604-2019</t>
        </is>
      </c>
      <c r="B663" s="1" t="n">
        <v>43664</v>
      </c>
      <c r="C663" s="1" t="n">
        <v>45667</v>
      </c>
      <c r="D663" t="inlineStr">
        <is>
          <t>KRONOBERGS LÄN</t>
        </is>
      </c>
      <c r="E663" t="inlineStr">
        <is>
          <t>ALVESTA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35541-2019</t>
        </is>
      </c>
      <c r="B664" s="1" t="n">
        <v>43664</v>
      </c>
      <c r="C664" s="1" t="n">
        <v>45667</v>
      </c>
      <c r="D664" t="inlineStr">
        <is>
          <t>KRONOBERGS LÄN</t>
        </is>
      </c>
      <c r="E664" t="inlineStr">
        <is>
          <t>TINGSRYD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35711-2019</t>
        </is>
      </c>
      <c r="B665" s="1" t="n">
        <v>43664</v>
      </c>
      <c r="C665" s="1" t="n">
        <v>45667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35605-2019</t>
        </is>
      </c>
      <c r="B666" s="1" t="n">
        <v>43664</v>
      </c>
      <c r="C666" s="1" t="n">
        <v>45667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35783-2019</t>
        </is>
      </c>
      <c r="B667" s="1" t="n">
        <v>43665</v>
      </c>
      <c r="C667" s="1" t="n">
        <v>45667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35878-2019</t>
        </is>
      </c>
      <c r="B668" s="1" t="n">
        <v>43665</v>
      </c>
      <c r="C668" s="1" t="n">
        <v>45667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35974-2019</t>
        </is>
      </c>
      <c r="B669" s="1" t="n">
        <v>43666</v>
      </c>
      <c r="C669" s="1" t="n">
        <v>45667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35978-2019</t>
        </is>
      </c>
      <c r="B670" s="1" t="n">
        <v>43667</v>
      </c>
      <c r="C670" s="1" t="n">
        <v>45667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35981-2019</t>
        </is>
      </c>
      <c r="B671" s="1" t="n">
        <v>43667</v>
      </c>
      <c r="C671" s="1" t="n">
        <v>45667</v>
      </c>
      <c r="D671" t="inlineStr">
        <is>
          <t>KRONOBERGS LÄN</t>
        </is>
      </c>
      <c r="E671" t="inlineStr">
        <is>
          <t>ALVESTA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35979-2019</t>
        </is>
      </c>
      <c r="B672" s="1" t="n">
        <v>43667</v>
      </c>
      <c r="C672" s="1" t="n">
        <v>45667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36067-2019</t>
        </is>
      </c>
      <c r="B673" s="1" t="n">
        <v>43668</v>
      </c>
      <c r="C673" s="1" t="n">
        <v>45667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36068-2019</t>
        </is>
      </c>
      <c r="B674" s="1" t="n">
        <v>43668</v>
      </c>
      <c r="C674" s="1" t="n">
        <v>45667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36076-2019</t>
        </is>
      </c>
      <c r="B675" s="1" t="n">
        <v>43668</v>
      </c>
      <c r="C675" s="1" t="n">
        <v>45667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36005-2019</t>
        </is>
      </c>
      <c r="B676" s="1" t="n">
        <v>43668</v>
      </c>
      <c r="C676" s="1" t="n">
        <v>45667</v>
      </c>
      <c r="D676" t="inlineStr">
        <is>
          <t>KRONOBERGS LÄN</t>
        </is>
      </c>
      <c r="E676" t="inlineStr">
        <is>
          <t>LJUNGBY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36078-2019</t>
        </is>
      </c>
      <c r="B677" s="1" t="n">
        <v>43668</v>
      </c>
      <c r="C677" s="1" t="n">
        <v>45667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36204-2019</t>
        </is>
      </c>
      <c r="B678" s="1" t="n">
        <v>43669</v>
      </c>
      <c r="C678" s="1" t="n">
        <v>45667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36228-2019</t>
        </is>
      </c>
      <c r="B679" s="1" t="n">
        <v>43669</v>
      </c>
      <c r="C679" s="1" t="n">
        <v>45667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36247-2019</t>
        </is>
      </c>
      <c r="B680" s="1" t="n">
        <v>43669</v>
      </c>
      <c r="C680" s="1" t="n">
        <v>45667</v>
      </c>
      <c r="D680" t="inlineStr">
        <is>
          <t>KRONOBERGS LÄN</t>
        </is>
      </c>
      <c r="E680" t="inlineStr">
        <is>
          <t>MARKARYD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36264-2019</t>
        </is>
      </c>
      <c r="B681" s="1" t="n">
        <v>43669</v>
      </c>
      <c r="C681" s="1" t="n">
        <v>45667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36294-2019</t>
        </is>
      </c>
      <c r="B682" s="1" t="n">
        <v>43669</v>
      </c>
      <c r="C682" s="1" t="n">
        <v>45667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36406-2019</t>
        </is>
      </c>
      <c r="B683" s="1" t="n">
        <v>43670</v>
      </c>
      <c r="C683" s="1" t="n">
        <v>45667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36366-2019</t>
        </is>
      </c>
      <c r="B684" s="1" t="n">
        <v>43670</v>
      </c>
      <c r="C684" s="1" t="n">
        <v>45667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36396-2019</t>
        </is>
      </c>
      <c r="B685" s="1" t="n">
        <v>43670</v>
      </c>
      <c r="C685" s="1" t="n">
        <v>45667</v>
      </c>
      <c r="D685" t="inlineStr">
        <is>
          <t>KRONOBERGS LÄN</t>
        </is>
      </c>
      <c r="E685" t="inlineStr">
        <is>
          <t>VÄXJÖ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36431-2019</t>
        </is>
      </c>
      <c r="B686" s="1" t="n">
        <v>43670</v>
      </c>
      <c r="C686" s="1" t="n">
        <v>45667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36568-2019</t>
        </is>
      </c>
      <c r="B687" s="1" t="n">
        <v>43671</v>
      </c>
      <c r="C687" s="1" t="n">
        <v>45667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36773-2019</t>
        </is>
      </c>
      <c r="B688" s="1" t="n">
        <v>43672</v>
      </c>
      <c r="C688" s="1" t="n">
        <v>45667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36801-2019</t>
        </is>
      </c>
      <c r="B689" s="1" t="n">
        <v>43672</v>
      </c>
      <c r="C689" s="1" t="n">
        <v>45667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36776-2019</t>
        </is>
      </c>
      <c r="B690" s="1" t="n">
        <v>43672</v>
      </c>
      <c r="C690" s="1" t="n">
        <v>45667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36853-2019</t>
        </is>
      </c>
      <c r="B691" s="1" t="n">
        <v>43675</v>
      </c>
      <c r="C691" s="1" t="n">
        <v>45667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36872-2019</t>
        </is>
      </c>
      <c r="B692" s="1" t="n">
        <v>43675</v>
      </c>
      <c r="C692" s="1" t="n">
        <v>45667</v>
      </c>
      <c r="D692" t="inlineStr">
        <is>
          <t>KRONOBERGS LÄN</t>
        </is>
      </c>
      <c r="E692" t="inlineStr">
        <is>
          <t>ALVESTA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36886-2019</t>
        </is>
      </c>
      <c r="B693" s="1" t="n">
        <v>43675</v>
      </c>
      <c r="C693" s="1" t="n">
        <v>45667</v>
      </c>
      <c r="D693" t="inlineStr">
        <is>
          <t>KRONOBERGS LÄN</t>
        </is>
      </c>
      <c r="E693" t="inlineStr">
        <is>
          <t>LESSEBO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36900-2019</t>
        </is>
      </c>
      <c r="B694" s="1" t="n">
        <v>43675</v>
      </c>
      <c r="C694" s="1" t="n">
        <v>45667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36906-2019</t>
        </is>
      </c>
      <c r="B695" s="1" t="n">
        <v>43675</v>
      </c>
      <c r="C695" s="1" t="n">
        <v>45667</v>
      </c>
      <c r="D695" t="inlineStr">
        <is>
          <t>KRONOBERGS LÄN</t>
        </is>
      </c>
      <c r="E695" t="inlineStr">
        <is>
          <t>TINGSRYD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36915-2019</t>
        </is>
      </c>
      <c r="B696" s="1" t="n">
        <v>43675</v>
      </c>
      <c r="C696" s="1" t="n">
        <v>45667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36846-2019</t>
        </is>
      </c>
      <c r="B697" s="1" t="n">
        <v>43675</v>
      </c>
      <c r="C697" s="1" t="n">
        <v>45667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36905-2019</t>
        </is>
      </c>
      <c r="B698" s="1" t="n">
        <v>43675</v>
      </c>
      <c r="C698" s="1" t="n">
        <v>45667</v>
      </c>
      <c r="D698" t="inlineStr">
        <is>
          <t>KRONOBERGS LÄN</t>
        </is>
      </c>
      <c r="E698" t="inlineStr">
        <is>
          <t>ALVESTA</t>
        </is>
      </c>
      <c r="F698" t="inlineStr">
        <is>
          <t>Kyrkan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36934-2019</t>
        </is>
      </c>
      <c r="B699" s="1" t="n">
        <v>43675</v>
      </c>
      <c r="C699" s="1" t="n">
        <v>45667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36897-2019</t>
        </is>
      </c>
      <c r="B700" s="1" t="n">
        <v>43675</v>
      </c>
      <c r="C700" s="1" t="n">
        <v>45667</v>
      </c>
      <c r="D700" t="inlineStr">
        <is>
          <t>KRONOBERGS LÄN</t>
        </is>
      </c>
      <c r="E700" t="inlineStr">
        <is>
          <t>TINGSRYD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36937-2019</t>
        </is>
      </c>
      <c r="B701" s="1" t="n">
        <v>43675</v>
      </c>
      <c r="C701" s="1" t="n">
        <v>45667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37037-2019</t>
        </is>
      </c>
      <c r="B702" s="1" t="n">
        <v>43676</v>
      </c>
      <c r="C702" s="1" t="n">
        <v>45667</v>
      </c>
      <c r="D702" t="inlineStr">
        <is>
          <t>KRONOBERGS LÄN</t>
        </is>
      </c>
      <c r="E702" t="inlineStr">
        <is>
          <t>LESSEBO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36986-2019</t>
        </is>
      </c>
      <c r="B703" s="1" t="n">
        <v>43676</v>
      </c>
      <c r="C703" s="1" t="n">
        <v>45667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37095-2019</t>
        </is>
      </c>
      <c r="B704" s="1" t="n">
        <v>43676</v>
      </c>
      <c r="C704" s="1" t="n">
        <v>45667</v>
      </c>
      <c r="D704" t="inlineStr">
        <is>
          <t>KRONOBERGS LÄN</t>
        </is>
      </c>
      <c r="E704" t="inlineStr">
        <is>
          <t>LJUNGBY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37034-2019</t>
        </is>
      </c>
      <c r="B705" s="1" t="n">
        <v>43676</v>
      </c>
      <c r="C705" s="1" t="n">
        <v>45667</v>
      </c>
      <c r="D705" t="inlineStr">
        <is>
          <t>KRONOBERGS LÄN</t>
        </is>
      </c>
      <c r="E705" t="inlineStr">
        <is>
          <t>LESSEBO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36979-2019</t>
        </is>
      </c>
      <c r="B706" s="1" t="n">
        <v>43676</v>
      </c>
      <c r="C706" s="1" t="n">
        <v>45667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37109-2019</t>
        </is>
      </c>
      <c r="B707" s="1" t="n">
        <v>43676</v>
      </c>
      <c r="C707" s="1" t="n">
        <v>45667</v>
      </c>
      <c r="D707" t="inlineStr">
        <is>
          <t>KRONOBERGS LÄN</t>
        </is>
      </c>
      <c r="E707" t="inlineStr">
        <is>
          <t>LJUNGBY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37107-2019</t>
        </is>
      </c>
      <c r="B708" s="1" t="n">
        <v>43676</v>
      </c>
      <c r="C708" s="1" t="n">
        <v>45667</v>
      </c>
      <c r="D708" t="inlineStr">
        <is>
          <t>KRONOBERGS LÄN</t>
        </is>
      </c>
      <c r="E708" t="inlineStr">
        <is>
          <t>LJUNGBY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37041-2019</t>
        </is>
      </c>
      <c r="B709" s="1" t="n">
        <v>43676</v>
      </c>
      <c r="C709" s="1" t="n">
        <v>45667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37287-2019</t>
        </is>
      </c>
      <c r="B710" s="1" t="n">
        <v>43677</v>
      </c>
      <c r="C710" s="1" t="n">
        <v>45667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37226-2019</t>
        </is>
      </c>
      <c r="B711" s="1" t="n">
        <v>43677</v>
      </c>
      <c r="C711" s="1" t="n">
        <v>45667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37272-2019</t>
        </is>
      </c>
      <c r="B712" s="1" t="n">
        <v>43677</v>
      </c>
      <c r="C712" s="1" t="n">
        <v>45667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37195-2019</t>
        </is>
      </c>
      <c r="B713" s="1" t="n">
        <v>43677</v>
      </c>
      <c r="C713" s="1" t="n">
        <v>45667</v>
      </c>
      <c r="D713" t="inlineStr">
        <is>
          <t>KRONOBERGS LÄN</t>
        </is>
      </c>
      <c r="E713" t="inlineStr">
        <is>
          <t>UPPVIDINGE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37289-2019</t>
        </is>
      </c>
      <c r="B714" s="1" t="n">
        <v>43677</v>
      </c>
      <c r="C714" s="1" t="n">
        <v>45667</v>
      </c>
      <c r="D714" t="inlineStr">
        <is>
          <t>KRONOBERGS LÄN</t>
        </is>
      </c>
      <c r="E714" t="inlineStr">
        <is>
          <t>UPPVIDINGE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37349-2019</t>
        </is>
      </c>
      <c r="B715" s="1" t="n">
        <v>43678</v>
      </c>
      <c r="C715" s="1" t="n">
        <v>45667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37354-2019</t>
        </is>
      </c>
      <c r="B716" s="1" t="n">
        <v>43678</v>
      </c>
      <c r="C716" s="1" t="n">
        <v>45667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37351-2019</t>
        </is>
      </c>
      <c r="B717" s="1" t="n">
        <v>43678</v>
      </c>
      <c r="C717" s="1" t="n">
        <v>45667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37306-2019</t>
        </is>
      </c>
      <c r="B718" s="1" t="n">
        <v>43678</v>
      </c>
      <c r="C718" s="1" t="n">
        <v>45667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37374-2019</t>
        </is>
      </c>
      <c r="B719" s="1" t="n">
        <v>43678</v>
      </c>
      <c r="C719" s="1" t="n">
        <v>45667</v>
      </c>
      <c r="D719" t="inlineStr">
        <is>
          <t>KRONOBERGS LÄN</t>
        </is>
      </c>
      <c r="E719" t="inlineStr">
        <is>
          <t>TINGSRYD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37353-2019</t>
        </is>
      </c>
      <c r="B720" s="1" t="n">
        <v>43678</v>
      </c>
      <c r="C720" s="1" t="n">
        <v>45667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37446-2019</t>
        </is>
      </c>
      <c r="B721" s="1" t="n">
        <v>43679</v>
      </c>
      <c r="C721" s="1" t="n">
        <v>45667</v>
      </c>
      <c r="D721" t="inlineStr">
        <is>
          <t>KRONOBERGS LÄN</t>
        </is>
      </c>
      <c r="E721" t="inlineStr">
        <is>
          <t>UPPVIDINGE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37491-2019</t>
        </is>
      </c>
      <c r="B722" s="1" t="n">
        <v>43679</v>
      </c>
      <c r="C722" s="1" t="n">
        <v>45667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37459-2019</t>
        </is>
      </c>
      <c r="B723" s="1" t="n">
        <v>43679</v>
      </c>
      <c r="C723" s="1" t="n">
        <v>45667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37619-2019</t>
        </is>
      </c>
      <c r="B724" s="1" t="n">
        <v>43681</v>
      </c>
      <c r="C724" s="1" t="n">
        <v>45667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38223-2019</t>
        </is>
      </c>
      <c r="B725" s="1" t="n">
        <v>43681</v>
      </c>
      <c r="C725" s="1" t="n">
        <v>45667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37667-2019</t>
        </is>
      </c>
      <c r="B726" s="1" t="n">
        <v>43682</v>
      </c>
      <c r="C726" s="1" t="n">
        <v>45667</v>
      </c>
      <c r="D726" t="inlineStr">
        <is>
          <t>KRONOBERGS LÄN</t>
        </is>
      </c>
      <c r="E726" t="inlineStr">
        <is>
          <t>VÄXJÖ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37848-2019</t>
        </is>
      </c>
      <c r="B727" s="1" t="n">
        <v>43682</v>
      </c>
      <c r="C727" s="1" t="n">
        <v>45667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37748-2019</t>
        </is>
      </c>
      <c r="B728" s="1" t="n">
        <v>43682</v>
      </c>
      <c r="C728" s="1" t="n">
        <v>45667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37994-2019</t>
        </is>
      </c>
      <c r="B729" s="1" t="n">
        <v>43683</v>
      </c>
      <c r="C729" s="1" t="n">
        <v>45667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38012-2019</t>
        </is>
      </c>
      <c r="B730" s="1" t="n">
        <v>43683</v>
      </c>
      <c r="C730" s="1" t="n">
        <v>45667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37919-2019</t>
        </is>
      </c>
      <c r="B731" s="1" t="n">
        <v>43683</v>
      </c>
      <c r="C731" s="1" t="n">
        <v>45667</v>
      </c>
      <c r="D731" t="inlineStr">
        <is>
          <t>KRONOBERGS LÄN</t>
        </is>
      </c>
      <c r="E731" t="inlineStr">
        <is>
          <t>LJUNGBY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37998-2019</t>
        </is>
      </c>
      <c r="B732" s="1" t="n">
        <v>43683</v>
      </c>
      <c r="C732" s="1" t="n">
        <v>45667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38102-2019</t>
        </is>
      </c>
      <c r="B733" s="1" t="n">
        <v>43683</v>
      </c>
      <c r="C733" s="1" t="n">
        <v>45667</v>
      </c>
      <c r="D733" t="inlineStr">
        <is>
          <t>KRONOBERGS LÄN</t>
        </is>
      </c>
      <c r="E733" t="inlineStr">
        <is>
          <t>MARKARYD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38060-2019</t>
        </is>
      </c>
      <c r="B734" s="1" t="n">
        <v>43683</v>
      </c>
      <c r="C734" s="1" t="n">
        <v>45667</v>
      </c>
      <c r="D734" t="inlineStr">
        <is>
          <t>KRONOBERGS LÄN</t>
        </is>
      </c>
      <c r="E734" t="inlineStr">
        <is>
          <t>LJUNGBY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38045-2019</t>
        </is>
      </c>
      <c r="B735" s="1" t="n">
        <v>43683</v>
      </c>
      <c r="C735" s="1" t="n">
        <v>45667</v>
      </c>
      <c r="D735" t="inlineStr">
        <is>
          <t>KRONOBERGS LÄN</t>
        </is>
      </c>
      <c r="E735" t="inlineStr">
        <is>
          <t>LJUNGBY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38347-2019</t>
        </is>
      </c>
      <c r="B736" s="1" t="n">
        <v>43683</v>
      </c>
      <c r="C736" s="1" t="n">
        <v>45667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38070-2019</t>
        </is>
      </c>
      <c r="B737" s="1" t="n">
        <v>43683</v>
      </c>
      <c r="C737" s="1" t="n">
        <v>45667</v>
      </c>
      <c r="D737" t="inlineStr">
        <is>
          <t>KRONOBERGS LÄN</t>
        </is>
      </c>
      <c r="E737" t="inlineStr">
        <is>
          <t>LJUNGBY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37923-2019</t>
        </is>
      </c>
      <c r="B738" s="1" t="n">
        <v>43683</v>
      </c>
      <c r="C738" s="1" t="n">
        <v>45667</v>
      </c>
      <c r="D738" t="inlineStr">
        <is>
          <t>KRONOBERGS LÄN</t>
        </is>
      </c>
      <c r="E738" t="inlineStr">
        <is>
          <t>LJUNGBY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38088-2019</t>
        </is>
      </c>
      <c r="B739" s="1" t="n">
        <v>43683</v>
      </c>
      <c r="C739" s="1" t="n">
        <v>45667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38037-2019</t>
        </is>
      </c>
      <c r="B740" s="1" t="n">
        <v>43683</v>
      </c>
      <c r="C740" s="1" t="n">
        <v>45667</v>
      </c>
      <c r="D740" t="inlineStr">
        <is>
          <t>KRONOBERGS LÄN</t>
        </is>
      </c>
      <c r="E740" t="inlineStr">
        <is>
          <t>LJUNGBY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38193-2019</t>
        </is>
      </c>
      <c r="B741" s="1" t="n">
        <v>43684</v>
      </c>
      <c r="C741" s="1" t="n">
        <v>45667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38261-2019</t>
        </is>
      </c>
      <c r="B742" s="1" t="n">
        <v>43684</v>
      </c>
      <c r="C742" s="1" t="n">
        <v>45667</v>
      </c>
      <c r="D742" t="inlineStr">
        <is>
          <t>KRONOBERGS LÄN</t>
        </is>
      </c>
      <c r="E742" t="inlineStr">
        <is>
          <t>LESSEBO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38412-2019</t>
        </is>
      </c>
      <c r="B743" s="1" t="n">
        <v>43684</v>
      </c>
      <c r="C743" s="1" t="n">
        <v>45667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38162-2019</t>
        </is>
      </c>
      <c r="B744" s="1" t="n">
        <v>43684</v>
      </c>
      <c r="C744" s="1" t="n">
        <v>45667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38342-2019</t>
        </is>
      </c>
      <c r="B745" s="1" t="n">
        <v>43685</v>
      </c>
      <c r="C745" s="1" t="n">
        <v>45667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38717-2019</t>
        </is>
      </c>
      <c r="B746" s="1" t="n">
        <v>43686</v>
      </c>
      <c r="C746" s="1" t="n">
        <v>45667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38701-2019</t>
        </is>
      </c>
      <c r="B747" s="1" t="n">
        <v>43686</v>
      </c>
      <c r="C747" s="1" t="n">
        <v>45667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38680-2019</t>
        </is>
      </c>
      <c r="B748" s="1" t="n">
        <v>43686</v>
      </c>
      <c r="C748" s="1" t="n">
        <v>45667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38694-2019</t>
        </is>
      </c>
      <c r="B749" s="1" t="n">
        <v>43686</v>
      </c>
      <c r="C749" s="1" t="n">
        <v>45667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38733-2019</t>
        </is>
      </c>
      <c r="B750" s="1" t="n">
        <v>43686</v>
      </c>
      <c r="C750" s="1" t="n">
        <v>45667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38745-2019</t>
        </is>
      </c>
      <c r="B751" s="1" t="n">
        <v>43686</v>
      </c>
      <c r="C751" s="1" t="n">
        <v>45667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38698-2019</t>
        </is>
      </c>
      <c r="B752" s="1" t="n">
        <v>43686</v>
      </c>
      <c r="C752" s="1" t="n">
        <v>45667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38788-2019</t>
        </is>
      </c>
      <c r="B753" s="1" t="n">
        <v>43687</v>
      </c>
      <c r="C753" s="1" t="n">
        <v>45667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38792-2019</t>
        </is>
      </c>
      <c r="B754" s="1" t="n">
        <v>43688</v>
      </c>
      <c r="C754" s="1" t="n">
        <v>45667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38802-2019</t>
        </is>
      </c>
      <c r="B755" s="1" t="n">
        <v>43688</v>
      </c>
      <c r="C755" s="1" t="n">
        <v>45667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38854-2019</t>
        </is>
      </c>
      <c r="B756" s="1" t="n">
        <v>43689</v>
      </c>
      <c r="C756" s="1" t="n">
        <v>45667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38825-2019</t>
        </is>
      </c>
      <c r="B757" s="1" t="n">
        <v>43689</v>
      </c>
      <c r="C757" s="1" t="n">
        <v>45667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38840-2019</t>
        </is>
      </c>
      <c r="B758" s="1" t="n">
        <v>43689</v>
      </c>
      <c r="C758" s="1" t="n">
        <v>45667</v>
      </c>
      <c r="D758" t="inlineStr">
        <is>
          <t>KRONOBERGS LÄN</t>
        </is>
      </c>
      <c r="E758" t="inlineStr">
        <is>
          <t>LESSEBO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38934-2019</t>
        </is>
      </c>
      <c r="B759" s="1" t="n">
        <v>43689</v>
      </c>
      <c r="C759" s="1" t="n">
        <v>45667</v>
      </c>
      <c r="D759" t="inlineStr">
        <is>
          <t>KRONOBERGS LÄN</t>
        </is>
      </c>
      <c r="E759" t="inlineStr">
        <is>
          <t>LESSEBO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38818-2019</t>
        </is>
      </c>
      <c r="B760" s="1" t="n">
        <v>43689</v>
      </c>
      <c r="C760" s="1" t="n">
        <v>45667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38851-2019</t>
        </is>
      </c>
      <c r="B761" s="1" t="n">
        <v>43689</v>
      </c>
      <c r="C761" s="1" t="n">
        <v>45667</v>
      </c>
      <c r="D761" t="inlineStr">
        <is>
          <t>KRONOBERGS LÄN</t>
        </is>
      </c>
      <c r="E761" t="inlineStr">
        <is>
          <t>UPPVIDINGE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39092-2019</t>
        </is>
      </c>
      <c r="B762" s="1" t="n">
        <v>43689</v>
      </c>
      <c r="C762" s="1" t="n">
        <v>45667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39094-2019</t>
        </is>
      </c>
      <c r="B763" s="1" t="n">
        <v>43689</v>
      </c>
      <c r="C763" s="1" t="n">
        <v>45667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38811-2019</t>
        </is>
      </c>
      <c r="B764" s="1" t="n">
        <v>43689</v>
      </c>
      <c r="C764" s="1" t="n">
        <v>45667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39705-2019</t>
        </is>
      </c>
      <c r="B765" s="1" t="n">
        <v>43689</v>
      </c>
      <c r="C765" s="1" t="n">
        <v>45667</v>
      </c>
      <c r="D765" t="inlineStr">
        <is>
          <t>KRONOBERGS LÄN</t>
        </is>
      </c>
      <c r="E765" t="inlineStr">
        <is>
          <t>TINGSRYD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38943-2019</t>
        </is>
      </c>
      <c r="B766" s="1" t="n">
        <v>43689</v>
      </c>
      <c r="C766" s="1" t="n">
        <v>45667</v>
      </c>
      <c r="D766" t="inlineStr">
        <is>
          <t>KRONOBERGS LÄN</t>
        </is>
      </c>
      <c r="E766" t="inlineStr">
        <is>
          <t>LESSEBO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38850-2019</t>
        </is>
      </c>
      <c r="B767" s="1" t="n">
        <v>43689</v>
      </c>
      <c r="C767" s="1" t="n">
        <v>45667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39827-2019</t>
        </is>
      </c>
      <c r="B768" s="1" t="n">
        <v>43689</v>
      </c>
      <c r="C768" s="1" t="n">
        <v>45667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39217-2019</t>
        </is>
      </c>
      <c r="B769" s="1" t="n">
        <v>43690</v>
      </c>
      <c r="C769" s="1" t="n">
        <v>45667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39280-2019</t>
        </is>
      </c>
      <c r="B770" s="1" t="n">
        <v>43690</v>
      </c>
      <c r="C770" s="1" t="n">
        <v>45667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39214-2019</t>
        </is>
      </c>
      <c r="B771" s="1" t="n">
        <v>43690</v>
      </c>
      <c r="C771" s="1" t="n">
        <v>45667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39277-2019</t>
        </is>
      </c>
      <c r="B772" s="1" t="n">
        <v>43690</v>
      </c>
      <c r="C772" s="1" t="n">
        <v>45667</v>
      </c>
      <c r="D772" t="inlineStr">
        <is>
          <t>KRONOBERGS LÄN</t>
        </is>
      </c>
      <c r="E772" t="inlineStr">
        <is>
          <t>TINGSRYD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39288-2019</t>
        </is>
      </c>
      <c r="B773" s="1" t="n">
        <v>43690</v>
      </c>
      <c r="C773" s="1" t="n">
        <v>45667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39259-2019</t>
        </is>
      </c>
      <c r="B774" s="1" t="n">
        <v>43690</v>
      </c>
      <c r="C774" s="1" t="n">
        <v>45667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39295-2019</t>
        </is>
      </c>
      <c r="B775" s="1" t="n">
        <v>43690</v>
      </c>
      <c r="C775" s="1" t="n">
        <v>45667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39306-2019</t>
        </is>
      </c>
      <c r="B776" s="1" t="n">
        <v>43690</v>
      </c>
      <c r="C776" s="1" t="n">
        <v>45667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39362-2019</t>
        </is>
      </c>
      <c r="B777" s="1" t="n">
        <v>43690</v>
      </c>
      <c r="C777" s="1" t="n">
        <v>45667</v>
      </c>
      <c r="D777" t="inlineStr">
        <is>
          <t>KRONOBERGS LÄN</t>
        </is>
      </c>
      <c r="E777" t="inlineStr">
        <is>
          <t>UPPVIDINGE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39386-2019</t>
        </is>
      </c>
      <c r="B778" s="1" t="n">
        <v>43690</v>
      </c>
      <c r="C778" s="1" t="n">
        <v>45667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40063-2019</t>
        </is>
      </c>
      <c r="B779" s="1" t="n">
        <v>43690</v>
      </c>
      <c r="C779" s="1" t="n">
        <v>45667</v>
      </c>
      <c r="D779" t="inlineStr">
        <is>
          <t>KRONOBERGS LÄN</t>
        </is>
      </c>
      <c r="E779" t="inlineStr">
        <is>
          <t>ALVESTA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40286-2019</t>
        </is>
      </c>
      <c r="B780" s="1" t="n">
        <v>43690</v>
      </c>
      <c r="C780" s="1" t="n">
        <v>45667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40007-2019</t>
        </is>
      </c>
      <c r="B781" s="1" t="n">
        <v>43690</v>
      </c>
      <c r="C781" s="1" t="n">
        <v>45667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39361-2019</t>
        </is>
      </c>
      <c r="B782" s="1" t="n">
        <v>43690</v>
      </c>
      <c r="C782" s="1" t="n">
        <v>45667</v>
      </c>
      <c r="D782" t="inlineStr">
        <is>
          <t>KRONOBERGS LÄN</t>
        </is>
      </c>
      <c r="E782" t="inlineStr">
        <is>
          <t>UPPVIDINGE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39323-2019</t>
        </is>
      </c>
      <c r="B783" s="1" t="n">
        <v>43690</v>
      </c>
      <c r="C783" s="1" t="n">
        <v>45667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39546-2019</t>
        </is>
      </c>
      <c r="B784" s="1" t="n">
        <v>43691</v>
      </c>
      <c r="C784" s="1" t="n">
        <v>45667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39553-2019</t>
        </is>
      </c>
      <c r="B785" s="1" t="n">
        <v>43691</v>
      </c>
      <c r="C785" s="1" t="n">
        <v>45667</v>
      </c>
      <c r="D785" t="inlineStr">
        <is>
          <t>KRONOBERGS LÄN</t>
        </is>
      </c>
      <c r="E785" t="inlineStr">
        <is>
          <t>LESSEBO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39906-2019</t>
        </is>
      </c>
      <c r="B786" s="1" t="n">
        <v>43692</v>
      </c>
      <c r="C786" s="1" t="n">
        <v>45667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40064-2019</t>
        </is>
      </c>
      <c r="B787" s="1" t="n">
        <v>43693</v>
      </c>
      <c r="C787" s="1" t="n">
        <v>45667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40125-2019</t>
        </is>
      </c>
      <c r="B788" s="1" t="n">
        <v>43693</v>
      </c>
      <c r="C788" s="1" t="n">
        <v>45667</v>
      </c>
      <c r="D788" t="inlineStr">
        <is>
          <t>KRONOBERGS LÄN</t>
        </is>
      </c>
      <c r="E788" t="inlineStr">
        <is>
          <t>ÄLMHULT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40008-2019</t>
        </is>
      </c>
      <c r="B789" s="1" t="n">
        <v>43693</v>
      </c>
      <c r="C789" s="1" t="n">
        <v>45667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40896-2019</t>
        </is>
      </c>
      <c r="B790" s="1" t="n">
        <v>43693</v>
      </c>
      <c r="C790" s="1" t="n">
        <v>45667</v>
      </c>
      <c r="D790" t="inlineStr">
        <is>
          <t>KRONOBERGS LÄN</t>
        </is>
      </c>
      <c r="E790" t="inlineStr">
        <is>
          <t>UPPVIDINGE</t>
        </is>
      </c>
      <c r="F790" t="inlineStr">
        <is>
          <t>Kommuner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40060-2019</t>
        </is>
      </c>
      <c r="B791" s="1" t="n">
        <v>43693</v>
      </c>
      <c r="C791" s="1" t="n">
        <v>45667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40121-2019</t>
        </is>
      </c>
      <c r="B792" s="1" t="n">
        <v>43693</v>
      </c>
      <c r="C792" s="1" t="n">
        <v>45667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40268-2019</t>
        </is>
      </c>
      <c r="B793" s="1" t="n">
        <v>43695</v>
      </c>
      <c r="C793" s="1" t="n">
        <v>45667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40270-2019</t>
        </is>
      </c>
      <c r="B794" s="1" t="n">
        <v>43695</v>
      </c>
      <c r="C794" s="1" t="n">
        <v>45667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40317-2019</t>
        </is>
      </c>
      <c r="B795" s="1" t="n">
        <v>43696</v>
      </c>
      <c r="C795" s="1" t="n">
        <v>45667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40333-2019</t>
        </is>
      </c>
      <c r="B796" s="1" t="n">
        <v>43696</v>
      </c>
      <c r="C796" s="1" t="n">
        <v>45667</v>
      </c>
      <c r="D796" t="inlineStr">
        <is>
          <t>KRONOBERGS LÄN</t>
        </is>
      </c>
      <c r="E796" t="inlineStr">
        <is>
          <t>UPPVIDINGE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40347-2019</t>
        </is>
      </c>
      <c r="B797" s="1" t="n">
        <v>43696</v>
      </c>
      <c r="C797" s="1" t="n">
        <v>45667</v>
      </c>
      <c r="D797" t="inlineStr">
        <is>
          <t>KRONOBERGS LÄN</t>
        </is>
      </c>
      <c r="E797" t="inlineStr">
        <is>
          <t>UPPVIDINGE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40340-2019</t>
        </is>
      </c>
      <c r="B798" s="1" t="n">
        <v>43696</v>
      </c>
      <c r="C798" s="1" t="n">
        <v>45667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40948-2019</t>
        </is>
      </c>
      <c r="B799" s="1" t="n">
        <v>43696</v>
      </c>
      <c r="C799" s="1" t="n">
        <v>45667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40945-2019</t>
        </is>
      </c>
      <c r="B800" s="1" t="n">
        <v>43696</v>
      </c>
      <c r="C800" s="1" t="n">
        <v>45667</v>
      </c>
      <c r="D800" t="inlineStr">
        <is>
          <t>KRONOBERGS LÄN</t>
        </is>
      </c>
      <c r="E800" t="inlineStr">
        <is>
          <t>UPPVIDINGE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40332-2019</t>
        </is>
      </c>
      <c r="B801" s="1" t="n">
        <v>43696</v>
      </c>
      <c r="C801" s="1" t="n">
        <v>45667</v>
      </c>
      <c r="D801" t="inlineStr">
        <is>
          <t>KRONOBERGS LÄN</t>
        </is>
      </c>
      <c r="E801" t="inlineStr">
        <is>
          <t>LESSEBO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40404-2019</t>
        </is>
      </c>
      <c r="B802" s="1" t="n">
        <v>43696</v>
      </c>
      <c r="C802" s="1" t="n">
        <v>45667</v>
      </c>
      <c r="D802" t="inlineStr">
        <is>
          <t>KRONOBERGS LÄN</t>
        </is>
      </c>
      <c r="E802" t="inlineStr">
        <is>
          <t>MARKARYD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40640-2019</t>
        </is>
      </c>
      <c r="B803" s="1" t="n">
        <v>43696</v>
      </c>
      <c r="C803" s="1" t="n">
        <v>45667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40759-2019</t>
        </is>
      </c>
      <c r="B804" s="1" t="n">
        <v>43697</v>
      </c>
      <c r="C804" s="1" t="n">
        <v>45667</v>
      </c>
      <c r="D804" t="inlineStr">
        <is>
          <t>KRONOBERGS LÄN</t>
        </is>
      </c>
      <c r="E804" t="inlineStr">
        <is>
          <t>TINGSRYD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40702-2019</t>
        </is>
      </c>
      <c r="B805" s="1" t="n">
        <v>43697</v>
      </c>
      <c r="C805" s="1" t="n">
        <v>45667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40996-2019</t>
        </is>
      </c>
      <c r="B806" s="1" t="n">
        <v>43697</v>
      </c>
      <c r="C806" s="1" t="n">
        <v>45667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40753-2019</t>
        </is>
      </c>
      <c r="B807" s="1" t="n">
        <v>43697</v>
      </c>
      <c r="C807" s="1" t="n">
        <v>45667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41808-2019</t>
        </is>
      </c>
      <c r="B808" s="1" t="n">
        <v>43697</v>
      </c>
      <c r="C808" s="1" t="n">
        <v>45667</v>
      </c>
      <c r="D808" t="inlineStr">
        <is>
          <t>KRONOBERGS LÄN</t>
        </is>
      </c>
      <c r="E808" t="inlineStr">
        <is>
          <t>TINGSRYD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40990-2019</t>
        </is>
      </c>
      <c r="B809" s="1" t="n">
        <v>43697</v>
      </c>
      <c r="C809" s="1" t="n">
        <v>45667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40703-2019</t>
        </is>
      </c>
      <c r="B810" s="1" t="n">
        <v>43697</v>
      </c>
      <c r="C810" s="1" t="n">
        <v>45667</v>
      </c>
      <c r="D810" t="inlineStr">
        <is>
          <t>KRONOBERGS LÄN</t>
        </is>
      </c>
      <c r="E810" t="inlineStr">
        <is>
          <t>ÄLMHULT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41129-2019</t>
        </is>
      </c>
      <c r="B811" s="1" t="n">
        <v>43698</v>
      </c>
      <c r="C811" s="1" t="n">
        <v>45667</v>
      </c>
      <c r="D811" t="inlineStr">
        <is>
          <t>KRONOBERGS LÄN</t>
        </is>
      </c>
      <c r="E811" t="inlineStr">
        <is>
          <t>TINGSRYD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41137-2019</t>
        </is>
      </c>
      <c r="B812" s="1" t="n">
        <v>43698</v>
      </c>
      <c r="C812" s="1" t="n">
        <v>45667</v>
      </c>
      <c r="D812" t="inlineStr">
        <is>
          <t>KRONOBERGS LÄN</t>
        </is>
      </c>
      <c r="E812" t="inlineStr">
        <is>
          <t>LESSEBO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41135-2019</t>
        </is>
      </c>
      <c r="B813" s="1" t="n">
        <v>43698</v>
      </c>
      <c r="C813" s="1" t="n">
        <v>45667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41072-2019</t>
        </is>
      </c>
      <c r="B814" s="1" t="n">
        <v>43698</v>
      </c>
      <c r="C814" s="1" t="n">
        <v>45667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41297-2019</t>
        </is>
      </c>
      <c r="B815" s="1" t="n">
        <v>43698</v>
      </c>
      <c r="C815" s="1" t="n">
        <v>45667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41400-2019</t>
        </is>
      </c>
      <c r="B816" s="1" t="n">
        <v>43698</v>
      </c>
      <c r="C816" s="1" t="n">
        <v>45667</v>
      </c>
      <c r="D816" t="inlineStr">
        <is>
          <t>KRONOBERGS LÄN</t>
        </is>
      </c>
      <c r="E816" t="inlineStr">
        <is>
          <t>ALVESTA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41327-2019</t>
        </is>
      </c>
      <c r="B817" s="1" t="n">
        <v>43698</v>
      </c>
      <c r="C817" s="1" t="n">
        <v>45667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41372-2019</t>
        </is>
      </c>
      <c r="B818" s="1" t="n">
        <v>43698</v>
      </c>
      <c r="C818" s="1" t="n">
        <v>45667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41343-2019</t>
        </is>
      </c>
      <c r="B819" s="1" t="n">
        <v>43698</v>
      </c>
      <c r="C819" s="1" t="n">
        <v>45667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41386-2019</t>
        </is>
      </c>
      <c r="B820" s="1" t="n">
        <v>43698</v>
      </c>
      <c r="C820" s="1" t="n">
        <v>45667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41311-2019</t>
        </is>
      </c>
      <c r="B821" s="1" t="n">
        <v>43698</v>
      </c>
      <c r="C821" s="1" t="n">
        <v>45667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41316-2019</t>
        </is>
      </c>
      <c r="B822" s="1" t="n">
        <v>43698</v>
      </c>
      <c r="C822" s="1" t="n">
        <v>45667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41140-2019</t>
        </is>
      </c>
      <c r="B823" s="1" t="n">
        <v>43698</v>
      </c>
      <c r="C823" s="1" t="n">
        <v>45667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41674-2019</t>
        </is>
      </c>
      <c r="B824" s="1" t="n">
        <v>43699</v>
      </c>
      <c r="C824" s="1" t="n">
        <v>45667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41727-2019</t>
        </is>
      </c>
      <c r="B825" s="1" t="n">
        <v>43699</v>
      </c>
      <c r="C825" s="1" t="n">
        <v>45667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41721-2019</t>
        </is>
      </c>
      <c r="B826" s="1" t="n">
        <v>43699</v>
      </c>
      <c r="C826" s="1" t="n">
        <v>45667</v>
      </c>
      <c r="D826" t="inlineStr">
        <is>
          <t>KRONOBERGS LÄN</t>
        </is>
      </c>
      <c r="E826" t="inlineStr">
        <is>
          <t>TINGSRYD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41536-2019</t>
        </is>
      </c>
      <c r="B827" s="1" t="n">
        <v>43699</v>
      </c>
      <c r="C827" s="1" t="n">
        <v>45667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41690-2019</t>
        </is>
      </c>
      <c r="B828" s="1" t="n">
        <v>43699</v>
      </c>
      <c r="C828" s="1" t="n">
        <v>45667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41729-2019</t>
        </is>
      </c>
      <c r="B829" s="1" t="n">
        <v>43699</v>
      </c>
      <c r="C829" s="1" t="n">
        <v>45667</v>
      </c>
      <c r="D829" t="inlineStr">
        <is>
          <t>KRONOBERGS LÄN</t>
        </is>
      </c>
      <c r="E829" t="inlineStr">
        <is>
          <t>TINGSRYD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41466-2019</t>
        </is>
      </c>
      <c r="B830" s="1" t="n">
        <v>43699</v>
      </c>
      <c r="C830" s="1" t="n">
        <v>45667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41533-2019</t>
        </is>
      </c>
      <c r="B831" s="1" t="n">
        <v>43699</v>
      </c>
      <c r="C831" s="1" t="n">
        <v>45667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41873-2019</t>
        </is>
      </c>
      <c r="B832" s="1" t="n">
        <v>43700</v>
      </c>
      <c r="C832" s="1" t="n">
        <v>45667</v>
      </c>
      <c r="D832" t="inlineStr">
        <is>
          <t>KRONOBERGS LÄN</t>
        </is>
      </c>
      <c r="E832" t="inlineStr">
        <is>
          <t>ÄLMHULT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42090-2019</t>
        </is>
      </c>
      <c r="B833" s="1" t="n">
        <v>43701</v>
      </c>
      <c r="C833" s="1" t="n">
        <v>45667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42308-2019</t>
        </is>
      </c>
      <c r="B834" s="1" t="n">
        <v>43703</v>
      </c>
      <c r="C834" s="1" t="n">
        <v>45667</v>
      </c>
      <c r="D834" t="inlineStr">
        <is>
          <t>KRONOBERGS LÄN</t>
        </is>
      </c>
      <c r="E834" t="inlineStr">
        <is>
          <t>TINGSRYD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42387-2019</t>
        </is>
      </c>
      <c r="B835" s="1" t="n">
        <v>43703</v>
      </c>
      <c r="C835" s="1" t="n">
        <v>45667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43321-2019</t>
        </is>
      </c>
      <c r="B836" s="1" t="n">
        <v>43703</v>
      </c>
      <c r="C836" s="1" t="n">
        <v>45667</v>
      </c>
      <c r="D836" t="inlineStr">
        <is>
          <t>KRONOBERGS LÄN</t>
        </is>
      </c>
      <c r="E836" t="inlineStr">
        <is>
          <t>ÄLMHULT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42395-2019</t>
        </is>
      </c>
      <c r="B837" s="1" t="n">
        <v>43703</v>
      </c>
      <c r="C837" s="1" t="n">
        <v>45667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42391-2019</t>
        </is>
      </c>
      <c r="B838" s="1" t="n">
        <v>43703</v>
      </c>
      <c r="C838" s="1" t="n">
        <v>45667</v>
      </c>
      <c r="D838" t="inlineStr">
        <is>
          <t>KRONOBERGS LÄN</t>
        </is>
      </c>
      <c r="E838" t="inlineStr">
        <is>
          <t>VÄXJÖ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42452-2019</t>
        </is>
      </c>
      <c r="B839" s="1" t="n">
        <v>43704</v>
      </c>
      <c r="C839" s="1" t="n">
        <v>45667</v>
      </c>
      <c r="D839" t="inlineStr">
        <is>
          <t>KRONOBERGS LÄN</t>
        </is>
      </c>
      <c r="E839" t="inlineStr">
        <is>
          <t>LJUNGBY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42658-2019</t>
        </is>
      </c>
      <c r="B840" s="1" t="n">
        <v>43704</v>
      </c>
      <c r="C840" s="1" t="n">
        <v>45667</v>
      </c>
      <c r="D840" t="inlineStr">
        <is>
          <t>KRONOBERGS LÄN</t>
        </is>
      </c>
      <c r="E840" t="inlineStr">
        <is>
          <t>ALVESTA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42724-2019</t>
        </is>
      </c>
      <c r="B841" s="1" t="n">
        <v>43704</v>
      </c>
      <c r="C841" s="1" t="n">
        <v>45667</v>
      </c>
      <c r="D841" t="inlineStr">
        <is>
          <t>KRONOBERGS LÄN</t>
        </is>
      </c>
      <c r="E841" t="inlineStr">
        <is>
          <t>ÄLMHULT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42700-2019</t>
        </is>
      </c>
      <c r="B842" s="1" t="n">
        <v>43704</v>
      </c>
      <c r="C842" s="1" t="n">
        <v>45667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42960-2019</t>
        </is>
      </c>
      <c r="B843" s="1" t="n">
        <v>43705</v>
      </c>
      <c r="C843" s="1" t="n">
        <v>45667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43147-2019</t>
        </is>
      </c>
      <c r="B844" s="1" t="n">
        <v>43705</v>
      </c>
      <c r="C844" s="1" t="n">
        <v>45667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44390-2019</t>
        </is>
      </c>
      <c r="B845" s="1" t="n">
        <v>43705</v>
      </c>
      <c r="C845" s="1" t="n">
        <v>45667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42944-2019</t>
        </is>
      </c>
      <c r="B846" s="1" t="n">
        <v>43705</v>
      </c>
      <c r="C846" s="1" t="n">
        <v>45667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43244-2019</t>
        </is>
      </c>
      <c r="B847" s="1" t="n">
        <v>43706</v>
      </c>
      <c r="C847" s="1" t="n">
        <v>45667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43288-2019</t>
        </is>
      </c>
      <c r="B848" s="1" t="n">
        <v>43706</v>
      </c>
      <c r="C848" s="1" t="n">
        <v>45667</v>
      </c>
      <c r="D848" t="inlineStr">
        <is>
          <t>KRONOBERGS LÄN</t>
        </is>
      </c>
      <c r="E848" t="inlineStr">
        <is>
          <t>ALVESTA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43274-2019</t>
        </is>
      </c>
      <c r="B849" s="1" t="n">
        <v>43706</v>
      </c>
      <c r="C849" s="1" t="n">
        <v>45667</v>
      </c>
      <c r="D849" t="inlineStr">
        <is>
          <t>KRONOBERGS LÄN</t>
        </is>
      </c>
      <c r="E849" t="inlineStr">
        <is>
          <t>ALVESTA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43457-2019</t>
        </is>
      </c>
      <c r="B850" s="1" t="n">
        <v>43706</v>
      </c>
      <c r="C850" s="1" t="n">
        <v>45667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43456-2019</t>
        </is>
      </c>
      <c r="B851" s="1" t="n">
        <v>43706</v>
      </c>
      <c r="C851" s="1" t="n">
        <v>45667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43473-2019</t>
        </is>
      </c>
      <c r="B852" s="1" t="n">
        <v>43706</v>
      </c>
      <c r="C852" s="1" t="n">
        <v>45667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43576-2019</t>
        </is>
      </c>
      <c r="B853" s="1" t="n">
        <v>43706</v>
      </c>
      <c r="C853" s="1" t="n">
        <v>45667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43475-2019</t>
        </is>
      </c>
      <c r="B854" s="1" t="n">
        <v>43706</v>
      </c>
      <c r="C854" s="1" t="n">
        <v>45667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43282-2019</t>
        </is>
      </c>
      <c r="B855" s="1" t="n">
        <v>43706</v>
      </c>
      <c r="C855" s="1" t="n">
        <v>45667</v>
      </c>
      <c r="D855" t="inlineStr">
        <is>
          <t>KRONOBERGS LÄN</t>
        </is>
      </c>
      <c r="E855" t="inlineStr">
        <is>
          <t>LJUNGBY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43454-2019</t>
        </is>
      </c>
      <c r="B856" s="1" t="n">
        <v>43706</v>
      </c>
      <c r="C856" s="1" t="n">
        <v>45667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43664-2019</t>
        </is>
      </c>
      <c r="B857" s="1" t="n">
        <v>43707</v>
      </c>
      <c r="C857" s="1" t="n">
        <v>45667</v>
      </c>
      <c r="D857" t="inlineStr">
        <is>
          <t>KRONOBERGS LÄN</t>
        </is>
      </c>
      <c r="E857" t="inlineStr">
        <is>
          <t>LESSEBO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43682-2019</t>
        </is>
      </c>
      <c r="B858" s="1" t="n">
        <v>43707</v>
      </c>
      <c r="C858" s="1" t="n">
        <v>45667</v>
      </c>
      <c r="D858" t="inlineStr">
        <is>
          <t>KRONOBERGS LÄN</t>
        </is>
      </c>
      <c r="E858" t="inlineStr">
        <is>
          <t>TINGSRYD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43751-2019</t>
        </is>
      </c>
      <c r="B859" s="1" t="n">
        <v>43707</v>
      </c>
      <c r="C859" s="1" t="n">
        <v>45667</v>
      </c>
      <c r="D859" t="inlineStr">
        <is>
          <t>KRONOBERGS LÄN</t>
        </is>
      </c>
      <c r="E859" t="inlineStr">
        <is>
          <t>ALVESTA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43767-2019</t>
        </is>
      </c>
      <c r="B860" s="1" t="n">
        <v>43707</v>
      </c>
      <c r="C860" s="1" t="n">
        <v>45667</v>
      </c>
      <c r="D860" t="inlineStr">
        <is>
          <t>KRONOBERGS LÄN</t>
        </is>
      </c>
      <c r="E860" t="inlineStr">
        <is>
          <t>UPPVIDINGE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43698-2019</t>
        </is>
      </c>
      <c r="B861" s="1" t="n">
        <v>43707</v>
      </c>
      <c r="C861" s="1" t="n">
        <v>45667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43771-2019</t>
        </is>
      </c>
      <c r="B862" s="1" t="n">
        <v>43707</v>
      </c>
      <c r="C862" s="1" t="n">
        <v>45667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43790-2019</t>
        </is>
      </c>
      <c r="B863" s="1" t="n">
        <v>43707</v>
      </c>
      <c r="C863" s="1" t="n">
        <v>45667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43857-2019</t>
        </is>
      </c>
      <c r="B864" s="1" t="n">
        <v>43707</v>
      </c>
      <c r="C864" s="1" t="n">
        <v>45667</v>
      </c>
      <c r="D864" t="inlineStr">
        <is>
          <t>KRONOBERGS LÄN</t>
        </is>
      </c>
      <c r="E864" t="inlineStr">
        <is>
          <t>MARKARYD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43914-2019</t>
        </is>
      </c>
      <c r="B865" s="1" t="n">
        <v>43707</v>
      </c>
      <c r="C865" s="1" t="n">
        <v>45667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43876-2019</t>
        </is>
      </c>
      <c r="B866" s="1" t="n">
        <v>43707</v>
      </c>
      <c r="C866" s="1" t="n">
        <v>45667</v>
      </c>
      <c r="D866" t="inlineStr">
        <is>
          <t>KRONOBERGS LÄN</t>
        </is>
      </c>
      <c r="E866" t="inlineStr">
        <is>
          <t>VÄXJÖ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43782-2019</t>
        </is>
      </c>
      <c r="B867" s="1" t="n">
        <v>43707</v>
      </c>
      <c r="C867" s="1" t="n">
        <v>45667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43852-2019</t>
        </is>
      </c>
      <c r="B868" s="1" t="n">
        <v>43707</v>
      </c>
      <c r="C868" s="1" t="n">
        <v>45667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43746-2019</t>
        </is>
      </c>
      <c r="B869" s="1" t="n">
        <v>43707</v>
      </c>
      <c r="C869" s="1" t="n">
        <v>45667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43747-2019</t>
        </is>
      </c>
      <c r="B870" s="1" t="n">
        <v>43707</v>
      </c>
      <c r="C870" s="1" t="n">
        <v>45667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43877-2019</t>
        </is>
      </c>
      <c r="B871" s="1" t="n">
        <v>43707</v>
      </c>
      <c r="C871" s="1" t="n">
        <v>45667</v>
      </c>
      <c r="D871" t="inlineStr">
        <is>
          <t>KRONOBERGS LÄN</t>
        </is>
      </c>
      <c r="E871" t="inlineStr">
        <is>
          <t>VÄXJÖ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43819-2019</t>
        </is>
      </c>
      <c r="B872" s="1" t="n">
        <v>43707</v>
      </c>
      <c r="C872" s="1" t="n">
        <v>45667</v>
      </c>
      <c r="D872" t="inlineStr">
        <is>
          <t>KRONOBERGS LÄN</t>
        </is>
      </c>
      <c r="E872" t="inlineStr">
        <is>
          <t>TINGSRYD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43964-2019</t>
        </is>
      </c>
      <c r="B873" s="1" t="n">
        <v>43708</v>
      </c>
      <c r="C873" s="1" t="n">
        <v>45667</v>
      </c>
      <c r="D873" t="inlineStr">
        <is>
          <t>KRONOBERGS LÄN</t>
        </is>
      </c>
      <c r="E873" t="inlineStr">
        <is>
          <t>VÄXJÖ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43965-2019</t>
        </is>
      </c>
      <c r="B874" s="1" t="n">
        <v>43708</v>
      </c>
      <c r="C874" s="1" t="n">
        <v>45667</v>
      </c>
      <c r="D874" t="inlineStr">
        <is>
          <t>KRONOBERGS LÄN</t>
        </is>
      </c>
      <c r="E874" t="inlineStr">
        <is>
          <t>VÄXJÖ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44147-2019</t>
        </is>
      </c>
      <c r="B875" s="1" t="n">
        <v>43710</v>
      </c>
      <c r="C875" s="1" t="n">
        <v>45667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44023-2019</t>
        </is>
      </c>
      <c r="B876" s="1" t="n">
        <v>43710</v>
      </c>
      <c r="C876" s="1" t="n">
        <v>45667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44172-2019</t>
        </is>
      </c>
      <c r="B877" s="1" t="n">
        <v>43710</v>
      </c>
      <c r="C877" s="1" t="n">
        <v>45667</v>
      </c>
      <c r="D877" t="inlineStr">
        <is>
          <t>KRONOBERGS LÄN</t>
        </is>
      </c>
      <c r="E877" t="inlineStr">
        <is>
          <t>TINGSRYD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44306-2019</t>
        </is>
      </c>
      <c r="B878" s="1" t="n">
        <v>43710</v>
      </c>
      <c r="C878" s="1" t="n">
        <v>45667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45406-2019</t>
        </is>
      </c>
      <c r="B879" s="1" t="n">
        <v>43710</v>
      </c>
      <c r="C879" s="1" t="n">
        <v>45667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44506-2019</t>
        </is>
      </c>
      <c r="B880" s="1" t="n">
        <v>43711</v>
      </c>
      <c r="C880" s="1" t="n">
        <v>45667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44525-2019</t>
        </is>
      </c>
      <c r="B881" s="1" t="n">
        <v>43711</v>
      </c>
      <c r="C881" s="1" t="n">
        <v>45667</v>
      </c>
      <c r="D881" t="inlineStr">
        <is>
          <t>KRONOBERGS LÄN</t>
        </is>
      </c>
      <c r="E881" t="inlineStr">
        <is>
          <t>ALVESTA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44544-2019</t>
        </is>
      </c>
      <c r="B882" s="1" t="n">
        <v>43711</v>
      </c>
      <c r="C882" s="1" t="n">
        <v>45667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44553-2019</t>
        </is>
      </c>
      <c r="B883" s="1" t="n">
        <v>43711</v>
      </c>
      <c r="C883" s="1" t="n">
        <v>45667</v>
      </c>
      <c r="D883" t="inlineStr">
        <is>
          <t>KRONOBERGS LÄN</t>
        </is>
      </c>
      <c r="E883" t="inlineStr">
        <is>
          <t>ÄLMHULT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44410-2019</t>
        </is>
      </c>
      <c r="B884" s="1" t="n">
        <v>43711</v>
      </c>
      <c r="C884" s="1" t="n">
        <v>45667</v>
      </c>
      <c r="D884" t="inlineStr">
        <is>
          <t>KRONOBERGS LÄN</t>
        </is>
      </c>
      <c r="E884" t="inlineStr">
        <is>
          <t>ÄLMHULT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44444-2019</t>
        </is>
      </c>
      <c r="B885" s="1" t="n">
        <v>43711</v>
      </c>
      <c r="C885" s="1" t="n">
        <v>45667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44554-2019</t>
        </is>
      </c>
      <c r="B886" s="1" t="n">
        <v>43711</v>
      </c>
      <c r="C886" s="1" t="n">
        <v>45667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44548-2019</t>
        </is>
      </c>
      <c r="B887" s="1" t="n">
        <v>43711</v>
      </c>
      <c r="C887" s="1" t="n">
        <v>45667</v>
      </c>
      <c r="D887" t="inlineStr">
        <is>
          <t>KRONOBERGS LÄN</t>
        </is>
      </c>
      <c r="E887" t="inlineStr">
        <is>
          <t>LJUNGBY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44588-2019</t>
        </is>
      </c>
      <c r="B888" s="1" t="n">
        <v>43711</v>
      </c>
      <c r="C888" s="1" t="n">
        <v>45667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44392-2019</t>
        </is>
      </c>
      <c r="B889" s="1" t="n">
        <v>43711</v>
      </c>
      <c r="C889" s="1" t="n">
        <v>45667</v>
      </c>
      <c r="D889" t="inlineStr">
        <is>
          <t>KRONOBERGS LÄN</t>
        </is>
      </c>
      <c r="E889" t="inlineStr">
        <is>
          <t>LESSEBO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45626-2019</t>
        </is>
      </c>
      <c r="B890" s="1" t="n">
        <v>43711</v>
      </c>
      <c r="C890" s="1" t="n">
        <v>45667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44511-2019</t>
        </is>
      </c>
      <c r="B891" s="1" t="n">
        <v>43711</v>
      </c>
      <c r="C891" s="1" t="n">
        <v>45667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44387-2019</t>
        </is>
      </c>
      <c r="B892" s="1" t="n">
        <v>43711</v>
      </c>
      <c r="C892" s="1" t="n">
        <v>45667</v>
      </c>
      <c r="D892" t="inlineStr">
        <is>
          <t>KRONOBERGS LÄN</t>
        </is>
      </c>
      <c r="E892" t="inlineStr">
        <is>
          <t>ALVESTA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44757-2019</t>
        </is>
      </c>
      <c r="B893" s="1" t="n">
        <v>43712</v>
      </c>
      <c r="C893" s="1" t="n">
        <v>45667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44779-2019</t>
        </is>
      </c>
      <c r="B894" s="1" t="n">
        <v>43712</v>
      </c>
      <c r="C894" s="1" t="n">
        <v>45667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44806-2019</t>
        </is>
      </c>
      <c r="B895" s="1" t="n">
        <v>43712</v>
      </c>
      <c r="C895" s="1" t="n">
        <v>45667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44804-2019</t>
        </is>
      </c>
      <c r="B896" s="1" t="n">
        <v>43712</v>
      </c>
      <c r="C896" s="1" t="n">
        <v>45667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46187-2019</t>
        </is>
      </c>
      <c r="B897" s="1" t="n">
        <v>43712</v>
      </c>
      <c r="C897" s="1" t="n">
        <v>45667</v>
      </c>
      <c r="D897" t="inlineStr">
        <is>
          <t>KRONOBERGS LÄN</t>
        </is>
      </c>
      <c r="E897" t="inlineStr">
        <is>
          <t>TINGSRYD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45955-2019</t>
        </is>
      </c>
      <c r="B898" s="1" t="n">
        <v>43712</v>
      </c>
      <c r="C898" s="1" t="n">
        <v>45667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45864-2019</t>
        </is>
      </c>
      <c r="B899" s="1" t="n">
        <v>43712</v>
      </c>
      <c r="C899" s="1" t="n">
        <v>45667</v>
      </c>
      <c r="D899" t="inlineStr">
        <is>
          <t>KRONOBERGS LÄN</t>
        </is>
      </c>
      <c r="E899" t="inlineStr">
        <is>
          <t>TINGSRYD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46179-2019</t>
        </is>
      </c>
      <c r="B900" s="1" t="n">
        <v>43712</v>
      </c>
      <c r="C900" s="1" t="n">
        <v>45667</v>
      </c>
      <c r="D900" t="inlineStr">
        <is>
          <t>KRONOBERGS LÄN</t>
        </is>
      </c>
      <c r="E900" t="inlineStr">
        <is>
          <t>TINGSRYD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44946-2019</t>
        </is>
      </c>
      <c r="B901" s="1" t="n">
        <v>43713</v>
      </c>
      <c r="C901" s="1" t="n">
        <v>45667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44968-2019</t>
        </is>
      </c>
      <c r="B902" s="1" t="n">
        <v>43713</v>
      </c>
      <c r="C902" s="1" t="n">
        <v>45667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45112-2019</t>
        </is>
      </c>
      <c r="B903" s="1" t="n">
        <v>43713</v>
      </c>
      <c r="C903" s="1" t="n">
        <v>45667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44932-2019</t>
        </is>
      </c>
      <c r="B904" s="1" t="n">
        <v>43713</v>
      </c>
      <c r="C904" s="1" t="n">
        <v>45667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44936-2019</t>
        </is>
      </c>
      <c r="B905" s="1" t="n">
        <v>43713</v>
      </c>
      <c r="C905" s="1" t="n">
        <v>45667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44996-2019</t>
        </is>
      </c>
      <c r="B906" s="1" t="n">
        <v>43713</v>
      </c>
      <c r="C906" s="1" t="n">
        <v>45667</v>
      </c>
      <c r="D906" t="inlineStr">
        <is>
          <t>KRONOBERGS LÄN</t>
        </is>
      </c>
      <c r="E906" t="inlineStr">
        <is>
          <t>ÄLMHULT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44943-2019</t>
        </is>
      </c>
      <c r="B907" s="1" t="n">
        <v>43713</v>
      </c>
      <c r="C907" s="1" t="n">
        <v>45667</v>
      </c>
      <c r="D907" t="inlineStr">
        <is>
          <t>KRONOBERGS LÄN</t>
        </is>
      </c>
      <c r="E907" t="inlineStr">
        <is>
          <t>TINGSRYD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44964-2019</t>
        </is>
      </c>
      <c r="B908" s="1" t="n">
        <v>43713</v>
      </c>
      <c r="C908" s="1" t="n">
        <v>45667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45092-2019</t>
        </is>
      </c>
      <c r="B909" s="1" t="n">
        <v>43713</v>
      </c>
      <c r="C909" s="1" t="n">
        <v>45667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45164-2019</t>
        </is>
      </c>
      <c r="B910" s="1" t="n">
        <v>43713</v>
      </c>
      <c r="C910" s="1" t="n">
        <v>45667</v>
      </c>
      <c r="D910" t="inlineStr">
        <is>
          <t>KRONOBERGS LÄN</t>
        </is>
      </c>
      <c r="E910" t="inlineStr">
        <is>
          <t>UPPVIDINGE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45235-2019</t>
        </is>
      </c>
      <c r="B911" s="1" t="n">
        <v>43713</v>
      </c>
      <c r="C911" s="1" t="n">
        <v>45667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44940-2019</t>
        </is>
      </c>
      <c r="B912" s="1" t="n">
        <v>43713</v>
      </c>
      <c r="C912" s="1" t="n">
        <v>45667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45110-2019</t>
        </is>
      </c>
      <c r="B913" s="1" t="n">
        <v>43713</v>
      </c>
      <c r="C913" s="1" t="n">
        <v>45667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45094-2019</t>
        </is>
      </c>
      <c r="B914" s="1" t="n">
        <v>43713</v>
      </c>
      <c r="C914" s="1" t="n">
        <v>45667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45514-2019</t>
        </is>
      </c>
      <c r="B915" s="1" t="n">
        <v>43714</v>
      </c>
      <c r="C915" s="1" t="n">
        <v>45667</v>
      </c>
      <c r="D915" t="inlineStr">
        <is>
          <t>KRONOBERGS LÄN</t>
        </is>
      </c>
      <c r="E915" t="inlineStr">
        <is>
          <t>ALVESTA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45279-2019</t>
        </is>
      </c>
      <c r="B916" s="1" t="n">
        <v>43714</v>
      </c>
      <c r="C916" s="1" t="n">
        <v>45667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45320-2019</t>
        </is>
      </c>
      <c r="B917" s="1" t="n">
        <v>43714</v>
      </c>
      <c r="C917" s="1" t="n">
        <v>45667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45330-2019</t>
        </is>
      </c>
      <c r="B918" s="1" t="n">
        <v>43714</v>
      </c>
      <c r="C918" s="1" t="n">
        <v>45667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45409-2019</t>
        </is>
      </c>
      <c r="B919" s="1" t="n">
        <v>43714</v>
      </c>
      <c r="C919" s="1" t="n">
        <v>45667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45421-2019</t>
        </is>
      </c>
      <c r="B920" s="1" t="n">
        <v>43714</v>
      </c>
      <c r="C920" s="1" t="n">
        <v>45667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45508-2019</t>
        </is>
      </c>
      <c r="B921" s="1" t="n">
        <v>43714</v>
      </c>
      <c r="C921" s="1" t="n">
        <v>45667</v>
      </c>
      <c r="D921" t="inlineStr">
        <is>
          <t>KRONOBERGS LÄN</t>
        </is>
      </c>
      <c r="E921" t="inlineStr">
        <is>
          <t>ÄLMHULT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45345-2019</t>
        </is>
      </c>
      <c r="B922" s="1" t="n">
        <v>43714</v>
      </c>
      <c r="C922" s="1" t="n">
        <v>45667</v>
      </c>
      <c r="D922" t="inlineStr">
        <is>
          <t>KRONOBERGS LÄN</t>
        </is>
      </c>
      <c r="E922" t="inlineStr">
        <is>
          <t>MARKARYD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45529-2019</t>
        </is>
      </c>
      <c r="B923" s="1" t="n">
        <v>43714</v>
      </c>
      <c r="C923" s="1" t="n">
        <v>45667</v>
      </c>
      <c r="D923" t="inlineStr">
        <is>
          <t>KRONOBERGS LÄN</t>
        </is>
      </c>
      <c r="E923" t="inlineStr">
        <is>
          <t>LJUNGBY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45559-2019</t>
        </is>
      </c>
      <c r="B924" s="1" t="n">
        <v>43715</v>
      </c>
      <c r="C924" s="1" t="n">
        <v>45667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45562-2019</t>
        </is>
      </c>
      <c r="B925" s="1" t="n">
        <v>43715</v>
      </c>
      <c r="C925" s="1" t="n">
        <v>45667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45671-2019</t>
        </is>
      </c>
      <c r="B926" s="1" t="n">
        <v>43717</v>
      </c>
      <c r="C926" s="1" t="n">
        <v>45667</v>
      </c>
      <c r="D926" t="inlineStr">
        <is>
          <t>KRONOBERGS LÄN</t>
        </is>
      </c>
      <c r="E926" t="inlineStr">
        <is>
          <t>ALVESTA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45760-2019</t>
        </is>
      </c>
      <c r="B927" s="1" t="n">
        <v>43717</v>
      </c>
      <c r="C927" s="1" t="n">
        <v>45667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45825-2019</t>
        </is>
      </c>
      <c r="B928" s="1" t="n">
        <v>43717</v>
      </c>
      <c r="C928" s="1" t="n">
        <v>45667</v>
      </c>
      <c r="D928" t="inlineStr">
        <is>
          <t>KRONOBERGS LÄN</t>
        </is>
      </c>
      <c r="E928" t="inlineStr">
        <is>
          <t>TINGSRYD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45833-2019</t>
        </is>
      </c>
      <c r="B929" s="1" t="n">
        <v>43717</v>
      </c>
      <c r="C929" s="1" t="n">
        <v>45667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45907-2019</t>
        </is>
      </c>
      <c r="B930" s="1" t="n">
        <v>43717</v>
      </c>
      <c r="C930" s="1" t="n">
        <v>45667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45606-2019</t>
        </is>
      </c>
      <c r="B931" s="1" t="n">
        <v>43717</v>
      </c>
      <c r="C931" s="1" t="n">
        <v>45667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46322-2019</t>
        </is>
      </c>
      <c r="B932" s="1" t="n">
        <v>43718</v>
      </c>
      <c r="C932" s="1" t="n">
        <v>45667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45967-2019</t>
        </is>
      </c>
      <c r="B933" s="1" t="n">
        <v>43718</v>
      </c>
      <c r="C933" s="1" t="n">
        <v>45667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46315-2019</t>
        </is>
      </c>
      <c r="B934" s="1" t="n">
        <v>43718</v>
      </c>
      <c r="C934" s="1" t="n">
        <v>45667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46247-2019</t>
        </is>
      </c>
      <c r="B935" s="1" t="n">
        <v>43718</v>
      </c>
      <c r="C935" s="1" t="n">
        <v>45667</v>
      </c>
      <c r="D935" t="inlineStr">
        <is>
          <t>KRONOBERGS LÄN</t>
        </is>
      </c>
      <c r="E935" t="inlineStr">
        <is>
          <t>TINGSRYD</t>
        </is>
      </c>
      <c r="G935" t="n">
        <v>28.8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46318-2019</t>
        </is>
      </c>
      <c r="B936" s="1" t="n">
        <v>43718</v>
      </c>
      <c r="C936" s="1" t="n">
        <v>45667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46410-2019</t>
        </is>
      </c>
      <c r="B937" s="1" t="n">
        <v>43719</v>
      </c>
      <c r="C937" s="1" t="n">
        <v>45667</v>
      </c>
      <c r="D937" t="inlineStr">
        <is>
          <t>KRONOBERGS LÄN</t>
        </is>
      </c>
      <c r="E937" t="inlineStr">
        <is>
          <t>VÄXJÖ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46436-2019</t>
        </is>
      </c>
      <c r="B938" s="1" t="n">
        <v>43719</v>
      </c>
      <c r="C938" s="1" t="n">
        <v>45667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46544-2019</t>
        </is>
      </c>
      <c r="B939" s="1" t="n">
        <v>43719</v>
      </c>
      <c r="C939" s="1" t="n">
        <v>45667</v>
      </c>
      <c r="D939" t="inlineStr">
        <is>
          <t>KRONOBERGS LÄN</t>
        </is>
      </c>
      <c r="E939" t="inlineStr">
        <is>
          <t>TINGSRYD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46409-2019</t>
        </is>
      </c>
      <c r="B940" s="1" t="n">
        <v>43719</v>
      </c>
      <c r="C940" s="1" t="n">
        <v>45667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46474-2019</t>
        </is>
      </c>
      <c r="B941" s="1" t="n">
        <v>43719</v>
      </c>
      <c r="C941" s="1" t="n">
        <v>45667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46383-2019</t>
        </is>
      </c>
      <c r="B942" s="1" t="n">
        <v>43719</v>
      </c>
      <c r="C942" s="1" t="n">
        <v>45667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46411-2019</t>
        </is>
      </c>
      <c r="B943" s="1" t="n">
        <v>43719</v>
      </c>
      <c r="C943" s="1" t="n">
        <v>45667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46489-2019</t>
        </is>
      </c>
      <c r="B944" s="1" t="n">
        <v>43719</v>
      </c>
      <c r="C944" s="1" t="n">
        <v>45667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46737-2019</t>
        </is>
      </c>
      <c r="B945" s="1" t="n">
        <v>43719</v>
      </c>
      <c r="C945" s="1" t="n">
        <v>45667</v>
      </c>
      <c r="D945" t="inlineStr">
        <is>
          <t>KRONOBERGS LÄN</t>
        </is>
      </c>
      <c r="E945" t="inlineStr">
        <is>
          <t>LJUNGBY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46384-2019</t>
        </is>
      </c>
      <c r="B946" s="1" t="n">
        <v>43719</v>
      </c>
      <c r="C946" s="1" t="n">
        <v>45667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46496-2019</t>
        </is>
      </c>
      <c r="B947" s="1" t="n">
        <v>43719</v>
      </c>
      <c r="C947" s="1" t="n">
        <v>45667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46834-2019</t>
        </is>
      </c>
      <c r="B948" s="1" t="n">
        <v>43719</v>
      </c>
      <c r="C948" s="1" t="n">
        <v>45667</v>
      </c>
      <c r="D948" t="inlineStr">
        <is>
          <t>KRONOBERGS LÄN</t>
        </is>
      </c>
      <c r="E948" t="inlineStr">
        <is>
          <t>TINGSRYD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46895-2019</t>
        </is>
      </c>
      <c r="B949" s="1" t="n">
        <v>43720</v>
      </c>
      <c r="C949" s="1" t="n">
        <v>45667</v>
      </c>
      <c r="D949" t="inlineStr">
        <is>
          <t>KRONOBERGS LÄN</t>
        </is>
      </c>
      <c r="E949" t="inlineStr">
        <is>
          <t>TINGSRYD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46778-2019</t>
        </is>
      </c>
      <c r="B950" s="1" t="n">
        <v>43720</v>
      </c>
      <c r="C950" s="1" t="n">
        <v>45667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46750-2019</t>
        </is>
      </c>
      <c r="B951" s="1" t="n">
        <v>43720</v>
      </c>
      <c r="C951" s="1" t="n">
        <v>45667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47043-2019</t>
        </is>
      </c>
      <c r="B952" s="1" t="n">
        <v>43720</v>
      </c>
      <c r="C952" s="1" t="n">
        <v>45667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47328-2019</t>
        </is>
      </c>
      <c r="B953" s="1" t="n">
        <v>43721</v>
      </c>
      <c r="C953" s="1" t="n">
        <v>45667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47320-2019</t>
        </is>
      </c>
      <c r="B954" s="1" t="n">
        <v>43721</v>
      </c>
      <c r="C954" s="1" t="n">
        <v>45667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47376-2019</t>
        </is>
      </c>
      <c r="B955" s="1" t="n">
        <v>43721</v>
      </c>
      <c r="C955" s="1" t="n">
        <v>45667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47475-2019</t>
        </is>
      </c>
      <c r="B956" s="1" t="n">
        <v>43724</v>
      </c>
      <c r="C956" s="1" t="n">
        <v>45667</v>
      </c>
      <c r="D956" t="inlineStr">
        <is>
          <t>KRONOBERGS LÄN</t>
        </is>
      </c>
      <c r="E956" t="inlineStr">
        <is>
          <t>UPPVIDINGE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47679-2019</t>
        </is>
      </c>
      <c r="B957" s="1" t="n">
        <v>43724</v>
      </c>
      <c r="C957" s="1" t="n">
        <v>45667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47491-2019</t>
        </is>
      </c>
      <c r="B958" s="1" t="n">
        <v>43724</v>
      </c>
      <c r="C958" s="1" t="n">
        <v>45667</v>
      </c>
      <c r="D958" t="inlineStr">
        <is>
          <t>KRONOBERGS LÄN</t>
        </is>
      </c>
      <c r="E958" t="inlineStr">
        <is>
          <t>UPPVIDINGE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47543-2019</t>
        </is>
      </c>
      <c r="B959" s="1" t="n">
        <v>43724</v>
      </c>
      <c r="C959" s="1" t="n">
        <v>45667</v>
      </c>
      <c r="D959" t="inlineStr">
        <is>
          <t>KRONOBERGS LÄN</t>
        </is>
      </c>
      <c r="E959" t="inlineStr">
        <is>
          <t>ÄLMHULT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47658-2019</t>
        </is>
      </c>
      <c r="B960" s="1" t="n">
        <v>43724</v>
      </c>
      <c r="C960" s="1" t="n">
        <v>45667</v>
      </c>
      <c r="D960" t="inlineStr">
        <is>
          <t>KRONOBERGS LÄN</t>
        </is>
      </c>
      <c r="E960" t="inlineStr">
        <is>
          <t>TINGSRYD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47826-2019</t>
        </is>
      </c>
      <c r="B961" s="1" t="n">
        <v>43724</v>
      </c>
      <c r="C961" s="1" t="n">
        <v>45667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47946-2019</t>
        </is>
      </c>
      <c r="B962" s="1" t="n">
        <v>43725</v>
      </c>
      <c r="C962" s="1" t="n">
        <v>45667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47955-2019</t>
        </is>
      </c>
      <c r="B963" s="1" t="n">
        <v>43725</v>
      </c>
      <c r="C963" s="1" t="n">
        <v>45667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48028-2019</t>
        </is>
      </c>
      <c r="B964" s="1" t="n">
        <v>43725</v>
      </c>
      <c r="C964" s="1" t="n">
        <v>45667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47853-2019</t>
        </is>
      </c>
      <c r="B965" s="1" t="n">
        <v>43725</v>
      </c>
      <c r="C965" s="1" t="n">
        <v>45667</v>
      </c>
      <c r="D965" t="inlineStr">
        <is>
          <t>KRONOBERGS LÄN</t>
        </is>
      </c>
      <c r="E965" t="inlineStr">
        <is>
          <t>VÄXJÖ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47947-2019</t>
        </is>
      </c>
      <c r="B966" s="1" t="n">
        <v>43725</v>
      </c>
      <c r="C966" s="1" t="n">
        <v>45667</v>
      </c>
      <c r="D966" t="inlineStr">
        <is>
          <t>KRONOBERGS LÄN</t>
        </is>
      </c>
      <c r="E966" t="inlineStr">
        <is>
          <t>TINGSRYD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47980-2019</t>
        </is>
      </c>
      <c r="B967" s="1" t="n">
        <v>43725</v>
      </c>
      <c r="C967" s="1" t="n">
        <v>45667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48013-2019</t>
        </is>
      </c>
      <c r="B968" s="1" t="n">
        <v>43725</v>
      </c>
      <c r="C968" s="1" t="n">
        <v>45667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48079-2019</t>
        </is>
      </c>
      <c r="B969" s="1" t="n">
        <v>43725</v>
      </c>
      <c r="C969" s="1" t="n">
        <v>45667</v>
      </c>
      <c r="D969" t="inlineStr">
        <is>
          <t>KRONOBERGS LÄN</t>
        </is>
      </c>
      <c r="E969" t="inlineStr">
        <is>
          <t>VÄXJÖ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47865-2019</t>
        </is>
      </c>
      <c r="B970" s="1" t="n">
        <v>43725</v>
      </c>
      <c r="C970" s="1" t="n">
        <v>45667</v>
      </c>
      <c r="D970" t="inlineStr">
        <is>
          <t>KRONOBERGS LÄN</t>
        </is>
      </c>
      <c r="E970" t="inlineStr">
        <is>
          <t>UPPVIDINGE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48055-2019</t>
        </is>
      </c>
      <c r="B971" s="1" t="n">
        <v>43725</v>
      </c>
      <c r="C971" s="1" t="n">
        <v>45667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48188-2019</t>
        </is>
      </c>
      <c r="B972" s="1" t="n">
        <v>43725</v>
      </c>
      <c r="C972" s="1" t="n">
        <v>45667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48089-2019</t>
        </is>
      </c>
      <c r="B973" s="1" t="n">
        <v>43725</v>
      </c>
      <c r="C973" s="1" t="n">
        <v>45667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48372-2019</t>
        </is>
      </c>
      <c r="B974" s="1" t="n">
        <v>43726</v>
      </c>
      <c r="C974" s="1" t="n">
        <v>45667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48270-2019</t>
        </is>
      </c>
      <c r="B975" s="1" t="n">
        <v>43726</v>
      </c>
      <c r="C975" s="1" t="n">
        <v>45667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48371-2019</t>
        </is>
      </c>
      <c r="B976" s="1" t="n">
        <v>43726</v>
      </c>
      <c r="C976" s="1" t="n">
        <v>45667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48293-2019</t>
        </is>
      </c>
      <c r="B977" s="1" t="n">
        <v>43726</v>
      </c>
      <c r="C977" s="1" t="n">
        <v>45667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48444-2019</t>
        </is>
      </c>
      <c r="B978" s="1" t="n">
        <v>43727</v>
      </c>
      <c r="C978" s="1" t="n">
        <v>45667</v>
      </c>
      <c r="D978" t="inlineStr">
        <is>
          <t>KRONOBERGS LÄN</t>
        </is>
      </c>
      <c r="E978" t="inlineStr">
        <is>
          <t>MARKARYD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48438-2019</t>
        </is>
      </c>
      <c r="B979" s="1" t="n">
        <v>43727</v>
      </c>
      <c r="C979" s="1" t="n">
        <v>45667</v>
      </c>
      <c r="D979" t="inlineStr">
        <is>
          <t>KRONOBERGS LÄN</t>
        </is>
      </c>
      <c r="E979" t="inlineStr">
        <is>
          <t>MARKARYD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48404-2019</t>
        </is>
      </c>
      <c r="B980" s="1" t="n">
        <v>43727</v>
      </c>
      <c r="C980" s="1" t="n">
        <v>45667</v>
      </c>
      <c r="D980" t="inlineStr">
        <is>
          <t>KRONOBERGS LÄN</t>
        </is>
      </c>
      <c r="E980" t="inlineStr">
        <is>
          <t>TINGSRYD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48432-2019</t>
        </is>
      </c>
      <c r="B981" s="1" t="n">
        <v>43727</v>
      </c>
      <c r="C981" s="1" t="n">
        <v>45667</v>
      </c>
      <c r="D981" t="inlineStr">
        <is>
          <t>KRONOBERGS LÄN</t>
        </is>
      </c>
      <c r="E981" t="inlineStr">
        <is>
          <t>MARKARYD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48453-2019</t>
        </is>
      </c>
      <c r="B982" s="1" t="n">
        <v>43727</v>
      </c>
      <c r="C982" s="1" t="n">
        <v>45667</v>
      </c>
      <c r="D982" t="inlineStr">
        <is>
          <t>KRONOBERGS LÄN</t>
        </is>
      </c>
      <c r="E982" t="inlineStr">
        <is>
          <t>MARKARYD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48434-2019</t>
        </is>
      </c>
      <c r="B983" s="1" t="n">
        <v>43727</v>
      </c>
      <c r="C983" s="1" t="n">
        <v>45667</v>
      </c>
      <c r="D983" t="inlineStr">
        <is>
          <t>KRONOBERGS LÄN</t>
        </is>
      </c>
      <c r="E983" t="inlineStr">
        <is>
          <t>MARKARYD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48450-2019</t>
        </is>
      </c>
      <c r="B984" s="1" t="n">
        <v>43727</v>
      </c>
      <c r="C984" s="1" t="n">
        <v>45667</v>
      </c>
      <c r="D984" t="inlineStr">
        <is>
          <t>KRONOBERGS LÄN</t>
        </is>
      </c>
      <c r="E984" t="inlineStr">
        <is>
          <t>MARKARYD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48536-2019</t>
        </is>
      </c>
      <c r="B985" s="1" t="n">
        <v>43727</v>
      </c>
      <c r="C985" s="1" t="n">
        <v>45667</v>
      </c>
      <c r="D985" t="inlineStr">
        <is>
          <t>KRONOBERGS LÄN</t>
        </is>
      </c>
      <c r="E985" t="inlineStr">
        <is>
          <t>UPPVIDINGE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48635-2019</t>
        </is>
      </c>
      <c r="B986" s="1" t="n">
        <v>43727</v>
      </c>
      <c r="C986" s="1" t="n">
        <v>45667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48456-2019</t>
        </is>
      </c>
      <c r="B987" s="1" t="n">
        <v>43727</v>
      </c>
      <c r="C987" s="1" t="n">
        <v>45667</v>
      </c>
      <c r="D987" t="inlineStr">
        <is>
          <t>KRONOBERGS LÄN</t>
        </is>
      </c>
      <c r="E987" t="inlineStr">
        <is>
          <t>MARKARYD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48442-2019</t>
        </is>
      </c>
      <c r="B988" s="1" t="n">
        <v>43727</v>
      </c>
      <c r="C988" s="1" t="n">
        <v>45667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48406-2019</t>
        </is>
      </c>
      <c r="B989" s="1" t="n">
        <v>43727</v>
      </c>
      <c r="C989" s="1" t="n">
        <v>45667</v>
      </c>
      <c r="D989" t="inlineStr">
        <is>
          <t>KRONOBERGS LÄN</t>
        </is>
      </c>
      <c r="E989" t="inlineStr">
        <is>
          <t>TINGSRYD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48458-2019</t>
        </is>
      </c>
      <c r="B990" s="1" t="n">
        <v>43727</v>
      </c>
      <c r="C990" s="1" t="n">
        <v>45667</v>
      </c>
      <c r="D990" t="inlineStr">
        <is>
          <t>KRONOBERGS LÄN</t>
        </is>
      </c>
      <c r="E990" t="inlineStr">
        <is>
          <t>MARKARYD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48820-2019</t>
        </is>
      </c>
      <c r="B991" s="1" t="n">
        <v>43728</v>
      </c>
      <c r="C991" s="1" t="n">
        <v>45667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48679-2019</t>
        </is>
      </c>
      <c r="B992" s="1" t="n">
        <v>43728</v>
      </c>
      <c r="C992" s="1" t="n">
        <v>45667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48838-2019</t>
        </is>
      </c>
      <c r="B993" s="1" t="n">
        <v>43728</v>
      </c>
      <c r="C993" s="1" t="n">
        <v>45667</v>
      </c>
      <c r="D993" t="inlineStr">
        <is>
          <t>KRONOBERGS LÄN</t>
        </is>
      </c>
      <c r="E993" t="inlineStr">
        <is>
          <t>ALVESTA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48676-2019</t>
        </is>
      </c>
      <c r="B994" s="1" t="n">
        <v>43728</v>
      </c>
      <c r="C994" s="1" t="n">
        <v>45667</v>
      </c>
      <c r="D994" t="inlineStr">
        <is>
          <t>KRONOBERGS LÄN</t>
        </is>
      </c>
      <c r="E994" t="inlineStr">
        <is>
          <t>ALVESTA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48664-2019</t>
        </is>
      </c>
      <c r="B995" s="1" t="n">
        <v>43728</v>
      </c>
      <c r="C995" s="1" t="n">
        <v>45667</v>
      </c>
      <c r="D995" t="inlineStr">
        <is>
          <t>KRONOBERGS LÄN</t>
        </is>
      </c>
      <c r="E995" t="inlineStr">
        <is>
          <t>ALVESTA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48880-2019</t>
        </is>
      </c>
      <c r="B996" s="1" t="n">
        <v>43728</v>
      </c>
      <c r="C996" s="1" t="n">
        <v>45667</v>
      </c>
      <c r="D996" t="inlineStr">
        <is>
          <t>KRONOBERGS LÄN</t>
        </is>
      </c>
      <c r="E996" t="inlineStr">
        <is>
          <t>ÄLMHULT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48856-2019</t>
        </is>
      </c>
      <c r="B997" s="1" t="n">
        <v>43728</v>
      </c>
      <c r="C997" s="1" t="n">
        <v>45667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49247-2019</t>
        </is>
      </c>
      <c r="B998" s="1" t="n">
        <v>43728</v>
      </c>
      <c r="C998" s="1" t="n">
        <v>45667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48672-2019</t>
        </is>
      </c>
      <c r="B999" s="1" t="n">
        <v>43728</v>
      </c>
      <c r="C999" s="1" t="n">
        <v>45667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49200-2019</t>
        </is>
      </c>
      <c r="B1000" s="1" t="n">
        <v>43731</v>
      </c>
      <c r="C1000" s="1" t="n">
        <v>45667</v>
      </c>
      <c r="D1000" t="inlineStr">
        <is>
          <t>KRONOBERGS LÄN</t>
        </is>
      </c>
      <c r="E1000" t="inlineStr">
        <is>
          <t>ÄLMHULT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49285-2019</t>
        </is>
      </c>
      <c r="B1001" s="1" t="n">
        <v>43731</v>
      </c>
      <c r="C1001" s="1" t="n">
        <v>45667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49220-2019</t>
        </is>
      </c>
      <c r="B1002" s="1" t="n">
        <v>43731</v>
      </c>
      <c r="C1002" s="1" t="n">
        <v>45667</v>
      </c>
      <c r="D1002" t="inlineStr">
        <is>
          <t>KRONOBERGS LÄN</t>
        </is>
      </c>
      <c r="E1002" t="inlineStr">
        <is>
          <t>ÄLMHULT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49387-2019</t>
        </is>
      </c>
      <c r="B1003" s="1" t="n">
        <v>43732</v>
      </c>
      <c r="C1003" s="1" t="n">
        <v>45667</v>
      </c>
      <c r="D1003" t="inlineStr">
        <is>
          <t>KRONOBERGS LÄN</t>
        </is>
      </c>
      <c r="E1003" t="inlineStr">
        <is>
          <t>UPPVIDINGE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49393-2019</t>
        </is>
      </c>
      <c r="B1004" s="1" t="n">
        <v>43732</v>
      </c>
      <c r="C1004" s="1" t="n">
        <v>45667</v>
      </c>
      <c r="D1004" t="inlineStr">
        <is>
          <t>KRONOBERGS LÄN</t>
        </is>
      </c>
      <c r="E1004" t="inlineStr">
        <is>
          <t>UPPVIDINGE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49400-2019</t>
        </is>
      </c>
      <c r="B1005" s="1" t="n">
        <v>43732</v>
      </c>
      <c r="C1005" s="1" t="n">
        <v>45667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49496-2019</t>
        </is>
      </c>
      <c r="B1006" s="1" t="n">
        <v>43732</v>
      </c>
      <c r="C1006" s="1" t="n">
        <v>45667</v>
      </c>
      <c r="D1006" t="inlineStr">
        <is>
          <t>KRONOBERGS LÄN</t>
        </is>
      </c>
      <c r="E1006" t="inlineStr">
        <is>
          <t>TINGSRYD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49564-2019</t>
        </is>
      </c>
      <c r="B1007" s="1" t="n">
        <v>43732</v>
      </c>
      <c r="C1007" s="1" t="n">
        <v>45667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49566-2019</t>
        </is>
      </c>
      <c r="B1008" s="1" t="n">
        <v>43732</v>
      </c>
      <c r="C1008" s="1" t="n">
        <v>45667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49649-2019</t>
        </is>
      </c>
      <c r="B1009" s="1" t="n">
        <v>43732</v>
      </c>
      <c r="C1009" s="1" t="n">
        <v>45667</v>
      </c>
      <c r="D1009" t="inlineStr">
        <is>
          <t>KRONOBERGS LÄN</t>
        </is>
      </c>
      <c r="E1009" t="inlineStr">
        <is>
          <t>TINGSRYD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49627-2019</t>
        </is>
      </c>
      <c r="B1010" s="1" t="n">
        <v>43732</v>
      </c>
      <c r="C1010" s="1" t="n">
        <v>45667</v>
      </c>
      <c r="D1010" t="inlineStr">
        <is>
          <t>KRONOBERGS LÄN</t>
        </is>
      </c>
      <c r="E1010" t="inlineStr">
        <is>
          <t>VÄXJÖ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49644-2019</t>
        </is>
      </c>
      <c r="B1011" s="1" t="n">
        <v>43732</v>
      </c>
      <c r="C1011" s="1" t="n">
        <v>45667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49392-2019</t>
        </is>
      </c>
      <c r="B1012" s="1" t="n">
        <v>43732</v>
      </c>
      <c r="C1012" s="1" t="n">
        <v>45667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49641-2019</t>
        </is>
      </c>
      <c r="B1013" s="1" t="n">
        <v>43732</v>
      </c>
      <c r="C1013" s="1" t="n">
        <v>45667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49719-2019</t>
        </is>
      </c>
      <c r="B1014" s="1" t="n">
        <v>43733</v>
      </c>
      <c r="C1014" s="1" t="n">
        <v>45667</v>
      </c>
      <c r="D1014" t="inlineStr">
        <is>
          <t>KRONOBERGS LÄN</t>
        </is>
      </c>
      <c r="E1014" t="inlineStr">
        <is>
          <t>MARKARYD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49843-2019</t>
        </is>
      </c>
      <c r="B1015" s="1" t="n">
        <v>43733</v>
      </c>
      <c r="C1015" s="1" t="n">
        <v>45667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49939-2019</t>
        </is>
      </c>
      <c r="B1016" s="1" t="n">
        <v>43733</v>
      </c>
      <c r="C1016" s="1" t="n">
        <v>45667</v>
      </c>
      <c r="D1016" t="inlineStr">
        <is>
          <t>KRONOBERGS LÄN</t>
        </is>
      </c>
      <c r="E1016" t="inlineStr">
        <is>
          <t>LESSEBO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49966-2019</t>
        </is>
      </c>
      <c r="B1017" s="1" t="n">
        <v>43733</v>
      </c>
      <c r="C1017" s="1" t="n">
        <v>45667</v>
      </c>
      <c r="D1017" t="inlineStr">
        <is>
          <t>KRONOBERGS LÄN</t>
        </is>
      </c>
      <c r="E1017" t="inlineStr">
        <is>
          <t>ÄLMHULT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49964-2019</t>
        </is>
      </c>
      <c r="B1018" s="1" t="n">
        <v>43733</v>
      </c>
      <c r="C1018" s="1" t="n">
        <v>45667</v>
      </c>
      <c r="D1018" t="inlineStr">
        <is>
          <t>KRONOBERGS LÄN</t>
        </is>
      </c>
      <c r="E1018" t="inlineStr">
        <is>
          <t>MARKARYD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49940-2019</t>
        </is>
      </c>
      <c r="B1019" s="1" t="n">
        <v>43733</v>
      </c>
      <c r="C1019" s="1" t="n">
        <v>45667</v>
      </c>
      <c r="D1019" t="inlineStr">
        <is>
          <t>KRONOBERGS LÄN</t>
        </is>
      </c>
      <c r="E1019" t="inlineStr">
        <is>
          <t>VÄXJÖ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49962-2019</t>
        </is>
      </c>
      <c r="B1020" s="1" t="n">
        <v>43733</v>
      </c>
      <c r="C1020" s="1" t="n">
        <v>45667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49959-2019</t>
        </is>
      </c>
      <c r="B1021" s="1" t="n">
        <v>43733</v>
      </c>
      <c r="C1021" s="1" t="n">
        <v>45667</v>
      </c>
      <c r="D1021" t="inlineStr">
        <is>
          <t>KRONOBERGS LÄN</t>
        </is>
      </c>
      <c r="E1021" t="inlineStr">
        <is>
          <t>MARKARYD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49960-2019</t>
        </is>
      </c>
      <c r="B1022" s="1" t="n">
        <v>43733</v>
      </c>
      <c r="C1022" s="1" t="n">
        <v>45667</v>
      </c>
      <c r="D1022" t="inlineStr">
        <is>
          <t>KRONOBERGS LÄN</t>
        </is>
      </c>
      <c r="E1022" t="inlineStr">
        <is>
          <t>MARKARYD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49897-2019</t>
        </is>
      </c>
      <c r="B1023" s="1" t="n">
        <v>43733</v>
      </c>
      <c r="C1023" s="1" t="n">
        <v>45667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49866-2019</t>
        </is>
      </c>
      <c r="B1024" s="1" t="n">
        <v>43733</v>
      </c>
      <c r="C1024" s="1" t="n">
        <v>45667</v>
      </c>
      <c r="D1024" t="inlineStr">
        <is>
          <t>KRONOBERGS LÄN</t>
        </is>
      </c>
      <c r="E1024" t="inlineStr">
        <is>
          <t>ALVESTA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51754-2019</t>
        </is>
      </c>
      <c r="B1025" s="1" t="n">
        <v>43734</v>
      </c>
      <c r="C1025" s="1" t="n">
        <v>45667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50442-2019</t>
        </is>
      </c>
      <c r="B1026" s="1" t="n">
        <v>43735</v>
      </c>
      <c r="C1026" s="1" t="n">
        <v>45667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50494-2019</t>
        </is>
      </c>
      <c r="B1027" s="1" t="n">
        <v>43735</v>
      </c>
      <c r="C1027" s="1" t="n">
        <v>45667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52440-2019</t>
        </is>
      </c>
      <c r="B1028" s="1" t="n">
        <v>43735</v>
      </c>
      <c r="C1028" s="1" t="n">
        <v>45667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50649-2019</t>
        </is>
      </c>
      <c r="B1029" s="1" t="n">
        <v>43737</v>
      </c>
      <c r="C1029" s="1" t="n">
        <v>45667</v>
      </c>
      <c r="D1029" t="inlineStr">
        <is>
          <t>KRONOBERGS LÄN</t>
        </is>
      </c>
      <c r="E1029" t="inlineStr">
        <is>
          <t>TINGSRYD</t>
        </is>
      </c>
      <c r="F1029" t="inlineStr">
        <is>
          <t>Sveaskog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50701-2019</t>
        </is>
      </c>
      <c r="B1030" s="1" t="n">
        <v>43738</v>
      </c>
      <c r="C1030" s="1" t="n">
        <v>45667</v>
      </c>
      <c r="D1030" t="inlineStr">
        <is>
          <t>KRONOBERGS LÄN</t>
        </is>
      </c>
      <c r="E1030" t="inlineStr">
        <is>
          <t>MARKARYD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50758-2019</t>
        </is>
      </c>
      <c r="B1031" s="1" t="n">
        <v>43738</v>
      </c>
      <c r="C1031" s="1" t="n">
        <v>45667</v>
      </c>
      <c r="D1031" t="inlineStr">
        <is>
          <t>KRONOBERGS LÄN</t>
        </is>
      </c>
      <c r="E1031" t="inlineStr">
        <is>
          <t>UPPVIDINGE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50906-2019</t>
        </is>
      </c>
      <c r="B1032" s="1" t="n">
        <v>43738</v>
      </c>
      <c r="C1032" s="1" t="n">
        <v>45667</v>
      </c>
      <c r="D1032" t="inlineStr">
        <is>
          <t>KRONOBERGS LÄN</t>
        </is>
      </c>
      <c r="E1032" t="inlineStr">
        <is>
          <t>MARKARYD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50759-2019</t>
        </is>
      </c>
      <c r="B1033" s="1" t="n">
        <v>43738</v>
      </c>
      <c r="C1033" s="1" t="n">
        <v>45667</v>
      </c>
      <c r="D1033" t="inlineStr">
        <is>
          <t>KRONOBERGS LÄN</t>
        </is>
      </c>
      <c r="E1033" t="inlineStr">
        <is>
          <t>TINGSRYD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51138-2019</t>
        </is>
      </c>
      <c r="B1034" s="1" t="n">
        <v>43739</v>
      </c>
      <c r="C1034" s="1" t="n">
        <v>45667</v>
      </c>
      <c r="D1034" t="inlineStr">
        <is>
          <t>KRONOBERGS LÄN</t>
        </is>
      </c>
      <c r="E1034" t="inlineStr">
        <is>
          <t>TINGSRYD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51132-2019</t>
        </is>
      </c>
      <c r="B1035" s="1" t="n">
        <v>43739</v>
      </c>
      <c r="C1035" s="1" t="n">
        <v>45667</v>
      </c>
      <c r="D1035" t="inlineStr">
        <is>
          <t>KRONOBERGS LÄN</t>
        </is>
      </c>
      <c r="E1035" t="inlineStr">
        <is>
          <t>TINGSRYD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51320-2019</t>
        </is>
      </c>
      <c r="B1036" s="1" t="n">
        <v>43739</v>
      </c>
      <c r="C1036" s="1" t="n">
        <v>45667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51248-2019</t>
        </is>
      </c>
      <c r="B1037" s="1" t="n">
        <v>43739</v>
      </c>
      <c r="C1037" s="1" t="n">
        <v>45667</v>
      </c>
      <c r="D1037" t="inlineStr">
        <is>
          <t>KRONOBERGS LÄN</t>
        </is>
      </c>
      <c r="E1037" t="inlineStr">
        <is>
          <t>ÄLMHULT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51319-2019</t>
        </is>
      </c>
      <c r="B1038" s="1" t="n">
        <v>43739</v>
      </c>
      <c r="C1038" s="1" t="n">
        <v>45667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51059-2019</t>
        </is>
      </c>
      <c r="B1039" s="1" t="n">
        <v>43739</v>
      </c>
      <c r="C1039" s="1" t="n">
        <v>45667</v>
      </c>
      <c r="D1039" t="inlineStr">
        <is>
          <t>KRONOBERGS LÄN</t>
        </is>
      </c>
      <c r="E1039" t="inlineStr">
        <is>
          <t>LESSEBO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51041-2019</t>
        </is>
      </c>
      <c r="B1040" s="1" t="n">
        <v>43739</v>
      </c>
      <c r="C1040" s="1" t="n">
        <v>45667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51153-2019</t>
        </is>
      </c>
      <c r="B1041" s="1" t="n">
        <v>43739</v>
      </c>
      <c r="C1041" s="1" t="n">
        <v>45667</v>
      </c>
      <c r="D1041" t="inlineStr">
        <is>
          <t>KRONOBERGS LÄN</t>
        </is>
      </c>
      <c r="E1041" t="inlineStr">
        <is>
          <t>LJUNGBY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51104-2019</t>
        </is>
      </c>
      <c r="B1042" s="1" t="n">
        <v>43739</v>
      </c>
      <c r="C1042" s="1" t="n">
        <v>45667</v>
      </c>
      <c r="D1042" t="inlineStr">
        <is>
          <t>KRONOBERGS LÄN</t>
        </is>
      </c>
      <c r="E1042" t="inlineStr">
        <is>
          <t>TINGSRYD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52805-2019</t>
        </is>
      </c>
      <c r="B1043" s="1" t="n">
        <v>43739</v>
      </c>
      <c r="C1043" s="1" t="n">
        <v>45667</v>
      </c>
      <c r="D1043" t="inlineStr">
        <is>
          <t>KRONOBERGS LÄN</t>
        </is>
      </c>
      <c r="E1043" t="inlineStr">
        <is>
          <t>VÄXJÖ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51100-2019</t>
        </is>
      </c>
      <c r="B1044" s="1" t="n">
        <v>43739</v>
      </c>
      <c r="C1044" s="1" t="n">
        <v>45667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51068-2019</t>
        </is>
      </c>
      <c r="B1045" s="1" t="n">
        <v>43739</v>
      </c>
      <c r="C1045" s="1" t="n">
        <v>45667</v>
      </c>
      <c r="D1045" t="inlineStr">
        <is>
          <t>KRONOBERGS LÄN</t>
        </is>
      </c>
      <c r="E1045" t="inlineStr">
        <is>
          <t>LESSEBO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51188-2019</t>
        </is>
      </c>
      <c r="B1046" s="1" t="n">
        <v>43739</v>
      </c>
      <c r="C1046" s="1" t="n">
        <v>45667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51445-2019</t>
        </is>
      </c>
      <c r="B1047" s="1" t="n">
        <v>43740</v>
      </c>
      <c r="C1047" s="1" t="n">
        <v>45667</v>
      </c>
      <c r="D1047" t="inlineStr">
        <is>
          <t>KRONOBERGS LÄN</t>
        </is>
      </c>
      <c r="E1047" t="inlineStr">
        <is>
          <t>TINGSRYD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51401-2019</t>
        </is>
      </c>
      <c r="B1048" s="1" t="n">
        <v>43740</v>
      </c>
      <c r="C1048" s="1" t="n">
        <v>45667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51504-2019</t>
        </is>
      </c>
      <c r="B1049" s="1" t="n">
        <v>43740</v>
      </c>
      <c r="C1049" s="1" t="n">
        <v>45667</v>
      </c>
      <c r="D1049" t="inlineStr">
        <is>
          <t>KRONOBERGS LÄN</t>
        </is>
      </c>
      <c r="E1049" t="inlineStr">
        <is>
          <t>UPPVIDINGE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51586-2019</t>
        </is>
      </c>
      <c r="B1050" s="1" t="n">
        <v>43740</v>
      </c>
      <c r="C1050" s="1" t="n">
        <v>45667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51388-2019</t>
        </is>
      </c>
      <c r="B1051" s="1" t="n">
        <v>43740</v>
      </c>
      <c r="C1051" s="1" t="n">
        <v>45667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51715-2019</t>
        </is>
      </c>
      <c r="B1052" s="1" t="n">
        <v>43741</v>
      </c>
      <c r="C1052" s="1" t="n">
        <v>45667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51911-2019</t>
        </is>
      </c>
      <c r="B1053" s="1" t="n">
        <v>43741</v>
      </c>
      <c r="C1053" s="1" t="n">
        <v>45667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51896-2019</t>
        </is>
      </c>
      <c r="B1054" s="1" t="n">
        <v>43741</v>
      </c>
      <c r="C1054" s="1" t="n">
        <v>45667</v>
      </c>
      <c r="D1054" t="inlineStr">
        <is>
          <t>KRONOBERGS LÄN</t>
        </is>
      </c>
      <c r="E1054" t="inlineStr">
        <is>
          <t>LJUNGBY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51915-2019</t>
        </is>
      </c>
      <c r="B1055" s="1" t="n">
        <v>43741</v>
      </c>
      <c r="C1055" s="1" t="n">
        <v>45667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51903-2019</t>
        </is>
      </c>
      <c r="B1056" s="1" t="n">
        <v>43741</v>
      </c>
      <c r="C1056" s="1" t="n">
        <v>45667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52053-2019</t>
        </is>
      </c>
      <c r="B1057" s="1" t="n">
        <v>43742</v>
      </c>
      <c r="C1057" s="1" t="n">
        <v>45667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52421-2019</t>
        </is>
      </c>
      <c r="B1058" s="1" t="n">
        <v>43745</v>
      </c>
      <c r="C1058" s="1" t="n">
        <v>45667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54033-2019</t>
        </is>
      </c>
      <c r="B1059" s="1" t="n">
        <v>43745</v>
      </c>
      <c r="C1059" s="1" t="n">
        <v>45667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54153-2019</t>
        </is>
      </c>
      <c r="B1060" s="1" t="n">
        <v>43745</v>
      </c>
      <c r="C1060" s="1" t="n">
        <v>45667</v>
      </c>
      <c r="D1060" t="inlineStr">
        <is>
          <t>KRONOBERGS LÄN</t>
        </is>
      </c>
      <c r="E1060" t="inlineStr">
        <is>
          <t>VÄXJÖ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52822-2019</t>
        </is>
      </c>
      <c r="B1061" s="1" t="n">
        <v>43746</v>
      </c>
      <c r="C1061" s="1" t="n">
        <v>45667</v>
      </c>
      <c r="D1061" t="inlineStr">
        <is>
          <t>KRONOBERGS LÄN</t>
        </is>
      </c>
      <c r="E1061" t="inlineStr">
        <is>
          <t>VÄXJÖ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52843-2019</t>
        </is>
      </c>
      <c r="B1062" s="1" t="n">
        <v>43746</v>
      </c>
      <c r="C1062" s="1" t="n">
        <v>45667</v>
      </c>
      <c r="D1062" t="inlineStr">
        <is>
          <t>KRONOBERGS LÄN</t>
        </is>
      </c>
      <c r="E1062" t="inlineStr">
        <is>
          <t>VÄXJÖ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52984-2019</t>
        </is>
      </c>
      <c r="B1063" s="1" t="n">
        <v>43747</v>
      </c>
      <c r="C1063" s="1" t="n">
        <v>45667</v>
      </c>
      <c r="D1063" t="inlineStr">
        <is>
          <t>KRONOBERGS LÄN</t>
        </is>
      </c>
      <c r="E1063" t="inlineStr">
        <is>
          <t>TINGSRYD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53132-2019</t>
        </is>
      </c>
      <c r="B1064" s="1" t="n">
        <v>43747</v>
      </c>
      <c r="C1064" s="1" t="n">
        <v>45667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54451-2019</t>
        </is>
      </c>
      <c r="B1065" s="1" t="n">
        <v>43747</v>
      </c>
      <c r="C1065" s="1" t="n">
        <v>45667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54499-2019</t>
        </is>
      </c>
      <c r="B1066" s="1" t="n">
        <v>43747</v>
      </c>
      <c r="C1066" s="1" t="n">
        <v>45667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54504-2019</t>
        </is>
      </c>
      <c r="B1067" s="1" t="n">
        <v>43747</v>
      </c>
      <c r="C1067" s="1" t="n">
        <v>45667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54510-2019</t>
        </is>
      </c>
      <c r="B1068" s="1" t="n">
        <v>43747</v>
      </c>
      <c r="C1068" s="1" t="n">
        <v>45667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54516-2019</t>
        </is>
      </c>
      <c r="B1069" s="1" t="n">
        <v>43747</v>
      </c>
      <c r="C1069" s="1" t="n">
        <v>45667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54491-2019</t>
        </is>
      </c>
      <c r="B1070" s="1" t="n">
        <v>43747</v>
      </c>
      <c r="C1070" s="1" t="n">
        <v>45667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54497-2019</t>
        </is>
      </c>
      <c r="B1071" s="1" t="n">
        <v>43747</v>
      </c>
      <c r="C1071" s="1" t="n">
        <v>45667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54501-2019</t>
        </is>
      </c>
      <c r="B1072" s="1" t="n">
        <v>43747</v>
      </c>
      <c r="C1072" s="1" t="n">
        <v>45667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54507-2019</t>
        </is>
      </c>
      <c r="B1073" s="1" t="n">
        <v>43747</v>
      </c>
      <c r="C1073" s="1" t="n">
        <v>45667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54514-2019</t>
        </is>
      </c>
      <c r="B1074" s="1" t="n">
        <v>43747</v>
      </c>
      <c r="C1074" s="1" t="n">
        <v>45667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54521-2019</t>
        </is>
      </c>
      <c r="B1075" s="1" t="n">
        <v>43747</v>
      </c>
      <c r="C1075" s="1" t="n">
        <v>45667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54456-2019</t>
        </is>
      </c>
      <c r="B1076" s="1" t="n">
        <v>43747</v>
      </c>
      <c r="C1076" s="1" t="n">
        <v>45667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54496-2019</t>
        </is>
      </c>
      <c r="B1077" s="1" t="n">
        <v>43747</v>
      </c>
      <c r="C1077" s="1" t="n">
        <v>45667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54518-2019</t>
        </is>
      </c>
      <c r="B1078" s="1" t="n">
        <v>43747</v>
      </c>
      <c r="C1078" s="1" t="n">
        <v>45667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54448-2019</t>
        </is>
      </c>
      <c r="B1079" s="1" t="n">
        <v>43747</v>
      </c>
      <c r="C1079" s="1" t="n">
        <v>45667</v>
      </c>
      <c r="D1079" t="inlineStr">
        <is>
          <t>KRONOBERGS LÄN</t>
        </is>
      </c>
      <c r="E1079" t="inlineStr">
        <is>
          <t>ALVESTA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54493-2019</t>
        </is>
      </c>
      <c r="B1080" s="1" t="n">
        <v>43747</v>
      </c>
      <c r="C1080" s="1" t="n">
        <v>45667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54503-2019</t>
        </is>
      </c>
      <c r="B1081" s="1" t="n">
        <v>43747</v>
      </c>
      <c r="C1081" s="1" t="n">
        <v>45667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54515-2019</t>
        </is>
      </c>
      <c r="B1082" s="1" t="n">
        <v>43747</v>
      </c>
      <c r="C1082" s="1" t="n">
        <v>45667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54509-2019</t>
        </is>
      </c>
      <c r="B1083" s="1" t="n">
        <v>43747</v>
      </c>
      <c r="C1083" s="1" t="n">
        <v>45667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54560-2019</t>
        </is>
      </c>
      <c r="B1084" s="1" t="n">
        <v>43747</v>
      </c>
      <c r="C1084" s="1" t="n">
        <v>45667</v>
      </c>
      <c r="D1084" t="inlineStr">
        <is>
          <t>KRONOBERGS LÄN</t>
        </is>
      </c>
      <c r="E1084" t="inlineStr">
        <is>
          <t>ÄLMHULT</t>
        </is>
      </c>
      <c r="F1084" t="inlineStr">
        <is>
          <t>Kommuner</t>
        </is>
      </c>
      <c r="G1084" t="n">
        <v>17.3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54513-2019</t>
        </is>
      </c>
      <c r="B1085" s="1" t="n">
        <v>43747</v>
      </c>
      <c r="C1085" s="1" t="n">
        <v>45667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54506-2019</t>
        </is>
      </c>
      <c r="B1086" s="1" t="n">
        <v>43747</v>
      </c>
      <c r="C1086" s="1" t="n">
        <v>45667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54500-2019</t>
        </is>
      </c>
      <c r="B1087" s="1" t="n">
        <v>43747</v>
      </c>
      <c r="C1087" s="1" t="n">
        <v>45667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53193-2019</t>
        </is>
      </c>
      <c r="B1088" s="1" t="n">
        <v>43748</v>
      </c>
      <c r="C1088" s="1" t="n">
        <v>45667</v>
      </c>
      <c r="D1088" t="inlineStr">
        <is>
          <t>KRONOBERGS LÄN</t>
        </is>
      </c>
      <c r="E1088" t="inlineStr">
        <is>
          <t>LESSEBO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53464-2019</t>
        </is>
      </c>
      <c r="B1089" s="1" t="n">
        <v>43748</v>
      </c>
      <c r="C1089" s="1" t="n">
        <v>45667</v>
      </c>
      <c r="D1089" t="inlineStr">
        <is>
          <t>KRONOBERGS LÄN</t>
        </is>
      </c>
      <c r="E1089" t="inlineStr">
        <is>
          <t>LESSEBO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53531-2019</t>
        </is>
      </c>
      <c r="B1090" s="1" t="n">
        <v>43749</v>
      </c>
      <c r="C1090" s="1" t="n">
        <v>45667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53686-2019</t>
        </is>
      </c>
      <c r="B1091" s="1" t="n">
        <v>43749</v>
      </c>
      <c r="C1091" s="1" t="n">
        <v>45667</v>
      </c>
      <c r="D1091" t="inlineStr">
        <is>
          <t>KRONOBERGS LÄN</t>
        </is>
      </c>
      <c r="E1091" t="inlineStr">
        <is>
          <t>UPPVIDINGE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54777-2019</t>
        </is>
      </c>
      <c r="B1092" s="1" t="n">
        <v>43749</v>
      </c>
      <c r="C1092" s="1" t="n">
        <v>45667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53530-2019</t>
        </is>
      </c>
      <c r="B1093" s="1" t="n">
        <v>43749</v>
      </c>
      <c r="C1093" s="1" t="n">
        <v>45667</v>
      </c>
      <c r="D1093" t="inlineStr">
        <is>
          <t>KRONOBERGS LÄN</t>
        </is>
      </c>
      <c r="E1093" t="inlineStr">
        <is>
          <t>TINGSRYD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53583-2019</t>
        </is>
      </c>
      <c r="B1094" s="1" t="n">
        <v>43749</v>
      </c>
      <c r="C1094" s="1" t="n">
        <v>45667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53624-2019</t>
        </is>
      </c>
      <c r="B1095" s="1" t="n">
        <v>43749</v>
      </c>
      <c r="C1095" s="1" t="n">
        <v>45667</v>
      </c>
      <c r="D1095" t="inlineStr">
        <is>
          <t>KRONOBERGS LÄN</t>
        </is>
      </c>
      <c r="E1095" t="inlineStr">
        <is>
          <t>TINGSRYD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53543-2019</t>
        </is>
      </c>
      <c r="B1096" s="1" t="n">
        <v>43749</v>
      </c>
      <c r="C1096" s="1" t="n">
        <v>45667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53566-2019</t>
        </is>
      </c>
      <c r="B1097" s="1" t="n">
        <v>43749</v>
      </c>
      <c r="C1097" s="1" t="n">
        <v>45667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54783-2019</t>
        </is>
      </c>
      <c r="B1098" s="1" t="n">
        <v>43749</v>
      </c>
      <c r="C1098" s="1" t="n">
        <v>45667</v>
      </c>
      <c r="D1098" t="inlineStr">
        <is>
          <t>KRONOBERGS LÄN</t>
        </is>
      </c>
      <c r="E1098" t="inlineStr">
        <is>
          <t>ALVESTA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53800-2019</t>
        </is>
      </c>
      <c r="B1099" s="1" t="n">
        <v>43751</v>
      </c>
      <c r="C1099" s="1" t="n">
        <v>45667</v>
      </c>
      <c r="D1099" t="inlineStr">
        <is>
          <t>KRONOBERGS LÄN</t>
        </is>
      </c>
      <c r="E1099" t="inlineStr">
        <is>
          <t>TINGSRYD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53902-2019</t>
        </is>
      </c>
      <c r="B1100" s="1" t="n">
        <v>43752</v>
      </c>
      <c r="C1100" s="1" t="n">
        <v>45667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53956-2019</t>
        </is>
      </c>
      <c r="B1101" s="1" t="n">
        <v>43752</v>
      </c>
      <c r="C1101" s="1" t="n">
        <v>45667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54113-2019</t>
        </is>
      </c>
      <c r="B1102" s="1" t="n">
        <v>43752</v>
      </c>
      <c r="C1102" s="1" t="n">
        <v>45667</v>
      </c>
      <c r="D1102" t="inlineStr">
        <is>
          <t>KRONOBERGS LÄN</t>
        </is>
      </c>
      <c r="E1102" t="inlineStr">
        <is>
          <t>UPPVIDINGE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53897-2019</t>
        </is>
      </c>
      <c r="B1103" s="1" t="n">
        <v>43752</v>
      </c>
      <c r="C1103" s="1" t="n">
        <v>45667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54222-2019</t>
        </is>
      </c>
      <c r="B1104" s="1" t="n">
        <v>43753</v>
      </c>
      <c r="C1104" s="1" t="n">
        <v>45667</v>
      </c>
      <c r="D1104" t="inlineStr">
        <is>
          <t>KRONOBERGS LÄN</t>
        </is>
      </c>
      <c r="E1104" t="inlineStr">
        <is>
          <t>ALVESTA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54218-2019</t>
        </is>
      </c>
      <c r="B1105" s="1" t="n">
        <v>43753</v>
      </c>
      <c r="C1105" s="1" t="n">
        <v>45667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54226-2019</t>
        </is>
      </c>
      <c r="B1106" s="1" t="n">
        <v>43753</v>
      </c>
      <c r="C1106" s="1" t="n">
        <v>45667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54233-2019</t>
        </is>
      </c>
      <c r="B1107" s="1" t="n">
        <v>43753</v>
      </c>
      <c r="C1107" s="1" t="n">
        <v>45667</v>
      </c>
      <c r="D1107" t="inlineStr">
        <is>
          <t>KRONOBERGS LÄN</t>
        </is>
      </c>
      <c r="E1107" t="inlineStr">
        <is>
          <t>TINGSRYD</t>
        </is>
      </c>
      <c r="F1107" t="inlineStr">
        <is>
          <t>Kyrkan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54318-2019</t>
        </is>
      </c>
      <c r="B1108" s="1" t="n">
        <v>43753</v>
      </c>
      <c r="C1108" s="1" t="n">
        <v>45667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54582-2019</t>
        </is>
      </c>
      <c r="B1109" s="1" t="n">
        <v>43754</v>
      </c>
      <c r="C1109" s="1" t="n">
        <v>45667</v>
      </c>
      <c r="D1109" t="inlineStr">
        <is>
          <t>KRONOBERGS LÄN</t>
        </is>
      </c>
      <c r="E1109" t="inlineStr">
        <is>
          <t>TINGSRYD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54657-2019</t>
        </is>
      </c>
      <c r="B1110" s="1" t="n">
        <v>43754</v>
      </c>
      <c r="C1110" s="1" t="n">
        <v>45667</v>
      </c>
      <c r="D1110" t="inlineStr">
        <is>
          <t>KRONOBERGS LÄN</t>
        </is>
      </c>
      <c r="E1110" t="inlineStr">
        <is>
          <t>UPPVIDINGE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54964-2019</t>
        </is>
      </c>
      <c r="B1111" s="1" t="n">
        <v>43755</v>
      </c>
      <c r="C1111" s="1" t="n">
        <v>45667</v>
      </c>
      <c r="D1111" t="inlineStr">
        <is>
          <t>KRONOBERGS LÄN</t>
        </is>
      </c>
      <c r="E1111" t="inlineStr">
        <is>
          <t>ALVESTA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55614-2019</t>
        </is>
      </c>
      <c r="B1112" s="1" t="n">
        <v>43755</v>
      </c>
      <c r="C1112" s="1" t="n">
        <v>45667</v>
      </c>
      <c r="D1112" t="inlineStr">
        <is>
          <t>KRONOBERGS LÄN</t>
        </is>
      </c>
      <c r="E1112" t="inlineStr">
        <is>
          <t>MARKARYD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55044-2019</t>
        </is>
      </c>
      <c r="B1113" s="1" t="n">
        <v>43756</v>
      </c>
      <c r="C1113" s="1" t="n">
        <v>45667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55112-2019</t>
        </is>
      </c>
      <c r="B1114" s="1" t="n">
        <v>43756</v>
      </c>
      <c r="C1114" s="1" t="n">
        <v>45667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55041-2019</t>
        </is>
      </c>
      <c r="B1115" s="1" t="n">
        <v>43756</v>
      </c>
      <c r="C1115" s="1" t="n">
        <v>45667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55348-2019</t>
        </is>
      </c>
      <c r="B1116" s="1" t="n">
        <v>43756</v>
      </c>
      <c r="C1116" s="1" t="n">
        <v>45667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55542-2019</t>
        </is>
      </c>
      <c r="B1117" s="1" t="n">
        <v>43756</v>
      </c>
      <c r="C1117" s="1" t="n">
        <v>45667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55430-2019</t>
        </is>
      </c>
      <c r="B1118" s="1" t="n">
        <v>43756</v>
      </c>
      <c r="C1118" s="1" t="n">
        <v>45667</v>
      </c>
      <c r="D1118" t="inlineStr">
        <is>
          <t>KRONOBERGS LÄN</t>
        </is>
      </c>
      <c r="E1118" t="inlineStr">
        <is>
          <t>UPPVIDINGE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56396-2019</t>
        </is>
      </c>
      <c r="B1119" s="1" t="n">
        <v>43756</v>
      </c>
      <c r="C1119" s="1" t="n">
        <v>45667</v>
      </c>
      <c r="D1119" t="inlineStr">
        <is>
          <t>KRONOBERGS LÄN</t>
        </is>
      </c>
      <c r="E1119" t="inlineStr">
        <is>
          <t>UPPVIDINGE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55429-2019</t>
        </is>
      </c>
      <c r="B1120" s="1" t="n">
        <v>43756</v>
      </c>
      <c r="C1120" s="1" t="n">
        <v>45667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55042-2019</t>
        </is>
      </c>
      <c r="B1121" s="1" t="n">
        <v>43756</v>
      </c>
      <c r="C1121" s="1" t="n">
        <v>45667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55404-2019</t>
        </is>
      </c>
      <c r="B1122" s="1" t="n">
        <v>43758</v>
      </c>
      <c r="C1122" s="1" t="n">
        <v>45667</v>
      </c>
      <c r="D1122" t="inlineStr">
        <is>
          <t>KRONOBERGS LÄN</t>
        </is>
      </c>
      <c r="E1122" t="inlineStr">
        <is>
          <t>UPPVIDINGE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55541-2019</t>
        </is>
      </c>
      <c r="B1123" s="1" t="n">
        <v>43759</v>
      </c>
      <c r="C1123" s="1" t="n">
        <v>45667</v>
      </c>
      <c r="D1123" t="inlineStr">
        <is>
          <t>KRONOBERGS LÄN</t>
        </is>
      </c>
      <c r="E1123" t="inlineStr">
        <is>
          <t>TINGSRYD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55957-2019</t>
        </is>
      </c>
      <c r="B1124" s="1" t="n">
        <v>43759</v>
      </c>
      <c r="C1124" s="1" t="n">
        <v>45667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56666-2019</t>
        </is>
      </c>
      <c r="B1125" s="1" t="n">
        <v>43759</v>
      </c>
      <c r="C1125" s="1" t="n">
        <v>45667</v>
      </c>
      <c r="D1125" t="inlineStr">
        <is>
          <t>KRONOBERGS LÄN</t>
        </is>
      </c>
      <c r="E1125" t="inlineStr">
        <is>
          <t>ALVESTA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56068-2019</t>
        </is>
      </c>
      <c r="B1126" s="1" t="n">
        <v>43759</v>
      </c>
      <c r="C1126" s="1" t="n">
        <v>45667</v>
      </c>
      <c r="D1126" t="inlineStr">
        <is>
          <t>KRONOBERGS LÄN</t>
        </is>
      </c>
      <c r="E1126" t="inlineStr">
        <is>
          <t>LJUNGBY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55994-2019</t>
        </is>
      </c>
      <c r="B1127" s="1" t="n">
        <v>43761</v>
      </c>
      <c r="C1127" s="1" t="n">
        <v>45667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56079-2019</t>
        </is>
      </c>
      <c r="B1128" s="1" t="n">
        <v>43761</v>
      </c>
      <c r="C1128" s="1" t="n">
        <v>45667</v>
      </c>
      <c r="D1128" t="inlineStr">
        <is>
          <t>KRONOBERGS LÄN</t>
        </is>
      </c>
      <c r="E1128" t="inlineStr">
        <is>
          <t>ÄLMHULT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56002-2019</t>
        </is>
      </c>
      <c r="B1129" s="1" t="n">
        <v>43761</v>
      </c>
      <c r="C1129" s="1" t="n">
        <v>45667</v>
      </c>
      <c r="D1129" t="inlineStr">
        <is>
          <t>KRONOBERGS LÄN</t>
        </is>
      </c>
      <c r="E1129" t="inlineStr">
        <is>
          <t>ÄLMHULT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56555-2019</t>
        </is>
      </c>
      <c r="B1130" s="1" t="n">
        <v>43763</v>
      </c>
      <c r="C1130" s="1" t="n">
        <v>45667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56564-2019</t>
        </is>
      </c>
      <c r="B1131" s="1" t="n">
        <v>43763</v>
      </c>
      <c r="C1131" s="1" t="n">
        <v>45667</v>
      </c>
      <c r="D1131" t="inlineStr">
        <is>
          <t>KRONOBERGS LÄN</t>
        </is>
      </c>
      <c r="E1131" t="inlineStr">
        <is>
          <t>ÄLMHULT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56775-2019</t>
        </is>
      </c>
      <c r="B1132" s="1" t="n">
        <v>43763</v>
      </c>
      <c r="C1132" s="1" t="n">
        <v>45667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56784-2019</t>
        </is>
      </c>
      <c r="B1133" s="1" t="n">
        <v>43763</v>
      </c>
      <c r="C1133" s="1" t="n">
        <v>45667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56771-2019</t>
        </is>
      </c>
      <c r="B1134" s="1" t="n">
        <v>43763</v>
      </c>
      <c r="C1134" s="1" t="n">
        <v>45667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58529-2019</t>
        </is>
      </c>
      <c r="B1135" s="1" t="n">
        <v>43766</v>
      </c>
      <c r="C1135" s="1" t="n">
        <v>45667</v>
      </c>
      <c r="D1135" t="inlineStr">
        <is>
          <t>KRONOBERGS LÄN</t>
        </is>
      </c>
      <c r="E1135" t="inlineStr">
        <is>
          <t>VÄXJÖ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57106-2019</t>
        </is>
      </c>
      <c r="B1136" s="1" t="n">
        <v>43766</v>
      </c>
      <c r="C1136" s="1" t="n">
        <v>45667</v>
      </c>
      <c r="D1136" t="inlineStr">
        <is>
          <t>KRONOBERGS LÄN</t>
        </is>
      </c>
      <c r="E1136" t="inlineStr">
        <is>
          <t>UPPVIDINGE</t>
        </is>
      </c>
      <c r="G1136" t="n">
        <v>12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57306-2019</t>
        </is>
      </c>
      <c r="B1137" s="1" t="n">
        <v>43767</v>
      </c>
      <c r="C1137" s="1" t="n">
        <v>45667</v>
      </c>
      <c r="D1137" t="inlineStr">
        <is>
          <t>KRONOBERGS LÄN</t>
        </is>
      </c>
      <c r="E1137" t="inlineStr">
        <is>
          <t>MARKARYD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57544-2019</t>
        </is>
      </c>
      <c r="B1138" s="1" t="n">
        <v>43767</v>
      </c>
      <c r="C1138" s="1" t="n">
        <v>45667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57383-2019</t>
        </is>
      </c>
      <c r="B1139" s="1" t="n">
        <v>43767</v>
      </c>
      <c r="C1139" s="1" t="n">
        <v>45667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57681-2019</t>
        </is>
      </c>
      <c r="B1140" s="1" t="n">
        <v>43768</v>
      </c>
      <c r="C1140" s="1" t="n">
        <v>45667</v>
      </c>
      <c r="D1140" t="inlineStr">
        <is>
          <t>KRONOBERGS LÄN</t>
        </is>
      </c>
      <c r="E1140" t="inlineStr">
        <is>
          <t>VÄXJÖ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57959-2019</t>
        </is>
      </c>
      <c r="B1141" s="1" t="n">
        <v>43769</v>
      </c>
      <c r="C1141" s="1" t="n">
        <v>45667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57927-2019</t>
        </is>
      </c>
      <c r="B1142" s="1" t="n">
        <v>43769</v>
      </c>
      <c r="C1142" s="1" t="n">
        <v>45667</v>
      </c>
      <c r="D1142" t="inlineStr">
        <is>
          <t>KRONOBERGS LÄN</t>
        </is>
      </c>
      <c r="E1142" t="inlineStr">
        <is>
          <t>UPPVIDINGE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58137-2019</t>
        </is>
      </c>
      <c r="B1143" s="1" t="n">
        <v>43769</v>
      </c>
      <c r="C1143" s="1" t="n">
        <v>45667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58726-2019</t>
        </is>
      </c>
      <c r="B1144" s="1" t="n">
        <v>43773</v>
      </c>
      <c r="C1144" s="1" t="n">
        <v>45667</v>
      </c>
      <c r="D1144" t="inlineStr">
        <is>
          <t>KRONOBERGS LÄN</t>
        </is>
      </c>
      <c r="E1144" t="inlineStr">
        <is>
          <t>ÄLMHULT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58777-2019</t>
        </is>
      </c>
      <c r="B1145" s="1" t="n">
        <v>43773</v>
      </c>
      <c r="C1145" s="1" t="n">
        <v>45667</v>
      </c>
      <c r="D1145" t="inlineStr">
        <is>
          <t>KRONOBERGS LÄN</t>
        </is>
      </c>
      <c r="E1145" t="inlineStr">
        <is>
          <t>ÄLMHULT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58781-2019</t>
        </is>
      </c>
      <c r="B1146" s="1" t="n">
        <v>43773</v>
      </c>
      <c r="C1146" s="1" t="n">
        <v>45667</v>
      </c>
      <c r="D1146" t="inlineStr">
        <is>
          <t>KRONOBERGS LÄN</t>
        </is>
      </c>
      <c r="E1146" t="inlineStr">
        <is>
          <t>LJUNGBY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58485-2019</t>
        </is>
      </c>
      <c r="B1147" s="1" t="n">
        <v>43773</v>
      </c>
      <c r="C1147" s="1" t="n">
        <v>45667</v>
      </c>
      <c r="D1147" t="inlineStr">
        <is>
          <t>KRONOBERGS LÄN</t>
        </is>
      </c>
      <c r="E1147" t="inlineStr">
        <is>
          <t>ÄLMHULT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59063-2019</t>
        </is>
      </c>
      <c r="B1148" s="1" t="n">
        <v>43774</v>
      </c>
      <c r="C1148" s="1" t="n">
        <v>45667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59065-2019</t>
        </is>
      </c>
      <c r="B1149" s="1" t="n">
        <v>43774</v>
      </c>
      <c r="C1149" s="1" t="n">
        <v>45667</v>
      </c>
      <c r="D1149" t="inlineStr">
        <is>
          <t>KRONOBERGS LÄN</t>
        </is>
      </c>
      <c r="E1149" t="inlineStr">
        <is>
          <t>ALVESTA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59703-2019</t>
        </is>
      </c>
      <c r="B1150" s="1" t="n">
        <v>43774</v>
      </c>
      <c r="C1150" s="1" t="n">
        <v>45667</v>
      </c>
      <c r="D1150" t="inlineStr">
        <is>
          <t>KRONOBERGS LÄN</t>
        </is>
      </c>
      <c r="E1150" t="inlineStr">
        <is>
          <t>ALVESTA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59708-2019</t>
        </is>
      </c>
      <c r="B1151" s="1" t="n">
        <v>43774</v>
      </c>
      <c r="C1151" s="1" t="n">
        <v>45667</v>
      </c>
      <c r="D1151" t="inlineStr">
        <is>
          <t>KRONOBERGS LÄN</t>
        </is>
      </c>
      <c r="E1151" t="inlineStr">
        <is>
          <t>ALVESTA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59062-2019</t>
        </is>
      </c>
      <c r="B1152" s="1" t="n">
        <v>43774</v>
      </c>
      <c r="C1152" s="1" t="n">
        <v>45667</v>
      </c>
      <c r="D1152" t="inlineStr">
        <is>
          <t>KRONOBERGS LÄN</t>
        </is>
      </c>
      <c r="E1152" t="inlineStr">
        <is>
          <t>ALVESTA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59031-2019</t>
        </is>
      </c>
      <c r="B1153" s="1" t="n">
        <v>43774</v>
      </c>
      <c r="C1153" s="1" t="n">
        <v>45667</v>
      </c>
      <c r="D1153" t="inlineStr">
        <is>
          <t>KRONOBERGS LÄN</t>
        </is>
      </c>
      <c r="E1153" t="inlineStr">
        <is>
          <t>TINGSRYD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59234-2019</t>
        </is>
      </c>
      <c r="B1154" s="1" t="n">
        <v>43775</v>
      </c>
      <c r="C1154" s="1" t="n">
        <v>45667</v>
      </c>
      <c r="D1154" t="inlineStr">
        <is>
          <t>KRONOBERGS LÄN</t>
        </is>
      </c>
      <c r="E1154" t="inlineStr">
        <is>
          <t>ÄLMHULT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59236-2019</t>
        </is>
      </c>
      <c r="B1155" s="1" t="n">
        <v>43775</v>
      </c>
      <c r="C1155" s="1" t="n">
        <v>45667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59247-2019</t>
        </is>
      </c>
      <c r="B1156" s="1" t="n">
        <v>43775</v>
      </c>
      <c r="C1156" s="1" t="n">
        <v>45667</v>
      </c>
      <c r="D1156" t="inlineStr">
        <is>
          <t>KRONOBERGS LÄN</t>
        </is>
      </c>
      <c r="E1156" t="inlineStr">
        <is>
          <t>LJUNGBY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59200-2019</t>
        </is>
      </c>
      <c r="B1157" s="1" t="n">
        <v>43775</v>
      </c>
      <c r="C1157" s="1" t="n">
        <v>45667</v>
      </c>
      <c r="D1157" t="inlineStr">
        <is>
          <t>KRONOBERGS LÄN</t>
        </is>
      </c>
      <c r="E1157" t="inlineStr">
        <is>
          <t>TINGSRYD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59666-2019</t>
        </is>
      </c>
      <c r="B1158" s="1" t="n">
        <v>43776</v>
      </c>
      <c r="C1158" s="1" t="n">
        <v>45667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59443-2019</t>
        </is>
      </c>
      <c r="B1159" s="1" t="n">
        <v>43776</v>
      </c>
      <c r="C1159" s="1" t="n">
        <v>45667</v>
      </c>
      <c r="D1159" t="inlineStr">
        <is>
          <t>KRONOBERGS LÄN</t>
        </is>
      </c>
      <c r="E1159" t="inlineStr">
        <is>
          <t>TINGSRYD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59530-2019</t>
        </is>
      </c>
      <c r="B1160" s="1" t="n">
        <v>43776</v>
      </c>
      <c r="C1160" s="1" t="n">
        <v>45667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59513-2019</t>
        </is>
      </c>
      <c r="B1161" s="1" t="n">
        <v>43776</v>
      </c>
      <c r="C1161" s="1" t="n">
        <v>45667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59848-2019</t>
        </is>
      </c>
      <c r="B1162" s="1" t="n">
        <v>43777</v>
      </c>
      <c r="C1162" s="1" t="n">
        <v>45667</v>
      </c>
      <c r="D1162" t="inlineStr">
        <is>
          <t>KRONOBERGS LÄN</t>
        </is>
      </c>
      <c r="E1162" t="inlineStr">
        <is>
          <t>ALVESTA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59945-2019</t>
        </is>
      </c>
      <c r="B1163" s="1" t="n">
        <v>43777</v>
      </c>
      <c r="C1163" s="1" t="n">
        <v>45667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59851-2019</t>
        </is>
      </c>
      <c r="B1164" s="1" t="n">
        <v>43777</v>
      </c>
      <c r="C1164" s="1" t="n">
        <v>45667</v>
      </c>
      <c r="D1164" t="inlineStr">
        <is>
          <t>KRONOBERGS LÄN</t>
        </is>
      </c>
      <c r="E1164" t="inlineStr">
        <is>
          <t>ALVESTA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60493-2019</t>
        </is>
      </c>
      <c r="B1165" s="1" t="n">
        <v>43780</v>
      </c>
      <c r="C1165" s="1" t="n">
        <v>45667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60339-2019</t>
        </is>
      </c>
      <c r="B1166" s="1" t="n">
        <v>43780</v>
      </c>
      <c r="C1166" s="1" t="n">
        <v>45667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60156-2019</t>
        </is>
      </c>
      <c r="B1167" s="1" t="n">
        <v>43780</v>
      </c>
      <c r="C1167" s="1" t="n">
        <v>45667</v>
      </c>
      <c r="D1167" t="inlineStr">
        <is>
          <t>KRONOBERGS LÄN</t>
        </is>
      </c>
      <c r="E1167" t="inlineStr">
        <is>
          <t>LJUNGBY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60526-2019</t>
        </is>
      </c>
      <c r="B1168" s="1" t="n">
        <v>43781</v>
      </c>
      <c r="C1168" s="1" t="n">
        <v>45667</v>
      </c>
      <c r="D1168" t="inlineStr">
        <is>
          <t>KRONOBERGS LÄN</t>
        </is>
      </c>
      <c r="E1168" t="inlineStr">
        <is>
          <t>ALVESTA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61041-2019</t>
        </is>
      </c>
      <c r="B1169" s="1" t="n">
        <v>43782</v>
      </c>
      <c r="C1169" s="1" t="n">
        <v>45667</v>
      </c>
      <c r="D1169" t="inlineStr">
        <is>
          <t>KRONOBERGS LÄN</t>
        </is>
      </c>
      <c r="E1169" t="inlineStr">
        <is>
          <t>UPPVIDINGE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61153-2019</t>
        </is>
      </c>
      <c r="B1170" s="1" t="n">
        <v>43782</v>
      </c>
      <c r="C1170" s="1" t="n">
        <v>45667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61363-2019</t>
        </is>
      </c>
      <c r="B1171" s="1" t="n">
        <v>43783</v>
      </c>
      <c r="C1171" s="1" t="n">
        <v>45667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61281-2019</t>
        </is>
      </c>
      <c r="B1172" s="1" t="n">
        <v>43783</v>
      </c>
      <c r="C1172" s="1" t="n">
        <v>45667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61369-2019</t>
        </is>
      </c>
      <c r="B1173" s="1" t="n">
        <v>43783</v>
      </c>
      <c r="C1173" s="1" t="n">
        <v>45667</v>
      </c>
      <c r="D1173" t="inlineStr">
        <is>
          <t>KRONOBERGS LÄN</t>
        </is>
      </c>
      <c r="E1173" t="inlineStr">
        <is>
          <t>MARKARYD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61243-2019</t>
        </is>
      </c>
      <c r="B1174" s="1" t="n">
        <v>43783</v>
      </c>
      <c r="C1174" s="1" t="n">
        <v>45667</v>
      </c>
      <c r="D1174" t="inlineStr">
        <is>
          <t>KRONOBERGS LÄN</t>
        </is>
      </c>
      <c r="E1174" t="inlineStr">
        <is>
          <t>VÄXJÖ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61892-2019</t>
        </is>
      </c>
      <c r="B1175" s="1" t="n">
        <v>43787</v>
      </c>
      <c r="C1175" s="1" t="n">
        <v>45667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62051-2019</t>
        </is>
      </c>
      <c r="B1176" s="1" t="n">
        <v>43787</v>
      </c>
      <c r="C1176" s="1" t="n">
        <v>45667</v>
      </c>
      <c r="D1176" t="inlineStr">
        <is>
          <t>KRONOBERGS LÄN</t>
        </is>
      </c>
      <c r="E1176" t="inlineStr">
        <is>
          <t>LJUNGBY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62121-2019</t>
        </is>
      </c>
      <c r="B1177" s="1" t="n">
        <v>43787</v>
      </c>
      <c r="C1177" s="1" t="n">
        <v>45667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62156-2019</t>
        </is>
      </c>
      <c r="B1178" s="1" t="n">
        <v>43787</v>
      </c>
      <c r="C1178" s="1" t="n">
        <v>45667</v>
      </c>
      <c r="D1178" t="inlineStr">
        <is>
          <t>KRONOBERGS LÄN</t>
        </is>
      </c>
      <c r="E1178" t="inlineStr">
        <is>
          <t>ALVESTA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62213-2019</t>
        </is>
      </c>
      <c r="B1179" s="1" t="n">
        <v>43788</v>
      </c>
      <c r="C1179" s="1" t="n">
        <v>45667</v>
      </c>
      <c r="D1179" t="inlineStr">
        <is>
          <t>KRONOBERGS LÄN</t>
        </is>
      </c>
      <c r="E1179" t="inlineStr">
        <is>
          <t>MARKARYD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63395-2019</t>
        </is>
      </c>
      <c r="B1180" s="1" t="n">
        <v>43788</v>
      </c>
      <c r="C1180" s="1" t="n">
        <v>45667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62670-2019</t>
        </is>
      </c>
      <c r="B1181" s="1" t="n">
        <v>43789</v>
      </c>
      <c r="C1181" s="1" t="n">
        <v>45667</v>
      </c>
      <c r="D1181" t="inlineStr">
        <is>
          <t>KRONOBERGS LÄN</t>
        </is>
      </c>
      <c r="E1181" t="inlineStr">
        <is>
          <t>MARKARYD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62687-2019</t>
        </is>
      </c>
      <c r="B1182" s="1" t="n">
        <v>43789</v>
      </c>
      <c r="C1182" s="1" t="n">
        <v>45667</v>
      </c>
      <c r="D1182" t="inlineStr">
        <is>
          <t>KRONOBERGS LÄN</t>
        </is>
      </c>
      <c r="E1182" t="inlineStr">
        <is>
          <t>LJUNGBY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62658-2019</t>
        </is>
      </c>
      <c r="B1183" s="1" t="n">
        <v>43789</v>
      </c>
      <c r="C1183" s="1" t="n">
        <v>45667</v>
      </c>
      <c r="D1183" t="inlineStr">
        <is>
          <t>KRONOBERGS LÄN</t>
        </is>
      </c>
      <c r="E1183" t="inlineStr">
        <is>
          <t>UPPVIDINGE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62668-2019</t>
        </is>
      </c>
      <c r="B1184" s="1" t="n">
        <v>43789</v>
      </c>
      <c r="C1184" s="1" t="n">
        <v>45667</v>
      </c>
      <c r="D1184" t="inlineStr">
        <is>
          <t>KRONOBERGS LÄN</t>
        </is>
      </c>
      <c r="E1184" t="inlineStr">
        <is>
          <t>MARKARYD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62769-2019</t>
        </is>
      </c>
      <c r="B1185" s="1" t="n">
        <v>43790</v>
      </c>
      <c r="C1185" s="1" t="n">
        <v>45667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62779-2019</t>
        </is>
      </c>
      <c r="B1186" s="1" t="n">
        <v>43790</v>
      </c>
      <c r="C1186" s="1" t="n">
        <v>45667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62956-2019</t>
        </is>
      </c>
      <c r="B1187" s="1" t="n">
        <v>43790</v>
      </c>
      <c r="C1187" s="1" t="n">
        <v>45667</v>
      </c>
      <c r="D1187" t="inlineStr">
        <is>
          <t>KRONOBERGS LÄN</t>
        </is>
      </c>
      <c r="E1187" t="inlineStr">
        <is>
          <t>LESSEBO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62761-2019</t>
        </is>
      </c>
      <c r="B1188" s="1" t="n">
        <v>43790</v>
      </c>
      <c r="C1188" s="1" t="n">
        <v>45667</v>
      </c>
      <c r="D1188" t="inlineStr">
        <is>
          <t>KRONOBERGS LÄN</t>
        </is>
      </c>
      <c r="E1188" t="inlineStr">
        <is>
          <t>VÄXJÖ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63081-2019</t>
        </is>
      </c>
      <c r="B1189" s="1" t="n">
        <v>43791</v>
      </c>
      <c r="C1189" s="1" t="n">
        <v>45667</v>
      </c>
      <c r="D1189" t="inlineStr">
        <is>
          <t>KRONOBERGS LÄN</t>
        </is>
      </c>
      <c r="E1189" t="inlineStr">
        <is>
          <t>VÄXJÖ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63132-2019</t>
        </is>
      </c>
      <c r="B1190" s="1" t="n">
        <v>43791</v>
      </c>
      <c r="C1190" s="1" t="n">
        <v>45667</v>
      </c>
      <c r="D1190" t="inlineStr">
        <is>
          <t>KRONOBERGS LÄN</t>
        </is>
      </c>
      <c r="E1190" t="inlineStr">
        <is>
          <t>LESSEBO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63156-2019</t>
        </is>
      </c>
      <c r="B1191" s="1" t="n">
        <v>43791</v>
      </c>
      <c r="C1191" s="1" t="n">
        <v>45667</v>
      </c>
      <c r="D1191" t="inlineStr">
        <is>
          <t>KRONOBERGS LÄN</t>
        </is>
      </c>
      <c r="E1191" t="inlineStr">
        <is>
          <t>VÄXJÖ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63166-2019</t>
        </is>
      </c>
      <c r="B1192" s="1" t="n">
        <v>43791</v>
      </c>
      <c r="C1192" s="1" t="n">
        <v>45667</v>
      </c>
      <c r="D1192" t="inlineStr">
        <is>
          <t>KRONOBERGS LÄN</t>
        </is>
      </c>
      <c r="E1192" t="inlineStr">
        <is>
          <t>UPPVIDINGE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63174-2019</t>
        </is>
      </c>
      <c r="B1193" s="1" t="n">
        <v>43791</v>
      </c>
      <c r="C1193" s="1" t="n">
        <v>45667</v>
      </c>
      <c r="D1193" t="inlineStr">
        <is>
          <t>KRONOBERGS LÄN</t>
        </is>
      </c>
      <c r="E1193" t="inlineStr">
        <is>
          <t>ÄLMHULT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63171-2019</t>
        </is>
      </c>
      <c r="B1194" s="1" t="n">
        <v>43791</v>
      </c>
      <c r="C1194" s="1" t="n">
        <v>45667</v>
      </c>
      <c r="D1194" t="inlineStr">
        <is>
          <t>KRONOBERGS LÄN</t>
        </is>
      </c>
      <c r="E1194" t="inlineStr">
        <is>
          <t>UPPVIDINGE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63461-2019</t>
        </is>
      </c>
      <c r="B1195" s="1" t="n">
        <v>43794</v>
      </c>
      <c r="C1195" s="1" t="n">
        <v>45667</v>
      </c>
      <c r="D1195" t="inlineStr">
        <is>
          <t>KRONOBERGS LÄN</t>
        </is>
      </c>
      <c r="E1195" t="inlineStr">
        <is>
          <t>ALVESTA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63531-2019</t>
        </is>
      </c>
      <c r="B1196" s="1" t="n">
        <v>43794</v>
      </c>
      <c r="C1196" s="1" t="n">
        <v>45667</v>
      </c>
      <c r="D1196" t="inlineStr">
        <is>
          <t>KRONOBERGS LÄN</t>
        </is>
      </c>
      <c r="E1196" t="inlineStr">
        <is>
          <t>TINGSRYD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63608-2019</t>
        </is>
      </c>
      <c r="B1197" s="1" t="n">
        <v>43795</v>
      </c>
      <c r="C1197" s="1" t="n">
        <v>45667</v>
      </c>
      <c r="D1197" t="inlineStr">
        <is>
          <t>KRONOBERGS LÄN</t>
        </is>
      </c>
      <c r="E1197" t="inlineStr">
        <is>
          <t>TINGSRYD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63638-2019</t>
        </is>
      </c>
      <c r="B1198" s="1" t="n">
        <v>43795</v>
      </c>
      <c r="C1198" s="1" t="n">
        <v>45667</v>
      </c>
      <c r="D1198" t="inlineStr">
        <is>
          <t>KRONOBERGS LÄN</t>
        </is>
      </c>
      <c r="E1198" t="inlineStr">
        <is>
          <t>ALVESTA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HYPERLINK("https://klasma.github.io/Logging_0764/knärot/A 63638-2019 karta knärot.png", "A 63638-2019")</f>
        <v/>
      </c>
      <c r="V1198">
        <f>HYPERLINK("https://klasma.github.io/Logging_0764/klagomål/A 63638-2019 FSC-klagomål.docx", "A 63638-2019")</f>
        <v/>
      </c>
      <c r="W1198">
        <f>HYPERLINK("https://klasma.github.io/Logging_0764/klagomålsmail/A 63638-2019 FSC-klagomål mail.docx", "A 63638-2019")</f>
        <v/>
      </c>
      <c r="X1198">
        <f>HYPERLINK("https://klasma.github.io/Logging_0764/tillsyn/A 63638-2019 tillsynsbegäran.docx", "A 63638-2019")</f>
        <v/>
      </c>
      <c r="Y1198">
        <f>HYPERLINK("https://klasma.github.io/Logging_0764/tillsynsmail/A 63638-2019 tillsynsbegäran mail.docx", "A 63638-2019")</f>
        <v/>
      </c>
    </row>
    <row r="1199" ht="15" customHeight="1">
      <c r="A1199" t="inlineStr">
        <is>
          <t>A 63633-2019</t>
        </is>
      </c>
      <c r="B1199" s="1" t="n">
        <v>43795</v>
      </c>
      <c r="C1199" s="1" t="n">
        <v>45667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63631-2019</t>
        </is>
      </c>
      <c r="B1200" s="1" t="n">
        <v>43795</v>
      </c>
      <c r="C1200" s="1" t="n">
        <v>45667</v>
      </c>
      <c r="D1200" t="inlineStr">
        <is>
          <t>KRONOBERGS LÄN</t>
        </is>
      </c>
      <c r="E1200" t="inlineStr">
        <is>
          <t>ALVESTA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63609-2019</t>
        </is>
      </c>
      <c r="B1201" s="1" t="n">
        <v>43795</v>
      </c>
      <c r="C1201" s="1" t="n">
        <v>45667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63639-2019</t>
        </is>
      </c>
      <c r="B1202" s="1" t="n">
        <v>43795</v>
      </c>
      <c r="C1202" s="1" t="n">
        <v>45667</v>
      </c>
      <c r="D1202" t="inlineStr">
        <is>
          <t>KRONOBERGS LÄN</t>
        </is>
      </c>
      <c r="E1202" t="inlineStr">
        <is>
          <t>ALVESTA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63664-2019</t>
        </is>
      </c>
      <c r="B1203" s="1" t="n">
        <v>43795</v>
      </c>
      <c r="C1203" s="1" t="n">
        <v>45667</v>
      </c>
      <c r="D1203" t="inlineStr">
        <is>
          <t>KRONOBERGS LÄN</t>
        </is>
      </c>
      <c r="E1203" t="inlineStr">
        <is>
          <t>ÄLMHULT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63814-2019</t>
        </is>
      </c>
      <c r="B1204" s="1" t="n">
        <v>43795</v>
      </c>
      <c r="C1204" s="1" t="n">
        <v>45667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63936-2019</t>
        </is>
      </c>
      <c r="B1205" s="1" t="n">
        <v>43796</v>
      </c>
      <c r="C1205" s="1" t="n">
        <v>45667</v>
      </c>
      <c r="D1205" t="inlineStr">
        <is>
          <t>KRONOBERGS LÄN</t>
        </is>
      </c>
      <c r="E1205" t="inlineStr">
        <is>
          <t>TINGSRYD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64024-2019</t>
        </is>
      </c>
      <c r="B1206" s="1" t="n">
        <v>43796</v>
      </c>
      <c r="C1206" s="1" t="n">
        <v>45667</v>
      </c>
      <c r="D1206" t="inlineStr">
        <is>
          <t>KRONOBERGS LÄN</t>
        </is>
      </c>
      <c r="E1206" t="inlineStr">
        <is>
          <t>VÄXJÖ</t>
        </is>
      </c>
      <c r="F1206" t="inlineStr">
        <is>
          <t>Kyrkan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63847-2019</t>
        </is>
      </c>
      <c r="B1207" s="1" t="n">
        <v>43796</v>
      </c>
      <c r="C1207" s="1" t="n">
        <v>45667</v>
      </c>
      <c r="D1207" t="inlineStr">
        <is>
          <t>KRONOBERGS LÄN</t>
        </is>
      </c>
      <c r="E1207" t="inlineStr">
        <is>
          <t>ÄLMHULT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64034-2019</t>
        </is>
      </c>
      <c r="B1208" s="1" t="n">
        <v>43796</v>
      </c>
      <c r="C1208" s="1" t="n">
        <v>45667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63854-2019</t>
        </is>
      </c>
      <c r="B1209" s="1" t="n">
        <v>43796</v>
      </c>
      <c r="C1209" s="1" t="n">
        <v>45667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64038-2019</t>
        </is>
      </c>
      <c r="B1210" s="1" t="n">
        <v>43796</v>
      </c>
      <c r="C1210" s="1" t="n">
        <v>45667</v>
      </c>
      <c r="D1210" t="inlineStr">
        <is>
          <t>KRONOBERGS LÄN</t>
        </is>
      </c>
      <c r="E1210" t="inlineStr">
        <is>
          <t>ÄLMHULT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64075-2019</t>
        </is>
      </c>
      <c r="B1211" s="1" t="n">
        <v>43796</v>
      </c>
      <c r="C1211" s="1" t="n">
        <v>45667</v>
      </c>
      <c r="D1211" t="inlineStr">
        <is>
          <t>KRONOBERGS LÄN</t>
        </is>
      </c>
      <c r="E1211" t="inlineStr">
        <is>
          <t>VÄXJÖ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64202-2019</t>
        </is>
      </c>
      <c r="B1212" s="1" t="n">
        <v>43797</v>
      </c>
      <c r="C1212" s="1" t="n">
        <v>45667</v>
      </c>
      <c r="D1212" t="inlineStr">
        <is>
          <t>KRONOBERGS LÄN</t>
        </is>
      </c>
      <c r="E1212" t="inlineStr">
        <is>
          <t>VÄXJÖ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64278-2019</t>
        </is>
      </c>
      <c r="B1213" s="1" t="n">
        <v>43797</v>
      </c>
      <c r="C1213" s="1" t="n">
        <v>45667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64289-2019</t>
        </is>
      </c>
      <c r="B1214" s="1" t="n">
        <v>43797</v>
      </c>
      <c r="C1214" s="1" t="n">
        <v>45667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64429-2019</t>
        </is>
      </c>
      <c r="B1215" s="1" t="n">
        <v>43797</v>
      </c>
      <c r="C1215" s="1" t="n">
        <v>45667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64427-2019</t>
        </is>
      </c>
      <c r="B1216" s="1" t="n">
        <v>43797</v>
      </c>
      <c r="C1216" s="1" t="n">
        <v>45667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64434-2019</t>
        </is>
      </c>
      <c r="B1217" s="1" t="n">
        <v>43797</v>
      </c>
      <c r="C1217" s="1" t="n">
        <v>45667</v>
      </c>
      <c r="D1217" t="inlineStr">
        <is>
          <t>KRONOBERGS LÄN</t>
        </is>
      </c>
      <c r="E1217" t="inlineStr">
        <is>
          <t>LJUNGBY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64378-2019</t>
        </is>
      </c>
      <c r="B1218" s="1" t="n">
        <v>43797</v>
      </c>
      <c r="C1218" s="1" t="n">
        <v>45667</v>
      </c>
      <c r="D1218" t="inlineStr">
        <is>
          <t>KRONOBERGS LÄN</t>
        </is>
      </c>
      <c r="E1218" t="inlineStr">
        <is>
          <t>VÄXJÖ</t>
        </is>
      </c>
      <c r="F1218" t="inlineStr">
        <is>
          <t>Sveaskog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64596-2019</t>
        </is>
      </c>
      <c r="B1219" s="1" t="n">
        <v>43798</v>
      </c>
      <c r="C1219" s="1" t="n">
        <v>45667</v>
      </c>
      <c r="D1219" t="inlineStr">
        <is>
          <t>KRONOBERGS LÄN</t>
        </is>
      </c>
      <c r="E1219" t="inlineStr">
        <is>
          <t>MARKARYD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64608-2019</t>
        </is>
      </c>
      <c r="B1220" s="1" t="n">
        <v>43798</v>
      </c>
      <c r="C1220" s="1" t="n">
        <v>45667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64493-2019</t>
        </is>
      </c>
      <c r="B1221" s="1" t="n">
        <v>43798</v>
      </c>
      <c r="C1221" s="1" t="n">
        <v>45667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64570-2019</t>
        </is>
      </c>
      <c r="B1222" s="1" t="n">
        <v>43798</v>
      </c>
      <c r="C1222" s="1" t="n">
        <v>45667</v>
      </c>
      <c r="D1222" t="inlineStr">
        <is>
          <t>KRONOBERGS LÄN</t>
        </is>
      </c>
      <c r="E1222" t="inlineStr">
        <is>
          <t>ALVESTA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64597-2019</t>
        </is>
      </c>
      <c r="B1223" s="1" t="n">
        <v>43798</v>
      </c>
      <c r="C1223" s="1" t="n">
        <v>45667</v>
      </c>
      <c r="D1223" t="inlineStr">
        <is>
          <t>KRONOBERGS LÄN</t>
        </is>
      </c>
      <c r="E1223" t="inlineStr">
        <is>
          <t>VÄXJÖ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64624-2019</t>
        </is>
      </c>
      <c r="B1224" s="1" t="n">
        <v>43798</v>
      </c>
      <c r="C1224" s="1" t="n">
        <v>45667</v>
      </c>
      <c r="D1224" t="inlineStr">
        <is>
          <t>KRONOBERGS LÄN</t>
        </is>
      </c>
      <c r="E1224" t="inlineStr">
        <is>
          <t>ÄLMHULT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64861-2019</t>
        </is>
      </c>
      <c r="B1225" s="1" t="n">
        <v>43801</v>
      </c>
      <c r="C1225" s="1" t="n">
        <v>45667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64875-2019</t>
        </is>
      </c>
      <c r="B1226" s="1" t="n">
        <v>43801</v>
      </c>
      <c r="C1226" s="1" t="n">
        <v>45667</v>
      </c>
      <c r="D1226" t="inlineStr">
        <is>
          <t>KRONOBERGS LÄN</t>
        </is>
      </c>
      <c r="E1226" t="inlineStr">
        <is>
          <t>ALVESTA</t>
        </is>
      </c>
      <c r="F1226" t="inlineStr">
        <is>
          <t>Övriga Aktiebolag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65003-2019</t>
        </is>
      </c>
      <c r="B1227" s="1" t="n">
        <v>43801</v>
      </c>
      <c r="C1227" s="1" t="n">
        <v>45667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64936-2019</t>
        </is>
      </c>
      <c r="B1228" s="1" t="n">
        <v>43801</v>
      </c>
      <c r="C1228" s="1" t="n">
        <v>45667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64946-2019</t>
        </is>
      </c>
      <c r="B1229" s="1" t="n">
        <v>43801</v>
      </c>
      <c r="C1229" s="1" t="n">
        <v>45667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65171-2019</t>
        </is>
      </c>
      <c r="B1230" s="1" t="n">
        <v>43802</v>
      </c>
      <c r="C1230" s="1" t="n">
        <v>45667</v>
      </c>
      <c r="D1230" t="inlineStr">
        <is>
          <t>KRONOBERGS LÄN</t>
        </is>
      </c>
      <c r="E1230" t="inlineStr">
        <is>
          <t>VÄXJÖ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65140-2019</t>
        </is>
      </c>
      <c r="B1231" s="1" t="n">
        <v>43802</v>
      </c>
      <c r="C1231" s="1" t="n">
        <v>45667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65172-2019</t>
        </is>
      </c>
      <c r="B1232" s="1" t="n">
        <v>43802</v>
      </c>
      <c r="C1232" s="1" t="n">
        <v>45667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65175-2019</t>
        </is>
      </c>
      <c r="B1233" s="1" t="n">
        <v>43802</v>
      </c>
      <c r="C1233" s="1" t="n">
        <v>45667</v>
      </c>
      <c r="D1233" t="inlineStr">
        <is>
          <t>KRONOBERGS LÄN</t>
        </is>
      </c>
      <c r="E1233" t="inlineStr">
        <is>
          <t>VÄXJÖ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65297-2019</t>
        </is>
      </c>
      <c r="B1234" s="1" t="n">
        <v>43802</v>
      </c>
      <c r="C1234" s="1" t="n">
        <v>45667</v>
      </c>
      <c r="D1234" t="inlineStr">
        <is>
          <t>KRONOBERGS LÄN</t>
        </is>
      </c>
      <c r="E1234" t="inlineStr">
        <is>
          <t>ALVESTA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65097-2019</t>
        </is>
      </c>
      <c r="B1235" s="1" t="n">
        <v>43802</v>
      </c>
      <c r="C1235" s="1" t="n">
        <v>45667</v>
      </c>
      <c r="D1235" t="inlineStr">
        <is>
          <t>KRONOBERGS LÄN</t>
        </is>
      </c>
      <c r="E1235" t="inlineStr">
        <is>
          <t>UPPVIDINGE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65173-2019</t>
        </is>
      </c>
      <c r="B1236" s="1" t="n">
        <v>43802</v>
      </c>
      <c r="C1236" s="1" t="n">
        <v>45667</v>
      </c>
      <c r="D1236" t="inlineStr">
        <is>
          <t>KRONOBERGS LÄN</t>
        </is>
      </c>
      <c r="E1236" t="inlineStr">
        <is>
          <t>VÄXJÖ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65300-2019</t>
        </is>
      </c>
      <c r="B1237" s="1" t="n">
        <v>43802</v>
      </c>
      <c r="C1237" s="1" t="n">
        <v>45667</v>
      </c>
      <c r="D1237" t="inlineStr">
        <is>
          <t>KRONOBERGS LÄN</t>
        </is>
      </c>
      <c r="E1237" t="inlineStr">
        <is>
          <t>ALVESTA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65342-2019</t>
        </is>
      </c>
      <c r="B1238" s="1" t="n">
        <v>43803</v>
      </c>
      <c r="C1238" s="1" t="n">
        <v>45667</v>
      </c>
      <c r="D1238" t="inlineStr">
        <is>
          <t>KRONOBERGS LÄN</t>
        </is>
      </c>
      <c r="E1238" t="inlineStr">
        <is>
          <t>LJUNGBY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65653-2019</t>
        </is>
      </c>
      <c r="B1239" s="1" t="n">
        <v>43804</v>
      </c>
      <c r="C1239" s="1" t="n">
        <v>45667</v>
      </c>
      <c r="D1239" t="inlineStr">
        <is>
          <t>KRONOBERGS LÄN</t>
        </is>
      </c>
      <c r="E1239" t="inlineStr">
        <is>
          <t>LJUNGBY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65615-2019</t>
        </is>
      </c>
      <c r="B1240" s="1" t="n">
        <v>43804</v>
      </c>
      <c r="C1240" s="1" t="n">
        <v>45667</v>
      </c>
      <c r="D1240" t="inlineStr">
        <is>
          <t>KRONOBERGS LÄN</t>
        </is>
      </c>
      <c r="E1240" t="inlineStr">
        <is>
          <t>TINGSRYD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65654-2019</t>
        </is>
      </c>
      <c r="B1241" s="1" t="n">
        <v>43804</v>
      </c>
      <c r="C1241" s="1" t="n">
        <v>45667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65582-2019</t>
        </is>
      </c>
      <c r="B1242" s="1" t="n">
        <v>43804</v>
      </c>
      <c r="C1242" s="1" t="n">
        <v>45667</v>
      </c>
      <c r="D1242" t="inlineStr">
        <is>
          <t>KRONOBERGS LÄN</t>
        </is>
      </c>
      <c r="E1242" t="inlineStr">
        <is>
          <t>ÄLMHULT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65838-2019</t>
        </is>
      </c>
      <c r="B1243" s="1" t="n">
        <v>43805</v>
      </c>
      <c r="C1243" s="1" t="n">
        <v>45667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65843-2019</t>
        </is>
      </c>
      <c r="B1244" s="1" t="n">
        <v>43805</v>
      </c>
      <c r="C1244" s="1" t="n">
        <v>45667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66994-2019</t>
        </is>
      </c>
      <c r="B1245" s="1" t="n">
        <v>43805</v>
      </c>
      <c r="C1245" s="1" t="n">
        <v>45667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66068-2019</t>
        </is>
      </c>
      <c r="B1246" s="1" t="n">
        <v>43806</v>
      </c>
      <c r="C1246" s="1" t="n">
        <v>45667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66069-2019</t>
        </is>
      </c>
      <c r="B1247" s="1" t="n">
        <v>43806</v>
      </c>
      <c r="C1247" s="1" t="n">
        <v>45667</v>
      </c>
      <c r="D1247" t="inlineStr">
        <is>
          <t>KRONOBERGS LÄN</t>
        </is>
      </c>
      <c r="E1247" t="inlineStr">
        <is>
          <t>TINGSRYD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66189-2019</t>
        </is>
      </c>
      <c r="B1248" s="1" t="n">
        <v>43808</v>
      </c>
      <c r="C1248" s="1" t="n">
        <v>45667</v>
      </c>
      <c r="D1248" t="inlineStr">
        <is>
          <t>KRONOBERGS LÄN</t>
        </is>
      </c>
      <c r="E1248" t="inlineStr">
        <is>
          <t>ALVESTA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66323-2019</t>
        </is>
      </c>
      <c r="B1249" s="1" t="n">
        <v>43808</v>
      </c>
      <c r="C1249" s="1" t="n">
        <v>45667</v>
      </c>
      <c r="D1249" t="inlineStr">
        <is>
          <t>KRONOBERGS LÄN</t>
        </is>
      </c>
      <c r="E1249" t="inlineStr">
        <is>
          <t>TINGSRYD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66234-2019</t>
        </is>
      </c>
      <c r="B1250" s="1" t="n">
        <v>43808</v>
      </c>
      <c r="C1250" s="1" t="n">
        <v>45667</v>
      </c>
      <c r="D1250" t="inlineStr">
        <is>
          <t>KRONOBERGS LÄN</t>
        </is>
      </c>
      <c r="E1250" t="inlineStr">
        <is>
          <t>TINGSRYD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66246-2019</t>
        </is>
      </c>
      <c r="B1251" s="1" t="n">
        <v>43808</v>
      </c>
      <c r="C1251" s="1" t="n">
        <v>45667</v>
      </c>
      <c r="D1251" t="inlineStr">
        <is>
          <t>KRONOBERGS LÄN</t>
        </is>
      </c>
      <c r="E1251" t="inlineStr">
        <is>
          <t>LJUNGBY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66515-2019</t>
        </is>
      </c>
      <c r="B1252" s="1" t="n">
        <v>43809</v>
      </c>
      <c r="C1252" s="1" t="n">
        <v>45667</v>
      </c>
      <c r="D1252" t="inlineStr">
        <is>
          <t>KRONOBERGS LÄN</t>
        </is>
      </c>
      <c r="E1252" t="inlineStr">
        <is>
          <t>TINGSRYD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66593-2019</t>
        </is>
      </c>
      <c r="B1253" s="1" t="n">
        <v>43809</v>
      </c>
      <c r="C1253" s="1" t="n">
        <v>45667</v>
      </c>
      <c r="D1253" t="inlineStr">
        <is>
          <t>KRONOBERGS LÄN</t>
        </is>
      </c>
      <c r="E1253" t="inlineStr">
        <is>
          <t>ÄLMHULT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66898-2019</t>
        </is>
      </c>
      <c r="B1254" s="1" t="n">
        <v>43810</v>
      </c>
      <c r="C1254" s="1" t="n">
        <v>45667</v>
      </c>
      <c r="D1254" t="inlineStr">
        <is>
          <t>KRONOBERGS LÄN</t>
        </is>
      </c>
      <c r="E1254" t="inlineStr">
        <is>
          <t>LJUNGBY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66910-2019</t>
        </is>
      </c>
      <c r="B1255" s="1" t="n">
        <v>43810</v>
      </c>
      <c r="C1255" s="1" t="n">
        <v>45667</v>
      </c>
      <c r="D1255" t="inlineStr">
        <is>
          <t>KRONOBERGS LÄN</t>
        </is>
      </c>
      <c r="E1255" t="inlineStr">
        <is>
          <t>LJUNGBY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66906-2019</t>
        </is>
      </c>
      <c r="B1256" s="1" t="n">
        <v>43810</v>
      </c>
      <c r="C1256" s="1" t="n">
        <v>45667</v>
      </c>
      <c r="D1256" t="inlineStr">
        <is>
          <t>KRONOBERGS LÄN</t>
        </is>
      </c>
      <c r="E1256" t="inlineStr">
        <is>
          <t>LJUNGBY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66902-2019</t>
        </is>
      </c>
      <c r="B1257" s="1" t="n">
        <v>43810</v>
      </c>
      <c r="C1257" s="1" t="n">
        <v>45667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67093-2019</t>
        </is>
      </c>
      <c r="B1258" s="1" t="n">
        <v>43811</v>
      </c>
      <c r="C1258" s="1" t="n">
        <v>45667</v>
      </c>
      <c r="D1258" t="inlineStr">
        <is>
          <t>KRONOBERGS LÄN</t>
        </is>
      </c>
      <c r="E1258" t="inlineStr">
        <is>
          <t>UPPVIDINGE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67011-2019</t>
        </is>
      </c>
      <c r="B1259" s="1" t="n">
        <v>43811</v>
      </c>
      <c r="C1259" s="1" t="n">
        <v>45667</v>
      </c>
      <c r="D1259" t="inlineStr">
        <is>
          <t>KRONOBERGS LÄN</t>
        </is>
      </c>
      <c r="E1259" t="inlineStr">
        <is>
          <t>LESSEBO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67632-2019</t>
        </is>
      </c>
      <c r="B1260" s="1" t="n">
        <v>43815</v>
      </c>
      <c r="C1260" s="1" t="n">
        <v>45667</v>
      </c>
      <c r="D1260" t="inlineStr">
        <is>
          <t>KRONOBERGS LÄN</t>
        </is>
      </c>
      <c r="E1260" t="inlineStr">
        <is>
          <t>MARKARYD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67697-2019</t>
        </is>
      </c>
      <c r="B1261" s="1" t="n">
        <v>43815</v>
      </c>
      <c r="C1261" s="1" t="n">
        <v>45667</v>
      </c>
      <c r="D1261" t="inlineStr">
        <is>
          <t>KRONOBERGS LÄN</t>
        </is>
      </c>
      <c r="E1261" t="inlineStr">
        <is>
          <t>MARKARYD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67766-2019</t>
        </is>
      </c>
      <c r="B1262" s="1" t="n">
        <v>43815</v>
      </c>
      <c r="C1262" s="1" t="n">
        <v>45667</v>
      </c>
      <c r="D1262" t="inlineStr">
        <is>
          <t>KRONOBERGS LÄN</t>
        </is>
      </c>
      <c r="E1262" t="inlineStr">
        <is>
          <t>VÄXJÖ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67908-2019</t>
        </is>
      </c>
      <c r="B1263" s="1" t="n">
        <v>43816</v>
      </c>
      <c r="C1263" s="1" t="n">
        <v>45667</v>
      </c>
      <c r="D1263" t="inlineStr">
        <is>
          <t>KRONOBERGS LÄN</t>
        </is>
      </c>
      <c r="E1263" t="inlineStr">
        <is>
          <t>ALVESTA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67917-2019</t>
        </is>
      </c>
      <c r="B1264" s="1" t="n">
        <v>43816</v>
      </c>
      <c r="C1264" s="1" t="n">
        <v>45667</v>
      </c>
      <c r="D1264" t="inlineStr">
        <is>
          <t>KRONOBERGS LÄN</t>
        </is>
      </c>
      <c r="E1264" t="inlineStr">
        <is>
          <t>VÄXJÖ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68160-2019</t>
        </is>
      </c>
      <c r="B1265" s="1" t="n">
        <v>43817</v>
      </c>
      <c r="C1265" s="1" t="n">
        <v>45667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68262-2019</t>
        </is>
      </c>
      <c r="B1266" s="1" t="n">
        <v>43817</v>
      </c>
      <c r="C1266" s="1" t="n">
        <v>45667</v>
      </c>
      <c r="D1266" t="inlineStr">
        <is>
          <t>KRONOBERGS LÄN</t>
        </is>
      </c>
      <c r="E1266" t="inlineStr">
        <is>
          <t>ALVESTA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68263-2019</t>
        </is>
      </c>
      <c r="B1267" s="1" t="n">
        <v>43817</v>
      </c>
      <c r="C1267" s="1" t="n">
        <v>45667</v>
      </c>
      <c r="D1267" t="inlineStr">
        <is>
          <t>KRONOBERGS LÄN</t>
        </is>
      </c>
      <c r="E1267" t="inlineStr">
        <is>
          <t>ALVESTA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68261-2019</t>
        </is>
      </c>
      <c r="B1268" s="1" t="n">
        <v>43817</v>
      </c>
      <c r="C1268" s="1" t="n">
        <v>45667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68414-2019</t>
        </is>
      </c>
      <c r="B1269" s="1" t="n">
        <v>43818</v>
      </c>
      <c r="C1269" s="1" t="n">
        <v>45667</v>
      </c>
      <c r="D1269" t="inlineStr">
        <is>
          <t>KRONOBERGS LÄN</t>
        </is>
      </c>
      <c r="E1269" t="inlineStr">
        <is>
          <t>LJUNGBY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68478-2019</t>
        </is>
      </c>
      <c r="B1270" s="1" t="n">
        <v>43818</v>
      </c>
      <c r="C1270" s="1" t="n">
        <v>45667</v>
      </c>
      <c r="D1270" t="inlineStr">
        <is>
          <t>KRONOBERGS LÄN</t>
        </is>
      </c>
      <c r="E1270" t="inlineStr">
        <is>
          <t>LJUNGBY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68479-2019</t>
        </is>
      </c>
      <c r="B1271" s="1" t="n">
        <v>43818</v>
      </c>
      <c r="C1271" s="1" t="n">
        <v>45667</v>
      </c>
      <c r="D1271" t="inlineStr">
        <is>
          <t>KRONOBERGS LÄN</t>
        </is>
      </c>
      <c r="E1271" t="inlineStr">
        <is>
          <t>LJUNGBY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68484-2019</t>
        </is>
      </c>
      <c r="B1272" s="1" t="n">
        <v>43818</v>
      </c>
      <c r="C1272" s="1" t="n">
        <v>45667</v>
      </c>
      <c r="D1272" t="inlineStr">
        <is>
          <t>KRONOBERGS LÄN</t>
        </is>
      </c>
      <c r="E1272" t="inlineStr">
        <is>
          <t>LJUNGBY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68652-2019</t>
        </is>
      </c>
      <c r="B1273" s="1" t="n">
        <v>43819</v>
      </c>
      <c r="C1273" s="1" t="n">
        <v>45667</v>
      </c>
      <c r="D1273" t="inlineStr">
        <is>
          <t>KRONOBERGS LÄN</t>
        </is>
      </c>
      <c r="E1273" t="inlineStr">
        <is>
          <t>ALVESTA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68664-2019</t>
        </is>
      </c>
      <c r="B1274" s="1" t="n">
        <v>43819</v>
      </c>
      <c r="C1274" s="1" t="n">
        <v>45667</v>
      </c>
      <c r="D1274" t="inlineStr">
        <is>
          <t>KRONOBERGS LÄN</t>
        </is>
      </c>
      <c r="E1274" t="inlineStr">
        <is>
          <t>ALVESTA</t>
        </is>
      </c>
      <c r="F1274" t="inlineStr">
        <is>
          <t>Övriga Aktiebolag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68946-2019</t>
        </is>
      </c>
      <c r="B1275" s="1" t="n">
        <v>43822</v>
      </c>
      <c r="C1275" s="1" t="n">
        <v>45667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68950-2019</t>
        </is>
      </c>
      <c r="B1276" s="1" t="n">
        <v>43822</v>
      </c>
      <c r="C1276" s="1" t="n">
        <v>45667</v>
      </c>
      <c r="D1276" t="inlineStr">
        <is>
          <t>KRONOBERGS LÄN</t>
        </is>
      </c>
      <c r="E1276" t="inlineStr">
        <is>
          <t>TINGSRYD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68945-2019</t>
        </is>
      </c>
      <c r="B1277" s="1" t="n">
        <v>43822</v>
      </c>
      <c r="C1277" s="1" t="n">
        <v>45667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68986-2019</t>
        </is>
      </c>
      <c r="B1278" s="1" t="n">
        <v>43825</v>
      </c>
      <c r="C1278" s="1" t="n">
        <v>45667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68993-2019</t>
        </is>
      </c>
      <c r="B1279" s="1" t="n">
        <v>43826</v>
      </c>
      <c r="C1279" s="1" t="n">
        <v>45667</v>
      </c>
      <c r="D1279" t="inlineStr">
        <is>
          <t>KRONOBERGS LÄN</t>
        </is>
      </c>
      <c r="E1279" t="inlineStr">
        <is>
          <t>ALVESTA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69003-2019</t>
        </is>
      </c>
      <c r="B1280" s="1" t="n">
        <v>43826</v>
      </c>
      <c r="C1280" s="1" t="n">
        <v>45667</v>
      </c>
      <c r="D1280" t="inlineStr">
        <is>
          <t>KRONOBERGS LÄN</t>
        </is>
      </c>
      <c r="E1280" t="inlineStr">
        <is>
          <t>ALVESTA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69004-2019</t>
        </is>
      </c>
      <c r="B1281" s="1" t="n">
        <v>43826</v>
      </c>
      <c r="C1281" s="1" t="n">
        <v>45667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20-2020</t>
        </is>
      </c>
      <c r="B1282" s="1" t="n">
        <v>43832</v>
      </c>
      <c r="C1282" s="1" t="n">
        <v>45667</v>
      </c>
      <c r="D1282" t="inlineStr">
        <is>
          <t>KRONOBERGS LÄN</t>
        </is>
      </c>
      <c r="E1282" t="inlineStr">
        <is>
          <t>TINGSRYD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251-2020</t>
        </is>
      </c>
      <c r="B1283" s="1" t="n">
        <v>43835</v>
      </c>
      <c r="C1283" s="1" t="n">
        <v>45667</v>
      </c>
      <c r="D1283" t="inlineStr">
        <is>
          <t>KRONOBERGS LÄN</t>
        </is>
      </c>
      <c r="E1283" t="inlineStr">
        <is>
          <t>ÄLMHULT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253-2020</t>
        </is>
      </c>
      <c r="B1284" s="1" t="n">
        <v>43835</v>
      </c>
      <c r="C1284" s="1" t="n">
        <v>45667</v>
      </c>
      <c r="D1284" t="inlineStr">
        <is>
          <t>KRONOBERGS LÄN</t>
        </is>
      </c>
      <c r="E1284" t="inlineStr">
        <is>
          <t>ÄLMHULT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240-2020</t>
        </is>
      </c>
      <c r="B1285" s="1" t="n">
        <v>43835</v>
      </c>
      <c r="C1285" s="1" t="n">
        <v>45667</v>
      </c>
      <c r="D1285" t="inlineStr">
        <is>
          <t>KRONOBERGS LÄN</t>
        </is>
      </c>
      <c r="E1285" t="inlineStr">
        <is>
          <t>ALVESTA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252-2020</t>
        </is>
      </c>
      <c r="B1286" s="1" t="n">
        <v>43835</v>
      </c>
      <c r="C1286" s="1" t="n">
        <v>45667</v>
      </c>
      <c r="D1286" t="inlineStr">
        <is>
          <t>KRONOBERGS LÄN</t>
        </is>
      </c>
      <c r="E1286" t="inlineStr">
        <is>
          <t>ÄLMHULT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459-2020</t>
        </is>
      </c>
      <c r="B1287" s="1" t="n">
        <v>43837</v>
      </c>
      <c r="C1287" s="1" t="n">
        <v>45667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497-2020</t>
        </is>
      </c>
      <c r="B1288" s="1" t="n">
        <v>43837</v>
      </c>
      <c r="C1288" s="1" t="n">
        <v>45667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363-2020</t>
        </is>
      </c>
      <c r="B1289" s="1" t="n">
        <v>43837</v>
      </c>
      <c r="C1289" s="1" t="n">
        <v>45667</v>
      </c>
      <c r="D1289" t="inlineStr">
        <is>
          <t>KRONOBERGS LÄN</t>
        </is>
      </c>
      <c r="E1289" t="inlineStr">
        <is>
          <t>MARKARYD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456-2020</t>
        </is>
      </c>
      <c r="B1290" s="1" t="n">
        <v>43837</v>
      </c>
      <c r="C1290" s="1" t="n">
        <v>45667</v>
      </c>
      <c r="D1290" t="inlineStr">
        <is>
          <t>KRONOBERGS LÄN</t>
        </is>
      </c>
      <c r="E1290" t="inlineStr">
        <is>
          <t>VÄXJÖ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519-2020</t>
        </is>
      </c>
      <c r="B1291" s="1" t="n">
        <v>43837</v>
      </c>
      <c r="C1291" s="1" t="n">
        <v>45667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635-2020</t>
        </is>
      </c>
      <c r="B1292" s="1" t="n">
        <v>43838</v>
      </c>
      <c r="C1292" s="1" t="n">
        <v>45667</v>
      </c>
      <c r="D1292" t="inlineStr">
        <is>
          <t>KRONOBERGS LÄN</t>
        </is>
      </c>
      <c r="E1292" t="inlineStr">
        <is>
          <t>ALVESTA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631-2020</t>
        </is>
      </c>
      <c r="B1293" s="1" t="n">
        <v>43838</v>
      </c>
      <c r="C1293" s="1" t="n">
        <v>45667</v>
      </c>
      <c r="D1293" t="inlineStr">
        <is>
          <t>KRONOBERGS LÄN</t>
        </is>
      </c>
      <c r="E1293" t="inlineStr">
        <is>
          <t>VÄXJÖ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772-2020</t>
        </is>
      </c>
      <c r="B1294" s="1" t="n">
        <v>43838</v>
      </c>
      <c r="C1294" s="1" t="n">
        <v>45667</v>
      </c>
      <c r="D1294" t="inlineStr">
        <is>
          <t>KRONOBERGS LÄN</t>
        </is>
      </c>
      <c r="E1294" t="inlineStr">
        <is>
          <t>LJUNGBY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1986-2020</t>
        </is>
      </c>
      <c r="B1295" s="1" t="n">
        <v>43838</v>
      </c>
      <c r="C1295" s="1" t="n">
        <v>45667</v>
      </c>
      <c r="D1295" t="inlineStr">
        <is>
          <t>KRONOBERGS LÄN</t>
        </is>
      </c>
      <c r="E1295" t="inlineStr">
        <is>
          <t>TINGSRYD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774-2020</t>
        </is>
      </c>
      <c r="B1296" s="1" t="n">
        <v>43838</v>
      </c>
      <c r="C1296" s="1" t="n">
        <v>45667</v>
      </c>
      <c r="D1296" t="inlineStr">
        <is>
          <t>KRONOBERGS LÄN</t>
        </is>
      </c>
      <c r="E1296" t="inlineStr">
        <is>
          <t>LJUNGBY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855-2020</t>
        </is>
      </c>
      <c r="B1297" s="1" t="n">
        <v>43839</v>
      </c>
      <c r="C1297" s="1" t="n">
        <v>45667</v>
      </c>
      <c r="D1297" t="inlineStr">
        <is>
          <t>KRONOBERGS LÄN</t>
        </is>
      </c>
      <c r="E1297" t="inlineStr">
        <is>
          <t>ALVESTA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1064-2020</t>
        </is>
      </c>
      <c r="B1298" s="1" t="n">
        <v>43839</v>
      </c>
      <c r="C1298" s="1" t="n">
        <v>45667</v>
      </c>
      <c r="D1298" t="inlineStr">
        <is>
          <t>KRONOBERGS LÄN</t>
        </is>
      </c>
      <c r="E1298" t="inlineStr">
        <is>
          <t>VÄXJÖ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907-2020</t>
        </is>
      </c>
      <c r="B1299" s="1" t="n">
        <v>43839</v>
      </c>
      <c r="C1299" s="1" t="n">
        <v>45667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994-2020</t>
        </is>
      </c>
      <c r="B1300" s="1" t="n">
        <v>43839</v>
      </c>
      <c r="C1300" s="1" t="n">
        <v>45667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1023-2020</t>
        </is>
      </c>
      <c r="B1301" s="1" t="n">
        <v>43839</v>
      </c>
      <c r="C1301" s="1" t="n">
        <v>45667</v>
      </c>
      <c r="D1301" t="inlineStr">
        <is>
          <t>KRONOBERGS LÄN</t>
        </is>
      </c>
      <c r="E1301" t="inlineStr">
        <is>
          <t>VÄXJÖ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1172-2020</t>
        </is>
      </c>
      <c r="B1302" s="1" t="n">
        <v>43840</v>
      </c>
      <c r="C1302" s="1" t="n">
        <v>45667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1257-2020</t>
        </is>
      </c>
      <c r="B1303" s="1" t="n">
        <v>43840</v>
      </c>
      <c r="C1303" s="1" t="n">
        <v>45667</v>
      </c>
      <c r="D1303" t="inlineStr">
        <is>
          <t>KRONOBERGS LÄN</t>
        </is>
      </c>
      <c r="E1303" t="inlineStr">
        <is>
          <t>TINGSRYD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1178-2020</t>
        </is>
      </c>
      <c r="B1304" s="1" t="n">
        <v>43840</v>
      </c>
      <c r="C1304" s="1" t="n">
        <v>45667</v>
      </c>
      <c r="D1304" t="inlineStr">
        <is>
          <t>KRONOBERGS LÄN</t>
        </is>
      </c>
      <c r="E1304" t="inlineStr">
        <is>
          <t>ÄLMHULT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1248-2020</t>
        </is>
      </c>
      <c r="B1305" s="1" t="n">
        <v>43840</v>
      </c>
      <c r="C1305" s="1" t="n">
        <v>45667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1189-2020</t>
        </is>
      </c>
      <c r="B1306" s="1" t="n">
        <v>43840</v>
      </c>
      <c r="C1306" s="1" t="n">
        <v>45667</v>
      </c>
      <c r="D1306" t="inlineStr">
        <is>
          <t>KRONOBERGS LÄN</t>
        </is>
      </c>
      <c r="E1306" t="inlineStr">
        <is>
          <t>UPPVIDINGE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1192-2020</t>
        </is>
      </c>
      <c r="B1307" s="1" t="n">
        <v>43840</v>
      </c>
      <c r="C1307" s="1" t="n">
        <v>45667</v>
      </c>
      <c r="D1307" t="inlineStr">
        <is>
          <t>KRONOBERGS LÄN</t>
        </is>
      </c>
      <c r="E1307" t="inlineStr">
        <is>
          <t>LJUNGBY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1349-2020</t>
        </is>
      </c>
      <c r="B1308" s="1" t="n">
        <v>43843</v>
      </c>
      <c r="C1308" s="1" t="n">
        <v>45667</v>
      </c>
      <c r="D1308" t="inlineStr">
        <is>
          <t>KRONOBERGS LÄN</t>
        </is>
      </c>
      <c r="E1308" t="inlineStr">
        <is>
          <t>ALVESTA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1400-2020</t>
        </is>
      </c>
      <c r="B1309" s="1" t="n">
        <v>43843</v>
      </c>
      <c r="C1309" s="1" t="n">
        <v>45667</v>
      </c>
      <c r="D1309" t="inlineStr">
        <is>
          <t>KRONOBERGS LÄN</t>
        </is>
      </c>
      <c r="E1309" t="inlineStr">
        <is>
          <t>TINGSRYD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1520-2020</t>
        </is>
      </c>
      <c r="B1310" s="1" t="n">
        <v>43843</v>
      </c>
      <c r="C1310" s="1" t="n">
        <v>45667</v>
      </c>
      <c r="D1310" t="inlineStr">
        <is>
          <t>KRONOBERGS LÄN</t>
        </is>
      </c>
      <c r="E1310" t="inlineStr">
        <is>
          <t>UPPVIDINGE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1385-2020</t>
        </is>
      </c>
      <c r="B1311" s="1" t="n">
        <v>43843</v>
      </c>
      <c r="C1311" s="1" t="n">
        <v>45667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1599-2020</t>
        </is>
      </c>
      <c r="B1312" s="1" t="n">
        <v>43844</v>
      </c>
      <c r="C1312" s="1" t="n">
        <v>45667</v>
      </c>
      <c r="D1312" t="inlineStr">
        <is>
          <t>KRONOBERGS LÄN</t>
        </is>
      </c>
      <c r="E1312" t="inlineStr">
        <is>
          <t>VÄXJÖ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1706-2020</t>
        </is>
      </c>
      <c r="B1313" s="1" t="n">
        <v>43844</v>
      </c>
      <c r="C1313" s="1" t="n">
        <v>45667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1743-2020</t>
        </is>
      </c>
      <c r="B1314" s="1" t="n">
        <v>43844</v>
      </c>
      <c r="C1314" s="1" t="n">
        <v>45667</v>
      </c>
      <c r="D1314" t="inlineStr">
        <is>
          <t>KRONOBERGS LÄN</t>
        </is>
      </c>
      <c r="E1314" t="inlineStr">
        <is>
          <t>VÄXJÖ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1837-2020</t>
        </is>
      </c>
      <c r="B1315" s="1" t="n">
        <v>43844</v>
      </c>
      <c r="C1315" s="1" t="n">
        <v>45667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1702-2020</t>
        </is>
      </c>
      <c r="B1316" s="1" t="n">
        <v>43844</v>
      </c>
      <c r="C1316" s="1" t="n">
        <v>45667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1709-2020</t>
        </is>
      </c>
      <c r="B1317" s="1" t="n">
        <v>43844</v>
      </c>
      <c r="C1317" s="1" t="n">
        <v>45667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1749-2020</t>
        </is>
      </c>
      <c r="B1318" s="1" t="n">
        <v>43844</v>
      </c>
      <c r="C1318" s="1" t="n">
        <v>45667</v>
      </c>
      <c r="D1318" t="inlineStr">
        <is>
          <t>KRONOBERGS LÄN</t>
        </is>
      </c>
      <c r="E1318" t="inlineStr">
        <is>
          <t>UPPVIDINGE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1704-2020</t>
        </is>
      </c>
      <c r="B1319" s="1" t="n">
        <v>43844</v>
      </c>
      <c r="C1319" s="1" t="n">
        <v>45667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2046-2020</t>
        </is>
      </c>
      <c r="B1320" s="1" t="n">
        <v>43845</v>
      </c>
      <c r="C1320" s="1" t="n">
        <v>45667</v>
      </c>
      <c r="D1320" t="inlineStr">
        <is>
          <t>KRONOBERGS LÄN</t>
        </is>
      </c>
      <c r="E1320" t="inlineStr">
        <is>
          <t>UPPVIDINGE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1958-2020</t>
        </is>
      </c>
      <c r="B1321" s="1" t="n">
        <v>43845</v>
      </c>
      <c r="C1321" s="1" t="n">
        <v>45667</v>
      </c>
      <c r="D1321" t="inlineStr">
        <is>
          <t>KRONOBERGS LÄN</t>
        </is>
      </c>
      <c r="E1321" t="inlineStr">
        <is>
          <t>TINGSRYD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2094-2020</t>
        </is>
      </c>
      <c r="B1322" s="1" t="n">
        <v>43845</v>
      </c>
      <c r="C1322" s="1" t="n">
        <v>45667</v>
      </c>
      <c r="D1322" t="inlineStr">
        <is>
          <t>KRONOBERGS LÄN</t>
        </is>
      </c>
      <c r="E1322" t="inlineStr">
        <is>
          <t>UPPVIDINGE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2271-2020</t>
        </is>
      </c>
      <c r="B1323" s="1" t="n">
        <v>43846</v>
      </c>
      <c r="C1323" s="1" t="n">
        <v>45667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2325-2020</t>
        </is>
      </c>
      <c r="B1324" s="1" t="n">
        <v>43846</v>
      </c>
      <c r="C1324" s="1" t="n">
        <v>45667</v>
      </c>
      <c r="D1324" t="inlineStr">
        <is>
          <t>KRONOBERGS LÄN</t>
        </is>
      </c>
      <c r="E1324" t="inlineStr">
        <is>
          <t>VÄXJÖ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2506-2020</t>
        </is>
      </c>
      <c r="B1325" s="1" t="n">
        <v>43847</v>
      </c>
      <c r="C1325" s="1" t="n">
        <v>45667</v>
      </c>
      <c r="D1325" t="inlineStr">
        <is>
          <t>KRONOBERGS LÄN</t>
        </is>
      </c>
      <c r="E1325" t="inlineStr">
        <is>
          <t>VÄXJÖ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2510-2020</t>
        </is>
      </c>
      <c r="B1326" s="1" t="n">
        <v>43847</v>
      </c>
      <c r="C1326" s="1" t="n">
        <v>45667</v>
      </c>
      <c r="D1326" t="inlineStr">
        <is>
          <t>KRONOBERGS LÄN</t>
        </is>
      </c>
      <c r="E1326" t="inlineStr">
        <is>
          <t>VÄXJÖ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2522-2020</t>
        </is>
      </c>
      <c r="B1327" s="1" t="n">
        <v>43847</v>
      </c>
      <c r="C1327" s="1" t="n">
        <v>45667</v>
      </c>
      <c r="D1327" t="inlineStr">
        <is>
          <t>KRONOBERGS LÄN</t>
        </is>
      </c>
      <c r="E1327" t="inlineStr">
        <is>
          <t>MARKARYD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2644-2020</t>
        </is>
      </c>
      <c r="B1328" s="1" t="n">
        <v>43847</v>
      </c>
      <c r="C1328" s="1" t="n">
        <v>45667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2520-2020</t>
        </is>
      </c>
      <c r="B1329" s="1" t="n">
        <v>43847</v>
      </c>
      <c r="C1329" s="1" t="n">
        <v>45667</v>
      </c>
      <c r="D1329" t="inlineStr">
        <is>
          <t>KRONOBERGS LÄN</t>
        </is>
      </c>
      <c r="E1329" t="inlineStr">
        <is>
          <t>MARKARYD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2474-2020</t>
        </is>
      </c>
      <c r="B1330" s="1" t="n">
        <v>43847</v>
      </c>
      <c r="C1330" s="1" t="n">
        <v>45667</v>
      </c>
      <c r="D1330" t="inlineStr">
        <is>
          <t>KRONOBERGS LÄN</t>
        </is>
      </c>
      <c r="E1330" t="inlineStr">
        <is>
          <t>LJUNGBY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2779-2020</t>
        </is>
      </c>
      <c r="B1331" s="1" t="n">
        <v>43850</v>
      </c>
      <c r="C1331" s="1" t="n">
        <v>45667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3056-2020</t>
        </is>
      </c>
      <c r="B1332" s="1" t="n">
        <v>43851</v>
      </c>
      <c r="C1332" s="1" t="n">
        <v>45667</v>
      </c>
      <c r="D1332" t="inlineStr">
        <is>
          <t>KRONOBERGS LÄN</t>
        </is>
      </c>
      <c r="E1332" t="inlineStr">
        <is>
          <t>VÄXJÖ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3186-2020</t>
        </is>
      </c>
      <c r="B1333" s="1" t="n">
        <v>43851</v>
      </c>
      <c r="C1333" s="1" t="n">
        <v>45667</v>
      </c>
      <c r="D1333" t="inlineStr">
        <is>
          <t>KRONOBERGS LÄN</t>
        </is>
      </c>
      <c r="E1333" t="inlineStr">
        <is>
          <t>LJUNGBY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3313-2020</t>
        </is>
      </c>
      <c r="B1334" s="1" t="n">
        <v>43852</v>
      </c>
      <c r="C1334" s="1" t="n">
        <v>45667</v>
      </c>
      <c r="D1334" t="inlineStr">
        <is>
          <t>KRONOBERGS LÄN</t>
        </is>
      </c>
      <c r="E1334" t="inlineStr">
        <is>
          <t>MARKARYD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3248-2020</t>
        </is>
      </c>
      <c r="B1335" s="1" t="n">
        <v>43852</v>
      </c>
      <c r="C1335" s="1" t="n">
        <v>45667</v>
      </c>
      <c r="D1335" t="inlineStr">
        <is>
          <t>KRONOBERGS LÄN</t>
        </is>
      </c>
      <c r="E1335" t="inlineStr">
        <is>
          <t>ÄLMHULT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3709-2020</t>
        </is>
      </c>
      <c r="B1336" s="1" t="n">
        <v>43853</v>
      </c>
      <c r="C1336" s="1" t="n">
        <v>45667</v>
      </c>
      <c r="D1336" t="inlineStr">
        <is>
          <t>KRONOBERGS LÄN</t>
        </is>
      </c>
      <c r="E1336" t="inlineStr">
        <is>
          <t>ALVESTA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3655-2020</t>
        </is>
      </c>
      <c r="B1337" s="1" t="n">
        <v>43853</v>
      </c>
      <c r="C1337" s="1" t="n">
        <v>45667</v>
      </c>
      <c r="D1337" t="inlineStr">
        <is>
          <t>KRONOBERGS LÄN</t>
        </is>
      </c>
      <c r="E1337" t="inlineStr">
        <is>
          <t>LJUNGBY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3712-2020</t>
        </is>
      </c>
      <c r="B1338" s="1" t="n">
        <v>43853</v>
      </c>
      <c r="C1338" s="1" t="n">
        <v>45667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5041-2020</t>
        </is>
      </c>
      <c r="B1339" s="1" t="n">
        <v>43853</v>
      </c>
      <c r="C1339" s="1" t="n">
        <v>45667</v>
      </c>
      <c r="D1339" t="inlineStr">
        <is>
          <t>KRONOBERGS LÄN</t>
        </is>
      </c>
      <c r="E1339" t="inlineStr">
        <is>
          <t>ÄLMHULT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3662-2020</t>
        </is>
      </c>
      <c r="B1340" s="1" t="n">
        <v>43853</v>
      </c>
      <c r="C1340" s="1" t="n">
        <v>45667</v>
      </c>
      <c r="D1340" t="inlineStr">
        <is>
          <t>KRONOBERGS LÄN</t>
        </is>
      </c>
      <c r="E1340" t="inlineStr">
        <is>
          <t>LJUNGBY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5058-2020</t>
        </is>
      </c>
      <c r="B1341" s="1" t="n">
        <v>43853</v>
      </c>
      <c r="C1341" s="1" t="n">
        <v>45667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3587-2020</t>
        </is>
      </c>
      <c r="B1342" s="1" t="n">
        <v>43853</v>
      </c>
      <c r="C1342" s="1" t="n">
        <v>45667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3612-2020</t>
        </is>
      </c>
      <c r="B1343" s="1" t="n">
        <v>43853</v>
      </c>
      <c r="C1343" s="1" t="n">
        <v>45667</v>
      </c>
      <c r="D1343" t="inlineStr">
        <is>
          <t>KRONOBERGS LÄN</t>
        </is>
      </c>
      <c r="E1343" t="inlineStr">
        <is>
          <t>ALVESTA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3821-2020</t>
        </is>
      </c>
      <c r="B1344" s="1" t="n">
        <v>43854</v>
      </c>
      <c r="C1344" s="1" t="n">
        <v>45667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3767-2020</t>
        </is>
      </c>
      <c r="B1345" s="1" t="n">
        <v>43854</v>
      </c>
      <c r="C1345" s="1" t="n">
        <v>45667</v>
      </c>
      <c r="D1345" t="inlineStr">
        <is>
          <t>KRONOBERGS LÄN</t>
        </is>
      </c>
      <c r="E1345" t="inlineStr">
        <is>
          <t>ALVESTA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3819-2020</t>
        </is>
      </c>
      <c r="B1346" s="1" t="n">
        <v>43854</v>
      </c>
      <c r="C1346" s="1" t="n">
        <v>45667</v>
      </c>
      <c r="D1346" t="inlineStr">
        <is>
          <t>KRONOBERGS LÄN</t>
        </is>
      </c>
      <c r="E1346" t="inlineStr">
        <is>
          <t>UPPVIDINGE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3786-2020</t>
        </is>
      </c>
      <c r="B1347" s="1" t="n">
        <v>43854</v>
      </c>
      <c r="C1347" s="1" t="n">
        <v>45667</v>
      </c>
      <c r="D1347" t="inlineStr">
        <is>
          <t>KRONOBERGS LÄN</t>
        </is>
      </c>
      <c r="E1347" t="inlineStr">
        <is>
          <t>ALVESTA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4111-2020</t>
        </is>
      </c>
      <c r="B1348" s="1" t="n">
        <v>43857</v>
      </c>
      <c r="C1348" s="1" t="n">
        <v>45667</v>
      </c>
      <c r="D1348" t="inlineStr">
        <is>
          <t>KRONOBERGS LÄN</t>
        </is>
      </c>
      <c r="E1348" t="inlineStr">
        <is>
          <t>VÄXJÖ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4019-2020</t>
        </is>
      </c>
      <c r="B1349" s="1" t="n">
        <v>43857</v>
      </c>
      <c r="C1349" s="1" t="n">
        <v>45667</v>
      </c>
      <c r="D1349" t="inlineStr">
        <is>
          <t>KRONOBERGS LÄN</t>
        </is>
      </c>
      <c r="E1349" t="inlineStr">
        <is>
          <t>TINGSRYD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4255-2020</t>
        </is>
      </c>
      <c r="B1350" s="1" t="n">
        <v>43857</v>
      </c>
      <c r="C1350" s="1" t="n">
        <v>45667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4126-2020</t>
        </is>
      </c>
      <c r="B1351" s="1" t="n">
        <v>43857</v>
      </c>
      <c r="C1351" s="1" t="n">
        <v>45667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4563-2020</t>
        </is>
      </c>
      <c r="B1352" s="1" t="n">
        <v>43858</v>
      </c>
      <c r="C1352" s="1" t="n">
        <v>45667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4627-2020</t>
        </is>
      </c>
      <c r="B1353" s="1" t="n">
        <v>43858</v>
      </c>
      <c r="C1353" s="1" t="n">
        <v>45667</v>
      </c>
      <c r="D1353" t="inlineStr">
        <is>
          <t>KRONOBERGS LÄN</t>
        </is>
      </c>
      <c r="E1353" t="inlineStr">
        <is>
          <t>TINGSRYD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4666-2020</t>
        </is>
      </c>
      <c r="B1354" s="1" t="n">
        <v>43858</v>
      </c>
      <c r="C1354" s="1" t="n">
        <v>45667</v>
      </c>
      <c r="D1354" t="inlineStr">
        <is>
          <t>KRONOBERGS LÄN</t>
        </is>
      </c>
      <c r="E1354" t="inlineStr">
        <is>
          <t>TINGSRYD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4719-2020</t>
        </is>
      </c>
      <c r="B1355" s="1" t="n">
        <v>43858</v>
      </c>
      <c r="C1355" s="1" t="n">
        <v>45667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4718-2020</t>
        </is>
      </c>
      <c r="B1356" s="1" t="n">
        <v>43858</v>
      </c>
      <c r="C1356" s="1" t="n">
        <v>45667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4722-2020</t>
        </is>
      </c>
      <c r="B1357" s="1" t="n">
        <v>43858</v>
      </c>
      <c r="C1357" s="1" t="n">
        <v>45667</v>
      </c>
      <c r="D1357" t="inlineStr">
        <is>
          <t>KRONOBERGS LÄN</t>
        </is>
      </c>
      <c r="E1357" t="inlineStr">
        <is>
          <t>ALVESTA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5323-2020</t>
        </is>
      </c>
      <c r="B1358" s="1" t="n">
        <v>43858</v>
      </c>
      <c r="C1358" s="1" t="n">
        <v>45667</v>
      </c>
      <c r="D1358" t="inlineStr">
        <is>
          <t>KRONOBERGS LÄN</t>
        </is>
      </c>
      <c r="E1358" t="inlineStr">
        <is>
          <t>LESSEBO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4662-2020</t>
        </is>
      </c>
      <c r="B1359" s="1" t="n">
        <v>43858</v>
      </c>
      <c r="C1359" s="1" t="n">
        <v>45667</v>
      </c>
      <c r="D1359" t="inlineStr">
        <is>
          <t>KRONOBERGS LÄN</t>
        </is>
      </c>
      <c r="E1359" t="inlineStr">
        <is>
          <t>TINGSRYD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4740-2020</t>
        </is>
      </c>
      <c r="B1360" s="1" t="n">
        <v>43859</v>
      </c>
      <c r="C1360" s="1" t="n">
        <v>45667</v>
      </c>
      <c r="D1360" t="inlineStr">
        <is>
          <t>KRONOBERGS LÄN</t>
        </is>
      </c>
      <c r="E1360" t="inlineStr">
        <is>
          <t>TINGSRYD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4739-2020</t>
        </is>
      </c>
      <c r="B1361" s="1" t="n">
        <v>43859</v>
      </c>
      <c r="C1361" s="1" t="n">
        <v>45667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4902-2020</t>
        </is>
      </c>
      <c r="B1362" s="1" t="n">
        <v>43859</v>
      </c>
      <c r="C1362" s="1" t="n">
        <v>45667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5111-2020</t>
        </is>
      </c>
      <c r="B1363" s="1" t="n">
        <v>43860</v>
      </c>
      <c r="C1363" s="1" t="n">
        <v>45667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5128-2020</t>
        </is>
      </c>
      <c r="B1364" s="1" t="n">
        <v>43860</v>
      </c>
      <c r="C1364" s="1" t="n">
        <v>45667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5121-2020</t>
        </is>
      </c>
      <c r="B1365" s="1" t="n">
        <v>43860</v>
      </c>
      <c r="C1365" s="1" t="n">
        <v>45667</v>
      </c>
      <c r="D1365" t="inlineStr">
        <is>
          <t>KRONOBERGS LÄN</t>
        </is>
      </c>
      <c r="E1365" t="inlineStr">
        <is>
          <t>ÄLMHULT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5366-2020</t>
        </is>
      </c>
      <c r="B1366" s="1" t="n">
        <v>43860</v>
      </c>
      <c r="C1366" s="1" t="n">
        <v>45667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5655-2020</t>
        </is>
      </c>
      <c r="B1367" s="1" t="n">
        <v>43861</v>
      </c>
      <c r="C1367" s="1" t="n">
        <v>45667</v>
      </c>
      <c r="D1367" t="inlineStr">
        <is>
          <t>KRONOBERGS LÄN</t>
        </is>
      </c>
      <c r="E1367" t="inlineStr">
        <is>
          <t>VÄXJÖ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5480-2020</t>
        </is>
      </c>
      <c r="B1368" s="1" t="n">
        <v>43861</v>
      </c>
      <c r="C1368" s="1" t="n">
        <v>45667</v>
      </c>
      <c r="D1368" t="inlineStr">
        <is>
          <t>KRONOBERGS LÄN</t>
        </is>
      </c>
      <c r="E1368" t="inlineStr">
        <is>
          <t>VÄXJÖ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5684-2020</t>
        </is>
      </c>
      <c r="B1369" s="1" t="n">
        <v>43861</v>
      </c>
      <c r="C1369" s="1" t="n">
        <v>45667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5668-2020</t>
        </is>
      </c>
      <c r="B1370" s="1" t="n">
        <v>43861</v>
      </c>
      <c r="C1370" s="1" t="n">
        <v>45667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5621-2020</t>
        </is>
      </c>
      <c r="B1371" s="1" t="n">
        <v>43861</v>
      </c>
      <c r="C1371" s="1" t="n">
        <v>45667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5770-2020</t>
        </is>
      </c>
      <c r="B1372" s="1" t="n">
        <v>43864</v>
      </c>
      <c r="C1372" s="1" t="n">
        <v>45667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6363-2020</t>
        </is>
      </c>
      <c r="B1373" s="1" t="n">
        <v>43866</v>
      </c>
      <c r="C1373" s="1" t="n">
        <v>45667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6230-2020</t>
        </is>
      </c>
      <c r="B1374" s="1" t="n">
        <v>43866</v>
      </c>
      <c r="C1374" s="1" t="n">
        <v>45667</v>
      </c>
      <c r="D1374" t="inlineStr">
        <is>
          <t>KRONOBERGS LÄN</t>
        </is>
      </c>
      <c r="E1374" t="inlineStr">
        <is>
          <t>LJUNGBY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6366-2020</t>
        </is>
      </c>
      <c r="B1375" s="1" t="n">
        <v>43866</v>
      </c>
      <c r="C1375" s="1" t="n">
        <v>45667</v>
      </c>
      <c r="D1375" t="inlineStr">
        <is>
          <t>KRONOBERGS LÄN</t>
        </is>
      </c>
      <c r="E1375" t="inlineStr">
        <is>
          <t>TINGSRYD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6477-2020</t>
        </is>
      </c>
      <c r="B1376" s="1" t="n">
        <v>43866</v>
      </c>
      <c r="C1376" s="1" t="n">
        <v>45667</v>
      </c>
      <c r="D1376" t="inlineStr">
        <is>
          <t>KRONOBERGS LÄN</t>
        </is>
      </c>
      <c r="E1376" t="inlineStr">
        <is>
          <t>LJUNGBY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6609-2020</t>
        </is>
      </c>
      <c r="B1377" s="1" t="n">
        <v>43867</v>
      </c>
      <c r="C1377" s="1" t="n">
        <v>45667</v>
      </c>
      <c r="D1377" t="inlineStr">
        <is>
          <t>KRONOBERGS LÄN</t>
        </is>
      </c>
      <c r="E1377" t="inlineStr">
        <is>
          <t>VÄXJÖ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6737-2020</t>
        </is>
      </c>
      <c r="B1378" s="1" t="n">
        <v>43867</v>
      </c>
      <c r="C1378" s="1" t="n">
        <v>45667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6523-2020</t>
        </is>
      </c>
      <c r="B1379" s="1" t="n">
        <v>43867</v>
      </c>
      <c r="C1379" s="1" t="n">
        <v>45667</v>
      </c>
      <c r="D1379" t="inlineStr">
        <is>
          <t>KRONOBERGS LÄN</t>
        </is>
      </c>
      <c r="E1379" t="inlineStr">
        <is>
          <t>VÄXJÖ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6580-2020</t>
        </is>
      </c>
      <c r="B1380" s="1" t="n">
        <v>43867</v>
      </c>
      <c r="C1380" s="1" t="n">
        <v>45667</v>
      </c>
      <c r="D1380" t="inlineStr">
        <is>
          <t>KRONOBERGS LÄN</t>
        </is>
      </c>
      <c r="E1380" t="inlineStr">
        <is>
          <t>LESSEBO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6726-2020</t>
        </is>
      </c>
      <c r="B1381" s="1" t="n">
        <v>43867</v>
      </c>
      <c r="C1381" s="1" t="n">
        <v>45667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6732-2020</t>
        </is>
      </c>
      <c r="B1382" s="1" t="n">
        <v>43867</v>
      </c>
      <c r="C1382" s="1" t="n">
        <v>45667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6801-2020</t>
        </is>
      </c>
      <c r="B1383" s="1" t="n">
        <v>43867</v>
      </c>
      <c r="C1383" s="1" t="n">
        <v>45667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6996-2020</t>
        </is>
      </c>
      <c r="B1384" s="1" t="n">
        <v>43868</v>
      </c>
      <c r="C1384" s="1" t="n">
        <v>45667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7048-2020</t>
        </is>
      </c>
      <c r="B1385" s="1" t="n">
        <v>43868</v>
      </c>
      <c r="C1385" s="1" t="n">
        <v>45667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7234-2020</t>
        </is>
      </c>
      <c r="B1386" s="1" t="n">
        <v>43871</v>
      </c>
      <c r="C1386" s="1" t="n">
        <v>45667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7189-2020</t>
        </is>
      </c>
      <c r="B1387" s="1" t="n">
        <v>43871</v>
      </c>
      <c r="C1387" s="1" t="n">
        <v>45667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7236-2020</t>
        </is>
      </c>
      <c r="B1388" s="1" t="n">
        <v>43871</v>
      </c>
      <c r="C1388" s="1" t="n">
        <v>45667</v>
      </c>
      <c r="D1388" t="inlineStr">
        <is>
          <t>KRONOBERGS LÄN</t>
        </is>
      </c>
      <c r="E1388" t="inlineStr">
        <is>
          <t>UPPVIDINGE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7245-2020</t>
        </is>
      </c>
      <c r="B1389" s="1" t="n">
        <v>43871</v>
      </c>
      <c r="C1389" s="1" t="n">
        <v>45667</v>
      </c>
      <c r="D1389" t="inlineStr">
        <is>
          <t>KRONOBERGS LÄN</t>
        </is>
      </c>
      <c r="E1389" t="inlineStr">
        <is>
          <t>ALVESTA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7515-2020</t>
        </is>
      </c>
      <c r="B1390" s="1" t="n">
        <v>43872</v>
      </c>
      <c r="C1390" s="1" t="n">
        <v>45667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7878-2020</t>
        </is>
      </c>
      <c r="B1391" s="1" t="n">
        <v>43873</v>
      </c>
      <c r="C1391" s="1" t="n">
        <v>45667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7976-2020</t>
        </is>
      </c>
      <c r="B1392" s="1" t="n">
        <v>43873</v>
      </c>
      <c r="C1392" s="1" t="n">
        <v>45667</v>
      </c>
      <c r="D1392" t="inlineStr">
        <is>
          <t>KRONOBERGS LÄN</t>
        </is>
      </c>
      <c r="E1392" t="inlineStr">
        <is>
          <t>VÄXJÖ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8001-2020</t>
        </is>
      </c>
      <c r="B1393" s="1" t="n">
        <v>43873</v>
      </c>
      <c r="C1393" s="1" t="n">
        <v>45667</v>
      </c>
      <c r="D1393" t="inlineStr">
        <is>
          <t>KRONOBERGS LÄN</t>
        </is>
      </c>
      <c r="E1393" t="inlineStr">
        <is>
          <t>MARKARYD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8024-2020</t>
        </is>
      </c>
      <c r="B1394" s="1" t="n">
        <v>43873</v>
      </c>
      <c r="C1394" s="1" t="n">
        <v>45667</v>
      </c>
      <c r="D1394" t="inlineStr">
        <is>
          <t>KRONOBERGS LÄN</t>
        </is>
      </c>
      <c r="E1394" t="inlineStr">
        <is>
          <t>ÄLMHULT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8004-2020</t>
        </is>
      </c>
      <c r="B1395" s="1" t="n">
        <v>43873</v>
      </c>
      <c r="C1395" s="1" t="n">
        <v>45667</v>
      </c>
      <c r="D1395" t="inlineStr">
        <is>
          <t>KRONOBERGS LÄN</t>
        </is>
      </c>
      <c r="E1395" t="inlineStr">
        <is>
          <t>LJUNGBY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8063-2020</t>
        </is>
      </c>
      <c r="B1396" s="1" t="n">
        <v>43874</v>
      </c>
      <c r="C1396" s="1" t="n">
        <v>45667</v>
      </c>
      <c r="D1396" t="inlineStr">
        <is>
          <t>KRONOBERGS LÄN</t>
        </is>
      </c>
      <c r="E1396" t="inlineStr">
        <is>
          <t>LJUNGBY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8078-2020</t>
        </is>
      </c>
      <c r="B1397" s="1" t="n">
        <v>43874</v>
      </c>
      <c r="C1397" s="1" t="n">
        <v>45667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8418-2020</t>
        </is>
      </c>
      <c r="B1398" s="1" t="n">
        <v>43875</v>
      </c>
      <c r="C1398" s="1" t="n">
        <v>45667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8443-2020</t>
        </is>
      </c>
      <c r="B1399" s="1" t="n">
        <v>43875</v>
      </c>
      <c r="C1399" s="1" t="n">
        <v>45667</v>
      </c>
      <c r="D1399" t="inlineStr">
        <is>
          <t>KRONOBERGS LÄN</t>
        </is>
      </c>
      <c r="E1399" t="inlineStr">
        <is>
          <t>VÄXJÖ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8415-2020</t>
        </is>
      </c>
      <c r="B1400" s="1" t="n">
        <v>43875</v>
      </c>
      <c r="C1400" s="1" t="n">
        <v>45667</v>
      </c>
      <c r="D1400" t="inlineStr">
        <is>
          <t>KRONOBERGS LÄN</t>
        </is>
      </c>
      <c r="E1400" t="inlineStr">
        <is>
          <t>UPPVIDINGE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8618-2020</t>
        </is>
      </c>
      <c r="B1401" s="1" t="n">
        <v>43878</v>
      </c>
      <c r="C1401" s="1" t="n">
        <v>45667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8592-2020</t>
        </is>
      </c>
      <c r="B1402" s="1" t="n">
        <v>43878</v>
      </c>
      <c r="C1402" s="1" t="n">
        <v>45667</v>
      </c>
      <c r="D1402" t="inlineStr">
        <is>
          <t>KRONOBERGS LÄN</t>
        </is>
      </c>
      <c r="E1402" t="inlineStr">
        <is>
          <t>TINGSRYD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8792-2020</t>
        </is>
      </c>
      <c r="B1403" s="1" t="n">
        <v>43878</v>
      </c>
      <c r="C1403" s="1" t="n">
        <v>45667</v>
      </c>
      <c r="D1403" t="inlineStr">
        <is>
          <t>KRONOBERGS LÄN</t>
        </is>
      </c>
      <c r="E1403" t="inlineStr">
        <is>
          <t>VÄXJÖ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8817-2020</t>
        </is>
      </c>
      <c r="B1404" s="1" t="n">
        <v>43878</v>
      </c>
      <c r="C1404" s="1" t="n">
        <v>45667</v>
      </c>
      <c r="D1404" t="inlineStr">
        <is>
          <t>KRONOBERGS LÄN</t>
        </is>
      </c>
      <c r="E1404" t="inlineStr">
        <is>
          <t>ÄLMHULT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8753-2020</t>
        </is>
      </c>
      <c r="B1405" s="1" t="n">
        <v>43878</v>
      </c>
      <c r="C1405" s="1" t="n">
        <v>45667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8812-2020</t>
        </is>
      </c>
      <c r="B1406" s="1" t="n">
        <v>43878</v>
      </c>
      <c r="C1406" s="1" t="n">
        <v>45667</v>
      </c>
      <c r="D1406" t="inlineStr">
        <is>
          <t>KRONOBERGS LÄN</t>
        </is>
      </c>
      <c r="E1406" t="inlineStr">
        <is>
          <t>ÄLMHULT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8983-2020</t>
        </is>
      </c>
      <c r="B1407" s="1" t="n">
        <v>43879</v>
      </c>
      <c r="C1407" s="1" t="n">
        <v>45667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9033-2020</t>
        </is>
      </c>
      <c r="B1408" s="1" t="n">
        <v>43879</v>
      </c>
      <c r="C1408" s="1" t="n">
        <v>45667</v>
      </c>
      <c r="D1408" t="inlineStr">
        <is>
          <t>KRONOBERGS LÄN</t>
        </is>
      </c>
      <c r="E1408" t="inlineStr">
        <is>
          <t>ÄLMHULT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9070-2020</t>
        </is>
      </c>
      <c r="B1409" s="1" t="n">
        <v>43879</v>
      </c>
      <c r="C1409" s="1" t="n">
        <v>45667</v>
      </c>
      <c r="D1409" t="inlineStr">
        <is>
          <t>KRONOBERGS LÄN</t>
        </is>
      </c>
      <c r="E1409" t="inlineStr">
        <is>
          <t>ALVESTA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9149-2020</t>
        </is>
      </c>
      <c r="B1410" s="1" t="n">
        <v>43879</v>
      </c>
      <c r="C1410" s="1" t="n">
        <v>45667</v>
      </c>
      <c r="D1410" t="inlineStr">
        <is>
          <t>KRONOBERGS LÄN</t>
        </is>
      </c>
      <c r="E1410" t="inlineStr">
        <is>
          <t>VÄXJÖ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9223-2020</t>
        </is>
      </c>
      <c r="B1411" s="1" t="n">
        <v>43879</v>
      </c>
      <c r="C1411" s="1" t="n">
        <v>45667</v>
      </c>
      <c r="D1411" t="inlineStr">
        <is>
          <t>KRONOBERGS LÄN</t>
        </is>
      </c>
      <c r="E1411" t="inlineStr">
        <is>
          <t>TINGSRYD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9344-2020</t>
        </is>
      </c>
      <c r="B1412" s="1" t="n">
        <v>43880</v>
      </c>
      <c r="C1412" s="1" t="n">
        <v>45667</v>
      </c>
      <c r="D1412" t="inlineStr">
        <is>
          <t>KRONOBERGS LÄN</t>
        </is>
      </c>
      <c r="E1412" t="inlineStr">
        <is>
          <t>UPPVIDINGE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9303-2020</t>
        </is>
      </c>
      <c r="B1413" s="1" t="n">
        <v>43880</v>
      </c>
      <c r="C1413" s="1" t="n">
        <v>45667</v>
      </c>
      <c r="D1413" t="inlineStr">
        <is>
          <t>KRONOBERGS LÄN</t>
        </is>
      </c>
      <c r="E1413" t="inlineStr">
        <is>
          <t>VÄXJÖ</t>
        </is>
      </c>
      <c r="F1413" t="inlineStr">
        <is>
          <t>Sveaskog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9370-2020</t>
        </is>
      </c>
      <c r="B1414" s="1" t="n">
        <v>43880</v>
      </c>
      <c r="C1414" s="1" t="n">
        <v>45667</v>
      </c>
      <c r="D1414" t="inlineStr">
        <is>
          <t>KRONOBERGS LÄN</t>
        </is>
      </c>
      <c r="E1414" t="inlineStr">
        <is>
          <t>MARKARYD</t>
        </is>
      </c>
      <c r="F1414" t="inlineStr">
        <is>
          <t>Kommuner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9339-2020</t>
        </is>
      </c>
      <c r="B1415" s="1" t="n">
        <v>43880</v>
      </c>
      <c r="C1415" s="1" t="n">
        <v>45667</v>
      </c>
      <c r="D1415" t="inlineStr">
        <is>
          <t>KRONOBERGS LÄN</t>
        </is>
      </c>
      <c r="E1415" t="inlineStr">
        <is>
          <t>UPPVIDINGE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9347-2020</t>
        </is>
      </c>
      <c r="B1416" s="1" t="n">
        <v>43880</v>
      </c>
      <c r="C1416" s="1" t="n">
        <v>45667</v>
      </c>
      <c r="D1416" t="inlineStr">
        <is>
          <t>KRONOBERGS LÄN</t>
        </is>
      </c>
      <c r="E1416" t="inlineStr">
        <is>
          <t>UPPVIDINGE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9300-2020</t>
        </is>
      </c>
      <c r="B1417" s="1" t="n">
        <v>43880</v>
      </c>
      <c r="C1417" s="1" t="n">
        <v>45667</v>
      </c>
      <c r="D1417" t="inlineStr">
        <is>
          <t>KRONOBERGS LÄN</t>
        </is>
      </c>
      <c r="E1417" t="inlineStr">
        <is>
          <t>ALVESTA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9320-2020</t>
        </is>
      </c>
      <c r="B1418" s="1" t="n">
        <v>43880</v>
      </c>
      <c r="C1418" s="1" t="n">
        <v>45667</v>
      </c>
      <c r="D1418" t="inlineStr">
        <is>
          <t>KRONOBERGS LÄN</t>
        </is>
      </c>
      <c r="E1418" t="inlineStr">
        <is>
          <t>TINGSRYD</t>
        </is>
      </c>
      <c r="G1418" t="n">
        <v>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9340-2020</t>
        </is>
      </c>
      <c r="B1419" s="1" t="n">
        <v>43880</v>
      </c>
      <c r="C1419" s="1" t="n">
        <v>45667</v>
      </c>
      <c r="D1419" t="inlineStr">
        <is>
          <t>KRONOBERGS LÄN</t>
        </is>
      </c>
      <c r="E1419" t="inlineStr">
        <is>
          <t>UPPVIDINGE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9350-2020</t>
        </is>
      </c>
      <c r="B1420" s="1" t="n">
        <v>43880</v>
      </c>
      <c r="C1420" s="1" t="n">
        <v>45667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9615-2020</t>
        </is>
      </c>
      <c r="B1421" s="1" t="n">
        <v>43881</v>
      </c>
      <c r="C1421" s="1" t="n">
        <v>45667</v>
      </c>
      <c r="D1421" t="inlineStr">
        <is>
          <t>KRONOBERGS LÄN</t>
        </is>
      </c>
      <c r="E1421" t="inlineStr">
        <is>
          <t>TINGSRYD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9614-2020</t>
        </is>
      </c>
      <c r="B1422" s="1" t="n">
        <v>43881</v>
      </c>
      <c r="C1422" s="1" t="n">
        <v>45667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9620-2020</t>
        </is>
      </c>
      <c r="B1423" s="1" t="n">
        <v>43881</v>
      </c>
      <c r="C1423" s="1" t="n">
        <v>45667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9753-2020</t>
        </is>
      </c>
      <c r="B1424" s="1" t="n">
        <v>43881</v>
      </c>
      <c r="C1424" s="1" t="n">
        <v>45667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9779-2020</t>
        </is>
      </c>
      <c r="B1425" s="1" t="n">
        <v>43881</v>
      </c>
      <c r="C1425" s="1" t="n">
        <v>45667</v>
      </c>
      <c r="D1425" t="inlineStr">
        <is>
          <t>KRONOBERGS LÄN</t>
        </is>
      </c>
      <c r="E1425" t="inlineStr">
        <is>
          <t>TINGSRYD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9821-2020</t>
        </is>
      </c>
      <c r="B1426" s="1" t="n">
        <v>43881</v>
      </c>
      <c r="C1426" s="1" t="n">
        <v>45667</v>
      </c>
      <c r="D1426" t="inlineStr">
        <is>
          <t>KRONOBERGS LÄN</t>
        </is>
      </c>
      <c r="E1426" t="inlineStr">
        <is>
          <t>LJUNGBY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9868-2020</t>
        </is>
      </c>
      <c r="B1427" s="1" t="n">
        <v>43882</v>
      </c>
      <c r="C1427" s="1" t="n">
        <v>45667</v>
      </c>
      <c r="D1427" t="inlineStr">
        <is>
          <t>KRONOBERGS LÄN</t>
        </is>
      </c>
      <c r="E1427" t="inlineStr">
        <is>
          <t>ÄLMHULT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9990-2020</t>
        </is>
      </c>
      <c r="B1428" s="1" t="n">
        <v>43882</v>
      </c>
      <c r="C1428" s="1" t="n">
        <v>45667</v>
      </c>
      <c r="D1428" t="inlineStr">
        <is>
          <t>KRONOBERGS LÄN</t>
        </is>
      </c>
      <c r="E1428" t="inlineStr">
        <is>
          <t>ÄLMHULT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10194-2020</t>
        </is>
      </c>
      <c r="B1429" s="1" t="n">
        <v>43885</v>
      </c>
      <c r="C1429" s="1" t="n">
        <v>45667</v>
      </c>
      <c r="D1429" t="inlineStr">
        <is>
          <t>KRONOBERGS LÄN</t>
        </is>
      </c>
      <c r="E1429" t="inlineStr">
        <is>
          <t>TINGSRYD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10208-2020</t>
        </is>
      </c>
      <c r="B1430" s="1" t="n">
        <v>43885</v>
      </c>
      <c r="C1430" s="1" t="n">
        <v>45667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10278-2020</t>
        </is>
      </c>
      <c r="B1431" s="1" t="n">
        <v>43885</v>
      </c>
      <c r="C1431" s="1" t="n">
        <v>45667</v>
      </c>
      <c r="D1431" t="inlineStr">
        <is>
          <t>KRONOBERGS LÄN</t>
        </is>
      </c>
      <c r="E1431" t="inlineStr">
        <is>
          <t>UPPVIDINGE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11046-2020</t>
        </is>
      </c>
      <c r="B1432" s="1" t="n">
        <v>43885</v>
      </c>
      <c r="C1432" s="1" t="n">
        <v>45667</v>
      </c>
      <c r="D1432" t="inlineStr">
        <is>
          <t>KRONOBERGS LÄN</t>
        </is>
      </c>
      <c r="E1432" t="inlineStr">
        <is>
          <t>UPPVIDINGE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10427-2020</t>
        </is>
      </c>
      <c r="B1433" s="1" t="n">
        <v>43886</v>
      </c>
      <c r="C1433" s="1" t="n">
        <v>45667</v>
      </c>
      <c r="D1433" t="inlineStr">
        <is>
          <t>KRONOBERGS LÄN</t>
        </is>
      </c>
      <c r="E1433" t="inlineStr">
        <is>
          <t>TINGSRYD</t>
        </is>
      </c>
      <c r="G1433" t="n">
        <v>7.3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10531-2020</t>
        </is>
      </c>
      <c r="B1434" s="1" t="n">
        <v>43886</v>
      </c>
      <c r="C1434" s="1" t="n">
        <v>45667</v>
      </c>
      <c r="D1434" t="inlineStr">
        <is>
          <t>KRONOBERGS LÄN</t>
        </is>
      </c>
      <c r="E1434" t="inlineStr">
        <is>
          <t>ALVESTA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10178-2020</t>
        </is>
      </c>
      <c r="B1435" s="1" t="n">
        <v>43887</v>
      </c>
      <c r="C1435" s="1" t="n">
        <v>45667</v>
      </c>
      <c r="D1435" t="inlineStr">
        <is>
          <t>KRONOBERGS LÄN</t>
        </is>
      </c>
      <c r="E1435" t="inlineStr">
        <is>
          <t>UPPVIDINGE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10106-2020</t>
        </is>
      </c>
      <c r="B1436" s="1" t="n">
        <v>43887</v>
      </c>
      <c r="C1436" s="1" t="n">
        <v>45667</v>
      </c>
      <c r="D1436" t="inlineStr">
        <is>
          <t>KRONOBERGS LÄN</t>
        </is>
      </c>
      <c r="E1436" t="inlineStr">
        <is>
          <t>MARKARYD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10169-2020</t>
        </is>
      </c>
      <c r="B1437" s="1" t="n">
        <v>43887</v>
      </c>
      <c r="C1437" s="1" t="n">
        <v>45667</v>
      </c>
      <c r="D1437" t="inlineStr">
        <is>
          <t>KRONOBERGS LÄN</t>
        </is>
      </c>
      <c r="E1437" t="inlineStr">
        <is>
          <t>ÄLMHULT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10606-2020</t>
        </is>
      </c>
      <c r="B1438" s="1" t="n">
        <v>43887</v>
      </c>
      <c r="C1438" s="1" t="n">
        <v>45667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10732-2020</t>
        </is>
      </c>
      <c r="B1439" s="1" t="n">
        <v>43888</v>
      </c>
      <c r="C1439" s="1" t="n">
        <v>45667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10774-2020</t>
        </is>
      </c>
      <c r="B1440" s="1" t="n">
        <v>43888</v>
      </c>
      <c r="C1440" s="1" t="n">
        <v>45667</v>
      </c>
      <c r="D1440" t="inlineStr">
        <is>
          <t>KRONOBERGS LÄN</t>
        </is>
      </c>
      <c r="E1440" t="inlineStr">
        <is>
          <t>UPPVIDINGE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10775-2020</t>
        </is>
      </c>
      <c r="B1441" s="1" t="n">
        <v>43888</v>
      </c>
      <c r="C1441" s="1" t="n">
        <v>45667</v>
      </c>
      <c r="D1441" t="inlineStr">
        <is>
          <t>KRONOBERGS LÄN</t>
        </is>
      </c>
      <c r="E1441" t="inlineStr">
        <is>
          <t>UPPVIDINGE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10997-2020</t>
        </is>
      </c>
      <c r="B1442" s="1" t="n">
        <v>43889</v>
      </c>
      <c r="C1442" s="1" t="n">
        <v>45667</v>
      </c>
      <c r="D1442" t="inlineStr">
        <is>
          <t>KRONOBERGS LÄN</t>
        </is>
      </c>
      <c r="E1442" t="inlineStr">
        <is>
          <t>MARKARYD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11123-2020</t>
        </is>
      </c>
      <c r="B1443" s="1" t="n">
        <v>43889</v>
      </c>
      <c r="C1443" s="1" t="n">
        <v>45667</v>
      </c>
      <c r="D1443" t="inlineStr">
        <is>
          <t>KRONOBERGS LÄN</t>
        </is>
      </c>
      <c r="E1443" t="inlineStr">
        <is>
          <t>UPPVIDINGE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11232-2020</t>
        </is>
      </c>
      <c r="B1444" s="1" t="n">
        <v>43892</v>
      </c>
      <c r="C1444" s="1" t="n">
        <v>45667</v>
      </c>
      <c r="D1444" t="inlineStr">
        <is>
          <t>KRONOBERGS LÄN</t>
        </is>
      </c>
      <c r="E1444" t="inlineStr">
        <is>
          <t>TINGSRYD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11402-2020</t>
        </is>
      </c>
      <c r="B1445" s="1" t="n">
        <v>43892</v>
      </c>
      <c r="C1445" s="1" t="n">
        <v>45667</v>
      </c>
      <c r="D1445" t="inlineStr">
        <is>
          <t>KRONOBERGS LÄN</t>
        </is>
      </c>
      <c r="E1445" t="inlineStr">
        <is>
          <t>ÄLMHULT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11236-2020</t>
        </is>
      </c>
      <c r="B1446" s="1" t="n">
        <v>43892</v>
      </c>
      <c r="C1446" s="1" t="n">
        <v>45667</v>
      </c>
      <c r="D1446" t="inlineStr">
        <is>
          <t>KRONOBERGS LÄN</t>
        </is>
      </c>
      <c r="E1446" t="inlineStr">
        <is>
          <t>TINGSRYD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11401-2020</t>
        </is>
      </c>
      <c r="B1447" s="1" t="n">
        <v>43892</v>
      </c>
      <c r="C1447" s="1" t="n">
        <v>45667</v>
      </c>
      <c r="D1447" t="inlineStr">
        <is>
          <t>KRONOBERGS LÄN</t>
        </is>
      </c>
      <c r="E1447" t="inlineStr">
        <is>
          <t>ÄLMHULT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11233-2020</t>
        </is>
      </c>
      <c r="B1448" s="1" t="n">
        <v>43892</v>
      </c>
      <c r="C1448" s="1" t="n">
        <v>45667</v>
      </c>
      <c r="D1448" t="inlineStr">
        <is>
          <t>KRONOBERGS LÄN</t>
        </is>
      </c>
      <c r="E1448" t="inlineStr">
        <is>
          <t>TINGSRYD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11182-2020</t>
        </is>
      </c>
      <c r="B1449" s="1" t="n">
        <v>43892</v>
      </c>
      <c r="C1449" s="1" t="n">
        <v>45667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11400-2020</t>
        </is>
      </c>
      <c r="B1450" s="1" t="n">
        <v>43892</v>
      </c>
      <c r="C1450" s="1" t="n">
        <v>45667</v>
      </c>
      <c r="D1450" t="inlineStr">
        <is>
          <t>KRONOBERGS LÄN</t>
        </is>
      </c>
      <c r="E1450" t="inlineStr">
        <is>
          <t>ÄLMHULT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11403-2020</t>
        </is>
      </c>
      <c r="B1451" s="1" t="n">
        <v>43892</v>
      </c>
      <c r="C1451" s="1" t="n">
        <v>45667</v>
      </c>
      <c r="D1451" t="inlineStr">
        <is>
          <t>KRONOBERGS LÄN</t>
        </is>
      </c>
      <c r="E1451" t="inlineStr">
        <is>
          <t>ÄLMHULT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11583-2020</t>
        </is>
      </c>
      <c r="B1452" s="1" t="n">
        <v>43893</v>
      </c>
      <c r="C1452" s="1" t="n">
        <v>45667</v>
      </c>
      <c r="D1452" t="inlineStr">
        <is>
          <t>KRONOBERGS LÄN</t>
        </is>
      </c>
      <c r="E1452" t="inlineStr">
        <is>
          <t>ALVESTA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11571-2020</t>
        </is>
      </c>
      <c r="B1453" s="1" t="n">
        <v>43893</v>
      </c>
      <c r="C1453" s="1" t="n">
        <v>45667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11582-2020</t>
        </is>
      </c>
      <c r="B1454" s="1" t="n">
        <v>43893</v>
      </c>
      <c r="C1454" s="1" t="n">
        <v>45667</v>
      </c>
      <c r="D1454" t="inlineStr">
        <is>
          <t>KRONOBERGS LÄN</t>
        </is>
      </c>
      <c r="E1454" t="inlineStr">
        <is>
          <t>ALVESTA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11570-2020</t>
        </is>
      </c>
      <c r="B1455" s="1" t="n">
        <v>43893</v>
      </c>
      <c r="C1455" s="1" t="n">
        <v>45667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11706-2020</t>
        </is>
      </c>
      <c r="B1456" s="1" t="n">
        <v>43894</v>
      </c>
      <c r="C1456" s="1" t="n">
        <v>45667</v>
      </c>
      <c r="D1456" t="inlineStr">
        <is>
          <t>KRONOBERGS LÄN</t>
        </is>
      </c>
      <c r="E1456" t="inlineStr">
        <is>
          <t>VÄXJÖ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11958-2020</t>
        </is>
      </c>
      <c r="B1457" s="1" t="n">
        <v>43894</v>
      </c>
      <c r="C1457" s="1" t="n">
        <v>45667</v>
      </c>
      <c r="D1457" t="inlineStr">
        <is>
          <t>KRONOBERGS LÄN</t>
        </is>
      </c>
      <c r="E1457" t="inlineStr">
        <is>
          <t>ALVESTA</t>
        </is>
      </c>
      <c r="F1457" t="inlineStr">
        <is>
          <t>Kyrkan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12004-2020</t>
        </is>
      </c>
      <c r="B1458" s="1" t="n">
        <v>43894</v>
      </c>
      <c r="C1458" s="1" t="n">
        <v>45667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12040-2020</t>
        </is>
      </c>
      <c r="B1459" s="1" t="n">
        <v>43894</v>
      </c>
      <c r="C1459" s="1" t="n">
        <v>45667</v>
      </c>
      <c r="D1459" t="inlineStr">
        <is>
          <t>KRONOBERGS LÄN</t>
        </is>
      </c>
      <c r="E1459" t="inlineStr">
        <is>
          <t>TINGSRYD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13412-2020</t>
        </is>
      </c>
      <c r="B1460" s="1" t="n">
        <v>43894</v>
      </c>
      <c r="C1460" s="1" t="n">
        <v>45667</v>
      </c>
      <c r="D1460" t="inlineStr">
        <is>
          <t>KRONOBERGS LÄN</t>
        </is>
      </c>
      <c r="E1460" t="inlineStr">
        <is>
          <t>VÄXJÖ</t>
        </is>
      </c>
      <c r="G1460" t="n">
        <v>18.9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12085-2020</t>
        </is>
      </c>
      <c r="B1461" s="1" t="n">
        <v>43895</v>
      </c>
      <c r="C1461" s="1" t="n">
        <v>45667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12159-2020</t>
        </is>
      </c>
      <c r="B1462" s="1" t="n">
        <v>43895</v>
      </c>
      <c r="C1462" s="1" t="n">
        <v>45667</v>
      </c>
      <c r="D1462" t="inlineStr">
        <is>
          <t>KRONOBERGS LÄN</t>
        </is>
      </c>
      <c r="E1462" t="inlineStr">
        <is>
          <t>TINGSRYD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12091-2020</t>
        </is>
      </c>
      <c r="B1463" s="1" t="n">
        <v>43895</v>
      </c>
      <c r="C1463" s="1" t="n">
        <v>45667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12132-2020</t>
        </is>
      </c>
      <c r="B1464" s="1" t="n">
        <v>43895</v>
      </c>
      <c r="C1464" s="1" t="n">
        <v>45667</v>
      </c>
      <c r="D1464" t="inlineStr">
        <is>
          <t>KRONOBERGS LÄN</t>
        </is>
      </c>
      <c r="E1464" t="inlineStr">
        <is>
          <t>ALVESTA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12436-2020</t>
        </is>
      </c>
      <c r="B1465" s="1" t="n">
        <v>43896</v>
      </c>
      <c r="C1465" s="1" t="n">
        <v>45667</v>
      </c>
      <c r="D1465" t="inlineStr">
        <is>
          <t>KRONOBERGS LÄN</t>
        </is>
      </c>
      <c r="E1465" t="inlineStr">
        <is>
          <t>ÄLMHULT</t>
        </is>
      </c>
      <c r="G1465" t="n">
        <v>16.2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12647-2020</t>
        </is>
      </c>
      <c r="B1466" s="1" t="n">
        <v>43896</v>
      </c>
      <c r="C1466" s="1" t="n">
        <v>45667</v>
      </c>
      <c r="D1466" t="inlineStr">
        <is>
          <t>KRONOBERGS LÄN</t>
        </is>
      </c>
      <c r="E1466" t="inlineStr">
        <is>
          <t>UPPVIDINGE</t>
        </is>
      </c>
      <c r="F1466" t="inlineStr">
        <is>
          <t>Kyrkan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45667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45667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45667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45667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45667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45667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45667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45667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45667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45667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45667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45667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45667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45667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45667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45667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45667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45667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45667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45667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45667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45667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45667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45667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45667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45667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45667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45667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45667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45667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45667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45667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45667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45667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45667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45667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45667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45667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45667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45667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45667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45667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45667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45667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45667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45667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45667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45667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45667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45667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45667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45667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45667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45667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45667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45667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45667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45667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45667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45667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45667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45667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45667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45667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45667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45667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45667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45667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45667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45667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45667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45667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45667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45667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45667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45667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45667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45667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45667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45667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45667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45667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45667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45667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45667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45667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45667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45667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45667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45667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45667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45667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45667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45667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45667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45667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45667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45667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45667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45667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45667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45667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45667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45667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45667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45667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45667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45667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45667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45667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45667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45667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45667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45667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45667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45667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45667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45667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45667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45667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45667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45667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45667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45667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45667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45667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45667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45667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45667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45667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45667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45667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45667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45667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45667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45667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45667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45667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45667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45667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45667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45667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45667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45667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45667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45667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45667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45667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45667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45667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45667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45667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45667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45667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45667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45667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45667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45667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45667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45667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45667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45667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45667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45667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45667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45667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45667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45667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45667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45667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45667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45667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45667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45667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45667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45667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45667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45667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45667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45667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45667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45667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45667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45667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45667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45667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45667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45667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45667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45667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45667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45667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45667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45667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45667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45667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45667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45667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45667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45667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45667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45667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45667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45667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45667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45667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45667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45667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45667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45667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45667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45667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45667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45667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45667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45667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45667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45667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45667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45667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45667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45667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45667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45667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45667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45667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45667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45667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45667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45667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45667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45667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45667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45667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45667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45667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45667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45667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45667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45667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45667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45667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45667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45667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45667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45667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45667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45667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45667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45667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45667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45667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45667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45667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45667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45667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45667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45667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45667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45667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45667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45667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45667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45667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45667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45667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45667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45667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45667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45667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45667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45667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45667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45667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45667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45667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45667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45667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45667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45667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45667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45667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45667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45667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45667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45667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45667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45667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45667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45667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45667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45667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45667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45667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45667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45667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45667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45667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45667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45667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45667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45667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45667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45667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45667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45667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45667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45667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45667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45667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45667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45667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45667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45667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45667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45667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45667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45667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45667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45667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45667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45667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45667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45667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45667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45667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45667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45667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45667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45667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45667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45667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45667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45667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45667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45667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45667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45667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45667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45667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45667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45667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45667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45667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45667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45667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45667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45667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45667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45667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45667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45667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45667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45667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45667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45667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45667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45667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45667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45667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45667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45667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45667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45667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45667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45667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45667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45667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45667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45667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45667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45667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45667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45667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45667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45667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45667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45667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45667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45667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45667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45667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45667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45667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45667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45667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45667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45667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45667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45667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45667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45667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45667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45667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45667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45667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45667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45667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45667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45667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45667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45667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45667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45667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45667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45667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45667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45667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45667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45667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45667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45667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45667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45667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45667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45667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45667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45667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45667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45667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45667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45667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45667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45667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45667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45667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45667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45667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45667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45667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45667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45667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45667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45667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45667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45667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45667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45667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45667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45667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45667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45667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45667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45667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45667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45667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45667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45667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45667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45667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45667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45667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45667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45667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45667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45667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45667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45667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45667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45667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45667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45667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45667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45667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45667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45667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45667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45667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45667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45667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45667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45667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45667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45667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45667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45667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45667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45667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45667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45667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45667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45667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45667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45667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45667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45667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45667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45667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45667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45667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45667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45667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45667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45667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45667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45667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45667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45667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45667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45667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45667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45667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45667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45667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45667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45667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45667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45667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45667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45667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45667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45667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45667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45667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45667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45667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45667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45667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45667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45667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45667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45667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45667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45667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45667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45667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45667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45667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45667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45667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45667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45667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45667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45667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45667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45667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45667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45667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45667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45667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45667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45667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45667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45667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45667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45667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45667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45667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45667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45667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45667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45667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45667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45667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45667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45667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45667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45667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45667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45667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45667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45667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45667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45667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45667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45667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45667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45667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45667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45667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45667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45667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45667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45667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45667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45667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45667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45667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45667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45667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45667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45667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45667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45667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45667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45667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45667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45667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45667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45667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45667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45667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45667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45667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45667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45667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45667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45667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45667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45667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45667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45667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45667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45667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45667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45667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45667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45667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45667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45667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45667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45667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45667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45667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45667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45667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45667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45667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45667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45667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45667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45667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45667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45667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45667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45667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45667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45667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45667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45667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45667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45667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45667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45667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45667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45667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45667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45667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45667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45667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45667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45667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45667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45667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45667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45667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45667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45667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45667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45667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45667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45667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45667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45667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45667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45667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45667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45667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45667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45667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45667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45667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45667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45667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45667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45667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45667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45667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45667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45667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45667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45667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45667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45667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45667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45667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45667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45667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45667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45667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45667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45667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45667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45667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45667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45667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45667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45667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45667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45667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45667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45667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45667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45667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45667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45667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45667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45667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45667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45667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45667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45667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45667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45667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45667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45667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45667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45667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45667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45667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45667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45667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45667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45667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45667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45667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45667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45667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45667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45667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45667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45667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45667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45667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45667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45667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45667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45667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45667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45667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45667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45667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45667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45667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45667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45667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45667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45667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45667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45667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45667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45667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45667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45667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45667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45667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45667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45667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45667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45667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45667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45667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45667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45667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45667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45667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45667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45667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45667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45667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45667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45667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45667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45667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45667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45667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45667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45667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45667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45667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45667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45667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45667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45667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45667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45667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45667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45667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45667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45667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45667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45667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45667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45667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45667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45667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45667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45667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45667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45667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45667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45667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45667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45667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45667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45667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45667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45667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45667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45667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45667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45667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45667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45667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45667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45667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45667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45667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45667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45667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45667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45667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45667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45667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45667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45667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45667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45667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45667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45667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45667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45667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45667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45667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45667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45667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45667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45667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45667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45667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45667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45667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45667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45667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45667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45667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45667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45667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45667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45667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45667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45667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45667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45667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45667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45667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45667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45667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45667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45667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45667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45667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45667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45667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45667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45667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45667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45667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45667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45667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45667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45667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45667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45667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45667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45667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45667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45667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45667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45667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45667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45667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45667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45667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45667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45667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45667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45667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45667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45667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45667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45667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45667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45667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45667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45667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45667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45667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45667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45667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45667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45667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45667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45667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45667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45667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45667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45667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45667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45667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45667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45667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45667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45667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45667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45667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45667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45667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45667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45667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45667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45667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45667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45667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45667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45667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45667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45667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45667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45667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45667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45667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45667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45667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45667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45667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45667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45667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45667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45667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45667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45667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45667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45667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45667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45667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45667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45667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45667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45667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45667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45667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45667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45667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45667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45667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45667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45667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45667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45667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45667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45667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45667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45667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45667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45667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45667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45667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45667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45667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45667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45667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45667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45667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45667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45667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45667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45667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45667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45667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45667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45667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45667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45667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45667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45667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45667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45667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45667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45667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45667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45667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45667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45667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45667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45667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45667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45667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45667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45667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45667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45667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45667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45667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45667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45667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45667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45667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45667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45667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45667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45667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45667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45667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45667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45667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45667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45667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45667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45667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45667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45667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45667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45667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45667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45667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45667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45667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45667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45667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45667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45667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45667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45667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45667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45667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45667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45667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45667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45667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45667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45667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45667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45667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45667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45667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45667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45667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45667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45667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45667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45667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45667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45667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45667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45667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45667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45667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45667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45667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45667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45667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45667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45667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45667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45667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45667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45667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45667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45667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45667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45667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45667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45667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45667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45667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45667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45667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45667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45667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45667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45667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45667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45667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45667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45667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45667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45667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45667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45667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45667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45667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45667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45667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45667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45667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45667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45667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45667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45667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45667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45667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45667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45667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45667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45667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45667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45667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45667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45667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45667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45667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45667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45667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45667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45667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45667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45667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45667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45667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45667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45667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45667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45667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45667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45667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45667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45667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45667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45667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45667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45667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45667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45667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45667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45667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45667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45667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45667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45667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45667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45667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45667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45667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45667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45667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45667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45667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45667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45667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45667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45667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45667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45667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45667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45667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45667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45667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45667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45667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45667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45667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45667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45667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45667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45667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45667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45667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45667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45667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45667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45667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45667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45667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45667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45667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45667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45667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45667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45667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45667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45667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45667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45667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45667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45667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45667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45667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45667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45667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45667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45667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45667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45667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45667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45667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45667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45667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45667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45667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45667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45667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45667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45667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45667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45667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45667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45667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45667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45667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45667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45667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45667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45667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45667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45667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45667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45667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45667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45667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45667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45667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45667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45667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45667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45667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45667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45667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45667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45667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45667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45667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45667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45667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45667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45667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45667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45667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45667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45667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45667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45667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45667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45667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45667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45667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45667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45667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45667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45667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45667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45667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45667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45667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45667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45667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45667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45667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45667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45667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45667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45667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45667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45667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45667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45667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45667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45667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45667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45667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45667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45667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45667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45667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45667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45667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45667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45667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45667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45667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45667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45667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45667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45667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45667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45667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45667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45667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45667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45667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45667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45667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45667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45667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45667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45667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45667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45667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45667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45667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45667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45667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45667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45667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45667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45667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45667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45667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45667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45667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45667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45667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45667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45667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45667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45667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45667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45667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45667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45667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45667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45667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45667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45667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45667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45667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45667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45667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45667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45667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45667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45667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45667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45667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45667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45667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45667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45667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45667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45667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45667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45667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45667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45667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45667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45667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45667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45667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45667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45667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45667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45667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45667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45667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45667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45667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45667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45667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45667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45667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45667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45667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45667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45667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45667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45667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45667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45667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45667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45667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45667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45667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45667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45667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45667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45667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45667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45667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45667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45667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45667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45667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45667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45667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45667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45667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45667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45667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45667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45667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45667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45667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45667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45667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45667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45667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45667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45667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45667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45667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45667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45667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45667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45667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45667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45667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45667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45667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45667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45667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45667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45667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45667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45667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45667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45667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45667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45667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45667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45667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45667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45667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45667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45667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45667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45667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45667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45667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45667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45667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45667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45667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45667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45667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45667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45667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45667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45667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45667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45667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45667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45667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45667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45667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45667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45667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45667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45667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45667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45667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45667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45667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45667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45667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45667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45667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45667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45667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45667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45667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45667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45667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45667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45667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45667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45667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45667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45667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45667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45667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45667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45667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45667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45667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45667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45667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45667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45667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45667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45667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45667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45667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45667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45667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45667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45667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45667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45667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45667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45667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45667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45667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45667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45667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45667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45667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45667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45667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45667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45667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45667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45667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45667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45667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45667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45667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45667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45667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45667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45667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45667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45667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45667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45667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45667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45667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45667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45667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45667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45667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45667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45667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45667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45667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45667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45667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45667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45667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45667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45667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45667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45667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45667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45667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45667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45667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45667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45667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45667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45667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45667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45667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45667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45667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45667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45667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45667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45667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45667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45667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45667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45667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45667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45667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45667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45667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45667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45667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45667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45667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45667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45667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45667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45667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45667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45667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45667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45667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45667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45667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45667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45667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45667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45667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45667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45667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45667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45667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45667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45667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45667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45667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45667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45667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45667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45667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45667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45667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45667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45667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45667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45667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45667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45667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45667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45667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45667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45667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45667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45667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45667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45667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45667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45667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45667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45667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45667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45667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45667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45667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45667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45667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45667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45667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45667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45667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45667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45667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45667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45667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45667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45667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45667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45667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45667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45667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45667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45667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45667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45667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45667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45667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45667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45667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45667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45667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45667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45667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45667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45667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45667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45667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45667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45667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45667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45667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45667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45667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45667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45667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45667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45667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45667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45667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45667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45667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45667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45667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45667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45667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45667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45667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45667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45667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45667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45667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45667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45667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45667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45667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45667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45667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45667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45667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45667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45667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45667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45667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45667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45667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45667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45667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45667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45667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45667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45667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45667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45667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45667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45667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45667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45667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45667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45667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45667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45667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45667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45667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45667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45667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45667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45667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45667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45667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45667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45667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45667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45667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45667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45667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45667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45667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45667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45667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45667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45667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45667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45667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45667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45667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45667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45667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45667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45667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45667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45667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45667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45667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45667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45667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45667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45667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45667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45667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45667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45667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45667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45667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45667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45667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45667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45667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45667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45667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45667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45667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45667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45667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45667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45667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45667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45667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45667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45667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45667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45667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45667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45667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45667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45667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45667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45667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45667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45667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45667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45667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45667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45667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45667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45667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45667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45667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45667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45667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45667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45667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45667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45667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45667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45667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45667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45667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45667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45667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45667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45667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45667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45667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45667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45667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45667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45667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45667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45667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45667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45667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45667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45667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45667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45667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45667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45667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45667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45667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45667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45667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45667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45667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45667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45667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45667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45667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45667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45667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45667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45667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45667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45667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45667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45667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45667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45667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45667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45667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45667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45667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45667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45667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45667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45667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45667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45667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45667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45667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45667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45667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45667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45667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45667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45667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45667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45667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45667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45667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45667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45667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45667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45667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45667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45667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45667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45667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45667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45667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45667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45667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45667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45667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45667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45667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45667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45667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45667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45667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45667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45667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45667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45667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45667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45667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45667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45667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45667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45667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45667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45667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45667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45667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45667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45667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45667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45667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45667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45667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45667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45667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45667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45667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45667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45667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45667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45667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45667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45667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45667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45667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45667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45667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45667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45667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45667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45667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45667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45667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45667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45667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45667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45667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45667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45667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45667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45667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45667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45667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45667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45667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45667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45667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45667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45667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45667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45667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45667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45667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45667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45667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45667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45667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45667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45667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45667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45667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45667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45667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45667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45667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45667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45667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45667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45667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45667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45667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45667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45667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45667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45667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45667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45667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45667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45667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45667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45667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45667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45667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45667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45667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45667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45667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45667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45667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45667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45667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45667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45667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45667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45667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45667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45667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45667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45667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45667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45667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45667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45667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45667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45667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45667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45667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45667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45667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45667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45667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45667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45667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45667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45667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45667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45667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45667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45667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45667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45667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45667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45667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45667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45667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45667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45667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45667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45667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45667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45667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45667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45667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45667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45667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45667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45667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45667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45667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45667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45667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45667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45667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45667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45667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45667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45667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45667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45667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45667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45667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45667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45667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45667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45667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45667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45667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45667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45667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45667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45667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45667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45667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45667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45667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45667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45667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45667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45667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45667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45667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45667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45667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45667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45667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45667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45667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45667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45667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45667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45667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45667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45667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45667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45667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45667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45667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45667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45667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45667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45667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45667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45667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45667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45667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45667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45667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45667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45667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45667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45667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45667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45667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45667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45667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45667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45667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45667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45667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45667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45667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45667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45667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45667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45667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45667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45667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45667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45667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45667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45667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45667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45667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45667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45667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45667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45667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45667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45667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45667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45667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45667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45667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45667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45667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45667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45667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45667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45667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45667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45667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45667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45667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45667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45667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45667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45667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45667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45667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45667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45667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45667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45667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45667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45667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45667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45667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45667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45667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45667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45667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45667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45667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45667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45667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45667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45667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45667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45667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45667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45667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45667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45667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45667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45667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45667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45667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45667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45667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45667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45667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45667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45667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45667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45667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45667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45667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45667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45667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45667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45667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45667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45667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45667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45667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45667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45667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45667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45667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45667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45667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45667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45667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45667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45667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45667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45667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45667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45667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45667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45667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45667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45667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45667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45667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45667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45667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45667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45667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45667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45667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45667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45667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45667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45667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45667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45667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45667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45667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45667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45667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45667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45667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45667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45667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45667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45667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45667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45667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45667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45667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45667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45667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45667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45667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45667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45667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45667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45667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45667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45667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45667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45667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45667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45667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45667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45667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45667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45667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45667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45667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45667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45667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45667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45667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45667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45667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45667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45667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45667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45667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45667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45667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45667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45667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45667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45667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45667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45667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45667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45667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45667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45667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45667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45667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45667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45667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45667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45667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45667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45667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45667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45667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45667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45667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45667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45667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45667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45667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45667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45667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45667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45667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45667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45667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45667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45667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45667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45667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45667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45667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45667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45667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45667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45667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45667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45667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45667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45667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45667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45667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45667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45667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45667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45667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45667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45667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45667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45667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45667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45667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45667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45667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45667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45667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45667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45667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45667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45667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45667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45667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45667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45667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45667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45667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45667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45667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45667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45667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45667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45667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45667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45667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45667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45667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45667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45667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45667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45667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45667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45667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45667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45667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45667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45667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45667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45667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45667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45667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45667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45667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45667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45667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45667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45667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45667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45667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45667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45667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45667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45667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45667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45667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45667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45667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45667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45667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45667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45667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45667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45667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45667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45667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45667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45667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45667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45667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45667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45667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45667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45667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45667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45667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45667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45667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45667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45667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45667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45667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45667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45667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45667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45667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45667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45667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45667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45667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45667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45667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45667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45667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45667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45667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45667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45667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45667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45667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45667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45667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45667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45667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45667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45667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45667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45667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45667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45667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45667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45667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45667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45667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45667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45667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45667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45667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45667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45667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45667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45667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45667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45667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45667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45667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45667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45667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45667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45667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45667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45667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45667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45667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45667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45667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45667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45667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45667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45667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45667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45667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45667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45667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45667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45667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45667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45667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45667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45667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45667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45667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45667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45667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45667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45667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45667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45667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45667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45667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45667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45667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45667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45667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45667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45667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45667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45667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45667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45667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45667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45667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45667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45667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45667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45667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45667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45667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45667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45667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45667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45667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45667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45667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45667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45667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45667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45667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45667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45667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45667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45667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45667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45667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45667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45667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45667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45667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45667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45667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45667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45667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45667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45667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45667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45667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45667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45667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45667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45667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45667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45667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45667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45667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45667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45667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45667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45667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45667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45667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45667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45667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45667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45667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45667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45667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45667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45667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45667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45667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45667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45667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45667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45667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45667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45667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45667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45667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45667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45667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45667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45667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45667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45667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45667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45667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45667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45667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45667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45667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45667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45667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45667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45667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45667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45667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45667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45667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45667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45667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45667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45667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45667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45667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45667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45667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45667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45667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45667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45667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45667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45667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45667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45667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45667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45667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45667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45667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45667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45667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45667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45667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45667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45667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45667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45667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45667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45667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45667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45667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45667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45667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45667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45667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45667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45667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45667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45667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45667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45667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45667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45667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45667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45667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45667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45667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45667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45667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45667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45667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45667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45667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45667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45667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45667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45667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45667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45667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45667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45667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45667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45667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45667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45667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45667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45667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45667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45667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45667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45667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45667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45667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45667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45667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45667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45667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45667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45667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45667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45667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45667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45667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45667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45667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45667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45667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45667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45667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45667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45667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45667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45667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45667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45667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45667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45667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45667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45667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45667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45667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45667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45667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45667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45667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45667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45667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45667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45667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45667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45667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45667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45667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45667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45667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45667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45667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45667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45667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45667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45667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45667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45667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45667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45667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45667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45667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45667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45667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45667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45667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45667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45667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45667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45667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45667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45667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45667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45667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45667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45667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45667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45667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45667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45667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45667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45667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45667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45667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45667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45667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45667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45667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45667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45667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45667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45667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45667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45667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45667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45667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45667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45667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45667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45667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45667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45667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45667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45667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45667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45667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45667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45667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45667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45667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45667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45667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45667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45667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45667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45667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45667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45667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45667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45667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45667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45667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45667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45667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45667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45667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45667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45667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45667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45667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45667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45667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45667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45667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45667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45667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45667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45667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45667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45667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45667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45667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45667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45667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45667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45667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45667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45667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45667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45667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45667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45667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45667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45667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45667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45667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45667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45667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45667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45667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45667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45667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45667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45667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45667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45667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45667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45667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45667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45667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45667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45667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45667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45667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45667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45667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45667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45667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45667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45667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45667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45667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45667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45667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45667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45667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45667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45667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45667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45667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45667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45667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45667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45667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45667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45667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45667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45667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45667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45667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45667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45667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45667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45667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45667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45667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45667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45667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45667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45667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45667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45667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45667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45667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45667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45667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45667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45667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45667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45667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45667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45667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45667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45667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45667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45667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45667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45667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45667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45667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45667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45667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45667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45667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45667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45667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45667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45667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45667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45667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45667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45667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45667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45667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45667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45667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45667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45667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45667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45667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45667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45667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45667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45667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45667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45667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45667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45667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45667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45667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45667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45667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45667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45667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45667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45667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45667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45667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45667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45667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45667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45667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45667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45667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45667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45667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45667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45667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45667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45667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45667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45667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45667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45667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45667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45667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45667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45667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45667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45667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45667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45667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45667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45667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45667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45667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45667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45667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45667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45667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45667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45667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45667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45667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45667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45667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45667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45667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45667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45667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45667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45667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45667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45667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45667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45667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45667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45667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45667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45667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45667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45667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45667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45667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45667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45667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45667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45667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45667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45667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45667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45667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45667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45667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45667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45667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45667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45667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45667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45667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45667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45667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45667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45667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45667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45667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45667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45667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45667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45667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45667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45667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45667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45667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45667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45667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45667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45667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45667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45667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45667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45667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45667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45667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45667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45667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45667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45667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45667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45667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45667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45667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45667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45667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45667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45667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45667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45667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45667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45667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45667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45667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45667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45667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45667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45667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45667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45667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45667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45667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45667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45667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45667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45667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45667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45667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45667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45667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45667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45667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45667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45667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45667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45667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45667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45667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45667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45667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45667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45667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45667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45667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45667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45667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45667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45667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45667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45667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45667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45667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45667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45667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45667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45667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45667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45667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45667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45667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45667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45667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45667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45667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45667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45667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45667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45667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45667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45667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45667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45667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45667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45667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45667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45667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45667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45667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45667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45667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45667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45667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45667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45667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45667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45667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45667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45667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45667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45667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45667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45667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45667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45667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45667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45667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45667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45667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45667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45667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45667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45667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45667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45667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45667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45667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45667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45667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45667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45667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45667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45667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45667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45667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45667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45667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45667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45667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45667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45667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45667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45667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45667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45667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45667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45667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45667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45667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45667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45667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45667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45667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45667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45667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45667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45667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45667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45667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45667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45667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45667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45667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45667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45667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45667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45667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45667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45667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45667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45667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45667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45667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45667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45667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45667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45667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45667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45667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45667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45667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45667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45667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45667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45667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45667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45667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45667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45667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45667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45667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45667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45667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45667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45667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45667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45667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45667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45667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45667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45667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45667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45667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45667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45667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45667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45667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45667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45667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45667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45667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45667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45667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45667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45667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45667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45667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45667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45667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45667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45667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45667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45667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45667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45667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45667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45667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45667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45667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45667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45667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45667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45667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45667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45667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45667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45667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45667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45667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45667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45667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45667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45667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45667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45667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45667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45667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45667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45667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45667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45667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45667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45667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45667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45667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45667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45667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45667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45667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45667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45667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45667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45667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45667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45667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45667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45667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45667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45667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45667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45667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45667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45667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45667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45667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45667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45667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45667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45667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45667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45667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45667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45667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45667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45667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45667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45667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45667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45667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45667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45667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45667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45667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45667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45667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45667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45667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45667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45667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45667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45667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45667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45667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45667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45667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45667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45667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45667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45667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45667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45667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45667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45667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45667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45667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45667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45667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45667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45667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45667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45667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45667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45667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45667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45667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45667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45667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45667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45667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45667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45667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45667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45667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45667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45667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45667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45667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45667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45667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45667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45667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45667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45667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45667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45667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45667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45667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45667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45667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45667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45667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45667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45667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45667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45667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45667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45667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45667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45667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45667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45667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45667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45667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45667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45667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45667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45667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45667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45667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45667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45667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45667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45667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45667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45667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45667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45667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45667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45667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45667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45667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45667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45667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45667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45667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45667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45667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45667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45667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45667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45667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45667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45667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45667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45667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45667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45667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45667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45667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45667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45667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45667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45667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45667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45667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45667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45667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45667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45667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45667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45667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45667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45667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45667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45667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45667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45667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45667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45667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45667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45667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45667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45667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45667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45667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45667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45667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45667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45667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45667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45667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45667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45667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45667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45667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45667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45667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45667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45667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45667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45667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45667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45667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45667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45667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45667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45667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45667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45667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45667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45667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45667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45667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45667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45667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45667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45667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45667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45667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45667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45667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45667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45667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45667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45667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45667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45667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45667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45667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45667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45667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45667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45667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45667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45667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45667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45667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45667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45667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45667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45667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45667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45667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45667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45667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45667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45667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45667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45667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45667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45667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45667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45667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45667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45667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45667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45667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45667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45667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45667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45667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45667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45667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45667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45667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45667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45667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45667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45667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45667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45667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45667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45667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45667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45667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45667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45667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45667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45667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45667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45667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45667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45667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45667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45667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45667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45667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45667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45667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45667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45667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45667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45667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45667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45667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45667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45667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45667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45667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45667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45667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45667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45667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45667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45667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45667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45667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45667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45667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45667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45667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45667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45667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45667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45667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45667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45667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45667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45667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45667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45667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45667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45667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45667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45667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45667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45667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45667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45667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45667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45667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45667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45667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45667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45667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45667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45667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45667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45667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45667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45667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45667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45667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45667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45667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45667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45667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45667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45667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45667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45667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45667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45667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45667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45667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45667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45667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45667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45667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45667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45667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45667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45667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45667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45667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45667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45667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45667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45667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45667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45667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45667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45667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45667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45667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45667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45667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45667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45667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45667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45667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45667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45667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45667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45667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45667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45667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45667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45667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45667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45667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45667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45667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45667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45667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45667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45667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45667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45667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45667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45667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45667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45667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45667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45667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45667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45667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45667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45667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45667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45667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45667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45667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45667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45667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45667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45667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45667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45667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45667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45667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45667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45667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45667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45667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45667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45667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45667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45667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45667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45667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45667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45667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45667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45667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45667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45667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45667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45667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45667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45667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45667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45667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45667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45667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45667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45667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45667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45667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45667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45667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45667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45667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45667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45667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45667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45667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45667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45667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45667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45667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45667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45667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45667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45667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45667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45667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45667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45667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45667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45667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45667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45667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45667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45667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45667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45667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45667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45667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45667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45667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45667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45667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45667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45667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45667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45667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45667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45667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45667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45667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45667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45667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45667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45667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45667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45667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45667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45667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45667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45667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45667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45667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45667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45667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45667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45667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45667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45667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45667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45667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45667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45667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45667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45667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45667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45667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45667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45667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45667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45667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45667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45667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45667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45667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45667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45667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45667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45667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45667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45667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45667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45667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45667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45667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45667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45667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45667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45667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45667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45667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45667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45667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45667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45667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45667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45667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45667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45667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45667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45667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45667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45667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45667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45667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45667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45667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45667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45667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45667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45667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45667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45667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45667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45667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45667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45667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45667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45667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45667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45667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45667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45667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45667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45667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45667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45667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45667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45667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45667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45667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45667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45667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45667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45667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45667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45667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45667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45667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45667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45667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45667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45667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45667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45667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45667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45667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45667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45667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45667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45667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45667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45667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45667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45667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45667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45667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45667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45667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45667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45667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45667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45667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45667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45667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45667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45667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45667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45667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45667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45667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45667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45667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45667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45667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45667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45667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45667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45667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45667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45667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45667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45667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45667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45667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45667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45667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45667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45667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45667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45667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45667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45667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45667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45667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45667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45667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45667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45667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45667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45667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45667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45667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45667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45667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45667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45667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45667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45667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45667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45667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45667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45667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45667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45667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45667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45667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45667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45667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45667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45667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45667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45667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45667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45667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45667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45667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45667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45667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45667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45667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45667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45667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45667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45667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45667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45667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45667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45667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45667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45667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45667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45667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45667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45667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45667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45667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45667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45667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45667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45667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45667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45667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45667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45667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45667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45667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45667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45667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45667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45667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45667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45667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45667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45667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45667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45667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45667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45667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45667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45667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45667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45667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45667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45667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45667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45667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45667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45667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45667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45667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45667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45667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45667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45667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45667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45667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45667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45667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45667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45667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45667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45667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45667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45667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45667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45667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45667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45667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45667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45667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45667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45667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45667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45667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45667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45667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45667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45667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45667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45667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45667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45667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45667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45667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45667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45667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45667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45667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45667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45667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45667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45667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45667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45667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45667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45667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45667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45667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45667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45667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45667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45667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45667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45667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45667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45667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45667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45667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45667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45667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45667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45667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45667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45667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45667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45667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45667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45667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45667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45667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45667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45667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45667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45667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45667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45667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45667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45667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45667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45667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45667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45667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45667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45667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45667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45667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45667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45667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45667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45667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45667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45667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45667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45667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45667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45667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45667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45667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45667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45667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45667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45667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45667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45667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45667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45667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45667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45667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45667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45667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45667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45667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45667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45667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45667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45667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45667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45667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45667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45667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45667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45667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45667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45667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45667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45667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45667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45667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45667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45667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45667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45667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45667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45667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45667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45667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45667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45667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45667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45667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45667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45667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45667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45667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45667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45667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45667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45667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45667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45667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45667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45667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45667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45667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45667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45667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45667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45667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45667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45667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45667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45667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45667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45667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45667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45667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45667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45667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45667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45667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45667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45667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45667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45667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45667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45667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45667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45667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45667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45667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45667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45667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45667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45667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45667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45667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45667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45667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45667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45667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45667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45667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45667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45667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45667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45667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45667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45667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45667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45667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45667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45667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45667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45667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45667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45667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45667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45667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45667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45667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45667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45667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45667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45667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45667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45667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45667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45667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45667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45667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45667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45667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45667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45667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45667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45667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45667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45667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45667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45667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45667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45667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45667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45667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45667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45667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45667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45667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45667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45667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45667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45667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45667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45667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45667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45667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45667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45667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45667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45667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45667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45667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45667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45667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45667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45667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45667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45667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45667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45667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45667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45667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45667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45667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45667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45667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45667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45667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45667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45667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45667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45667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45667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45667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45667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45667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45667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45667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45667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45667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45667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45667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45667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45667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45667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45667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45667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45667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45667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45667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45667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45667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45667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45667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45667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45667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45667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45667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45667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45667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45667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45667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45667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45667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45667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45667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45667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45667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45667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45667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45667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45667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45667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45667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45667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45667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45667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45667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45667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45667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45667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45667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45667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45667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45667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45667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45667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45667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45667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45667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45667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45667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45667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45667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45667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45667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45667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45667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45667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45667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45667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45667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45667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45667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45667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45667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45667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45667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45667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45667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45667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45667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45667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45667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45667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45667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45667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45667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45667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45667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45667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45667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45667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45667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45667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45667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45667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45667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45667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45667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45667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45667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45667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45667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45667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45667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45667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45667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45667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45667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45667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45667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45667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45667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45667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45667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45667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45667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45667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45667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45667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45667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45667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45667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45667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45667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45667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45667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45667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45667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45667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45667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45667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45667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45667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45667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45667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45667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45667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45667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45667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45667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45667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45667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45667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45667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45667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45667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45667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45667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45667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45667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45667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45667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45667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45667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45667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45667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45667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45667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45667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45667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45667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45667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45667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45667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45667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45667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45667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45667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45667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45667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45667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45667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45667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45667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45667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45667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45667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45667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45667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45667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45667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45667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45667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45667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45667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45667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45667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45667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45667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45667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45667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45667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45667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45667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45667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45667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45667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45667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45667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45667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45667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45667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45667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45667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45667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45667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45667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45667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45667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45667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45667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45667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45667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45667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45667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45667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45667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45667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45667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45667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45667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45667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45667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45667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45667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45667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45667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45667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45667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45667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45667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45667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45667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45667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45667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45667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45667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45667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45667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45667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45667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45667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45667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45667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45667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45667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45667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45667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45667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45667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45667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45667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45667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45667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45667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45667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45667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45667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45667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45667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45667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45667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45667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45667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45667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45667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45667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45667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45667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45667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45667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45667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45667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45667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45667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45667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45667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45667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45667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45667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45667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45667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45667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45667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45667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45667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45667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45667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45667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45667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45667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45667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45667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45667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45667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45667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45667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45667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45667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45667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45667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45667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45667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45667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45667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45667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45667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45667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45667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45667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45667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45667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45667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45667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45667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45667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45667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45667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45667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45667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45667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45667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45667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45667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45667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45667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45667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45667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45667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45667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45667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45667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45667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45667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45667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45667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45667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45667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45667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45667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45667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45667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45667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45667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45667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45667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45667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45667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45667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45667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45667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45667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45667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45667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45667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45667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45667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45667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45667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45667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45667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45667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45667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45667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45667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45667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45667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45667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45667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45667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45667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45667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45667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45667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45667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45667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45667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45667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45667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45667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45667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45667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45667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45667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45667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45667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45667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45667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45667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45667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45667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45667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45667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45667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45667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45667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45667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45667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45667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45667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45667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45667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45667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45667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45667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45667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45667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45667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45667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45667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45667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45667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45667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45667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45667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45667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45667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45667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45667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45667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45667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45667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45667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45667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45667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45667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45667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45667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45667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45667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45667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45667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45667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45667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45667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45667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45667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45667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45667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45667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45667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45667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45667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45667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45667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45667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45667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45667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45667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45667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45667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45667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45667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45667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45667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45667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45667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45667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45667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45667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45667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45667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45667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45667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45667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45667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45667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45667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45667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45667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45667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45667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45667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45667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45667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45667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45667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45667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45667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45667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45667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45667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45667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45667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45667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45667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45667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45667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45667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45667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45667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45667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45667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45667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45667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45667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45667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45667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45667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45667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45667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45667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45667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45667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45667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45667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45667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45667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45667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45667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45667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45667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45667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45667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45667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45667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45667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45667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45667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45667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45667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45667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45667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45667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45667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45667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45667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45667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45667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45667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45667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45667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45667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45667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45667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45667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45667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45667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45667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45667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45667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45667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45667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45667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45667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45667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45667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45667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45667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45667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45667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45667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45667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45667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45667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45667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45667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45667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45667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45667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45667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45667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45667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45667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45667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45667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45667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45667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45667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45667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45667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45667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45667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45667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45667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45667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45667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45667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45667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45667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45667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45667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45667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45667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45667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45667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45667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45667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45667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45667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45667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45667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45667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45667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45667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45667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45667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45667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45667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45667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45667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45667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45667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45667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45667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45667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45667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45667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45667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45667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45667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45667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45667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45667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45667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45667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45667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45667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45667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45667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45667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45667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45667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45667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45667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45667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45667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45667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45667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45667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45667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45667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45667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45667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45667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45667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45667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45667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45667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45667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45667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45667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45667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45667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45667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45667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45667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45667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45667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45667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45667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45667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45667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45667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45667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45667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45667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45667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45667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45667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45667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45667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45667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45667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45667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45667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45667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45667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45667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45667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45667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45667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45667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45667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45667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45667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45667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45667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45667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45667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45667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45667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45667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45667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45667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45667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45667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45667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45667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45667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45667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45667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45667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45667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45667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45667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45667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45667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45667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45667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45667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45667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45667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45667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45667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45667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45667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45667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45667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45667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45667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45667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45667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45667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45667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45667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45667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45667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45667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45667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45667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45667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45667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45667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45667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45667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45667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45667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45667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45667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45667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45667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45667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45667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45667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45667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45667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45667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45667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45667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45667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45667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45667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45667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45667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45667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45667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45667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45667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45667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45667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45667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45667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45667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45667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45667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45667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45667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45667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45667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45667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45667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45667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45667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45667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45667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45667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45667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45667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45667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45667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45667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45667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45667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45667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45667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45667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45667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45667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45667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45667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45667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45667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45667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45667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45667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45667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45667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45667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45667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45667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45667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45667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45667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45667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45667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45667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45667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45667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45667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45667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45667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45667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45667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45667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45667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45667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45667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45667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45667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45667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45667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45667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45667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45667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45667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45667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45667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45667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45667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45667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45667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45667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45667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45667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45667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45667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45667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45667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45667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45667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45667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45667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45667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45667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45667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45667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45667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45667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45667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45667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45667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45667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45667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45667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45667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45667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45667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45667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45667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45667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45667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45667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45667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45667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45667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45667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45667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45667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45667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45667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45667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45667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45667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45667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45667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45667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45667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45667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45667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45667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45667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45667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45667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45667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45667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45667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45667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45667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45667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45667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45667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45667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45667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45667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45667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45667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45667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45667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45667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45667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45667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45667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45667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45667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45667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45667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45667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45667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45667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45667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45667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45667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45667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45667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45667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45667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45667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45667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45667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45667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45667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45667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45667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45667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45667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45667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45667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45667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45667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45667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45667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45667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45667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45667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45667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45667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45667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45667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45667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45667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45667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45667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45667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45667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45667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45667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45667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45667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45667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45667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45667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45667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45667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45667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45667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45667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45667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45667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45667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45667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45667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45667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45667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45667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45667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45667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45667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45667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45667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45667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45667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45667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45667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45667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45667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45667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45667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45667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45667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45667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45667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45667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45667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45667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45667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45667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45667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45667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45667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45667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45667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45667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45667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45667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45667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45667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45667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45667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45667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45667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45667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45667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45667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45667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45667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45667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45667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45667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45667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45667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45667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45667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45667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45667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45667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45667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45667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45667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45667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45667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45667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45667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45667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45667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45667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45667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45667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45667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45667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45667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45667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45667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45667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45667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45667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45667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45667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45667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45667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45667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45667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45667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45667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45667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45667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45667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45667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45667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45667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45667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45667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45667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45667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45667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45667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45667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45667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45667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45667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45667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45667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45667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45667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45667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45667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45667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45667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45667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45667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45667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45667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45667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45667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45667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45667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45667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45667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45667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45667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45667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45667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45667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45667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45667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45667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45667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45667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45667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45667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45667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45667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45667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45667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45667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45667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45667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45667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45667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45667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45667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45667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45667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45667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45667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45667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45667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45667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45667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45667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45667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45667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45667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45667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45667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45667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45667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45667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45667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45667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45667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45667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45667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45667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45667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45667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45667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45667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45667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45667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45667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45667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45667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45667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45667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45667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45667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45667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45667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45667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45667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45667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45667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45667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45667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45667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45667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45667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45667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45667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45667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45667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45667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45667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45667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45667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45667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45667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45667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45667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45667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45667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45667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45667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45667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45667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45667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45667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45667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45667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45667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45667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45667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45667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45667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45667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45667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45667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45667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45667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45667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45667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45667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45667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45667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45667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45667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45667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45667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45667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45667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45667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45667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45667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45667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45667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45667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45667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45667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45667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45667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45667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45667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45667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45667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45667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45667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45667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45667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45667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45667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45667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45667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45667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45667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45667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45667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45667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45667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45667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45667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45667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45667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45667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45667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45667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45667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45667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45667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45667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45667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45667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45667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45667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45667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45667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45667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45667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45667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45667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45667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45667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45667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45667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45667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45667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45667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45667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45667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45667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45667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45667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45667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45667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45667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45667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45667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45667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45667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45667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45667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45667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45667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45667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45667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45667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45667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45667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45667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45667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45667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45667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45667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45667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45667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45667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45667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45667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45667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45667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45667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45667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45667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45667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45667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45667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45667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45667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45667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45667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45667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45667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45667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45667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45667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45667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45667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45667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45667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45667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45667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45667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45667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45667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45667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45667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45667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45667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45667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45667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45667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45667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45667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45667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45667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45667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45667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45667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45667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45667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45667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45667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45667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45667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45667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45667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45667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45667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45667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45667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45667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45667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45667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45667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45667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45667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45667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45667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45667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45667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45667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45667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45667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45667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45667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45667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45667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45667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45667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45667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45667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45667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45667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45667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45667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45667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45667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45667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45667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45667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45667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45667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45667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45667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45667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45667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45667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45667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45667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45667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45667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45667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45667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45667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45667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45667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45667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45667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45667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45667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45667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45667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45667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45667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45667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45667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45667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45667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45667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45667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45667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45667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45667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45667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45667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45667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45667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45667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45667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45667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45667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45667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45667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45667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45667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45667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45667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45667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45667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45667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45667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45667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45667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45667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45667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45667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45667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45667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45667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45667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45667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45667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45667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45667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45667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45667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45667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45667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45667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45667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45667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45667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45667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45667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45667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45667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45667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45667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45667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45667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45667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45667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45667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45667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45667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45667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45667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45667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45667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45667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45667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45667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45667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45667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45667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45667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45667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45667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45667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45667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45667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45667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45667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45667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45667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45667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45667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45667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45667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45667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45667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45667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45667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45667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45667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45667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45667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45667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45667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45667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45667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45667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45667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45667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45667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45667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45667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45667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45667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45667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45667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45667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45667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45667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45667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45667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45667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45667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45667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45667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45667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45667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45667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45667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45667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45667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45667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45667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45667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45667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45667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45667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45667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45667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45667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45667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45667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45667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45667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45667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45667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45667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45667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45667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45667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45667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45667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45667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45667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45667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45667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45667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45667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45667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45667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45667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45667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45667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45667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45667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45667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45667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45667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45667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45667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45667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45667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45667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45667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45667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45667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45667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45667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45667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45667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45667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45667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45667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45667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45667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45667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45667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45667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45667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45667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45667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45667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45667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45667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45667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45667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45667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45667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45667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45667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45667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45667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45667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45667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45667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45667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45667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45667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45667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45667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45667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45667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45667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45667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45667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45667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45667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45667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45667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45667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45667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45667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45667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45667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45667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45667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45667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45667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45667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45667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45667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45667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45667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45667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45667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45667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45667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45667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45667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45667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45667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45667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45667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45667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45667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45667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45667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45667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45667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45667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45667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45667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45667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45667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45667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45667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45667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45667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45667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45667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45667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45667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45667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45667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45667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45667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45667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45667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45667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45667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45667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45667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45667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45667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45667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45667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45667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45667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45667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45667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45667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45667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45667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45667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45667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45667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45667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45667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45667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45667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45667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45667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45667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45667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45667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45667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45667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45667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45667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45667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45667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45667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45667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45667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45667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45667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45667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45667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45667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45667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45667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45667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45667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45667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45667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45667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45667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45667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45667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45667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45667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45667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45667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45667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45667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45667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45667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45667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45667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45667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45667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45667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45667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45667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45667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45667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45667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45667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45667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45667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45667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45667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45667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45667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45667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45667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45667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45667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45667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45667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45667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45667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45667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45667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45667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45667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45667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45667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45667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45667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45667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45667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45667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45667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45667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45667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45667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45667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45667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45667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45667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45667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45667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45667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45667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45667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45667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45667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45667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45667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45667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45667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45667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45667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45667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45667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45667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45667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45667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45667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45667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45667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45667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45667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45667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45667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45667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45667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45667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45667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45667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45667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45667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45667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45667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45667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45667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45667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45667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45667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45667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45667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45667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45667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45667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45667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45667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45667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45667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45667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45667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45667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45667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45667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45667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45667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45667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45667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45667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45667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45667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45667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45667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45667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45667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45667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45667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45667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45667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45667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45667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45667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45667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45667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45667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45667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45667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45667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45667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45667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45667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45667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45667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45667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45667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45667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45667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45667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45667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45667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45667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45667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45667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45667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45667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45667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45667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45667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45667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45667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45667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45667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45667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45667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45667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45667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45667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45667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45667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45667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45667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45667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45667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45667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45667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45667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45667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45667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45667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45667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45667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45667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45667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45667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45667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45667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45667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45667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45667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45667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45667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45667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45667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45667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45667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45667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45667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45667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45667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45667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45667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45667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45667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45667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45667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45667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45667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45667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45667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45667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45667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45667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45667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45667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45667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45667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45667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45667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45667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45667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45667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45667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45667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45667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45667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45667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45667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45667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45667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45667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45667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45667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45667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45667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45667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45667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45667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45667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45667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45667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45667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45667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45667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45667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45667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45667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45667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45667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45667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45667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45667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45667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45667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45667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45667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45667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45667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45667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45667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45667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45667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45667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45667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45667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45667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45667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45667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45667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45667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45667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45667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45667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45667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45667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45667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45667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45667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45667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45667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45667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45667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45667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45667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45667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45667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45667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45667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45667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45667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45667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45667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45667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45667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45667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45667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45667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45667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45667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45667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45667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45667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45667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45667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45667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45667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45667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45667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45667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45667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45667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45667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45667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45667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45667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45667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45667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45667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45667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45667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45667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45667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45667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45667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45667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45667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45667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45667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45667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45667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45667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45667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45667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45667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45667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45667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45667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45667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45667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45667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45667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45667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45667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45667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45667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45667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45667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45667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45667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45667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45667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45667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45667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45667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45667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45667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45667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45667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45667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45667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45667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45667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45667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45667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45667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45667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45667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45667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45667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45667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45667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45667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45667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45667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45667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45667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45667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45667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45667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45667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45667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45667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45667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45667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45667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45667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45667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45667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45667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45667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45667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45667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45667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45667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45667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45667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45667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45667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45667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45667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45667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45667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45667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45667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45667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45667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45667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45667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45667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45667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45667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45667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45667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45667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45667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45667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45667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45667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45667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45667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45667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45667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45667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45667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45667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45667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45667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45667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45667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45667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45667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45667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45667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45667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45667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45667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45667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45667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45667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45667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45667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45667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45667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45667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45667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45667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45667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45667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45667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45667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45667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45667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45667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45667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45667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45667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45667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45667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45667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45667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45667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45667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45667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45667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45667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45667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45667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45667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45667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45667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45667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45667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45667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45667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45667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45667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45667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45667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45667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45667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45667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45667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45667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45667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45667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45667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45667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45667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45667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45667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45667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45667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45667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45667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45667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45667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45667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45667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45667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45667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45667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45667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45667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45667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45667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45667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45667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45667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45667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45667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45667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45667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45667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45667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45667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45667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45667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45667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45667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45667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45667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45667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45667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45667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45667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45667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45667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45667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45667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45667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45667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45667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45667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45667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45667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45667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45667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45667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45667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45667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45667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45667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45667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45667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45667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45667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45667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45667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45667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45667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45667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45667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45667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45667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45667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45667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45667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45667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45667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45667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45667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45667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45667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45667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45667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45667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45667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45667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45667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45667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45667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45667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45667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45667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45667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45667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45667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45667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45667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45667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45667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45667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45667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45667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45667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45667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45667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45667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45667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45667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45667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45667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45667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45667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45667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45667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45667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45667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45667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45667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45667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45667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45667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45667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45667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45667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45667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45667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45667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45667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45667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45667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45667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45667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45667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45667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45667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45667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45667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45667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45667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45667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45667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45667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45667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45667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45667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45667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45667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45667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45667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45667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45667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45667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45667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45667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45667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45667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45667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45667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45667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45667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45667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45667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45667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45667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45667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45667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45667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45667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45667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45667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45667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45667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45667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45667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45667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45667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45667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45667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45667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45667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45667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45667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45667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45667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45667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45667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45667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45667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45667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45667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45667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45667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45667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45667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45667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45667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45667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45667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45667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45667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45667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45667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45667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45667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45667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45667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45667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45667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45667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45667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45667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45667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45667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45667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45667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45667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45667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45667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45667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45667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45667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45667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45667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45667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45667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45667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45667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45667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45667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45667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45667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45667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45667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45667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45667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45667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45667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45667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45667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45667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45667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45667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45667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45667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45667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45667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45667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45667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45667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45667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45667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45667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45667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45667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45667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45667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45667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45667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45667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45667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45667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45667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45667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45667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45667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45667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45667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45667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45667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45667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45667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45667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45667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45667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45667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45667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45667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45667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45667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45667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45667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45667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45667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45667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45667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45667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45667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45667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45667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45667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45667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45667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45667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45667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45667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45667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45667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45667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45667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45667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45667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45667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45667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45667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45667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45667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45667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45667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45667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45667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45667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45667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45667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45667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45667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45667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45667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45667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45667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45667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45667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45667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45667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45667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45667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45667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45667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45667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45667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45667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45667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45667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45667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45667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45667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45667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45667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45667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45667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45667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45667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45667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45667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45667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45667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45667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45667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45667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45667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45667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45667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45667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45667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45667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45667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45667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45667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45667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45667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45667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45667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45667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45667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45667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45667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45667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45667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45667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45667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45667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45667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45667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45667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45667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45667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45667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45667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45667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45667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45667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45667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45667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45667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45667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45667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45667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45667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45667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45667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45667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45667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45667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45667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45667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45667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45667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45667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45667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45667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45667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45667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45667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45667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45667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45667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45667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45667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45667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45667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45667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45667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45667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45667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45667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45667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45667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45667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45667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45667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45667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45667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45667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45667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45667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45667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45667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45667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45667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45667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45667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45667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45667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45667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45667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45667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45667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45667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45667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45667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45667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45667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45667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45667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45667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45667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45667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45667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45667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45667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45667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45667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45667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45667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45667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45667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45667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45667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45667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45667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45667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45667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45667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45667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45667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45667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45667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45667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45667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45667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45667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45667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45667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45667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45667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45667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45667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45667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45667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45667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45667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45667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45667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45667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45667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45667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45667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45667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45667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45667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45667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45667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45667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45667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45667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45667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45667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45667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45667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45667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45667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45667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45667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45667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45667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45667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45667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45667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45667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45667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45667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45667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45667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45667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45667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45667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45667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45667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45667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45667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45667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45667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45667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45667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45667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45667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45667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45667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45667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45667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45667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45667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45667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45667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45667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45667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45667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45667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45667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45667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45667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45667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45667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45667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45667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45667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45667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45667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45667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45667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45667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45667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45667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45667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45667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45667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45667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45667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45667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45667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45667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45667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45667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45667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45667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45667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45667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45667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45667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45667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45667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45667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45667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45667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45667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45667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45667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45667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45667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45667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45667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45667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45667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45667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45667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45667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45667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45667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45667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45667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45667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45667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45667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45667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45667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45667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45667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45667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45667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45667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45667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45667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45667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45667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45667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45667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45667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45667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45667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45667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45667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45667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45667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45667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45667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45667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45667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45667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45667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45667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45667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45667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45667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45667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45667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45667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45667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45667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45667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45667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45667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45667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45667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45667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45667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45667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45667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45667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45667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45667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45667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45667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45667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45667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45667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45667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45667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45667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45667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45667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45667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45667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45667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45667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45667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45667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45667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45667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45667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45667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45667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45667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45667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45667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45667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45667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45667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45667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45667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45667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45667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45667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45667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45667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45667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45667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45667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45667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45667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45667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45667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45667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45667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45667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45667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45667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45667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45667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45667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45667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45667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45667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45667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45667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45667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45667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45667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45667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45667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45667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45667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45667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45667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45667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45667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45667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45667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45667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45667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45667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45667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45667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45667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45667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45667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45667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45667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45667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45667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45667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45667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45667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45667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45667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45667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45667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45667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45667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45667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45667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45667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45667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45667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45667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45667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45667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45667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45667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45667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45667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45667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45667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45667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45667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45667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45667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45667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45667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45667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45667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45667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45667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45667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45667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45667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45667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45667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45667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45667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45667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45667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45667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45667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45667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45667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45667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45667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45667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45667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45667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45667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45667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45667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45667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45667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45667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45667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45667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45667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45667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45667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45667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45667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45667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45667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45667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45667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45667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45667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45667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45667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45667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45667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45667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45667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45667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45667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45667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45667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45667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45667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45667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45667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45667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45667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45667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45667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45667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45667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45667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45667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45667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45667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45667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45667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45667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45667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45667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45667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45667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45667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45667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45667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45667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45667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45667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45667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45667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45667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45667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45667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45667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45667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45667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45667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45667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45667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45667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45667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45667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45667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45667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45667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45667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45667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45667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45667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45667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45667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45667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45667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45667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45667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45667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45667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45667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45667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45667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45667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45667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45667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45667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45667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45667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45667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45667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45667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45667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45667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45667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45667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45667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45667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45667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45667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45667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45667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45667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45667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45667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45667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45667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45667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45667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45667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45667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45667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45667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45667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45667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45667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45667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45667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45667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45667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45667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45667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45667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45667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45667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45667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45667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45667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45667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45667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45667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45667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45667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45667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45667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45667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45667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45667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45667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45667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45667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45667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45667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45667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45667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45667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45667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45667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45667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45667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45667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45667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45667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45667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45667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45667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45667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45667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45667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45667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45667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45667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45667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45667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45667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45667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45667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45667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45667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45667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45667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45667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45667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45667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45667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45667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45667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45667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45667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45667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45667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45667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45667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45667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45667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45667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45667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45667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45667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45667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45667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45667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45667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45667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45667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45667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45667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45667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45667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45667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45667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45667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45667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45667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45667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45667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45667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45667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45667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45667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45667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45667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45667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45667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45667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45667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45667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45667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45667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45667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45667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45667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45667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45667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45667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45667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45667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45667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45667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45667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45667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45667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45667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45667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45667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45667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45667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45667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45667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45667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45667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45667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45667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45667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45667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45667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45667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45667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45667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45667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45667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45667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45667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45667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45667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45667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45667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45667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45667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45667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45667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45667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45667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45667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45667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45667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45667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45667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45667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45667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45667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45667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45667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45667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45667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45667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45667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45667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45667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45667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45667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45667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45667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45667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45667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45667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45667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45667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45667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45667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45667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45667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45667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45667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45667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45667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45667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45667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45667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45667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45667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45667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45667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45667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45667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45667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45667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45667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45667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45667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45667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45667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45667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45667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45667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45667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45667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45667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45667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45667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45667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45667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45667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45667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45667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45667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45667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45667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45667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45667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45667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45667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45667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45667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45667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45667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45667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45667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45667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45667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45667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45667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45667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45667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45667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45667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45667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45667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45667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45667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45667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45667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45667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45667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45667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45667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45667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45667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45667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45667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45667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45667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45667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45667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45667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45667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45667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45667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45667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45667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45667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45667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45667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45667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45667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45667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45667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45667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45667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45667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45667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45667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45667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45667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45667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45667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45667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45667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45667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45667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45667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45667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45667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45667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45667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45667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45667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45667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45667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45667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45667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45667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45667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45667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45667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45667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45667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45667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45667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45667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45667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45667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45667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45667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45667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45667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45667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45667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45667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45667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45667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45667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45667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45667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45667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45667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45667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45667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45667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45667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45667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45667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45667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45667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45667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45667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45667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45667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45667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45667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45667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45667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45667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45667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45667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45667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45667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45667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45667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45667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45667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45667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45667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45667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45667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45667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45667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45667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45667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45667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45667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45667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45667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45667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45667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45667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45667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45667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45667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45667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45667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45667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45667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45667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45667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45667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45667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45667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45667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45667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45667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45667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45667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45667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45667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45667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45667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45667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45667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45667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45667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45667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45667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45667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45667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45667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45667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45667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45667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45667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45667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45667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45667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45667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45667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45667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45667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45667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45667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45667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45667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45667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45667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45667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45667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45667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45667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45667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45667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45667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45667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45667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45667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45667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45667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45667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45667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45667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45667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45667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45667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45667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45667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45667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45667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45667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45667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45667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45667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45667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45667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45667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45667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45667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45667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45667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45667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45667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45667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45667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45667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45667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45667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45667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45667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45667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45667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45667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45667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45667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45667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45667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45667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45667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45667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45667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45667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45667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45667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45667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45667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45667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45667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45667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45667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45667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45667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45667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45667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45667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45667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45667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45667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45667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45667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45667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45667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45667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45667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45667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45667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45667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45667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45667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45667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45667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45667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45667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45667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45667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45667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45667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45667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45667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45667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45667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45667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45667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45667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45667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45667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45667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45667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45667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45667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45667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45667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45667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45667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45667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45667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45667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45667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45667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45667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45667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45667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45667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45667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45667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45667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45667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45667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45667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45667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45667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45667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45667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45667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45667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45667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45667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45667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45667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45667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45667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45667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45667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45667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45667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45667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45667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45667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45667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45667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45667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45667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45667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45667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45667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45667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45667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45667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45667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45667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45667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45667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45667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45667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45667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45667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45667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45667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45667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45667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45667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45667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45667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45667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45667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45667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45667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45667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45667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45667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45667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45667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45667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45667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45667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45667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45667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45667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45667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45667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45667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45667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45667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45667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45667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45667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45667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45667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45667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45667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45667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45667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45667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45667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45667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45667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45667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45667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45667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45667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45667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45667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45667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45667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45667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45667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45667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45667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45667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45667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45667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45667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45667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45667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45667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45667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45667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45667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45667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45667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45667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45667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45667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45667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45667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45667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45667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45667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45667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45667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45667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45667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45667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45667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45667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45667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45667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45667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45667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45667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45667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45667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45667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45667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45667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45667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45667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45667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45667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45667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45667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45667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45667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45667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45667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45667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45667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45667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45667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45667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45667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45667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45667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45667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45667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45667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45667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45667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45667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45667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45667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45667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45667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45667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45667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45667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45667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45667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45667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45667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45667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45667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45667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45667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45667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45667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45667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45667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45667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45667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45667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45667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45667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45667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45667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45667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45667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45667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45667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45667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45667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45667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45667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45667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45667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45667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45667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45667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45667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45667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45667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45667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45667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45667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45667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45667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45667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45667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45667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45667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45667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45667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45667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45667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45667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45667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45667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45667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45667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45667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45667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45667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45667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45667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45667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45667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45667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45667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45667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45667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45667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45667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45667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45667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45667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45667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45667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45667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45667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45667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45667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45667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45667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45667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45667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45667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45667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45667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59365-2024</t>
        </is>
      </c>
      <c r="B9472" s="1" t="n">
        <v>45638</v>
      </c>
      <c r="C9472" s="1" t="n">
        <v>45667</v>
      </c>
      <c r="D9472" t="inlineStr">
        <is>
          <t>KRONOBERGS LÄN</t>
        </is>
      </c>
      <c r="E9472" t="inlineStr">
        <is>
          <t>ÄLMHULT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59454-2024</t>
        </is>
      </c>
      <c r="B9473" s="1" t="n">
        <v>45638</v>
      </c>
      <c r="C9473" s="1" t="n">
        <v>45667</v>
      </c>
      <c r="D9473" t="inlineStr">
        <is>
          <t>KRONOBERGS LÄN</t>
        </is>
      </c>
      <c r="E9473" t="inlineStr">
        <is>
          <t>ÄLMHULT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45667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59477-2024</t>
        </is>
      </c>
      <c r="B9475" s="1" t="n">
        <v>45638</v>
      </c>
      <c r="C9475" s="1" t="n">
        <v>45667</v>
      </c>
      <c r="D9475" t="inlineStr">
        <is>
          <t>KRONOBERGS LÄN</t>
        </is>
      </c>
      <c r="E9475" t="inlineStr">
        <is>
          <t>VÄXJÖ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59470-2024</t>
        </is>
      </c>
      <c r="B9476" s="1" t="n">
        <v>45638</v>
      </c>
      <c r="C9476" s="1" t="n">
        <v>45667</v>
      </c>
      <c r="D9476" t="inlineStr">
        <is>
          <t>KRONOBERGS LÄN</t>
        </is>
      </c>
      <c r="E9476" t="inlineStr">
        <is>
          <t>ÄLMHULT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45667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45667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59368-2024</t>
        </is>
      </c>
      <c r="B9479" s="1" t="n">
        <v>45638</v>
      </c>
      <c r="C9479" s="1" t="n">
        <v>45667</v>
      </c>
      <c r="D9479" t="inlineStr">
        <is>
          <t>KRONOBERGS LÄN</t>
        </is>
      </c>
      <c r="E9479" t="inlineStr">
        <is>
          <t>VÄXJÖ</t>
        </is>
      </c>
      <c r="G9479" t="n">
        <v>0.4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59366-2024</t>
        </is>
      </c>
      <c r="B9480" s="1" t="n">
        <v>45638</v>
      </c>
      <c r="C9480" s="1" t="n">
        <v>45667</v>
      </c>
      <c r="D9480" t="inlineStr">
        <is>
          <t>KRONOBERGS LÄN</t>
        </is>
      </c>
      <c r="E9480" t="inlineStr">
        <is>
          <t>VÄXJÖ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59585-2024</t>
        </is>
      </c>
      <c r="B9481" s="1" t="n">
        <v>45638</v>
      </c>
      <c r="C9481" s="1" t="n">
        <v>45667</v>
      </c>
      <c r="D9481" t="inlineStr">
        <is>
          <t>KRONOBERGS LÄN</t>
        </is>
      </c>
      <c r="E9481" t="inlineStr">
        <is>
          <t>ÄLMHULT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45667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59816-2024</t>
        </is>
      </c>
      <c r="B9483" s="1" t="n">
        <v>45639</v>
      </c>
      <c r="C9483" s="1" t="n">
        <v>45667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4.4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59790-2024</t>
        </is>
      </c>
      <c r="B9484" s="1" t="n">
        <v>45639</v>
      </c>
      <c r="C9484" s="1" t="n">
        <v>45667</v>
      </c>
      <c r="D9484" t="inlineStr">
        <is>
          <t>KRONOBERGS LÄN</t>
        </is>
      </c>
      <c r="E9484" t="inlineStr">
        <is>
          <t>UPPVIDINGE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45667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59866-2024</t>
        </is>
      </c>
      <c r="B9486" s="1" t="n">
        <v>45639</v>
      </c>
      <c r="C9486" s="1" t="n">
        <v>45667</v>
      </c>
      <c r="D9486" t="inlineStr">
        <is>
          <t>KRONOBERGS LÄN</t>
        </is>
      </c>
      <c r="E9486" t="inlineStr">
        <is>
          <t>VÄXJÖ</t>
        </is>
      </c>
      <c r="G9486" t="n">
        <v>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59785-2024</t>
        </is>
      </c>
      <c r="B9487" s="1" t="n">
        <v>45639</v>
      </c>
      <c r="C9487" s="1" t="n">
        <v>45667</v>
      </c>
      <c r="D9487" t="inlineStr">
        <is>
          <t>KRONOBERGS LÄN</t>
        </is>
      </c>
      <c r="E9487" t="inlineStr">
        <is>
          <t>LJUNGBY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45667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45667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59977-2024</t>
        </is>
      </c>
      <c r="B9490" s="1" t="n">
        <v>45642</v>
      </c>
      <c r="C9490" s="1" t="n">
        <v>45667</v>
      </c>
      <c r="D9490" t="inlineStr">
        <is>
          <t>KRONOBERGS LÄN</t>
        </is>
      </c>
      <c r="E9490" t="inlineStr">
        <is>
          <t>VÄXJÖ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59992-2024</t>
        </is>
      </c>
      <c r="B9491" s="1" t="n">
        <v>45642</v>
      </c>
      <c r="C9491" s="1" t="n">
        <v>45667</v>
      </c>
      <c r="D9491" t="inlineStr">
        <is>
          <t>KRONOBERGS LÄN</t>
        </is>
      </c>
      <c r="E9491" t="inlineStr">
        <is>
          <t>VÄXJÖ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60043-2024</t>
        </is>
      </c>
      <c r="B9492" s="1" t="n">
        <v>45642</v>
      </c>
      <c r="C9492" s="1" t="n">
        <v>45667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60041-2024</t>
        </is>
      </c>
      <c r="B9493" s="1" t="n">
        <v>45642</v>
      </c>
      <c r="C9493" s="1" t="n">
        <v>45667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45667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60156-2024</t>
        </is>
      </c>
      <c r="B9495" s="1" t="n">
        <v>45642</v>
      </c>
      <c r="C9495" s="1" t="n">
        <v>45667</v>
      </c>
      <c r="D9495" t="inlineStr">
        <is>
          <t>KRONOBERGS LÄN</t>
        </is>
      </c>
      <c r="E9495" t="inlineStr">
        <is>
          <t>ALVESTA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60010-2024</t>
        </is>
      </c>
      <c r="B9496" s="1" t="n">
        <v>45642</v>
      </c>
      <c r="C9496" s="1" t="n">
        <v>45667</v>
      </c>
      <c r="D9496" t="inlineStr">
        <is>
          <t>KRONOBERGS LÄN</t>
        </is>
      </c>
      <c r="E9496" t="inlineStr">
        <is>
          <t>VÄXJÖ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60038-2024</t>
        </is>
      </c>
      <c r="B9497" s="1" t="n">
        <v>45642</v>
      </c>
      <c r="C9497" s="1" t="n">
        <v>45667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60103-2024</t>
        </is>
      </c>
      <c r="B9498" s="1" t="n">
        <v>45642</v>
      </c>
      <c r="C9498" s="1" t="n">
        <v>45667</v>
      </c>
      <c r="D9498" t="inlineStr">
        <is>
          <t>KRONOBERGS LÄN</t>
        </is>
      </c>
      <c r="E9498" t="inlineStr">
        <is>
          <t>ÄLMHULT</t>
        </is>
      </c>
      <c r="F9498" t="inlineStr">
        <is>
          <t>Sveaskog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45667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60008-2024</t>
        </is>
      </c>
      <c r="B9500" s="1" t="n">
        <v>45642</v>
      </c>
      <c r="C9500" s="1" t="n">
        <v>45667</v>
      </c>
      <c r="D9500" t="inlineStr">
        <is>
          <t>KRONOBERGS LÄN</t>
        </is>
      </c>
      <c r="E9500" t="inlineStr">
        <is>
          <t>TINGSRYD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60113-2024</t>
        </is>
      </c>
      <c r="B9501" s="1" t="n">
        <v>45642</v>
      </c>
      <c r="C9501" s="1" t="n">
        <v>45667</v>
      </c>
      <c r="D9501" t="inlineStr">
        <is>
          <t>KRONOBERGS LÄN</t>
        </is>
      </c>
      <c r="E9501" t="inlineStr">
        <is>
          <t>LJUNGBY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60730-2024</t>
        </is>
      </c>
      <c r="B9502" s="1" t="n">
        <v>45642</v>
      </c>
      <c r="C9502" s="1" t="n">
        <v>45667</v>
      </c>
      <c r="D9502" t="inlineStr">
        <is>
          <t>KRONOBERGS LÄN</t>
        </is>
      </c>
      <c r="E9502" t="inlineStr">
        <is>
          <t>UPPVIDINGE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45667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60369-2024</t>
        </is>
      </c>
      <c r="B9504" s="1" t="n">
        <v>45643</v>
      </c>
      <c r="C9504" s="1" t="n">
        <v>45667</v>
      </c>
      <c r="D9504" t="inlineStr">
        <is>
          <t>KRONOBERGS LÄN</t>
        </is>
      </c>
      <c r="E9504" t="inlineStr">
        <is>
          <t>MARKARYD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60364-2024</t>
        </is>
      </c>
      <c r="B9505" s="1" t="n">
        <v>45643</v>
      </c>
      <c r="C9505" s="1" t="n">
        <v>45667</v>
      </c>
      <c r="D9505" t="inlineStr">
        <is>
          <t>KRONOBERGS LÄN</t>
        </is>
      </c>
      <c r="E9505" t="inlineStr">
        <is>
          <t>LJUNGBY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60381-2024</t>
        </is>
      </c>
      <c r="B9506" s="1" t="n">
        <v>45643</v>
      </c>
      <c r="C9506" s="1" t="n">
        <v>45667</v>
      </c>
      <c r="D9506" t="inlineStr">
        <is>
          <t>KRONOBERGS LÄN</t>
        </is>
      </c>
      <c r="E9506" t="inlineStr">
        <is>
          <t>MARKARYD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60291-2024</t>
        </is>
      </c>
      <c r="B9507" s="1" t="n">
        <v>45643</v>
      </c>
      <c r="C9507" s="1" t="n">
        <v>45667</v>
      </c>
      <c r="D9507" t="inlineStr">
        <is>
          <t>KRONOBERGS LÄN</t>
        </is>
      </c>
      <c r="E9507" t="inlineStr">
        <is>
          <t>ÄLMHULT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60490-2024</t>
        </is>
      </c>
      <c r="B9508" s="1" t="n">
        <v>45643</v>
      </c>
      <c r="C9508" s="1" t="n">
        <v>45667</v>
      </c>
      <c r="D9508" t="inlineStr">
        <is>
          <t>KRONOBERGS LÄN</t>
        </is>
      </c>
      <c r="E9508" t="inlineStr">
        <is>
          <t>ÄLMHULT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60338-2024</t>
        </is>
      </c>
      <c r="B9509" s="1" t="n">
        <v>45643</v>
      </c>
      <c r="C9509" s="1" t="n">
        <v>45667</v>
      </c>
      <c r="D9509" t="inlineStr">
        <is>
          <t>KRONOBERGS LÄN</t>
        </is>
      </c>
      <c r="E9509" t="inlineStr">
        <is>
          <t>LESSEBO</t>
        </is>
      </c>
      <c r="G9509" t="n">
        <v>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60354-2024</t>
        </is>
      </c>
      <c r="B9510" s="1" t="n">
        <v>45643</v>
      </c>
      <c r="C9510" s="1" t="n">
        <v>45667</v>
      </c>
      <c r="D9510" t="inlineStr">
        <is>
          <t>KRONOBERGS LÄN</t>
        </is>
      </c>
      <c r="E9510" t="inlineStr">
        <is>
          <t>UPPVIDINGE</t>
        </is>
      </c>
      <c r="G9510" t="n">
        <v>7.4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45667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60351-2024</t>
        </is>
      </c>
      <c r="B9512" s="1" t="n">
        <v>45643</v>
      </c>
      <c r="C9512" s="1" t="n">
        <v>45667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45667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45667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60744-2024</t>
        </is>
      </c>
      <c r="B9515" s="1" t="n">
        <v>45644</v>
      </c>
      <c r="C9515" s="1" t="n">
        <v>45667</v>
      </c>
      <c r="D9515" t="inlineStr">
        <is>
          <t>KRONOBERGS LÄN</t>
        </is>
      </c>
      <c r="E9515" t="inlineStr">
        <is>
          <t>TINGSRYD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60784-2024</t>
        </is>
      </c>
      <c r="B9516" s="1" t="n">
        <v>45644</v>
      </c>
      <c r="C9516" s="1" t="n">
        <v>45667</v>
      </c>
      <c r="D9516" t="inlineStr">
        <is>
          <t>KRONOBERGS LÄN</t>
        </is>
      </c>
      <c r="E9516" t="inlineStr">
        <is>
          <t>VÄXJÖ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60560-2024</t>
        </is>
      </c>
      <c r="B9517" s="1" t="n">
        <v>45644</v>
      </c>
      <c r="C9517" s="1" t="n">
        <v>45667</v>
      </c>
      <c r="D9517" t="inlineStr">
        <is>
          <t>KRONOBERGS LÄN</t>
        </is>
      </c>
      <c r="E9517" t="inlineStr">
        <is>
          <t>LJUNGBY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60599-2024</t>
        </is>
      </c>
      <c r="B9518" s="1" t="n">
        <v>45644</v>
      </c>
      <c r="C9518" s="1" t="n">
        <v>45667</v>
      </c>
      <c r="D9518" t="inlineStr">
        <is>
          <t>KRONOBERGS LÄN</t>
        </is>
      </c>
      <c r="E9518" t="inlineStr">
        <is>
          <t>UPPVIDINGE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60586-2024</t>
        </is>
      </c>
      <c r="B9519" s="1" t="n">
        <v>45644</v>
      </c>
      <c r="C9519" s="1" t="n">
        <v>45667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60593-2024</t>
        </is>
      </c>
      <c r="B9520" s="1" t="n">
        <v>45644</v>
      </c>
      <c r="C9520" s="1" t="n">
        <v>45667</v>
      </c>
      <c r="D9520" t="inlineStr">
        <is>
          <t>KRONOBERGS LÄN</t>
        </is>
      </c>
      <c r="E9520" t="inlineStr">
        <is>
          <t>UPPVIDINGE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60627-2024</t>
        </is>
      </c>
      <c r="B9521" s="1" t="n">
        <v>45644</v>
      </c>
      <c r="C9521" s="1" t="n">
        <v>45667</v>
      </c>
      <c r="D9521" t="inlineStr">
        <is>
          <t>KRONOBERGS LÄN</t>
        </is>
      </c>
      <c r="E9521" t="inlineStr">
        <is>
          <t>TINGSRYD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60733-2024</t>
        </is>
      </c>
      <c r="B9522" s="1" t="n">
        <v>45644</v>
      </c>
      <c r="C9522" s="1" t="n">
        <v>45667</v>
      </c>
      <c r="D9522" t="inlineStr">
        <is>
          <t>KRONOBERGS LÄN</t>
        </is>
      </c>
      <c r="E9522" t="inlineStr">
        <is>
          <t>VÄXJÖ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60746-2024</t>
        </is>
      </c>
      <c r="B9523" s="1" t="n">
        <v>45644</v>
      </c>
      <c r="C9523" s="1" t="n">
        <v>45667</v>
      </c>
      <c r="D9523" t="inlineStr">
        <is>
          <t>KRONOBERGS LÄN</t>
        </is>
      </c>
      <c r="E9523" t="inlineStr">
        <is>
          <t>TINGSRYD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60790-2024</t>
        </is>
      </c>
      <c r="B9524" s="1" t="n">
        <v>45644</v>
      </c>
      <c r="C9524" s="1" t="n">
        <v>45667</v>
      </c>
      <c r="D9524" t="inlineStr">
        <is>
          <t>KRONOBERGS LÄN</t>
        </is>
      </c>
      <c r="E9524" t="inlineStr">
        <is>
          <t>TINGSRYD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60841-2024</t>
        </is>
      </c>
      <c r="B9525" s="1" t="n">
        <v>45644</v>
      </c>
      <c r="C9525" s="1" t="n">
        <v>45667</v>
      </c>
      <c r="D9525" t="inlineStr">
        <is>
          <t>KRONOBERGS LÄN</t>
        </is>
      </c>
      <c r="E9525" t="inlineStr">
        <is>
          <t>ÄLMHULT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60770-2024</t>
        </is>
      </c>
      <c r="B9526" s="1" t="n">
        <v>45644</v>
      </c>
      <c r="C9526" s="1" t="n">
        <v>45667</v>
      </c>
      <c r="D9526" t="inlineStr">
        <is>
          <t>KRONOBERGS LÄN</t>
        </is>
      </c>
      <c r="E9526" t="inlineStr">
        <is>
          <t>ALVESTA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60783-2024</t>
        </is>
      </c>
      <c r="B9527" s="1" t="n">
        <v>45644</v>
      </c>
      <c r="C9527" s="1" t="n">
        <v>45667</v>
      </c>
      <c r="D9527" t="inlineStr">
        <is>
          <t>KRONOBERGS LÄN</t>
        </is>
      </c>
      <c r="E9527" t="inlineStr">
        <is>
          <t>TINGSRYD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45667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60767-2024</t>
        </is>
      </c>
      <c r="B9529" s="1" t="n">
        <v>45644</v>
      </c>
      <c r="C9529" s="1" t="n">
        <v>45667</v>
      </c>
      <c r="D9529" t="inlineStr">
        <is>
          <t>KRONOBERGS LÄN</t>
        </is>
      </c>
      <c r="E9529" t="inlineStr">
        <is>
          <t>VÄXJÖ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60815-2024</t>
        </is>
      </c>
      <c r="B9530" s="1" t="n">
        <v>45644</v>
      </c>
      <c r="C9530" s="1" t="n">
        <v>45667</v>
      </c>
      <c r="D9530" t="inlineStr">
        <is>
          <t>KRONOBERGS LÄN</t>
        </is>
      </c>
      <c r="E9530" t="inlineStr">
        <is>
          <t>VÄXJÖ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60977-2024</t>
        </is>
      </c>
      <c r="B9531" s="1" t="n">
        <v>45645</v>
      </c>
      <c r="C9531" s="1" t="n">
        <v>45667</v>
      </c>
      <c r="D9531" t="inlineStr">
        <is>
          <t>KRONOBERGS LÄN</t>
        </is>
      </c>
      <c r="E9531" t="inlineStr">
        <is>
          <t>LJUNGBY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61050-2024</t>
        </is>
      </c>
      <c r="B9532" s="1" t="n">
        <v>45645</v>
      </c>
      <c r="C9532" s="1" t="n">
        <v>45667</v>
      </c>
      <c r="D9532" t="inlineStr">
        <is>
          <t>KRONOBERGS LÄN</t>
        </is>
      </c>
      <c r="E9532" t="inlineStr">
        <is>
          <t>UPPVIDINGE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61141-2024</t>
        </is>
      </c>
      <c r="B9533" s="1" t="n">
        <v>45645</v>
      </c>
      <c r="C9533" s="1" t="n">
        <v>45667</v>
      </c>
      <c r="D9533" t="inlineStr">
        <is>
          <t>KRONOBERGS LÄN</t>
        </is>
      </c>
      <c r="E9533" t="inlineStr">
        <is>
          <t>LJUNGBY</t>
        </is>
      </c>
      <c r="G9533" t="n">
        <v>5.3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61138-2024</t>
        </is>
      </c>
      <c r="B9534" s="1" t="n">
        <v>45645</v>
      </c>
      <c r="C9534" s="1" t="n">
        <v>45667</v>
      </c>
      <c r="D9534" t="inlineStr">
        <is>
          <t>KRONOBERGS LÄN</t>
        </is>
      </c>
      <c r="E9534" t="inlineStr">
        <is>
          <t>LJUNGBY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45667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61187-2024</t>
        </is>
      </c>
      <c r="B9536" s="1" t="n">
        <v>45645</v>
      </c>
      <c r="C9536" s="1" t="n">
        <v>45667</v>
      </c>
      <c r="D9536" t="inlineStr">
        <is>
          <t>KRONOBERGS LÄN</t>
        </is>
      </c>
      <c r="E9536" t="inlineStr">
        <is>
          <t>VÄXJÖ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45667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61150-2024</t>
        </is>
      </c>
      <c r="B9538" s="1" t="n">
        <v>45645</v>
      </c>
      <c r="C9538" s="1" t="n">
        <v>45667</v>
      </c>
      <c r="D9538" t="inlineStr">
        <is>
          <t>KRONOBERGS LÄN</t>
        </is>
      </c>
      <c r="E9538" t="inlineStr">
        <is>
          <t>LJUNGBY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61193-2024</t>
        </is>
      </c>
      <c r="B9539" s="1" t="n">
        <v>45645</v>
      </c>
      <c r="C9539" s="1" t="n">
        <v>45667</v>
      </c>
      <c r="D9539" t="inlineStr">
        <is>
          <t>KRONOBERGS LÄN</t>
        </is>
      </c>
      <c r="E9539" t="inlineStr">
        <is>
          <t>VÄXJÖ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61439-2024</t>
        </is>
      </c>
      <c r="B9540" s="1" t="n">
        <v>45646</v>
      </c>
      <c r="C9540" s="1" t="n">
        <v>45667</v>
      </c>
      <c r="D9540" t="inlineStr">
        <is>
          <t>KRONOBERGS LÄN</t>
        </is>
      </c>
      <c r="E9540" t="inlineStr">
        <is>
          <t>LESSEBO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61636-2024</t>
        </is>
      </c>
      <c r="B9541" s="1" t="n">
        <v>45646</v>
      </c>
      <c r="C9541" s="1" t="n">
        <v>45667</v>
      </c>
      <c r="D9541" t="inlineStr">
        <is>
          <t>KRONOBERGS LÄN</t>
        </is>
      </c>
      <c r="E9541" t="inlineStr">
        <is>
          <t>LJUNGBY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61385-2024</t>
        </is>
      </c>
      <c r="B9542" s="1" t="n">
        <v>45646</v>
      </c>
      <c r="C9542" s="1" t="n">
        <v>45667</v>
      </c>
      <c r="D9542" t="inlineStr">
        <is>
          <t>KRONOBERGS LÄN</t>
        </is>
      </c>
      <c r="E9542" t="inlineStr">
        <is>
          <t>MARKARYD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61637-2024</t>
        </is>
      </c>
      <c r="B9543" s="1" t="n">
        <v>45646</v>
      </c>
      <c r="C9543" s="1" t="n">
        <v>45667</v>
      </c>
      <c r="D9543" t="inlineStr">
        <is>
          <t>KRONOBERGS LÄN</t>
        </is>
      </c>
      <c r="E9543" t="inlineStr">
        <is>
          <t>LJUNGBY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61657-2024</t>
        </is>
      </c>
      <c r="B9544" s="1" t="n">
        <v>45646</v>
      </c>
      <c r="C9544" s="1" t="n">
        <v>45667</v>
      </c>
      <c r="D9544" t="inlineStr">
        <is>
          <t>KRONOBERGS LÄN</t>
        </is>
      </c>
      <c r="E9544" t="inlineStr">
        <is>
          <t>TINGSRYD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61659-2024</t>
        </is>
      </c>
      <c r="B9545" s="1" t="n">
        <v>45646</v>
      </c>
      <c r="C9545" s="1" t="n">
        <v>45667</v>
      </c>
      <c r="D9545" t="inlineStr">
        <is>
          <t>KRONOBERGS LÄN</t>
        </is>
      </c>
      <c r="E9545" t="inlineStr">
        <is>
          <t>TINGSRYD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61558-2024</t>
        </is>
      </c>
      <c r="B9546" s="1" t="n">
        <v>45646</v>
      </c>
      <c r="C9546" s="1" t="n">
        <v>45667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61634-2024</t>
        </is>
      </c>
      <c r="B9547" s="1" t="n">
        <v>45646</v>
      </c>
      <c r="C9547" s="1" t="n">
        <v>45667</v>
      </c>
      <c r="D9547" t="inlineStr">
        <is>
          <t>KRONOBERGS LÄN</t>
        </is>
      </c>
      <c r="E9547" t="inlineStr">
        <is>
          <t>LJUNGBY</t>
        </is>
      </c>
      <c r="G9547" t="n">
        <v>3.1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45667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61844-2024</t>
        </is>
      </c>
      <c r="B9549" s="1" t="n">
        <v>45649</v>
      </c>
      <c r="C9549" s="1" t="n">
        <v>45667</v>
      </c>
      <c r="D9549" t="inlineStr">
        <is>
          <t>KRONOBERGS LÄN</t>
        </is>
      </c>
      <c r="E9549" t="inlineStr">
        <is>
          <t>VÄXJÖ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144-2025</t>
        </is>
      </c>
      <c r="B9550" s="1" t="n">
        <v>45649</v>
      </c>
      <c r="C9550" s="1" t="n">
        <v>45667</v>
      </c>
      <c r="D9550" t="inlineStr">
        <is>
          <t>KRONOBERGS LÄN</t>
        </is>
      </c>
      <c r="E9550" t="inlineStr">
        <is>
          <t>UPPVIDINGE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149-2025</t>
        </is>
      </c>
      <c r="B9551" s="1" t="n">
        <v>45649</v>
      </c>
      <c r="C9551" s="1" t="n">
        <v>45667</v>
      </c>
      <c r="D9551" t="inlineStr">
        <is>
          <t>KRONOBERGS LÄN</t>
        </is>
      </c>
      <c r="E9551" t="inlineStr">
        <is>
          <t>VÄXJÖ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61843-2024</t>
        </is>
      </c>
      <c r="B9552" s="1" t="n">
        <v>45649</v>
      </c>
      <c r="C9552" s="1" t="n">
        <v>45667</v>
      </c>
      <c r="D9552" t="inlineStr">
        <is>
          <t>KRONOBERGS LÄN</t>
        </is>
      </c>
      <c r="E9552" t="inlineStr">
        <is>
          <t>UPPVIDINGE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157-2025</t>
        </is>
      </c>
      <c r="B9553" s="1" t="n">
        <v>45649</v>
      </c>
      <c r="C9553" s="1" t="n">
        <v>45667</v>
      </c>
      <c r="D9553" t="inlineStr">
        <is>
          <t>KRONOBERGS LÄN</t>
        </is>
      </c>
      <c r="E9553" t="inlineStr">
        <is>
          <t>UPPVIDINGE</t>
        </is>
      </c>
      <c r="G9553" t="n">
        <v>8.9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61931-2024</t>
        </is>
      </c>
      <c r="B9554" s="1" t="n">
        <v>45653</v>
      </c>
      <c r="C9554" s="1" t="n">
        <v>45667</v>
      </c>
      <c r="D9554" t="inlineStr">
        <is>
          <t>KRONOBERGS LÄN</t>
        </is>
      </c>
      <c r="E9554" t="inlineStr">
        <is>
          <t>UPPVIDINGE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61970-2024</t>
        </is>
      </c>
      <c r="B9555" s="1" t="n">
        <v>45653</v>
      </c>
      <c r="C9555" s="1" t="n">
        <v>45667</v>
      </c>
      <c r="D9555" t="inlineStr">
        <is>
          <t>KRONOBERGS LÄN</t>
        </is>
      </c>
      <c r="E9555" t="inlineStr">
        <is>
          <t>ÄLMHULT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61929-2024</t>
        </is>
      </c>
      <c r="B9556" s="1" t="n">
        <v>45653</v>
      </c>
      <c r="C9556" s="1" t="n">
        <v>45667</v>
      </c>
      <c r="D9556" t="inlineStr">
        <is>
          <t>KRONOBERGS LÄN</t>
        </is>
      </c>
      <c r="E9556" t="inlineStr">
        <is>
          <t>UPPVIDINGE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61967-2024</t>
        </is>
      </c>
      <c r="B9557" s="1" t="n">
        <v>45653</v>
      </c>
      <c r="C9557" s="1" t="n">
        <v>45667</v>
      </c>
      <c r="D9557" t="inlineStr">
        <is>
          <t>KRONOBERGS LÄN</t>
        </is>
      </c>
      <c r="E9557" t="inlineStr">
        <is>
          <t>LJUNGBY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61971-2024</t>
        </is>
      </c>
      <c r="B9558" s="1" t="n">
        <v>45653</v>
      </c>
      <c r="C9558" s="1" t="n">
        <v>45667</v>
      </c>
      <c r="D9558" t="inlineStr">
        <is>
          <t>KRONOBERGS LÄN</t>
        </is>
      </c>
      <c r="E9558" t="inlineStr">
        <is>
          <t>ÄLMHULT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61996-2024</t>
        </is>
      </c>
      <c r="B9559" s="1" t="n">
        <v>45653</v>
      </c>
      <c r="C9559" s="1" t="n">
        <v>45667</v>
      </c>
      <c r="D9559" t="inlineStr">
        <is>
          <t>KRONOBERGS LÄN</t>
        </is>
      </c>
      <c r="E9559" t="inlineStr">
        <is>
          <t>VÄXJÖ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45667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61968-2024</t>
        </is>
      </c>
      <c r="B9561" s="1" t="n">
        <v>45653</v>
      </c>
      <c r="C9561" s="1" t="n">
        <v>45667</v>
      </c>
      <c r="D9561" t="inlineStr">
        <is>
          <t>KRONOBERGS LÄN</t>
        </is>
      </c>
      <c r="E9561" t="inlineStr">
        <is>
          <t>ÄLMHULT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45667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62154-2024</t>
        </is>
      </c>
      <c r="B9563" s="1" t="n">
        <v>45656</v>
      </c>
      <c r="C9563" s="1" t="n">
        <v>45667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45667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45667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62158-2024</t>
        </is>
      </c>
      <c r="B9566" s="1" t="n">
        <v>45656</v>
      </c>
      <c r="C9566" s="1" t="n">
        <v>45667</v>
      </c>
      <c r="D9566" t="inlineStr">
        <is>
          <t>KRONOBERGS LÄN</t>
        </is>
      </c>
      <c r="E9566" t="inlineStr">
        <is>
          <t>LJUNGBY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45667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45667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418-2025</t>
        </is>
      </c>
      <c r="B9569" s="1" t="n">
        <v>45663</v>
      </c>
      <c r="C9569" s="1" t="n">
        <v>45667</v>
      </c>
      <c r="D9569" t="inlineStr">
        <is>
          <t>KRONOBERGS LÄN</t>
        </is>
      </c>
      <c r="E9569" t="inlineStr">
        <is>
          <t>ÄLMHULT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408-2025</t>
        </is>
      </c>
      <c r="B9570" s="1" t="n">
        <v>45663</v>
      </c>
      <c r="C9570" s="1" t="n">
        <v>45667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412-2025</t>
        </is>
      </c>
      <c r="B9571" s="1" t="n">
        <v>45663</v>
      </c>
      <c r="C9571" s="1" t="n">
        <v>45667</v>
      </c>
      <c r="D9571" t="inlineStr">
        <is>
          <t>KRONOBERGS LÄN</t>
        </is>
      </c>
      <c r="E9571" t="inlineStr">
        <is>
          <t>MARKARYD</t>
        </is>
      </c>
      <c r="G9571" t="n">
        <v>0.3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416-2025</t>
        </is>
      </c>
      <c r="B9572" s="1" t="n">
        <v>45663</v>
      </c>
      <c r="C9572" s="1" t="n">
        <v>45667</v>
      </c>
      <c r="D9572" t="inlineStr">
        <is>
          <t>KRONOBERGS LÄN</t>
        </is>
      </c>
      <c r="E9572" t="inlineStr">
        <is>
          <t>ÄLMHULT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413-2025</t>
        </is>
      </c>
      <c r="B9573" s="1" t="n">
        <v>45663</v>
      </c>
      <c r="C9573" s="1" t="n">
        <v>45667</v>
      </c>
      <c r="D9573" t="inlineStr">
        <is>
          <t>KRONOBERGS LÄN</t>
        </is>
      </c>
      <c r="E9573" t="inlineStr">
        <is>
          <t>ÄLMHULT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525-2025</t>
        </is>
      </c>
      <c r="B9574" s="1" t="n">
        <v>45664</v>
      </c>
      <c r="C9574" s="1" t="n">
        <v>45667</v>
      </c>
      <c r="D9574" t="inlineStr">
        <is>
          <t>KRONOBERGS LÄN</t>
        </is>
      </c>
      <c r="E9574" t="inlineStr">
        <is>
          <t>TINGSRYD</t>
        </is>
      </c>
      <c r="G9574" t="n">
        <v>4.6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581-2025</t>
        </is>
      </c>
      <c r="B9575" s="1" t="n">
        <v>45664</v>
      </c>
      <c r="C9575" s="1" t="n">
        <v>45667</v>
      </c>
      <c r="D9575" t="inlineStr">
        <is>
          <t>KRONOBERGS LÄN</t>
        </is>
      </c>
      <c r="E9575" t="inlineStr">
        <is>
          <t>UPPVIDINGE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683-2025</t>
        </is>
      </c>
      <c r="B9576" s="1" t="n">
        <v>45665</v>
      </c>
      <c r="C9576" s="1" t="n">
        <v>45667</v>
      </c>
      <c r="D9576" t="inlineStr">
        <is>
          <t>KRONOBERGS LÄN</t>
        </is>
      </c>
      <c r="E9576" t="inlineStr">
        <is>
          <t>ALVESTA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640-2025</t>
        </is>
      </c>
      <c r="B9577" s="1" t="n">
        <v>45664</v>
      </c>
      <c r="C9577" s="1" t="n">
        <v>45667</v>
      </c>
      <c r="D9577" t="inlineStr">
        <is>
          <t>KRONOBERGS LÄN</t>
        </is>
      </c>
      <c r="E9577" t="inlineStr">
        <is>
          <t>UPPVIDINGE</t>
        </is>
      </c>
      <c r="G9577" t="n">
        <v>5.6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913-2025</t>
        </is>
      </c>
      <c r="B9578" s="1" t="n">
        <v>45664</v>
      </c>
      <c r="C9578" s="1" t="n">
        <v>45667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914-2025</t>
        </is>
      </c>
      <c r="B9579" s="1" t="n">
        <v>45664</v>
      </c>
      <c r="C9579" s="1" t="n">
        <v>45667</v>
      </c>
      <c r="D9579" t="inlineStr">
        <is>
          <t>KRONOBERGS LÄN</t>
        </is>
      </c>
      <c r="E9579" t="inlineStr">
        <is>
          <t>UPPVIDINGE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915-2025</t>
        </is>
      </c>
      <c r="B9580" s="1" t="n">
        <v>45664</v>
      </c>
      <c r="C9580" s="1" t="n">
        <v>45667</v>
      </c>
      <c r="D9580" t="inlineStr">
        <is>
          <t>KRONOBERGS LÄN</t>
        </is>
      </c>
      <c r="E9580" t="inlineStr">
        <is>
          <t>UPPVIDINGE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607-2025</t>
        </is>
      </c>
      <c r="B9581" s="1" t="n">
        <v>45664</v>
      </c>
      <c r="C9581" s="1" t="n">
        <v>45667</v>
      </c>
      <c r="D9581" t="inlineStr">
        <is>
          <t>KRONOBERGS LÄN</t>
        </is>
      </c>
      <c r="E9581" t="inlineStr">
        <is>
          <t>LESSEBO</t>
        </is>
      </c>
      <c r="F9581" t="inlineStr">
        <is>
          <t>Sveaskog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763-2025</t>
        </is>
      </c>
      <c r="B9582" s="1" t="n">
        <v>45665</v>
      </c>
      <c r="C9582" s="1" t="n">
        <v>45667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870-2025</t>
        </is>
      </c>
      <c r="B9583" s="1" t="n">
        <v>45665</v>
      </c>
      <c r="C9583" s="1" t="n">
        <v>45667</v>
      </c>
      <c r="D9583" t="inlineStr">
        <is>
          <t>KRONOBERGS LÄN</t>
        </is>
      </c>
      <c r="E9583" t="inlineStr">
        <is>
          <t>VÄXJÖ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890-2025</t>
        </is>
      </c>
      <c r="B9584" s="1" t="n">
        <v>45665</v>
      </c>
      <c r="C9584" s="1" t="n">
        <v>45667</v>
      </c>
      <c r="D9584" t="inlineStr">
        <is>
          <t>KRONOBERGS LÄN</t>
        </is>
      </c>
      <c r="E9584" t="inlineStr">
        <is>
          <t>VÄXJÖ</t>
        </is>
      </c>
      <c r="G9584" t="n">
        <v>12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843-2025</t>
        </is>
      </c>
      <c r="B9585" s="1" t="n">
        <v>45665</v>
      </c>
      <c r="C9585" s="1" t="n">
        <v>45667</v>
      </c>
      <c r="D9585" t="inlineStr">
        <is>
          <t>KRONOBERGS LÄN</t>
        </is>
      </c>
      <c r="E9585" t="inlineStr">
        <is>
          <t>VÄXJÖ</t>
        </is>
      </c>
      <c r="G9585" t="n">
        <v>4.9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859-2025</t>
        </is>
      </c>
      <c r="B9586" s="1" t="n">
        <v>45665</v>
      </c>
      <c r="C9586" s="1" t="n">
        <v>45667</v>
      </c>
      <c r="D9586" t="inlineStr">
        <is>
          <t>KRONOBERGS LÄN</t>
        </is>
      </c>
      <c r="E9586" t="inlineStr">
        <is>
          <t>LESSEBO</t>
        </is>
      </c>
      <c r="F9586" t="inlineStr">
        <is>
          <t>Sveaskog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887-2025</t>
        </is>
      </c>
      <c r="B9587" s="1" t="n">
        <v>45665</v>
      </c>
      <c r="C9587" s="1" t="n">
        <v>45667</v>
      </c>
      <c r="D9587" t="inlineStr">
        <is>
          <t>KRONOBERGS LÄN</t>
        </is>
      </c>
      <c r="E9587" t="inlineStr">
        <is>
          <t>VÄXJÖ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994-2025</t>
        </is>
      </c>
      <c r="B9588" s="1" t="n">
        <v>45666</v>
      </c>
      <c r="C9588" s="1" t="n">
        <v>45667</v>
      </c>
      <c r="D9588" t="inlineStr">
        <is>
          <t>KRONOBERGS LÄN</t>
        </is>
      </c>
      <c r="E9588" t="inlineStr">
        <is>
          <t>ALVESTA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939-2025</t>
        </is>
      </c>
      <c r="B9589" s="1" t="n">
        <v>45666</v>
      </c>
      <c r="C9589" s="1" t="n">
        <v>45667</v>
      </c>
      <c r="D9589" t="inlineStr">
        <is>
          <t>KRONOBERGS LÄN</t>
        </is>
      </c>
      <c r="E9589" t="inlineStr">
        <is>
          <t>UPPVIDINGE</t>
        </is>
      </c>
      <c r="G9589" t="n">
        <v>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1142-2025</t>
        </is>
      </c>
      <c r="B9590" s="1" t="n">
        <v>45666</v>
      </c>
      <c r="C9590" s="1" t="n">
        <v>45667</v>
      </c>
      <c r="D9590" t="inlineStr">
        <is>
          <t>KRONOBERGS LÄN</t>
        </is>
      </c>
      <c r="E9590" t="inlineStr">
        <is>
          <t>MARKARYD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1137-2025</t>
        </is>
      </c>
      <c r="B9591" s="1" t="n">
        <v>45666</v>
      </c>
      <c r="C9591" s="1" t="n">
        <v>45667</v>
      </c>
      <c r="D9591" t="inlineStr">
        <is>
          <t>KRONOBERGS LÄN</t>
        </is>
      </c>
      <c r="E9591" t="inlineStr">
        <is>
          <t>MARKARYD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>
      <c r="A9592" t="inlineStr">
        <is>
          <t>A 1144-2025</t>
        </is>
      </c>
      <c r="B9592" s="1" t="n">
        <v>45666</v>
      </c>
      <c r="C9592" s="1" t="n">
        <v>45667</v>
      </c>
      <c r="D9592" t="inlineStr">
        <is>
          <t>KRONOBERGS LÄN</t>
        </is>
      </c>
      <c r="E9592" t="inlineStr">
        <is>
          <t>MARKARYD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2025-01-10T16:11:05Z</dcterms:created>
  <dcterms:modified xmlns:dcterms="http://purl.org/dc/terms/" xmlns:xsi="http://www.w3.org/2001/XMLSchema-instance" xsi:type="dcterms:W3CDTF">2025-01-10T16:11:20Z</dcterms:modified>
</cp:coreProperties>
</file>