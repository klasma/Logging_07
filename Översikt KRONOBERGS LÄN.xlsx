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45835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45835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45835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45835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45835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45835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45835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45835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45835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45835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45835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45835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45835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45835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45835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45835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45835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45835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45835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45835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45835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45835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45835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45835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45835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45835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45835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45835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45835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45835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45835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45835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45835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45835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45835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45835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45835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45835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45835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45835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45835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45835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45835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45835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45835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45835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45835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45835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45835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45835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45835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45835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45835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45835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45835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45835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45835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45835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45835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45835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45835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45835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45835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45835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45835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45835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45835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45835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45835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45835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45835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45835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45835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45835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45835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45835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45835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45835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45835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45835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45835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45835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45835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45835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45835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45835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45835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45835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45835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45835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45835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45835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45835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45835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45835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45835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45835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45835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45835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45835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45835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45835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45835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45835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45835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45835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45835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45835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22545-2025</t>
        </is>
      </c>
      <c r="B136" s="1" t="n">
        <v>45788</v>
      </c>
      <c r="C136" s="1" t="n">
        <v>45835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Thomsons trägnagare
Vågbandad barkbock</t>
        </is>
      </c>
      <c r="S136">
        <f>HYPERLINK("https://klasma.github.io/Logging_070780/artfynd/A 22545-2025 artfynd.xlsx", "A 22545-2025")</f>
        <v/>
      </c>
      <c r="T136">
        <f>HYPERLINK("https://klasma.github.io/Logging_070780/kartor/A 22545-2025 karta.png", "A 22545-2025")</f>
        <v/>
      </c>
      <c r="V136">
        <f>HYPERLINK("https://klasma.github.io/Logging_070780/klagomål/A 22545-2025 FSC-klagomål.docx", "A 22545-2025")</f>
        <v/>
      </c>
      <c r="W136">
        <f>HYPERLINK("https://klasma.github.io/Logging_070780/klagomålsmail/A 22545-2025 FSC-klagomål mail.docx", "A 22545-2025")</f>
        <v/>
      </c>
      <c r="X136">
        <f>HYPERLINK("https://klasma.github.io/Logging_070780/tillsyn/A 22545-2025 tillsynsbegäran.docx", "A 22545-2025")</f>
        <v/>
      </c>
      <c r="Y136">
        <f>HYPERLINK("https://klasma.github.io/Logging_070780/tillsynsmail/A 22545-2025 tillsynsbegäran mail.docx", "A 22545-2025")</f>
        <v/>
      </c>
    </row>
    <row r="137" ht="15" customHeight="1">
      <c r="A137" t="inlineStr">
        <is>
          <t>A 25812-2025</t>
        </is>
      </c>
      <c r="B137" s="1" t="n">
        <v>45804</v>
      </c>
      <c r="C137" s="1" t="n">
        <v>45835</v>
      </c>
      <c r="D137" t="inlineStr">
        <is>
          <t>KRONOBERGS LÄN</t>
        </is>
      </c>
      <c r="E137" t="inlineStr">
        <is>
          <t>ALVESTA</t>
        </is>
      </c>
      <c r="G137" t="n">
        <v>3.2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Loppstarr
Ängsstarr</t>
        </is>
      </c>
      <c r="S137">
        <f>HYPERLINK("https://klasma.github.io/Logging_070764/artfynd/A 25812-2025 artfynd.xlsx", "A 25812-2025")</f>
        <v/>
      </c>
      <c r="T137">
        <f>HYPERLINK("https://klasma.github.io/Logging_070764/kartor/A 25812-2025 karta.png", "A 25812-2025")</f>
        <v/>
      </c>
      <c r="V137">
        <f>HYPERLINK("https://klasma.github.io/Logging_070764/klagomål/A 25812-2025 FSC-klagomål.docx", "A 25812-2025")</f>
        <v/>
      </c>
      <c r="W137">
        <f>HYPERLINK("https://klasma.github.io/Logging_070764/klagomålsmail/A 25812-2025 FSC-klagomål mail.docx", "A 25812-2025")</f>
        <v/>
      </c>
      <c r="X137">
        <f>HYPERLINK("https://klasma.github.io/Logging_070764/tillsyn/A 25812-2025 tillsynsbegäran.docx", "A 25812-2025")</f>
        <v/>
      </c>
      <c r="Y137">
        <f>HYPERLINK("https://klasma.github.io/Logging_070764/tillsynsmail/A 25812-2025 tillsynsbegäran mail.docx", "A 25812-2025")</f>
        <v/>
      </c>
    </row>
    <row r="138" ht="15" customHeight="1">
      <c r="A138" t="inlineStr">
        <is>
          <t>A 26756-2025</t>
        </is>
      </c>
      <c r="B138" s="1" t="n">
        <v>45810</v>
      </c>
      <c r="C138" s="1" t="n">
        <v>45835</v>
      </c>
      <c r="D138" t="inlineStr">
        <is>
          <t>KRONOBERGS LÄN</t>
        </is>
      </c>
      <c r="E138" t="inlineStr">
        <is>
          <t>TINGSRYD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Slåttergubbe
Fläcknycklar</t>
        </is>
      </c>
      <c r="S138">
        <f>HYPERLINK("https://klasma.github.io/Logging_070763/artfynd/A 26756-2025 artfynd.xlsx", "A 26756-2025")</f>
        <v/>
      </c>
      <c r="T138">
        <f>HYPERLINK("https://klasma.github.io/Logging_070763/kartor/A 26756-2025 karta.png", "A 26756-2025")</f>
        <v/>
      </c>
      <c r="V138">
        <f>HYPERLINK("https://klasma.github.io/Logging_070763/klagomål/A 26756-2025 FSC-klagomål.docx", "A 26756-2025")</f>
        <v/>
      </c>
      <c r="W138">
        <f>HYPERLINK("https://klasma.github.io/Logging_070763/klagomålsmail/A 26756-2025 FSC-klagomål mail.docx", "A 26756-2025")</f>
        <v/>
      </c>
      <c r="X138">
        <f>HYPERLINK("https://klasma.github.io/Logging_070763/tillsyn/A 26756-2025 tillsynsbegäran.docx", "A 26756-2025")</f>
        <v/>
      </c>
      <c r="Y138">
        <f>HYPERLINK("https://klasma.github.io/Logging_070763/tillsynsmail/A 26756-2025 tillsynsbegäran mail.docx", "A 26756-2025")</f>
        <v/>
      </c>
    </row>
    <row r="139" ht="15" customHeight="1">
      <c r="A139" t="inlineStr">
        <is>
          <t>A 29988-2025</t>
        </is>
      </c>
      <c r="B139" s="1" t="n">
        <v>45826</v>
      </c>
      <c r="C139" s="1" t="n">
        <v>45835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2</v>
      </c>
      <c r="L139" t="n">
        <v>0</v>
      </c>
      <c r="M139" t="n">
        <v>0</v>
      </c>
      <c r="N139" t="n">
        <v>0</v>
      </c>
      <c r="O139" t="n">
        <v>2</v>
      </c>
      <c r="P139" t="n">
        <v>2</v>
      </c>
      <c r="Q139" t="n">
        <v>2</v>
      </c>
      <c r="R139" s="2" t="inlineStr">
        <is>
          <t>Slåttergubbe
Slåttergubbemal</t>
        </is>
      </c>
      <c r="S139">
        <f>HYPERLINK("https://klasma.github.io/Logging_070760/artfynd/A 29988-2025 artfynd.xlsx", "A 29988-2025")</f>
        <v/>
      </c>
      <c r="T139">
        <f>HYPERLINK("https://klasma.github.io/Logging_070760/kartor/A 29988-2025 karta.png", "A 29988-2025")</f>
        <v/>
      </c>
      <c r="V139">
        <f>HYPERLINK("https://klasma.github.io/Logging_070760/klagomål/A 29988-2025 FSC-klagomål.docx", "A 29988-2025")</f>
        <v/>
      </c>
      <c r="W139">
        <f>HYPERLINK("https://klasma.github.io/Logging_070760/klagomålsmail/A 29988-2025 FSC-klagomål mail.docx", "A 29988-2025")</f>
        <v/>
      </c>
      <c r="X139">
        <f>HYPERLINK("https://klasma.github.io/Logging_070760/tillsyn/A 29988-2025 tillsynsbegäran.docx", "A 29988-2025")</f>
        <v/>
      </c>
      <c r="Y139">
        <f>HYPERLINK("https://klasma.github.io/Logging_070760/tillsynsmail/A 29988-2025 tillsynsbegäran mail.docx", "A 29988-2025")</f>
        <v/>
      </c>
    </row>
    <row r="140" ht="15" customHeight="1">
      <c r="A140" t="inlineStr">
        <is>
          <t>A 18590-2019</t>
        </is>
      </c>
      <c r="B140" s="1" t="n">
        <v>43560</v>
      </c>
      <c r="C140" s="1" t="n">
        <v>45835</v>
      </c>
      <c r="D140" t="inlineStr">
        <is>
          <t>KRONOBERGS LÄN</t>
        </is>
      </c>
      <c r="E140" t="inlineStr">
        <is>
          <t>ALVESTA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Gropticka</t>
        </is>
      </c>
      <c r="S140">
        <f>HYPERLINK("https://klasma.github.io/Logging_0764/artfynd/A 18590-2019 artfynd.xlsx", "A 18590-2019")</f>
        <v/>
      </c>
      <c r="T140">
        <f>HYPERLINK("https://klasma.github.io/Logging_0764/kartor/A 18590-2019 karta.png", "A 18590-2019")</f>
        <v/>
      </c>
      <c r="V140">
        <f>HYPERLINK("https://klasma.github.io/Logging_0764/klagomål/A 18590-2019 FSC-klagomål.docx", "A 18590-2019")</f>
        <v/>
      </c>
      <c r="W140">
        <f>HYPERLINK("https://klasma.github.io/Logging_0764/klagomålsmail/A 18590-2019 FSC-klagomål mail.docx", "A 18590-2019")</f>
        <v/>
      </c>
      <c r="X140">
        <f>HYPERLINK("https://klasma.github.io/Logging_0764/tillsyn/A 18590-2019 tillsynsbegäran.docx", "A 18590-2019")</f>
        <v/>
      </c>
      <c r="Y140">
        <f>HYPERLINK("https://klasma.github.io/Logging_0764/tillsynsmail/A 18590-2019 tillsynsbegäran mail.docx", "A 18590-2019")</f>
        <v/>
      </c>
    </row>
    <row r="141" ht="15" customHeight="1">
      <c r="A141" t="inlineStr">
        <is>
          <t>A 22170-2019</t>
        </is>
      </c>
      <c r="B141" s="1" t="n">
        <v>43585</v>
      </c>
      <c r="C141" s="1" t="n">
        <v>45835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HYPERLINK("https://klasma.github.io/Logging_0763/artfynd/A 22170-2019 artfynd.xlsx", "A 22170-2019")</f>
        <v/>
      </c>
      <c r="T141">
        <f>HYPERLINK("https://klasma.github.io/Logging_0763/kartor/A 22170-2019 karta.png", "A 22170-2019")</f>
        <v/>
      </c>
      <c r="V141">
        <f>HYPERLINK("https://klasma.github.io/Logging_0763/klagomål/A 22170-2019 FSC-klagomål.docx", "A 22170-2019")</f>
        <v/>
      </c>
      <c r="W141">
        <f>HYPERLINK("https://klasma.github.io/Logging_0763/klagomålsmail/A 22170-2019 FSC-klagomål mail.docx", "A 22170-2019")</f>
        <v/>
      </c>
      <c r="X141">
        <f>HYPERLINK("https://klasma.github.io/Logging_0763/tillsyn/A 22170-2019 tillsynsbegäran.docx", "A 22170-2019")</f>
        <v/>
      </c>
      <c r="Y141">
        <f>HYPERLINK("https://klasma.github.io/Logging_0763/tillsynsmail/A 22170-2019 tillsynsbegäran mail.docx", "A 22170-2019")</f>
        <v/>
      </c>
    </row>
    <row r="142" ht="15" customHeight="1">
      <c r="A142" t="inlineStr">
        <is>
          <t>A 22980-2019</t>
        </is>
      </c>
      <c r="B142" s="1" t="n">
        <v>43591</v>
      </c>
      <c r="C142" s="1" t="n">
        <v>45835</v>
      </c>
      <c r="D142" t="inlineStr">
        <is>
          <t>KRONOBERGS LÄN</t>
        </is>
      </c>
      <c r="E142" t="inlineStr">
        <is>
          <t>ALVESTA</t>
        </is>
      </c>
      <c r="G142" t="n">
        <v>4.9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Svinrot</t>
        </is>
      </c>
      <c r="S142">
        <f>HYPERLINK("https://klasma.github.io/Logging_0764/artfynd/A 22980-2019 artfynd.xlsx", "A 22980-2019")</f>
        <v/>
      </c>
      <c r="T142">
        <f>HYPERLINK("https://klasma.github.io/Logging_0764/kartor/A 22980-2019 karta.png", "A 22980-2019")</f>
        <v/>
      </c>
      <c r="V142">
        <f>HYPERLINK("https://klasma.github.io/Logging_0764/klagomål/A 22980-2019 FSC-klagomål.docx", "A 22980-2019")</f>
        <v/>
      </c>
      <c r="W142">
        <f>HYPERLINK("https://klasma.github.io/Logging_0764/klagomålsmail/A 22980-2019 FSC-klagomål mail.docx", "A 22980-2019")</f>
        <v/>
      </c>
      <c r="X142">
        <f>HYPERLINK("https://klasma.github.io/Logging_0764/tillsyn/A 22980-2019 tillsynsbegäran.docx", "A 22980-2019")</f>
        <v/>
      </c>
      <c r="Y142">
        <f>HYPERLINK("https://klasma.github.io/Logging_0764/tillsynsmail/A 22980-2019 tillsynsbegäran mail.docx", "A 22980-2019")</f>
        <v/>
      </c>
    </row>
    <row r="143" ht="15" customHeight="1">
      <c r="A143" t="inlineStr">
        <is>
          <t>A 26557-2019</t>
        </is>
      </c>
      <c r="B143" s="1" t="n">
        <v>43612</v>
      </c>
      <c r="C143" s="1" t="n">
        <v>45835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Silkesslidskivling</t>
        </is>
      </c>
      <c r="S143">
        <f>HYPERLINK("https://klasma.github.io/Logging_0764/artfynd/A 26557-2019 artfynd.xlsx", "A 26557-2019")</f>
        <v/>
      </c>
      <c r="T143">
        <f>HYPERLINK("https://klasma.github.io/Logging_0764/kartor/A 26557-2019 karta.png", "A 26557-2019")</f>
        <v/>
      </c>
      <c r="V143">
        <f>HYPERLINK("https://klasma.github.io/Logging_0764/klagomål/A 26557-2019 FSC-klagomål.docx", "A 26557-2019")</f>
        <v/>
      </c>
      <c r="W143">
        <f>HYPERLINK("https://klasma.github.io/Logging_0764/klagomålsmail/A 26557-2019 FSC-klagomål mail.docx", "A 26557-2019")</f>
        <v/>
      </c>
      <c r="X143">
        <f>HYPERLINK("https://klasma.github.io/Logging_0764/tillsyn/A 26557-2019 tillsynsbegäran.docx", "A 26557-2019")</f>
        <v/>
      </c>
      <c r="Y143">
        <f>HYPERLINK("https://klasma.github.io/Logging_0764/tillsynsmail/A 26557-2019 tillsynsbegäran mail.docx", "A 26557-2019")</f>
        <v/>
      </c>
    </row>
    <row r="144" ht="15" customHeight="1">
      <c r="A144" t="inlineStr">
        <is>
          <t>A 29192-2019</t>
        </is>
      </c>
      <c r="B144" s="1" t="n">
        <v>43623</v>
      </c>
      <c r="C144" s="1" t="n">
        <v>45835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Blomkålssvamp</t>
        </is>
      </c>
      <c r="S144">
        <f>HYPERLINK("https://klasma.github.io/Logging_0760/artfynd/A 29192-2019 artfynd.xlsx", "A 29192-2019")</f>
        <v/>
      </c>
      <c r="T144">
        <f>HYPERLINK("https://klasma.github.io/Logging_0760/kartor/A 29192-2019 karta.png", "A 29192-2019")</f>
        <v/>
      </c>
      <c r="V144">
        <f>HYPERLINK("https://klasma.github.io/Logging_0760/klagomål/A 29192-2019 FSC-klagomål.docx", "A 29192-2019")</f>
        <v/>
      </c>
      <c r="W144">
        <f>HYPERLINK("https://klasma.github.io/Logging_0760/klagomålsmail/A 29192-2019 FSC-klagomål mail.docx", "A 29192-2019")</f>
        <v/>
      </c>
      <c r="X144">
        <f>HYPERLINK("https://klasma.github.io/Logging_0760/tillsyn/A 29192-2019 tillsynsbegäran.docx", "A 29192-2019")</f>
        <v/>
      </c>
      <c r="Y144">
        <f>HYPERLINK("https://klasma.github.io/Logging_0760/tillsynsmail/A 29192-2019 tillsynsbegäran mail.docx", "A 29192-2019")</f>
        <v/>
      </c>
    </row>
    <row r="145" ht="15" customHeight="1">
      <c r="A145" t="inlineStr">
        <is>
          <t>A 32517-2019</t>
        </is>
      </c>
      <c r="B145" s="1" t="n">
        <v>43646</v>
      </c>
      <c r="C145" s="1" t="n">
        <v>45835</v>
      </c>
      <c r="D145" t="inlineStr">
        <is>
          <t>KRONOBERGS LÄN</t>
        </is>
      </c>
      <c r="E145" t="inlineStr">
        <is>
          <t>VÄXJÖ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HYPERLINK("https://klasma.github.io/Logging_0780/artfynd/A 32517-2019 artfynd.xlsx", "A 32517-2019")</f>
        <v/>
      </c>
      <c r="T145">
        <f>HYPERLINK("https://klasma.github.io/Logging_0780/kartor/A 32517-2019 karta.png", "A 32517-2019")</f>
        <v/>
      </c>
      <c r="V145">
        <f>HYPERLINK("https://klasma.github.io/Logging_0780/klagomål/A 32517-2019 FSC-klagomål.docx", "A 32517-2019")</f>
        <v/>
      </c>
      <c r="W145">
        <f>HYPERLINK("https://klasma.github.io/Logging_0780/klagomålsmail/A 32517-2019 FSC-klagomål mail.docx", "A 32517-2019")</f>
        <v/>
      </c>
      <c r="X145">
        <f>HYPERLINK("https://klasma.github.io/Logging_0780/tillsyn/A 32517-2019 tillsynsbegäran.docx", "A 32517-2019")</f>
        <v/>
      </c>
      <c r="Y145">
        <f>HYPERLINK("https://klasma.github.io/Logging_0780/tillsynsmail/A 32517-2019 tillsynsbegäran mail.docx", "A 32517-2019")</f>
        <v/>
      </c>
    </row>
    <row r="146" ht="15" customHeight="1">
      <c r="A146" t="inlineStr">
        <is>
          <t>A 38428-2019</t>
        </is>
      </c>
      <c r="B146" s="1" t="n">
        <v>43685</v>
      </c>
      <c r="C146" s="1" t="n">
        <v>45835</v>
      </c>
      <c r="D146" t="inlineStr">
        <is>
          <t>KRONOBERGS LÄN</t>
        </is>
      </c>
      <c r="E146" t="inlineStr">
        <is>
          <t>UPPVIDINGE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HYPERLINK("https://klasma.github.io/Logging_0760/artfynd/A 38428-2019 artfynd.xlsx", "A 38428-2019")</f>
        <v/>
      </c>
      <c r="T146">
        <f>HYPERLINK("https://klasma.github.io/Logging_0760/kartor/A 38428-2019 karta.png", "A 38428-2019")</f>
        <v/>
      </c>
      <c r="V146">
        <f>HYPERLINK("https://klasma.github.io/Logging_0760/klagomål/A 38428-2019 FSC-klagomål.docx", "A 38428-2019")</f>
        <v/>
      </c>
      <c r="W146">
        <f>HYPERLINK("https://klasma.github.io/Logging_0760/klagomålsmail/A 38428-2019 FSC-klagomål mail.docx", "A 38428-2019")</f>
        <v/>
      </c>
      <c r="X146">
        <f>HYPERLINK("https://klasma.github.io/Logging_0760/tillsyn/A 38428-2019 tillsynsbegäran.docx", "A 38428-2019")</f>
        <v/>
      </c>
      <c r="Y146">
        <f>HYPERLINK("https://klasma.github.io/Logging_0760/tillsynsmail/A 38428-2019 tillsynsbegäran mail.docx", "A 38428-2019")</f>
        <v/>
      </c>
    </row>
    <row r="147" ht="15" customHeight="1">
      <c r="A147" t="inlineStr">
        <is>
          <t>A 40952-2019</t>
        </is>
      </c>
      <c r="B147" s="1" t="n">
        <v>43696</v>
      </c>
      <c r="C147" s="1" t="n">
        <v>45835</v>
      </c>
      <c r="D147" t="inlineStr">
        <is>
          <t>KRONOBERGS LÄN</t>
        </is>
      </c>
      <c r="E147" t="inlineStr">
        <is>
          <t>UPPVIDINGE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40952-2019 artfynd.xlsx", "A 40952-2019")</f>
        <v/>
      </c>
      <c r="T147">
        <f>HYPERLINK("https://klasma.github.io/Logging_0760/kartor/A 40952-2019 karta.png", "A 40952-2019")</f>
        <v/>
      </c>
      <c r="V147">
        <f>HYPERLINK("https://klasma.github.io/Logging_0760/klagomål/A 40952-2019 FSC-klagomål.docx", "A 40952-2019")</f>
        <v/>
      </c>
      <c r="W147">
        <f>HYPERLINK("https://klasma.github.io/Logging_0760/klagomålsmail/A 40952-2019 FSC-klagomål mail.docx", "A 40952-2019")</f>
        <v/>
      </c>
      <c r="X147">
        <f>HYPERLINK("https://klasma.github.io/Logging_0760/tillsyn/A 40952-2019 tillsynsbegäran.docx", "A 40952-2019")</f>
        <v/>
      </c>
      <c r="Y147">
        <f>HYPERLINK("https://klasma.github.io/Logging_0760/tillsynsmail/A 40952-2019 tillsynsbegäran mail.docx", "A 40952-2019")</f>
        <v/>
      </c>
    </row>
    <row r="148" ht="15" customHeight="1">
      <c r="A148" t="inlineStr">
        <is>
          <t>A 41158-2019</t>
        </is>
      </c>
      <c r="B148" s="1" t="n">
        <v>43698</v>
      </c>
      <c r="C148" s="1" t="n">
        <v>45835</v>
      </c>
      <c r="D148" t="inlineStr">
        <is>
          <t>KRONOBERGS LÄN</t>
        </is>
      </c>
      <c r="E148" t="inlineStr">
        <is>
          <t>VÄXJÖ</t>
        </is>
      </c>
      <c r="G148" t="n">
        <v>6.5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HYPERLINK("https://klasma.github.io/Logging_0780/artfynd/A 41158-2019 artfynd.xlsx", "A 41158-2019")</f>
        <v/>
      </c>
      <c r="T148">
        <f>HYPERLINK("https://klasma.github.io/Logging_0780/kartor/A 41158-2019 karta.png", "A 41158-2019")</f>
        <v/>
      </c>
      <c r="U148">
        <f>HYPERLINK("https://klasma.github.io/Logging_0780/knärot/A 41158-2019 karta knärot.png", "A 41158-2019")</f>
        <v/>
      </c>
      <c r="V148">
        <f>HYPERLINK("https://klasma.github.io/Logging_0780/klagomål/A 41158-2019 FSC-klagomål.docx", "A 41158-2019")</f>
        <v/>
      </c>
      <c r="W148">
        <f>HYPERLINK("https://klasma.github.io/Logging_0780/klagomålsmail/A 41158-2019 FSC-klagomål mail.docx", "A 41158-2019")</f>
        <v/>
      </c>
      <c r="X148">
        <f>HYPERLINK("https://klasma.github.io/Logging_0780/tillsyn/A 41158-2019 tillsynsbegäran.docx", "A 41158-2019")</f>
        <v/>
      </c>
      <c r="Y148">
        <f>HYPERLINK("https://klasma.github.io/Logging_0780/tillsynsmail/A 41158-2019 tillsynsbegäran mail.docx", "A 41158-2019")</f>
        <v/>
      </c>
    </row>
    <row r="149" ht="15" customHeight="1">
      <c r="A149" t="inlineStr">
        <is>
          <t>A 43454-2019</t>
        </is>
      </c>
      <c r="B149" s="1" t="n">
        <v>43706</v>
      </c>
      <c r="C149" s="1" t="n">
        <v>45835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43454-2019 artfynd.xlsx", "A 43454-2019")</f>
        <v/>
      </c>
      <c r="T149">
        <f>HYPERLINK("https://klasma.github.io/Logging_0780/kartor/A 43454-2019 karta.png", "A 43454-2019")</f>
        <v/>
      </c>
      <c r="V149">
        <f>HYPERLINK("https://klasma.github.io/Logging_0780/klagomål/A 43454-2019 FSC-klagomål.docx", "A 43454-2019")</f>
        <v/>
      </c>
      <c r="W149">
        <f>HYPERLINK("https://klasma.github.io/Logging_0780/klagomålsmail/A 43454-2019 FSC-klagomål mail.docx", "A 43454-2019")</f>
        <v/>
      </c>
      <c r="X149">
        <f>HYPERLINK("https://klasma.github.io/Logging_0780/tillsyn/A 43454-2019 tillsynsbegäran.docx", "A 43454-2019")</f>
        <v/>
      </c>
      <c r="Y149">
        <f>HYPERLINK("https://klasma.github.io/Logging_0780/tillsynsmail/A 43454-2019 tillsynsbegäran mail.docx", "A 43454-2019")</f>
        <v/>
      </c>
    </row>
    <row r="150" ht="15" customHeight="1">
      <c r="A150" t="inlineStr">
        <is>
          <t>A 50912-2019</t>
        </is>
      </c>
      <c r="B150" s="1" t="n">
        <v>43738</v>
      </c>
      <c r="C150" s="1" t="n">
        <v>45835</v>
      </c>
      <c r="D150" t="inlineStr">
        <is>
          <t>KRONOBERGS LÄN</t>
        </is>
      </c>
      <c r="E150" t="inlineStr">
        <is>
          <t>TINGSRYD</t>
        </is>
      </c>
      <c r="G150" t="n">
        <v>14.4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Gröngöling</t>
        </is>
      </c>
      <c r="S150">
        <f>HYPERLINK("https://klasma.github.io/Logging_0763/artfynd/A 50912-2019 artfynd.xlsx", "A 50912-2019")</f>
        <v/>
      </c>
      <c r="T150">
        <f>HYPERLINK("https://klasma.github.io/Logging_0763/kartor/A 50912-2019 karta.png", "A 50912-2019")</f>
        <v/>
      </c>
      <c r="V150">
        <f>HYPERLINK("https://klasma.github.io/Logging_0763/klagomål/A 50912-2019 FSC-klagomål.docx", "A 50912-2019")</f>
        <v/>
      </c>
      <c r="W150">
        <f>HYPERLINK("https://klasma.github.io/Logging_0763/klagomålsmail/A 50912-2019 FSC-klagomål mail.docx", "A 50912-2019")</f>
        <v/>
      </c>
      <c r="X150">
        <f>HYPERLINK("https://klasma.github.io/Logging_0763/tillsyn/A 50912-2019 tillsynsbegäran.docx", "A 50912-2019")</f>
        <v/>
      </c>
      <c r="Y150">
        <f>HYPERLINK("https://klasma.github.io/Logging_0763/tillsynsmail/A 50912-2019 tillsynsbegäran mail.docx", "A 50912-2019")</f>
        <v/>
      </c>
      <c r="Z150">
        <f>HYPERLINK("https://klasma.github.io/Logging_0763/fåglar/A 50912-2019 prioriterade fågelarter.docx", "A 50912-2019")</f>
        <v/>
      </c>
    </row>
    <row r="151" ht="15" customHeight="1">
      <c r="A151" t="inlineStr">
        <is>
          <t>A 53911-2019</t>
        </is>
      </c>
      <c r="B151" s="1" t="n">
        <v>43741</v>
      </c>
      <c r="C151" s="1" t="n">
        <v>45835</v>
      </c>
      <c r="D151" t="inlineStr">
        <is>
          <t>KRONOBERGS LÄN</t>
        </is>
      </c>
      <c r="E151" t="inlineStr">
        <is>
          <t>ALVESTA</t>
        </is>
      </c>
      <c r="G151" t="n">
        <v>24.1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Sotlav</t>
        </is>
      </c>
      <c r="S151">
        <f>HYPERLINK("https://klasma.github.io/Logging_0764/artfynd/A 53911-2019 artfynd.xlsx", "A 53911-2019")</f>
        <v/>
      </c>
      <c r="T151">
        <f>HYPERLINK("https://klasma.github.io/Logging_0764/kartor/A 53911-2019 karta.png", "A 53911-2019")</f>
        <v/>
      </c>
      <c r="V151">
        <f>HYPERLINK("https://klasma.github.io/Logging_0764/klagomål/A 53911-2019 FSC-klagomål.docx", "A 53911-2019")</f>
        <v/>
      </c>
      <c r="W151">
        <f>HYPERLINK("https://klasma.github.io/Logging_0764/klagomålsmail/A 53911-2019 FSC-klagomål mail.docx", "A 53911-2019")</f>
        <v/>
      </c>
      <c r="X151">
        <f>HYPERLINK("https://klasma.github.io/Logging_0764/tillsyn/A 53911-2019 tillsynsbegäran.docx", "A 53911-2019")</f>
        <v/>
      </c>
      <c r="Y151">
        <f>HYPERLINK("https://klasma.github.io/Logging_0764/tillsynsmail/A 53911-2019 tillsynsbegäran mail.docx", "A 53911-2019")</f>
        <v/>
      </c>
    </row>
    <row r="152" ht="15" customHeight="1">
      <c r="A152" t="inlineStr">
        <is>
          <t>A 54638-2019</t>
        </is>
      </c>
      <c r="B152" s="1" t="n">
        <v>43748</v>
      </c>
      <c r="C152" s="1" t="n">
        <v>45835</v>
      </c>
      <c r="D152" t="inlineStr">
        <is>
          <t>KRONOBERGS LÄN</t>
        </is>
      </c>
      <c r="E152" t="inlineStr">
        <is>
          <t>LJUNGBY</t>
        </is>
      </c>
      <c r="G152" t="n">
        <v>12.3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HYPERLINK("https://klasma.github.io/Logging_0781/artfynd/A 54638-2019 artfynd.xlsx", "A 54638-2019")</f>
        <v/>
      </c>
      <c r="T152">
        <f>HYPERLINK("https://klasma.github.io/Logging_0781/kartor/A 54638-2019 karta.png", "A 54638-2019")</f>
        <v/>
      </c>
      <c r="V152">
        <f>HYPERLINK("https://klasma.github.io/Logging_0781/klagomål/A 54638-2019 FSC-klagomål.docx", "A 54638-2019")</f>
        <v/>
      </c>
      <c r="W152">
        <f>HYPERLINK("https://klasma.github.io/Logging_0781/klagomålsmail/A 54638-2019 FSC-klagomål mail.docx", "A 54638-2019")</f>
        <v/>
      </c>
      <c r="X152">
        <f>HYPERLINK("https://klasma.github.io/Logging_0781/tillsyn/A 54638-2019 tillsynsbegäran.docx", "A 54638-2019")</f>
        <v/>
      </c>
      <c r="Y152">
        <f>HYPERLINK("https://klasma.github.io/Logging_0781/tillsynsmail/A 54638-2019 tillsynsbegäran mail.docx", "A 54638-2019")</f>
        <v/>
      </c>
    </row>
    <row r="153" ht="15" customHeight="1">
      <c r="A153" t="inlineStr">
        <is>
          <t>A 62203-2019</t>
        </is>
      </c>
      <c r="B153" s="1" t="n">
        <v>43788</v>
      </c>
      <c r="C153" s="1" t="n">
        <v>45835</v>
      </c>
      <c r="D153" t="inlineStr">
        <is>
          <t>KRONOBERGS LÄN</t>
        </is>
      </c>
      <c r="E153" t="inlineStr">
        <is>
          <t>LJUNGBY</t>
        </is>
      </c>
      <c r="G153" t="n">
        <v>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HYPERLINK("https://klasma.github.io/Logging_0781/artfynd/A 62203-2019 artfynd.xlsx", "A 62203-2019")</f>
        <v/>
      </c>
      <c r="T153">
        <f>HYPERLINK("https://klasma.github.io/Logging_0781/kartor/A 62203-2019 karta.png", "A 62203-2019")</f>
        <v/>
      </c>
      <c r="V153">
        <f>HYPERLINK("https://klasma.github.io/Logging_0781/klagomål/A 62203-2019 FSC-klagomål.docx", "A 62203-2019")</f>
        <v/>
      </c>
      <c r="W153">
        <f>HYPERLINK("https://klasma.github.io/Logging_0781/klagomålsmail/A 62203-2019 FSC-klagomål mail.docx", "A 62203-2019")</f>
        <v/>
      </c>
      <c r="X153">
        <f>HYPERLINK("https://klasma.github.io/Logging_0781/tillsyn/A 62203-2019 tillsynsbegäran.docx", "A 62203-2019")</f>
        <v/>
      </c>
      <c r="Y153">
        <f>HYPERLINK("https://klasma.github.io/Logging_0781/tillsynsmail/A 62203-2019 tillsynsbegäran mail.docx", "A 62203-2019")</f>
        <v/>
      </c>
    </row>
    <row r="154" ht="15" customHeight="1">
      <c r="A154" t="inlineStr">
        <is>
          <t>A 63168-2019</t>
        </is>
      </c>
      <c r="B154" s="1" t="n">
        <v>43791</v>
      </c>
      <c r="C154" s="1" t="n">
        <v>45835</v>
      </c>
      <c r="D154" t="inlineStr">
        <is>
          <t>KRONOBERGS LÄN</t>
        </is>
      </c>
      <c r="E154" t="inlineStr">
        <is>
          <t>UPPVIDINGE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63168-2019 artfynd.xlsx", "A 63168-2019")</f>
        <v/>
      </c>
      <c r="T154">
        <f>HYPERLINK("https://klasma.github.io/Logging_0760/kartor/A 63168-2019 karta.png", "A 63168-2019")</f>
        <v/>
      </c>
      <c r="U154">
        <f>HYPERLINK("https://klasma.github.io/Logging_0760/knärot/A 63168-2019 karta knärot.png", "A 63168-2019")</f>
        <v/>
      </c>
      <c r="V154">
        <f>HYPERLINK("https://klasma.github.io/Logging_0760/klagomål/A 63168-2019 FSC-klagomål.docx", "A 63168-2019")</f>
        <v/>
      </c>
      <c r="W154">
        <f>HYPERLINK("https://klasma.github.io/Logging_0760/klagomålsmail/A 63168-2019 FSC-klagomål mail.docx", "A 63168-2019")</f>
        <v/>
      </c>
      <c r="X154">
        <f>HYPERLINK("https://klasma.github.io/Logging_0760/tillsyn/A 63168-2019 tillsynsbegäran.docx", "A 63168-2019")</f>
        <v/>
      </c>
      <c r="Y154">
        <f>HYPERLINK("https://klasma.github.io/Logging_0760/tillsynsmail/A 63168-2019 tillsynsbegäran mail.docx", "A 63168-2019")</f>
        <v/>
      </c>
    </row>
    <row r="155" ht="15" customHeight="1">
      <c r="A155" t="inlineStr">
        <is>
          <t>A 63735-2019</t>
        </is>
      </c>
      <c r="B155" s="1" t="n">
        <v>43795</v>
      </c>
      <c r="C155" s="1" t="n">
        <v>45835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Mellanlummer</t>
        </is>
      </c>
      <c r="S155">
        <f>HYPERLINK("https://klasma.github.io/Logging_0760/artfynd/A 63735-2019 artfynd.xlsx", "A 63735-2019")</f>
        <v/>
      </c>
      <c r="T155">
        <f>HYPERLINK("https://klasma.github.io/Logging_0760/kartor/A 63735-2019 karta.png", "A 63735-2019")</f>
        <v/>
      </c>
      <c r="V155">
        <f>HYPERLINK("https://klasma.github.io/Logging_0760/klagomål/A 63735-2019 FSC-klagomål.docx", "A 63735-2019")</f>
        <v/>
      </c>
      <c r="W155">
        <f>HYPERLINK("https://klasma.github.io/Logging_0760/klagomålsmail/A 63735-2019 FSC-klagomål mail.docx", "A 63735-2019")</f>
        <v/>
      </c>
      <c r="X155">
        <f>HYPERLINK("https://klasma.github.io/Logging_0760/tillsyn/A 63735-2019 tillsynsbegäran.docx", "A 63735-2019")</f>
        <v/>
      </c>
      <c r="Y155">
        <f>HYPERLINK("https://klasma.github.io/Logging_0760/tillsynsmail/A 63735-2019 tillsynsbegäran mail.docx", "A 63735-2019")</f>
        <v/>
      </c>
    </row>
    <row r="156" ht="15" customHeight="1">
      <c r="A156" t="inlineStr">
        <is>
          <t>A 65143-2019</t>
        </is>
      </c>
      <c r="B156" s="1" t="n">
        <v>43802</v>
      </c>
      <c r="C156" s="1" t="n">
        <v>45835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Kopparödla</t>
        </is>
      </c>
      <c r="S156">
        <f>HYPERLINK("https://klasma.github.io/Logging_0761/artfynd/A 65143-2019 artfynd.xlsx", "A 65143-2019")</f>
        <v/>
      </c>
      <c r="T156">
        <f>HYPERLINK("https://klasma.github.io/Logging_0761/kartor/A 65143-2019 karta.png", "A 65143-2019")</f>
        <v/>
      </c>
      <c r="V156">
        <f>HYPERLINK("https://klasma.github.io/Logging_0761/klagomål/A 65143-2019 FSC-klagomål.docx", "A 65143-2019")</f>
        <v/>
      </c>
      <c r="W156">
        <f>HYPERLINK("https://klasma.github.io/Logging_0761/klagomålsmail/A 65143-2019 FSC-klagomål mail.docx", "A 65143-2019")</f>
        <v/>
      </c>
      <c r="X156">
        <f>HYPERLINK("https://klasma.github.io/Logging_0761/tillsyn/A 65143-2019 tillsynsbegäran.docx", "A 65143-2019")</f>
        <v/>
      </c>
      <c r="Y156">
        <f>HYPERLINK("https://klasma.github.io/Logging_0761/tillsynsmail/A 65143-2019 tillsynsbegäran mail.docx", "A 65143-2019")</f>
        <v/>
      </c>
    </row>
    <row r="157" ht="15" customHeight="1">
      <c r="A157" t="inlineStr">
        <is>
          <t>A 4757-2020</t>
        </is>
      </c>
      <c r="B157" s="1" t="n">
        <v>43850</v>
      </c>
      <c r="C157" s="1" t="n">
        <v>45835</v>
      </c>
      <c r="D157" t="inlineStr">
        <is>
          <t>KRONOBERGS LÄN</t>
        </is>
      </c>
      <c r="E157" t="inlineStr">
        <is>
          <t>UPPVIDINGE</t>
        </is>
      </c>
      <c r="F157" t="inlineStr">
        <is>
          <t>Kommuner</t>
        </is>
      </c>
      <c r="G157" t="n">
        <v>2.6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HYPERLINK("https://klasma.github.io/Logging_0760/artfynd/A 4757-2020 artfynd.xlsx", "A 4757-2020")</f>
        <v/>
      </c>
      <c r="T157">
        <f>HYPERLINK("https://klasma.github.io/Logging_0760/kartor/A 4757-2020 karta.png", "A 4757-2020")</f>
        <v/>
      </c>
      <c r="V157">
        <f>HYPERLINK("https://klasma.github.io/Logging_0760/klagomål/A 4757-2020 FSC-klagomål.docx", "A 4757-2020")</f>
        <v/>
      </c>
      <c r="W157">
        <f>HYPERLINK("https://klasma.github.io/Logging_0760/klagomålsmail/A 4757-2020 FSC-klagomål mail.docx", "A 4757-2020")</f>
        <v/>
      </c>
      <c r="X157">
        <f>HYPERLINK("https://klasma.github.io/Logging_0760/tillsyn/A 4757-2020 tillsynsbegäran.docx", "A 4757-2020")</f>
        <v/>
      </c>
      <c r="Y157">
        <f>HYPERLINK("https://klasma.github.io/Logging_0760/tillsynsmail/A 4757-2020 tillsynsbegäran mail.docx", "A 4757-2020")</f>
        <v/>
      </c>
    </row>
    <row r="158" ht="15" customHeight="1">
      <c r="A158" t="inlineStr">
        <is>
          <t>A 4022-2020</t>
        </is>
      </c>
      <c r="B158" s="1" t="n">
        <v>43857</v>
      </c>
      <c r="C158" s="1" t="n">
        <v>45835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HYPERLINK("https://klasma.github.io/Logging_0763/artfynd/A 4022-2020 artfynd.xlsx", "A 4022-2020")</f>
        <v/>
      </c>
      <c r="T158">
        <f>HYPERLINK("https://klasma.github.io/Logging_0763/kartor/A 4022-2020 karta.png", "A 4022-2020")</f>
        <v/>
      </c>
      <c r="V158">
        <f>HYPERLINK("https://klasma.github.io/Logging_0763/klagomål/A 4022-2020 FSC-klagomål.docx", "A 4022-2020")</f>
        <v/>
      </c>
      <c r="W158">
        <f>HYPERLINK("https://klasma.github.io/Logging_0763/klagomålsmail/A 4022-2020 FSC-klagomål mail.docx", "A 4022-2020")</f>
        <v/>
      </c>
      <c r="X158">
        <f>HYPERLINK("https://klasma.github.io/Logging_0763/tillsyn/A 4022-2020 tillsynsbegäran.docx", "A 4022-2020")</f>
        <v/>
      </c>
      <c r="Y158">
        <f>HYPERLINK("https://klasma.github.io/Logging_0763/tillsynsmail/A 4022-2020 tillsynsbegäran mail.docx", "A 4022-2020")</f>
        <v/>
      </c>
    </row>
    <row r="159" ht="15" customHeight="1">
      <c r="A159" t="inlineStr">
        <is>
          <t>A 5701-2020</t>
        </is>
      </c>
      <c r="B159" s="1" t="n">
        <v>43861</v>
      </c>
      <c r="C159" s="1" t="n">
        <v>45835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5701-2020 artfynd.xlsx", "A 5701-2020")</f>
        <v/>
      </c>
      <c r="T159">
        <f>HYPERLINK("https://klasma.github.io/Logging_0760/kartor/A 5701-2020 karta.png", "A 5701-2020")</f>
        <v/>
      </c>
      <c r="U159">
        <f>HYPERLINK("https://klasma.github.io/Logging_0760/knärot/A 5701-2020 karta knärot.png", "A 5701-2020")</f>
        <v/>
      </c>
      <c r="V159">
        <f>HYPERLINK("https://klasma.github.io/Logging_0760/klagomål/A 5701-2020 FSC-klagomål.docx", "A 5701-2020")</f>
        <v/>
      </c>
      <c r="W159">
        <f>HYPERLINK("https://klasma.github.io/Logging_0760/klagomålsmail/A 5701-2020 FSC-klagomål mail.docx", "A 5701-2020")</f>
        <v/>
      </c>
      <c r="X159">
        <f>HYPERLINK("https://klasma.github.io/Logging_0760/tillsyn/A 5701-2020 tillsynsbegäran.docx", "A 5701-2020")</f>
        <v/>
      </c>
      <c r="Y159">
        <f>HYPERLINK("https://klasma.github.io/Logging_0760/tillsynsmail/A 5701-2020 tillsynsbegäran mail.docx", "A 5701-2020")</f>
        <v/>
      </c>
    </row>
    <row r="160" ht="15" customHeight="1">
      <c r="A160" t="inlineStr">
        <is>
          <t>A 12403-2020</t>
        </is>
      </c>
      <c r="B160" s="1" t="n">
        <v>43896</v>
      </c>
      <c r="C160" s="1" t="n">
        <v>45835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HYPERLINK("https://klasma.github.io/Logging_0765/artfynd/A 12403-2020 artfynd.xlsx", "A 12403-2020")</f>
        <v/>
      </c>
      <c r="T160">
        <f>HYPERLINK("https://klasma.github.io/Logging_0765/kartor/A 12403-2020 karta.png", "A 12403-2020")</f>
        <v/>
      </c>
      <c r="V160">
        <f>HYPERLINK("https://klasma.github.io/Logging_0765/klagomål/A 12403-2020 FSC-klagomål.docx", "A 12403-2020")</f>
        <v/>
      </c>
      <c r="W160">
        <f>HYPERLINK("https://klasma.github.io/Logging_0765/klagomålsmail/A 12403-2020 FSC-klagomål mail.docx", "A 12403-2020")</f>
        <v/>
      </c>
      <c r="X160">
        <f>HYPERLINK("https://klasma.github.io/Logging_0765/tillsyn/A 12403-2020 tillsynsbegäran.docx", "A 12403-2020")</f>
        <v/>
      </c>
      <c r="Y160">
        <f>HYPERLINK("https://klasma.github.io/Logging_0765/tillsynsmail/A 12403-2020 tillsynsbegäran mail.docx", "A 12403-2020")</f>
        <v/>
      </c>
    </row>
    <row r="161" ht="15" customHeight="1">
      <c r="A161" t="inlineStr">
        <is>
          <t>A 13774-2020</t>
        </is>
      </c>
      <c r="B161" s="1" t="n">
        <v>43903</v>
      </c>
      <c r="C161" s="1" t="n">
        <v>45835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HYPERLINK("https://klasma.github.io/Logging_0763/artfynd/A 13774-2020 artfynd.xlsx", "A 13774-2020")</f>
        <v/>
      </c>
      <c r="T161">
        <f>HYPERLINK("https://klasma.github.io/Logging_0763/kartor/A 13774-2020 karta.png", "A 13774-2020")</f>
        <v/>
      </c>
      <c r="V161">
        <f>HYPERLINK("https://klasma.github.io/Logging_0763/klagomål/A 13774-2020 FSC-klagomål.docx", "A 13774-2020")</f>
        <v/>
      </c>
      <c r="W161">
        <f>HYPERLINK("https://klasma.github.io/Logging_0763/klagomålsmail/A 13774-2020 FSC-klagomål mail.docx", "A 13774-2020")</f>
        <v/>
      </c>
      <c r="X161">
        <f>HYPERLINK("https://klasma.github.io/Logging_0763/tillsyn/A 13774-2020 tillsynsbegäran.docx", "A 13774-2020")</f>
        <v/>
      </c>
      <c r="Y161">
        <f>HYPERLINK("https://klasma.github.io/Logging_0763/tillsynsmail/A 13774-2020 tillsynsbegäran mail.docx", "A 13774-2020")</f>
        <v/>
      </c>
    </row>
    <row r="162" ht="15" customHeight="1">
      <c r="A162" t="inlineStr">
        <is>
          <t>A 16615-2020</t>
        </is>
      </c>
      <c r="B162" s="1" t="n">
        <v>43909</v>
      </c>
      <c r="C162" s="1" t="n">
        <v>45835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Nordfladdermus</t>
        </is>
      </c>
      <c r="S162">
        <f>HYPERLINK("https://klasma.github.io/Logging_0780/artfynd/A 16615-2020 artfynd.xlsx", "A 16615-2020")</f>
        <v/>
      </c>
      <c r="T162">
        <f>HYPERLINK("https://klasma.github.io/Logging_0780/kartor/A 16615-2020 karta.png", "A 16615-2020")</f>
        <v/>
      </c>
      <c r="V162">
        <f>HYPERLINK("https://klasma.github.io/Logging_0780/klagomål/A 16615-2020 FSC-klagomål.docx", "A 16615-2020")</f>
        <v/>
      </c>
      <c r="W162">
        <f>HYPERLINK("https://klasma.github.io/Logging_0780/klagomålsmail/A 16615-2020 FSC-klagomål mail.docx", "A 16615-2020")</f>
        <v/>
      </c>
      <c r="X162">
        <f>HYPERLINK("https://klasma.github.io/Logging_0780/tillsyn/A 16615-2020 tillsynsbegäran.docx", "A 16615-2020")</f>
        <v/>
      </c>
      <c r="Y162">
        <f>HYPERLINK("https://klasma.github.io/Logging_0780/tillsynsmail/A 16615-2020 tillsynsbegäran mail.docx", "A 16615-2020")</f>
        <v/>
      </c>
    </row>
    <row r="163" ht="15" customHeight="1">
      <c r="A163" t="inlineStr">
        <is>
          <t>A 24609-2020</t>
        </is>
      </c>
      <c r="B163" s="1" t="n">
        <v>43977</v>
      </c>
      <c r="C163" s="1" t="n">
        <v>45835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HYPERLINK("https://klasma.github.io/Logging_0765/artfynd/A 24609-2020 artfynd.xlsx", "A 24609-2020")</f>
        <v/>
      </c>
      <c r="T163">
        <f>HYPERLINK("https://klasma.github.io/Logging_0765/kartor/A 24609-2020 karta.png", "A 24609-2020")</f>
        <v/>
      </c>
      <c r="V163">
        <f>HYPERLINK("https://klasma.github.io/Logging_0765/klagomål/A 24609-2020 FSC-klagomål.docx", "A 24609-2020")</f>
        <v/>
      </c>
      <c r="W163">
        <f>HYPERLINK("https://klasma.github.io/Logging_0765/klagomålsmail/A 24609-2020 FSC-klagomål mail.docx", "A 24609-2020")</f>
        <v/>
      </c>
      <c r="X163">
        <f>HYPERLINK("https://klasma.github.io/Logging_0765/tillsyn/A 24609-2020 tillsynsbegäran.docx", "A 24609-2020")</f>
        <v/>
      </c>
      <c r="Y163">
        <f>HYPERLINK("https://klasma.github.io/Logging_0765/tillsynsmail/A 24609-2020 tillsynsbegäran mail.docx", "A 24609-2020")</f>
        <v/>
      </c>
    </row>
    <row r="164" ht="15" customHeight="1">
      <c r="A164" t="inlineStr">
        <is>
          <t>A 33646-2020</t>
        </is>
      </c>
      <c r="B164" s="1" t="n">
        <v>44022</v>
      </c>
      <c r="C164" s="1" t="n">
        <v>45835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33646-2020 artfynd.xlsx", "A 33646-2020")</f>
        <v/>
      </c>
      <c r="T164">
        <f>HYPERLINK("https://klasma.github.io/Logging_0760/kartor/A 33646-2020 karta.png", "A 33646-2020")</f>
        <v/>
      </c>
      <c r="V164">
        <f>HYPERLINK("https://klasma.github.io/Logging_0760/klagomål/A 33646-2020 FSC-klagomål.docx", "A 33646-2020")</f>
        <v/>
      </c>
      <c r="W164">
        <f>HYPERLINK("https://klasma.github.io/Logging_0760/klagomålsmail/A 33646-2020 FSC-klagomål mail.docx", "A 33646-2020")</f>
        <v/>
      </c>
      <c r="X164">
        <f>HYPERLINK("https://klasma.github.io/Logging_0760/tillsyn/A 33646-2020 tillsynsbegäran.docx", "A 33646-2020")</f>
        <v/>
      </c>
      <c r="Y164">
        <f>HYPERLINK("https://klasma.github.io/Logging_0760/tillsynsmail/A 33646-2020 tillsynsbegäran mail.docx", "A 33646-2020")</f>
        <v/>
      </c>
    </row>
    <row r="165" ht="15" customHeight="1">
      <c r="A165" t="inlineStr">
        <is>
          <t>A 34610-2020</t>
        </is>
      </c>
      <c r="B165" s="1" t="n">
        <v>44034</v>
      </c>
      <c r="C165" s="1" t="n">
        <v>45835</v>
      </c>
      <c r="D165" t="inlineStr">
        <is>
          <t>KRONOBERGS LÄN</t>
        </is>
      </c>
      <c r="E165" t="inlineStr">
        <is>
          <t>UPPVIDINGE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Utter</t>
        </is>
      </c>
      <c r="S165">
        <f>HYPERLINK("https://klasma.github.io/Logging_0760/artfynd/A 34610-2020 artfynd.xlsx", "A 34610-2020")</f>
        <v/>
      </c>
      <c r="T165">
        <f>HYPERLINK("https://klasma.github.io/Logging_0760/kartor/A 34610-2020 karta.png", "A 34610-2020")</f>
        <v/>
      </c>
      <c r="V165">
        <f>HYPERLINK("https://klasma.github.io/Logging_0760/klagomål/A 34610-2020 FSC-klagomål.docx", "A 34610-2020")</f>
        <v/>
      </c>
      <c r="W165">
        <f>HYPERLINK("https://klasma.github.io/Logging_0760/klagomålsmail/A 34610-2020 FSC-klagomål mail.docx", "A 34610-2020")</f>
        <v/>
      </c>
      <c r="X165">
        <f>HYPERLINK("https://klasma.github.io/Logging_0760/tillsyn/A 34610-2020 tillsynsbegäran.docx", "A 34610-2020")</f>
        <v/>
      </c>
      <c r="Y165">
        <f>HYPERLINK("https://klasma.github.io/Logging_0760/tillsynsmail/A 34610-2020 tillsynsbegäran mail.docx", "A 34610-2020")</f>
        <v/>
      </c>
    </row>
    <row r="166" ht="15" customHeight="1">
      <c r="A166" t="inlineStr">
        <is>
          <t>A 36311-2020</t>
        </is>
      </c>
      <c r="B166" s="1" t="n">
        <v>44049</v>
      </c>
      <c r="C166" s="1" t="n">
        <v>45835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Blåsfliksmossa</t>
        </is>
      </c>
      <c r="S166">
        <f>HYPERLINK("https://klasma.github.io/Logging_0765/artfynd/A 36311-2020 artfynd.xlsx", "A 36311-2020")</f>
        <v/>
      </c>
      <c r="T166">
        <f>HYPERLINK("https://klasma.github.io/Logging_0765/kartor/A 36311-2020 karta.png", "A 36311-2020")</f>
        <v/>
      </c>
      <c r="V166">
        <f>HYPERLINK("https://klasma.github.io/Logging_0765/klagomål/A 36311-2020 FSC-klagomål.docx", "A 36311-2020")</f>
        <v/>
      </c>
      <c r="W166">
        <f>HYPERLINK("https://klasma.github.io/Logging_0765/klagomålsmail/A 36311-2020 FSC-klagomål mail.docx", "A 36311-2020")</f>
        <v/>
      </c>
      <c r="X166">
        <f>HYPERLINK("https://klasma.github.io/Logging_0765/tillsyn/A 36311-2020 tillsynsbegäran.docx", "A 36311-2020")</f>
        <v/>
      </c>
      <c r="Y166">
        <f>HYPERLINK("https://klasma.github.io/Logging_0765/tillsynsmail/A 36311-2020 tillsynsbegäran mail.docx", "A 36311-2020")</f>
        <v/>
      </c>
    </row>
    <row r="167" ht="15" customHeight="1">
      <c r="A167" t="inlineStr">
        <is>
          <t>A 37018-2020</t>
        </is>
      </c>
      <c r="B167" s="1" t="n">
        <v>44054</v>
      </c>
      <c r="C167" s="1" t="n">
        <v>45835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37018-2020 artfynd.xlsx", "A 37018-2020")</f>
        <v/>
      </c>
      <c r="T167">
        <f>HYPERLINK("https://klasma.github.io/Logging_0760/kartor/A 37018-2020 karta.png", "A 37018-2020")</f>
        <v/>
      </c>
      <c r="V167">
        <f>HYPERLINK("https://klasma.github.io/Logging_0760/klagomål/A 37018-2020 FSC-klagomål.docx", "A 37018-2020")</f>
        <v/>
      </c>
      <c r="W167">
        <f>HYPERLINK("https://klasma.github.io/Logging_0760/klagomålsmail/A 37018-2020 FSC-klagomål mail.docx", "A 37018-2020")</f>
        <v/>
      </c>
      <c r="X167">
        <f>HYPERLINK("https://klasma.github.io/Logging_0760/tillsyn/A 37018-2020 tillsynsbegäran.docx", "A 37018-2020")</f>
        <v/>
      </c>
      <c r="Y167">
        <f>HYPERLINK("https://klasma.github.io/Logging_0760/tillsynsmail/A 37018-2020 tillsynsbegäran mail.docx", "A 37018-2020")</f>
        <v/>
      </c>
    </row>
    <row r="168" ht="15" customHeight="1">
      <c r="A168" t="inlineStr">
        <is>
          <t>A 41394-2020</t>
        </is>
      </c>
      <c r="B168" s="1" t="n">
        <v>44073</v>
      </c>
      <c r="C168" s="1" t="n">
        <v>45835</v>
      </c>
      <c r="D168" t="inlineStr">
        <is>
          <t>KRONOBERGS LÄN</t>
        </is>
      </c>
      <c r="E168" t="inlineStr">
        <is>
          <t>UPPVIDINGE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HYPERLINK("https://klasma.github.io/Logging_0760/artfynd/A 41394-2020 artfynd.xlsx", "A 41394-2020")</f>
        <v/>
      </c>
      <c r="T168">
        <f>HYPERLINK("https://klasma.github.io/Logging_0760/kartor/A 41394-2020 karta.png", "A 41394-2020")</f>
        <v/>
      </c>
      <c r="V168">
        <f>HYPERLINK("https://klasma.github.io/Logging_0760/klagomål/A 41394-2020 FSC-klagomål.docx", "A 41394-2020")</f>
        <v/>
      </c>
      <c r="W168">
        <f>HYPERLINK("https://klasma.github.io/Logging_0760/klagomålsmail/A 41394-2020 FSC-klagomål mail.docx", "A 41394-2020")</f>
        <v/>
      </c>
      <c r="X168">
        <f>HYPERLINK("https://klasma.github.io/Logging_0760/tillsyn/A 41394-2020 tillsynsbegäran.docx", "A 41394-2020")</f>
        <v/>
      </c>
      <c r="Y168">
        <f>HYPERLINK("https://klasma.github.io/Logging_0760/tillsynsmail/A 41394-2020 tillsynsbegäran mail.docx", "A 41394-2020")</f>
        <v/>
      </c>
    </row>
    <row r="169" ht="15" customHeight="1">
      <c r="A169" t="inlineStr">
        <is>
          <t>A 45420-2020</t>
        </is>
      </c>
      <c r="B169" s="1" t="n">
        <v>44089</v>
      </c>
      <c r="C169" s="1" t="n">
        <v>45835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HYPERLINK("https://klasma.github.io/Logging_0760/artfynd/A 45420-2020 artfynd.xlsx", "A 45420-2020")</f>
        <v/>
      </c>
      <c r="T169">
        <f>HYPERLINK("https://klasma.github.io/Logging_0760/kartor/A 45420-2020 karta.png", "A 45420-2020")</f>
        <v/>
      </c>
      <c r="V169">
        <f>HYPERLINK("https://klasma.github.io/Logging_0760/klagomål/A 45420-2020 FSC-klagomål.docx", "A 45420-2020")</f>
        <v/>
      </c>
      <c r="W169">
        <f>HYPERLINK("https://klasma.github.io/Logging_0760/klagomålsmail/A 45420-2020 FSC-klagomål mail.docx", "A 45420-2020")</f>
        <v/>
      </c>
      <c r="X169">
        <f>HYPERLINK("https://klasma.github.io/Logging_0760/tillsyn/A 45420-2020 tillsynsbegäran.docx", "A 45420-2020")</f>
        <v/>
      </c>
      <c r="Y169">
        <f>HYPERLINK("https://klasma.github.io/Logging_0760/tillsynsmail/A 45420-2020 tillsynsbegäran mail.docx", "A 45420-2020")</f>
        <v/>
      </c>
    </row>
    <row r="170" ht="15" customHeight="1">
      <c r="A170" t="inlineStr">
        <is>
          <t>A 45886-2020</t>
        </is>
      </c>
      <c r="B170" s="1" t="n">
        <v>44091</v>
      </c>
      <c r="C170" s="1" t="n">
        <v>45835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Hagfingersvamp</t>
        </is>
      </c>
      <c r="S170">
        <f>HYPERLINK("https://klasma.github.io/Logging_0760/artfynd/A 45886-2020 artfynd.xlsx", "A 45886-2020")</f>
        <v/>
      </c>
      <c r="T170">
        <f>HYPERLINK("https://klasma.github.io/Logging_0760/kartor/A 45886-2020 karta.png", "A 45886-2020")</f>
        <v/>
      </c>
      <c r="V170">
        <f>HYPERLINK("https://klasma.github.io/Logging_0760/klagomål/A 45886-2020 FSC-klagomål.docx", "A 45886-2020")</f>
        <v/>
      </c>
      <c r="W170">
        <f>HYPERLINK("https://klasma.github.io/Logging_0760/klagomålsmail/A 45886-2020 FSC-klagomål mail.docx", "A 45886-2020")</f>
        <v/>
      </c>
      <c r="X170">
        <f>HYPERLINK("https://klasma.github.io/Logging_0760/tillsyn/A 45886-2020 tillsynsbegäran.docx", "A 45886-2020")</f>
        <v/>
      </c>
      <c r="Y170">
        <f>HYPERLINK("https://klasma.github.io/Logging_0760/tillsynsmail/A 45886-2020 tillsynsbegäran mail.docx", "A 45886-2020")</f>
        <v/>
      </c>
    </row>
    <row r="171" ht="15" customHeight="1">
      <c r="A171" t="inlineStr">
        <is>
          <t>A 47090-2020</t>
        </is>
      </c>
      <c r="B171" s="1" t="n">
        <v>44096</v>
      </c>
      <c r="C171" s="1" t="n">
        <v>45835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HYPERLINK("https://klasma.github.io/Logging_0763/artfynd/A 47090-2020 artfynd.xlsx", "A 47090-2020")</f>
        <v/>
      </c>
      <c r="T171">
        <f>HYPERLINK("https://klasma.github.io/Logging_0763/kartor/A 47090-2020 karta.png", "A 47090-2020")</f>
        <v/>
      </c>
      <c r="V171">
        <f>HYPERLINK("https://klasma.github.io/Logging_0763/klagomål/A 47090-2020 FSC-klagomål.docx", "A 47090-2020")</f>
        <v/>
      </c>
      <c r="W171">
        <f>HYPERLINK("https://klasma.github.io/Logging_0763/klagomålsmail/A 47090-2020 FSC-klagomål mail.docx", "A 47090-2020")</f>
        <v/>
      </c>
      <c r="X171">
        <f>HYPERLINK("https://klasma.github.io/Logging_0763/tillsyn/A 47090-2020 tillsynsbegäran.docx", "A 47090-2020")</f>
        <v/>
      </c>
      <c r="Y171">
        <f>HYPERLINK("https://klasma.github.io/Logging_0763/tillsynsmail/A 47090-2020 tillsynsbegäran mail.docx", "A 47090-2020")</f>
        <v/>
      </c>
    </row>
    <row r="172" ht="15" customHeight="1">
      <c r="A172" t="inlineStr">
        <is>
          <t>A 52984-2020</t>
        </is>
      </c>
      <c r="B172" s="1" t="n">
        <v>44119</v>
      </c>
      <c r="C172" s="1" t="n">
        <v>45835</v>
      </c>
      <c r="D172" t="inlineStr">
        <is>
          <t>KRONOBERGS LÄN</t>
        </is>
      </c>
      <c r="E172" t="inlineStr">
        <is>
          <t>UPPVIDINGE</t>
        </is>
      </c>
      <c r="G172" t="n">
        <v>3.3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52984-2020 artfynd.xlsx", "A 52984-2020")</f>
        <v/>
      </c>
      <c r="T172">
        <f>HYPERLINK("https://klasma.github.io/Logging_0760/kartor/A 52984-2020 karta.png", "A 52984-2020")</f>
        <v/>
      </c>
      <c r="U172">
        <f>HYPERLINK("https://klasma.github.io/Logging_0760/knärot/A 52984-2020 karta knärot.png", "A 52984-2020")</f>
        <v/>
      </c>
      <c r="V172">
        <f>HYPERLINK("https://klasma.github.io/Logging_0760/klagomål/A 52984-2020 FSC-klagomål.docx", "A 52984-2020")</f>
        <v/>
      </c>
      <c r="W172">
        <f>HYPERLINK("https://klasma.github.io/Logging_0760/klagomålsmail/A 52984-2020 FSC-klagomål mail.docx", "A 52984-2020")</f>
        <v/>
      </c>
      <c r="X172">
        <f>HYPERLINK("https://klasma.github.io/Logging_0760/tillsyn/A 52984-2020 tillsynsbegäran.docx", "A 52984-2020")</f>
        <v/>
      </c>
      <c r="Y172">
        <f>HYPERLINK("https://klasma.github.io/Logging_0760/tillsynsmail/A 52984-2020 tillsynsbegäran mail.docx", "A 52984-2020")</f>
        <v/>
      </c>
    </row>
    <row r="173" ht="15" customHeight="1">
      <c r="A173" t="inlineStr">
        <is>
          <t>A 55123-2020</t>
        </is>
      </c>
      <c r="B173" s="1" t="n">
        <v>44130</v>
      </c>
      <c r="C173" s="1" t="n">
        <v>45835</v>
      </c>
      <c r="D173" t="inlineStr">
        <is>
          <t>KRONOBERGS LÄN</t>
        </is>
      </c>
      <c r="E173" t="inlineStr">
        <is>
          <t>ALVESTA</t>
        </is>
      </c>
      <c r="G173" t="n">
        <v>15.4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HYPERLINK("https://klasma.github.io/Logging_0764/artfynd/A 55123-2020 artfynd.xlsx", "A 55123-2020")</f>
        <v/>
      </c>
      <c r="T173">
        <f>HYPERLINK("https://klasma.github.io/Logging_0764/kartor/A 55123-2020 karta.png", "A 55123-2020")</f>
        <v/>
      </c>
      <c r="V173">
        <f>HYPERLINK("https://klasma.github.io/Logging_0764/klagomål/A 55123-2020 FSC-klagomål.docx", "A 55123-2020")</f>
        <v/>
      </c>
      <c r="W173">
        <f>HYPERLINK("https://klasma.github.io/Logging_0764/klagomålsmail/A 55123-2020 FSC-klagomål mail.docx", "A 55123-2020")</f>
        <v/>
      </c>
      <c r="X173">
        <f>HYPERLINK("https://klasma.github.io/Logging_0764/tillsyn/A 55123-2020 tillsynsbegäran.docx", "A 55123-2020")</f>
        <v/>
      </c>
      <c r="Y173">
        <f>HYPERLINK("https://klasma.github.io/Logging_0764/tillsynsmail/A 55123-2020 tillsynsbegäran mail.docx", "A 55123-2020")</f>
        <v/>
      </c>
      <c r="Z173">
        <f>HYPERLINK("https://klasma.github.io/Logging_0764/fåglar/A 55123-2020 prioriterade fågelarter.docx", "A 55123-2020")</f>
        <v/>
      </c>
    </row>
    <row r="174" ht="15" customHeight="1">
      <c r="A174" t="inlineStr">
        <is>
          <t>A 55805-2020</t>
        </is>
      </c>
      <c r="B174" s="1" t="n">
        <v>44132</v>
      </c>
      <c r="C174" s="1" t="n">
        <v>45835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55805-2020 artfynd.xlsx", "A 55805-2020")</f>
        <v/>
      </c>
      <c r="T174">
        <f>HYPERLINK("https://klasma.github.io/Logging_0760/kartor/A 55805-2020 karta.png", "A 55805-2020")</f>
        <v/>
      </c>
      <c r="U174">
        <f>HYPERLINK("https://klasma.github.io/Logging_0760/knärot/A 55805-2020 karta knärot.png", "A 55805-2020")</f>
        <v/>
      </c>
      <c r="V174">
        <f>HYPERLINK("https://klasma.github.io/Logging_0760/klagomål/A 55805-2020 FSC-klagomål.docx", "A 55805-2020")</f>
        <v/>
      </c>
      <c r="W174">
        <f>HYPERLINK("https://klasma.github.io/Logging_0760/klagomålsmail/A 55805-2020 FSC-klagomål mail.docx", "A 55805-2020")</f>
        <v/>
      </c>
      <c r="X174">
        <f>HYPERLINK("https://klasma.github.io/Logging_0760/tillsyn/A 55805-2020 tillsynsbegäran.docx", "A 55805-2020")</f>
        <v/>
      </c>
      <c r="Y174">
        <f>HYPERLINK("https://klasma.github.io/Logging_0760/tillsynsmail/A 55805-2020 tillsynsbegäran mail.docx", "A 55805-2020")</f>
        <v/>
      </c>
    </row>
    <row r="175" ht="15" customHeight="1">
      <c r="A175" t="inlineStr">
        <is>
          <t>A 59685-2020</t>
        </is>
      </c>
      <c r="B175" s="1" t="n">
        <v>44151</v>
      </c>
      <c r="C175" s="1" t="n">
        <v>45835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59685-2020 artfynd.xlsx", "A 59685-2020")</f>
        <v/>
      </c>
      <c r="T175">
        <f>HYPERLINK("https://klasma.github.io/Logging_0781/kartor/A 59685-2020 karta.png", "A 59685-2020")</f>
        <v/>
      </c>
      <c r="V175">
        <f>HYPERLINK("https://klasma.github.io/Logging_0781/klagomål/A 59685-2020 FSC-klagomål.docx", "A 59685-2020")</f>
        <v/>
      </c>
      <c r="W175">
        <f>HYPERLINK("https://klasma.github.io/Logging_0781/klagomålsmail/A 59685-2020 FSC-klagomål mail.docx", "A 59685-2020")</f>
        <v/>
      </c>
      <c r="X175">
        <f>HYPERLINK("https://klasma.github.io/Logging_0781/tillsyn/A 59685-2020 tillsynsbegäran.docx", "A 59685-2020")</f>
        <v/>
      </c>
      <c r="Y175">
        <f>HYPERLINK("https://klasma.github.io/Logging_0781/tillsynsmail/A 59685-2020 tillsynsbegäran mail.docx", "A 59685-2020")</f>
        <v/>
      </c>
    </row>
    <row r="176" ht="15" customHeight="1">
      <c r="A176" t="inlineStr">
        <is>
          <t>A 63385-2020</t>
        </is>
      </c>
      <c r="B176" s="1" t="n">
        <v>44160</v>
      </c>
      <c r="C176" s="1" t="n">
        <v>45835</v>
      </c>
      <c r="D176" t="inlineStr">
        <is>
          <t>KRONOBERGS LÄN</t>
        </is>
      </c>
      <c r="E176" t="inlineStr">
        <is>
          <t>UPPVIDINGE</t>
        </is>
      </c>
      <c r="G176" t="n">
        <v>0.8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Blodvaxing</t>
        </is>
      </c>
      <c r="S176">
        <f>HYPERLINK("https://klasma.github.io/Logging_0760/artfynd/A 63385-2020 artfynd.xlsx", "A 63385-2020")</f>
        <v/>
      </c>
      <c r="T176">
        <f>HYPERLINK("https://klasma.github.io/Logging_0760/kartor/A 63385-2020 karta.png", "A 63385-2020")</f>
        <v/>
      </c>
      <c r="V176">
        <f>HYPERLINK("https://klasma.github.io/Logging_0760/klagomål/A 63385-2020 FSC-klagomål.docx", "A 63385-2020")</f>
        <v/>
      </c>
      <c r="W176">
        <f>HYPERLINK("https://klasma.github.io/Logging_0760/klagomålsmail/A 63385-2020 FSC-klagomål mail.docx", "A 63385-2020")</f>
        <v/>
      </c>
      <c r="X176">
        <f>HYPERLINK("https://klasma.github.io/Logging_0760/tillsyn/A 63385-2020 tillsynsbegäran.docx", "A 63385-2020")</f>
        <v/>
      </c>
      <c r="Y176">
        <f>HYPERLINK("https://klasma.github.io/Logging_0760/tillsynsmail/A 63385-2020 tillsynsbegäran mail.docx", "A 63385-2020")</f>
        <v/>
      </c>
    </row>
    <row r="177" ht="15" customHeight="1">
      <c r="A177" t="inlineStr">
        <is>
          <t>A 62695-2020</t>
        </is>
      </c>
      <c r="B177" s="1" t="n">
        <v>44161</v>
      </c>
      <c r="C177" s="1" t="n">
        <v>45835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bastardsvärmare</t>
        </is>
      </c>
      <c r="S177">
        <f>HYPERLINK("https://klasma.github.io/Logging_0780/artfynd/A 62695-2020 artfynd.xlsx", "A 62695-2020")</f>
        <v/>
      </c>
      <c r="T177">
        <f>HYPERLINK("https://klasma.github.io/Logging_0780/kartor/A 62695-2020 karta.png", "A 62695-2020")</f>
        <v/>
      </c>
      <c r="V177">
        <f>HYPERLINK("https://klasma.github.io/Logging_0780/klagomål/A 62695-2020 FSC-klagomål.docx", "A 62695-2020")</f>
        <v/>
      </c>
      <c r="W177">
        <f>HYPERLINK("https://klasma.github.io/Logging_0780/klagomålsmail/A 62695-2020 FSC-klagomål mail.docx", "A 62695-2020")</f>
        <v/>
      </c>
      <c r="X177">
        <f>HYPERLINK("https://klasma.github.io/Logging_0780/tillsyn/A 62695-2020 tillsynsbegäran.docx", "A 62695-2020")</f>
        <v/>
      </c>
      <c r="Y177">
        <f>HYPERLINK("https://klasma.github.io/Logging_0780/tillsynsmail/A 62695-2020 tillsynsbegäran mail.docx", "A 62695-2020")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45835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69178-2020</t>
        </is>
      </c>
      <c r="B179" s="1" t="n">
        <v>44189</v>
      </c>
      <c r="C179" s="1" t="n">
        <v>45835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Sävsparv</t>
        </is>
      </c>
      <c r="S179">
        <f>HYPERLINK("https://klasma.github.io/Logging_0780/artfynd/A 69178-2020 artfynd.xlsx", "A 69178-2020")</f>
        <v/>
      </c>
      <c r="T179">
        <f>HYPERLINK("https://klasma.github.io/Logging_0780/kartor/A 69178-2020 karta.png", "A 69178-2020")</f>
        <v/>
      </c>
      <c r="V179">
        <f>HYPERLINK("https://klasma.github.io/Logging_0780/klagomål/A 69178-2020 FSC-klagomål.docx", "A 69178-2020")</f>
        <v/>
      </c>
      <c r="W179">
        <f>HYPERLINK("https://klasma.github.io/Logging_0780/klagomålsmail/A 69178-2020 FSC-klagomål mail.docx", "A 69178-2020")</f>
        <v/>
      </c>
      <c r="X179">
        <f>HYPERLINK("https://klasma.github.io/Logging_0780/tillsyn/A 69178-2020 tillsynsbegäran.docx", "A 69178-2020")</f>
        <v/>
      </c>
      <c r="Y179">
        <f>HYPERLINK("https://klasma.github.io/Logging_0780/tillsynsmail/A 69178-2020 tillsynsbegäran mail.docx", "A 69178-2020")</f>
        <v/>
      </c>
      <c r="Z179">
        <f>HYPERLINK("https://klasma.github.io/Logging_0780/fåglar/A 69178-2020 prioriterade fågelarter.docx", "A 69178-2020")</f>
        <v/>
      </c>
    </row>
    <row r="180" ht="15" customHeight="1">
      <c r="A180" t="inlineStr">
        <is>
          <t>A 927-2021</t>
        </is>
      </c>
      <c r="B180" s="1" t="n">
        <v>44207</v>
      </c>
      <c r="C180" s="1" t="n">
        <v>45835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HYPERLINK("https://klasma.github.io/Logging_0760/artfynd/A 927-2021 artfynd.xlsx", "A 927-2021")</f>
        <v/>
      </c>
      <c r="T180">
        <f>HYPERLINK("https://klasma.github.io/Logging_0760/kartor/A 927-2021 karta.png", "A 927-2021")</f>
        <v/>
      </c>
      <c r="V180">
        <f>HYPERLINK("https://klasma.github.io/Logging_0760/klagomål/A 927-2021 FSC-klagomål.docx", "A 927-2021")</f>
        <v/>
      </c>
      <c r="W180">
        <f>HYPERLINK("https://klasma.github.io/Logging_0760/klagomålsmail/A 927-2021 FSC-klagomål mail.docx", "A 927-2021")</f>
        <v/>
      </c>
      <c r="X180">
        <f>HYPERLINK("https://klasma.github.io/Logging_0760/tillsyn/A 927-2021 tillsynsbegäran.docx", "A 927-2021")</f>
        <v/>
      </c>
      <c r="Y180">
        <f>HYPERLINK("https://klasma.github.io/Logging_0760/tillsynsmail/A 927-2021 tillsynsbegäran mail.docx", "A 927-2021")</f>
        <v/>
      </c>
    </row>
    <row r="181" ht="15" customHeight="1">
      <c r="A181" t="inlineStr">
        <is>
          <t>A 4515-2021</t>
        </is>
      </c>
      <c r="B181" s="1" t="n">
        <v>44224</v>
      </c>
      <c r="C181" s="1" t="n">
        <v>45835</v>
      </c>
      <c r="D181" t="inlineStr">
        <is>
          <t>KRONOBERGS LÄN</t>
        </is>
      </c>
      <c r="E181" t="inlineStr">
        <is>
          <t>VÄXJÖ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4515-2021 artfynd.xlsx", "A 4515-2021")</f>
        <v/>
      </c>
      <c r="T181">
        <f>HYPERLINK("https://klasma.github.io/Logging_0780/kartor/A 4515-2021 karta.png", "A 4515-2021")</f>
        <v/>
      </c>
      <c r="V181">
        <f>HYPERLINK("https://klasma.github.io/Logging_0780/klagomål/A 4515-2021 FSC-klagomål.docx", "A 4515-2021")</f>
        <v/>
      </c>
      <c r="W181">
        <f>HYPERLINK("https://klasma.github.io/Logging_0780/klagomålsmail/A 4515-2021 FSC-klagomål mail.docx", "A 4515-2021")</f>
        <v/>
      </c>
      <c r="X181">
        <f>HYPERLINK("https://klasma.github.io/Logging_0780/tillsyn/A 4515-2021 tillsynsbegäran.docx", "A 4515-2021")</f>
        <v/>
      </c>
      <c r="Y181">
        <f>HYPERLINK("https://klasma.github.io/Logging_0780/tillsynsmail/A 4515-2021 tillsynsbegäran mail.docx", "A 4515-2021")</f>
        <v/>
      </c>
    </row>
    <row r="182" ht="15" customHeight="1">
      <c r="A182" t="inlineStr">
        <is>
          <t>A 4737-2021</t>
        </is>
      </c>
      <c r="B182" s="1" t="n">
        <v>44225</v>
      </c>
      <c r="C182" s="1" t="n">
        <v>45835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5.4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HYPERLINK("https://klasma.github.io/Logging_0760/artfynd/A 4737-2021 artfynd.xlsx", "A 4737-2021")</f>
        <v/>
      </c>
      <c r="T182">
        <f>HYPERLINK("https://klasma.github.io/Logging_0760/kartor/A 4737-2021 karta.png", "A 4737-2021")</f>
        <v/>
      </c>
      <c r="V182">
        <f>HYPERLINK("https://klasma.github.io/Logging_0760/klagomål/A 4737-2021 FSC-klagomål.docx", "A 4737-2021")</f>
        <v/>
      </c>
      <c r="W182">
        <f>HYPERLINK("https://klasma.github.io/Logging_0760/klagomålsmail/A 4737-2021 FSC-klagomål mail.docx", "A 4737-2021")</f>
        <v/>
      </c>
      <c r="X182">
        <f>HYPERLINK("https://klasma.github.io/Logging_0760/tillsyn/A 4737-2021 tillsynsbegäran.docx", "A 4737-2021")</f>
        <v/>
      </c>
      <c r="Y182">
        <f>HYPERLINK("https://klasma.github.io/Logging_0760/tillsynsmail/A 4737-2021 tillsynsbegäran mail.docx", "A 4737-2021")</f>
        <v/>
      </c>
    </row>
    <row r="183" ht="15" customHeight="1">
      <c r="A183" t="inlineStr">
        <is>
          <t>A 5364-2021</t>
        </is>
      </c>
      <c r="B183" s="1" t="n">
        <v>44229</v>
      </c>
      <c r="C183" s="1" t="n">
        <v>45835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HYPERLINK("https://klasma.github.io/Logging_0780/artfynd/A 5364-2021 artfynd.xlsx", "A 5364-2021")</f>
        <v/>
      </c>
      <c r="T183">
        <f>HYPERLINK("https://klasma.github.io/Logging_0780/kartor/A 5364-2021 karta.png", "A 5364-2021")</f>
        <v/>
      </c>
      <c r="V183">
        <f>HYPERLINK("https://klasma.github.io/Logging_0780/klagomål/A 5364-2021 FSC-klagomål.docx", "A 5364-2021")</f>
        <v/>
      </c>
      <c r="W183">
        <f>HYPERLINK("https://klasma.github.io/Logging_0780/klagomålsmail/A 5364-2021 FSC-klagomål mail.docx", "A 5364-2021")</f>
        <v/>
      </c>
      <c r="X183">
        <f>HYPERLINK("https://klasma.github.io/Logging_0780/tillsyn/A 5364-2021 tillsynsbegäran.docx", "A 5364-2021")</f>
        <v/>
      </c>
      <c r="Y183">
        <f>HYPERLINK("https://klasma.github.io/Logging_0780/tillsynsmail/A 5364-2021 tillsynsbegäran mail.docx", "A 5364-2021")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45835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7040-2021</t>
        </is>
      </c>
      <c r="B185" s="1" t="n">
        <v>44237</v>
      </c>
      <c r="C185" s="1" t="n">
        <v>45835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HYPERLINK("https://klasma.github.io/Logging_0781/artfynd/A 7040-2021 artfynd.xlsx", "A 7040-2021")</f>
        <v/>
      </c>
      <c r="T185">
        <f>HYPERLINK("https://klasma.github.io/Logging_0781/kartor/A 7040-2021 karta.png", "A 7040-2021")</f>
        <v/>
      </c>
      <c r="V185">
        <f>HYPERLINK("https://klasma.github.io/Logging_0781/klagomål/A 7040-2021 FSC-klagomål.docx", "A 7040-2021")</f>
        <v/>
      </c>
      <c r="W185">
        <f>HYPERLINK("https://klasma.github.io/Logging_0781/klagomålsmail/A 7040-2021 FSC-klagomål mail.docx", "A 7040-2021")</f>
        <v/>
      </c>
      <c r="X185">
        <f>HYPERLINK("https://klasma.github.io/Logging_0781/tillsyn/A 7040-2021 tillsynsbegäran.docx", "A 7040-2021")</f>
        <v/>
      </c>
      <c r="Y185">
        <f>HYPERLINK("https://klasma.github.io/Logging_0781/tillsynsmail/A 7040-2021 tillsynsbegäran mail.docx", "A 7040-2021")</f>
        <v/>
      </c>
    </row>
    <row r="186" ht="15" customHeight="1">
      <c r="A186" t="inlineStr">
        <is>
          <t>A 8280-2021</t>
        </is>
      </c>
      <c r="B186" s="1" t="n">
        <v>44244</v>
      </c>
      <c r="C186" s="1" t="n">
        <v>45835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HYPERLINK("https://klasma.github.io/Logging_0780/artfynd/A 8280-2021 artfynd.xlsx", "A 8280-2021")</f>
        <v/>
      </c>
      <c r="T186">
        <f>HYPERLINK("https://klasma.github.io/Logging_0780/kartor/A 8280-2021 karta.png", "A 8280-2021")</f>
        <v/>
      </c>
      <c r="V186">
        <f>HYPERLINK("https://klasma.github.io/Logging_0780/klagomål/A 8280-2021 FSC-klagomål.docx", "A 8280-2021")</f>
        <v/>
      </c>
      <c r="W186">
        <f>HYPERLINK("https://klasma.github.io/Logging_0780/klagomålsmail/A 8280-2021 FSC-klagomål mail.docx", "A 8280-2021")</f>
        <v/>
      </c>
      <c r="X186">
        <f>HYPERLINK("https://klasma.github.io/Logging_0780/tillsyn/A 8280-2021 tillsynsbegäran.docx", "A 8280-2021")</f>
        <v/>
      </c>
      <c r="Y186">
        <f>HYPERLINK("https://klasma.github.io/Logging_0780/tillsynsmail/A 8280-2021 tillsynsbegäran mail.docx", "A 8280-2021")</f>
        <v/>
      </c>
    </row>
    <row r="187" ht="15" customHeight="1">
      <c r="A187" t="inlineStr">
        <is>
          <t>A 13014-2021</t>
        </is>
      </c>
      <c r="B187" s="1" t="n">
        <v>44271</v>
      </c>
      <c r="C187" s="1" t="n">
        <v>45835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HYPERLINK("https://klasma.github.io/Logging_0781/artfynd/A 13014-2021 artfynd.xlsx", "A 13014-2021")</f>
        <v/>
      </c>
      <c r="T187">
        <f>HYPERLINK("https://klasma.github.io/Logging_0781/kartor/A 13014-2021 karta.png", "A 13014-2021")</f>
        <v/>
      </c>
      <c r="V187">
        <f>HYPERLINK("https://klasma.github.io/Logging_0781/klagomål/A 13014-2021 FSC-klagomål.docx", "A 13014-2021")</f>
        <v/>
      </c>
      <c r="W187">
        <f>HYPERLINK("https://klasma.github.io/Logging_0781/klagomålsmail/A 13014-2021 FSC-klagomål mail.docx", "A 13014-2021")</f>
        <v/>
      </c>
      <c r="X187">
        <f>HYPERLINK("https://klasma.github.io/Logging_0781/tillsyn/A 13014-2021 tillsynsbegäran.docx", "A 13014-2021")</f>
        <v/>
      </c>
      <c r="Y187">
        <f>HYPERLINK("https://klasma.github.io/Logging_0781/tillsynsmail/A 13014-2021 tillsynsbegäran mail.docx", "A 13014-2021")</f>
        <v/>
      </c>
    </row>
    <row r="188" ht="15" customHeight="1">
      <c r="A188" t="inlineStr">
        <is>
          <t>A 16358-2021</t>
        </is>
      </c>
      <c r="B188" s="1" t="n">
        <v>44292</v>
      </c>
      <c r="C188" s="1" t="n">
        <v>45835</v>
      </c>
      <c r="D188" t="inlineStr">
        <is>
          <t>KRONOBERGS LÄN</t>
        </is>
      </c>
      <c r="E188" t="inlineStr">
        <is>
          <t>LJUNGBY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HYPERLINK("https://klasma.github.io/Logging_0781/artfynd/A 16358-2021 artfynd.xlsx", "A 16358-2021")</f>
        <v/>
      </c>
      <c r="T188">
        <f>HYPERLINK("https://klasma.github.io/Logging_0781/kartor/A 16358-2021 karta.png", "A 16358-2021")</f>
        <v/>
      </c>
      <c r="V188">
        <f>HYPERLINK("https://klasma.github.io/Logging_0781/klagomål/A 16358-2021 FSC-klagomål.docx", "A 16358-2021")</f>
        <v/>
      </c>
      <c r="W188">
        <f>HYPERLINK("https://klasma.github.io/Logging_0781/klagomålsmail/A 16358-2021 FSC-klagomål mail.docx", "A 16358-2021")</f>
        <v/>
      </c>
      <c r="X188">
        <f>HYPERLINK("https://klasma.github.io/Logging_0781/tillsyn/A 16358-2021 tillsynsbegäran.docx", "A 16358-2021")</f>
        <v/>
      </c>
      <c r="Y188">
        <f>HYPERLINK("https://klasma.github.io/Logging_0781/tillsynsmail/A 16358-2021 tillsynsbegäran mail.docx", "A 16358-2021")</f>
        <v/>
      </c>
    </row>
    <row r="189" ht="15" customHeight="1">
      <c r="A189" t="inlineStr">
        <is>
          <t>A 16871-2021</t>
        </is>
      </c>
      <c r="B189" s="1" t="n">
        <v>44295</v>
      </c>
      <c r="C189" s="1" t="n">
        <v>45835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Brunpudrad nållav</t>
        </is>
      </c>
      <c r="S189">
        <f>HYPERLINK("https://klasma.github.io/Logging_0760/artfynd/A 16871-2021 artfynd.xlsx", "A 16871-2021")</f>
        <v/>
      </c>
      <c r="T189">
        <f>HYPERLINK("https://klasma.github.io/Logging_0760/kartor/A 16871-2021 karta.png", "A 16871-2021")</f>
        <v/>
      </c>
      <c r="V189">
        <f>HYPERLINK("https://klasma.github.io/Logging_0760/klagomål/A 16871-2021 FSC-klagomål.docx", "A 16871-2021")</f>
        <v/>
      </c>
      <c r="W189">
        <f>HYPERLINK("https://klasma.github.io/Logging_0760/klagomålsmail/A 16871-2021 FSC-klagomål mail.docx", "A 16871-2021")</f>
        <v/>
      </c>
      <c r="X189">
        <f>HYPERLINK("https://klasma.github.io/Logging_0760/tillsyn/A 16871-2021 tillsynsbegäran.docx", "A 16871-2021")</f>
        <v/>
      </c>
      <c r="Y189">
        <f>HYPERLINK("https://klasma.github.io/Logging_0760/tillsynsmail/A 16871-2021 tillsynsbegäran mail.docx", "A 16871-2021")</f>
        <v/>
      </c>
    </row>
    <row r="190" ht="15" customHeight="1">
      <c r="A190" t="inlineStr">
        <is>
          <t>A 21191-2021</t>
        </is>
      </c>
      <c r="B190" s="1" t="n">
        <v>44320</v>
      </c>
      <c r="C190" s="1" t="n">
        <v>45835</v>
      </c>
      <c r="D190" t="inlineStr">
        <is>
          <t>KRONOBERGS LÄN</t>
        </is>
      </c>
      <c r="E190" t="inlineStr">
        <is>
          <t>VÄXJÖ</t>
        </is>
      </c>
      <c r="G190" t="n">
        <v>3.6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HYPERLINK("https://klasma.github.io/Logging_0780/artfynd/A 21191-2021 artfynd.xlsx", "A 21191-2021")</f>
        <v/>
      </c>
      <c r="T190">
        <f>HYPERLINK("https://klasma.github.io/Logging_0780/kartor/A 21191-2021 karta.png", "A 21191-2021")</f>
        <v/>
      </c>
      <c r="U190">
        <f>HYPERLINK("https://klasma.github.io/Logging_0780/knärot/A 21191-2021 karta knärot.png", "A 21191-2021")</f>
        <v/>
      </c>
      <c r="V190">
        <f>HYPERLINK("https://klasma.github.io/Logging_0780/klagomål/A 21191-2021 FSC-klagomål.docx", "A 21191-2021")</f>
        <v/>
      </c>
      <c r="W190">
        <f>HYPERLINK("https://klasma.github.io/Logging_0780/klagomålsmail/A 21191-2021 FSC-klagomål mail.docx", "A 21191-2021")</f>
        <v/>
      </c>
      <c r="X190">
        <f>HYPERLINK("https://klasma.github.io/Logging_0780/tillsyn/A 21191-2021 tillsynsbegäran.docx", "A 21191-2021")</f>
        <v/>
      </c>
      <c r="Y190">
        <f>HYPERLINK("https://klasma.github.io/Logging_0780/tillsynsmail/A 21191-2021 tillsynsbegäran mail.docx", "A 21191-2021")</f>
        <v/>
      </c>
    </row>
    <row r="191" ht="15" customHeight="1">
      <c r="A191" t="inlineStr">
        <is>
          <t>A 24090-2021</t>
        </is>
      </c>
      <c r="B191" s="1" t="n">
        <v>44336</v>
      </c>
      <c r="C191" s="1" t="n">
        <v>45835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Slåttergubbe</t>
        </is>
      </c>
      <c r="S191">
        <f>HYPERLINK("https://klasma.github.io/Logging_0764/artfynd/A 24090-2021 artfynd.xlsx", "A 24090-2021")</f>
        <v/>
      </c>
      <c r="T191">
        <f>HYPERLINK("https://klasma.github.io/Logging_0764/kartor/A 24090-2021 karta.png", "A 24090-2021")</f>
        <v/>
      </c>
      <c r="V191">
        <f>HYPERLINK("https://klasma.github.io/Logging_0764/klagomål/A 24090-2021 FSC-klagomål.docx", "A 24090-2021")</f>
        <v/>
      </c>
      <c r="W191">
        <f>HYPERLINK("https://klasma.github.io/Logging_0764/klagomålsmail/A 24090-2021 FSC-klagomål mail.docx", "A 24090-2021")</f>
        <v/>
      </c>
      <c r="X191">
        <f>HYPERLINK("https://klasma.github.io/Logging_0764/tillsyn/A 24090-2021 tillsynsbegäran.docx", "A 24090-2021")</f>
        <v/>
      </c>
      <c r="Y191">
        <f>HYPERLINK("https://klasma.github.io/Logging_0764/tillsynsmail/A 24090-2021 tillsynsbegäran mail.docx", "A 24090-2021")</f>
        <v/>
      </c>
    </row>
    <row r="192" ht="15" customHeight="1">
      <c r="A192" t="inlineStr">
        <is>
          <t>A 26440-2021</t>
        </is>
      </c>
      <c r="B192" s="1" t="n">
        <v>44348</v>
      </c>
      <c r="C192" s="1" t="n">
        <v>45835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Mjukdån</t>
        </is>
      </c>
      <c r="S192">
        <f>HYPERLINK("https://klasma.github.io/Logging_0763/artfynd/A 26440-2021 artfynd.xlsx", "A 26440-2021")</f>
        <v/>
      </c>
      <c r="T192">
        <f>HYPERLINK("https://klasma.github.io/Logging_0763/kartor/A 26440-2021 karta.png", "A 26440-2021")</f>
        <v/>
      </c>
      <c r="V192">
        <f>HYPERLINK("https://klasma.github.io/Logging_0763/klagomål/A 26440-2021 FSC-klagomål.docx", "A 26440-2021")</f>
        <v/>
      </c>
      <c r="W192">
        <f>HYPERLINK("https://klasma.github.io/Logging_0763/klagomålsmail/A 26440-2021 FSC-klagomål mail.docx", "A 26440-2021")</f>
        <v/>
      </c>
      <c r="X192">
        <f>HYPERLINK("https://klasma.github.io/Logging_0763/tillsyn/A 26440-2021 tillsynsbegäran.docx", "A 26440-2021")</f>
        <v/>
      </c>
      <c r="Y192">
        <f>HYPERLINK("https://klasma.github.io/Logging_0763/tillsynsmail/A 26440-2021 tillsynsbegäran mail.docx", "A 26440-2021")</f>
        <v/>
      </c>
    </row>
    <row r="193" ht="15" customHeight="1">
      <c r="A193" t="inlineStr">
        <is>
          <t>A 29179-2021</t>
        </is>
      </c>
      <c r="B193" s="1" t="n">
        <v>44358</v>
      </c>
      <c r="C193" s="1" t="n">
        <v>45835</v>
      </c>
      <c r="D193" t="inlineStr">
        <is>
          <t>KRONOBERGS LÄN</t>
        </is>
      </c>
      <c r="E193" t="inlineStr">
        <is>
          <t>VÄXJÖ</t>
        </is>
      </c>
      <c r="F193" t="inlineStr">
        <is>
          <t>Kyrkan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HYPERLINK("https://klasma.github.io/Logging_0780/artfynd/A 29179-2021 artfynd.xlsx", "A 29179-2021")</f>
        <v/>
      </c>
      <c r="T193">
        <f>HYPERLINK("https://klasma.github.io/Logging_0780/kartor/A 29179-2021 karta.png", "A 29179-2021")</f>
        <v/>
      </c>
      <c r="V193">
        <f>HYPERLINK("https://klasma.github.io/Logging_0780/klagomål/A 29179-2021 FSC-klagomål.docx", "A 29179-2021")</f>
        <v/>
      </c>
      <c r="W193">
        <f>HYPERLINK("https://klasma.github.io/Logging_0780/klagomålsmail/A 29179-2021 FSC-klagomål mail.docx", "A 29179-2021")</f>
        <v/>
      </c>
      <c r="X193">
        <f>HYPERLINK("https://klasma.github.io/Logging_0780/tillsyn/A 29179-2021 tillsynsbegäran.docx", "A 29179-2021")</f>
        <v/>
      </c>
      <c r="Y193">
        <f>HYPERLINK("https://klasma.github.io/Logging_0780/tillsynsmail/A 29179-2021 tillsynsbegäran mail.docx", "A 29179-2021")</f>
        <v/>
      </c>
      <c r="Z193">
        <f>HYPERLINK("https://klasma.github.io/Logging_0780/fåglar/A 29179-2021 prioriterade fågelarter.docx", "A 29179-2021")</f>
        <v/>
      </c>
    </row>
    <row r="194" ht="15" customHeight="1">
      <c r="A194" t="inlineStr">
        <is>
          <t>A 32873-2021</t>
        </is>
      </c>
      <c r="B194" s="1" t="n">
        <v>44375</v>
      </c>
      <c r="C194" s="1" t="n">
        <v>45835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32873-2021 artfynd.xlsx", "A 32873-2021")</f>
        <v/>
      </c>
      <c r="T194">
        <f>HYPERLINK("https://klasma.github.io/Logging_0760/kartor/A 32873-2021 karta.png", "A 32873-2021")</f>
        <v/>
      </c>
      <c r="V194">
        <f>HYPERLINK("https://klasma.github.io/Logging_0760/klagomål/A 32873-2021 FSC-klagomål.docx", "A 32873-2021")</f>
        <v/>
      </c>
      <c r="W194">
        <f>HYPERLINK("https://klasma.github.io/Logging_0760/klagomålsmail/A 32873-2021 FSC-klagomål mail.docx", "A 32873-2021")</f>
        <v/>
      </c>
      <c r="X194">
        <f>HYPERLINK("https://klasma.github.io/Logging_0760/tillsyn/A 32873-2021 tillsynsbegäran.docx", "A 32873-2021")</f>
        <v/>
      </c>
      <c r="Y194">
        <f>HYPERLINK("https://klasma.github.io/Logging_0760/tillsynsmail/A 32873-2021 tillsynsbegäran mail.docx", "A 32873-2021")</f>
        <v/>
      </c>
    </row>
    <row r="195" ht="15" customHeight="1">
      <c r="A195" t="inlineStr">
        <is>
          <t>A 35200-2021</t>
        </is>
      </c>
      <c r="B195" s="1" t="n">
        <v>44384</v>
      </c>
      <c r="C195" s="1" t="n">
        <v>45835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flatbagge</t>
        </is>
      </c>
      <c r="S195">
        <f>HYPERLINK("https://klasma.github.io/Logging_0760/artfynd/A 35200-2021 artfynd.xlsx", "A 35200-2021")</f>
        <v/>
      </c>
      <c r="T195">
        <f>HYPERLINK("https://klasma.github.io/Logging_0760/kartor/A 35200-2021 karta.png", "A 35200-2021")</f>
        <v/>
      </c>
      <c r="V195">
        <f>HYPERLINK("https://klasma.github.io/Logging_0760/klagomål/A 35200-2021 FSC-klagomål.docx", "A 35200-2021")</f>
        <v/>
      </c>
      <c r="W195">
        <f>HYPERLINK("https://klasma.github.io/Logging_0760/klagomålsmail/A 35200-2021 FSC-klagomål mail.docx", "A 35200-2021")</f>
        <v/>
      </c>
      <c r="X195">
        <f>HYPERLINK("https://klasma.github.io/Logging_0760/tillsyn/A 35200-2021 tillsynsbegäran.docx", "A 35200-2021")</f>
        <v/>
      </c>
      <c r="Y195">
        <f>HYPERLINK("https://klasma.github.io/Logging_0760/tillsynsmail/A 35200-2021 tillsynsbegäran mail.docx", "A 35200-2021")</f>
        <v/>
      </c>
    </row>
    <row r="196" ht="15" customHeight="1">
      <c r="A196" t="inlineStr">
        <is>
          <t>A 35815-2021</t>
        </is>
      </c>
      <c r="B196" s="1" t="n">
        <v>44386</v>
      </c>
      <c r="C196" s="1" t="n">
        <v>45835</v>
      </c>
      <c r="D196" t="inlineStr">
        <is>
          <t>KRONOBERGS LÄN</t>
        </is>
      </c>
      <c r="E196" t="inlineStr">
        <is>
          <t>VÄXJÖ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HYPERLINK("https://klasma.github.io/Logging_0780/artfynd/A 35815-2021 artfynd.xlsx", "A 35815-2021")</f>
        <v/>
      </c>
      <c r="T196">
        <f>HYPERLINK("https://klasma.github.io/Logging_0780/kartor/A 35815-2021 karta.png", "A 35815-2021")</f>
        <v/>
      </c>
      <c r="V196">
        <f>HYPERLINK("https://klasma.github.io/Logging_0780/klagomål/A 35815-2021 FSC-klagomål.docx", "A 35815-2021")</f>
        <v/>
      </c>
      <c r="W196">
        <f>HYPERLINK("https://klasma.github.io/Logging_0780/klagomålsmail/A 35815-2021 FSC-klagomål mail.docx", "A 35815-2021")</f>
        <v/>
      </c>
      <c r="X196">
        <f>HYPERLINK("https://klasma.github.io/Logging_0780/tillsyn/A 35815-2021 tillsynsbegäran.docx", "A 35815-2021")</f>
        <v/>
      </c>
      <c r="Y196">
        <f>HYPERLINK("https://klasma.github.io/Logging_0780/tillsynsmail/A 35815-2021 tillsynsbegäran mail.docx", "A 35815-2021")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45835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41419-2021</t>
        </is>
      </c>
      <c r="B198" s="1" t="n">
        <v>44424</v>
      </c>
      <c r="C198" s="1" t="n">
        <v>45835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HYPERLINK("https://klasma.github.io/Logging_0765/artfynd/A 41419-2021 artfynd.xlsx", "A 41419-2021")</f>
        <v/>
      </c>
      <c r="T198">
        <f>HYPERLINK("https://klasma.github.io/Logging_0765/kartor/A 41419-2021 karta.png", "A 41419-2021")</f>
        <v/>
      </c>
      <c r="V198">
        <f>HYPERLINK("https://klasma.github.io/Logging_0765/klagomål/A 41419-2021 FSC-klagomål.docx", "A 41419-2021")</f>
        <v/>
      </c>
      <c r="W198">
        <f>HYPERLINK("https://klasma.github.io/Logging_0765/klagomålsmail/A 41419-2021 FSC-klagomål mail.docx", "A 41419-2021")</f>
        <v/>
      </c>
      <c r="X198">
        <f>HYPERLINK("https://klasma.github.io/Logging_0765/tillsyn/A 41419-2021 tillsynsbegäran.docx", "A 41419-2021")</f>
        <v/>
      </c>
      <c r="Y198">
        <f>HYPERLINK("https://klasma.github.io/Logging_0765/tillsynsmail/A 41419-2021 tillsynsbegäran mail.docx", "A 41419-2021")</f>
        <v/>
      </c>
    </row>
    <row r="199" ht="15" customHeight="1">
      <c r="A199" t="inlineStr">
        <is>
          <t>A 43912-2021</t>
        </is>
      </c>
      <c r="B199" s="1" t="n">
        <v>44434</v>
      </c>
      <c r="C199" s="1" t="n">
        <v>45835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HYPERLINK("https://klasma.github.io/Logging_0780/artfynd/A 43912-2021 artfynd.xlsx", "A 43912-2021")</f>
        <v/>
      </c>
      <c r="T199">
        <f>HYPERLINK("https://klasma.github.io/Logging_0780/kartor/A 43912-2021 karta.png", "A 43912-2021")</f>
        <v/>
      </c>
      <c r="V199">
        <f>HYPERLINK("https://klasma.github.io/Logging_0780/klagomål/A 43912-2021 FSC-klagomål.docx", "A 43912-2021")</f>
        <v/>
      </c>
      <c r="W199">
        <f>HYPERLINK("https://klasma.github.io/Logging_0780/klagomålsmail/A 43912-2021 FSC-klagomål mail.docx", "A 43912-2021")</f>
        <v/>
      </c>
      <c r="X199">
        <f>HYPERLINK("https://klasma.github.io/Logging_0780/tillsyn/A 43912-2021 tillsynsbegäran.docx", "A 43912-2021")</f>
        <v/>
      </c>
      <c r="Y199">
        <f>HYPERLINK("https://klasma.github.io/Logging_0780/tillsynsmail/A 43912-2021 tillsynsbegäran mail.docx", "A 43912-2021")</f>
        <v/>
      </c>
    </row>
    <row r="200" ht="15" customHeight="1">
      <c r="A200" t="inlineStr">
        <is>
          <t>A 47908-2021</t>
        </is>
      </c>
      <c r="B200" s="1" t="n">
        <v>44448</v>
      </c>
      <c r="C200" s="1" t="n">
        <v>45835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HYPERLINK("https://klasma.github.io/Logging_0781/artfynd/A 47908-2021 artfynd.xlsx", "A 47908-2021")</f>
        <v/>
      </c>
      <c r="T200">
        <f>HYPERLINK("https://klasma.github.io/Logging_0781/kartor/A 47908-2021 karta.png", "A 47908-2021")</f>
        <v/>
      </c>
      <c r="U200">
        <f>HYPERLINK("https://klasma.github.io/Logging_0781/knärot/A 47908-2021 karta knärot.png", "A 47908-2021")</f>
        <v/>
      </c>
      <c r="V200">
        <f>HYPERLINK("https://klasma.github.io/Logging_0781/klagomål/A 47908-2021 FSC-klagomål.docx", "A 47908-2021")</f>
        <v/>
      </c>
      <c r="W200">
        <f>HYPERLINK("https://klasma.github.io/Logging_0781/klagomålsmail/A 47908-2021 FSC-klagomål mail.docx", "A 47908-2021")</f>
        <v/>
      </c>
      <c r="X200">
        <f>HYPERLINK("https://klasma.github.io/Logging_0781/tillsyn/A 47908-2021 tillsynsbegäran.docx", "A 47908-2021")</f>
        <v/>
      </c>
      <c r="Y200">
        <f>HYPERLINK("https://klasma.github.io/Logging_0781/tillsynsmail/A 47908-2021 tillsynsbegäran mail.docx", "A 47908-2021")</f>
        <v/>
      </c>
    </row>
    <row r="201" ht="15" customHeight="1">
      <c r="A201" t="inlineStr">
        <is>
          <t>A 47909-2021</t>
        </is>
      </c>
      <c r="B201" s="1" t="n">
        <v>44448</v>
      </c>
      <c r="C201" s="1" t="n">
        <v>45835</v>
      </c>
      <c r="D201" t="inlineStr">
        <is>
          <t>KRONOBERGS LÄN</t>
        </is>
      </c>
      <c r="E201" t="inlineStr">
        <is>
          <t>LJUNGBY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Klippfrullania</t>
        </is>
      </c>
      <c r="S201">
        <f>HYPERLINK("https://klasma.github.io/Logging_0781/artfynd/A 47909-2021 artfynd.xlsx", "A 47909-2021")</f>
        <v/>
      </c>
      <c r="T201">
        <f>HYPERLINK("https://klasma.github.io/Logging_0781/kartor/A 47909-2021 karta.png", "A 47909-2021")</f>
        <v/>
      </c>
      <c r="V201">
        <f>HYPERLINK("https://klasma.github.io/Logging_0781/klagomål/A 47909-2021 FSC-klagomål.docx", "A 47909-2021")</f>
        <v/>
      </c>
      <c r="W201">
        <f>HYPERLINK("https://klasma.github.io/Logging_0781/klagomålsmail/A 47909-2021 FSC-klagomål mail.docx", "A 47909-2021")</f>
        <v/>
      </c>
      <c r="X201">
        <f>HYPERLINK("https://klasma.github.io/Logging_0781/tillsyn/A 47909-2021 tillsynsbegäran.docx", "A 47909-2021")</f>
        <v/>
      </c>
      <c r="Y201">
        <f>HYPERLINK("https://klasma.github.io/Logging_0781/tillsynsmail/A 47909-2021 tillsynsbegäran mail.docx", "A 47909-2021")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45835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51284-2021</t>
        </is>
      </c>
      <c r="B203" s="1" t="n">
        <v>44461</v>
      </c>
      <c r="C203" s="1" t="n">
        <v>45835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51284-2021 artfynd.xlsx", "A 51284-2021")</f>
        <v/>
      </c>
      <c r="T203">
        <f>HYPERLINK("https://klasma.github.io/Logging_0781/kartor/A 51284-2021 karta.png", "A 51284-2021")</f>
        <v/>
      </c>
      <c r="V203">
        <f>HYPERLINK("https://klasma.github.io/Logging_0781/klagomål/A 51284-2021 FSC-klagomål.docx", "A 51284-2021")</f>
        <v/>
      </c>
      <c r="W203">
        <f>HYPERLINK("https://klasma.github.io/Logging_0781/klagomålsmail/A 51284-2021 FSC-klagomål mail.docx", "A 51284-2021")</f>
        <v/>
      </c>
      <c r="X203">
        <f>HYPERLINK("https://klasma.github.io/Logging_0781/tillsyn/A 51284-2021 tillsynsbegäran.docx", "A 51284-2021")</f>
        <v/>
      </c>
      <c r="Y203">
        <f>HYPERLINK("https://klasma.github.io/Logging_0781/tillsynsmail/A 51284-2021 tillsynsbegäran mail.docx", "A 51284-2021")</f>
        <v/>
      </c>
      <c r="Z203">
        <f>HYPERLINK("https://klasma.github.io/Logging_0781/fåglar/A 51284-2021 prioriterade fågelarter.docx", "A 51284-2021")</f>
        <v/>
      </c>
    </row>
    <row r="204" ht="15" customHeight="1">
      <c r="A204" t="inlineStr">
        <is>
          <t>A 58629-2021</t>
        </is>
      </c>
      <c r="B204" s="1" t="n">
        <v>44489</v>
      </c>
      <c r="C204" s="1" t="n">
        <v>45835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Kavelhirs</t>
        </is>
      </c>
      <c r="S204">
        <f>HYPERLINK("https://klasma.github.io/Logging_0763/artfynd/A 58629-2021 artfynd.xlsx", "A 58629-2021")</f>
        <v/>
      </c>
      <c r="T204">
        <f>HYPERLINK("https://klasma.github.io/Logging_0763/kartor/A 58629-2021 karta.png", "A 58629-2021")</f>
        <v/>
      </c>
      <c r="V204">
        <f>HYPERLINK("https://klasma.github.io/Logging_0763/klagomål/A 58629-2021 FSC-klagomål.docx", "A 58629-2021")</f>
        <v/>
      </c>
      <c r="W204">
        <f>HYPERLINK("https://klasma.github.io/Logging_0763/klagomålsmail/A 58629-2021 FSC-klagomål mail.docx", "A 58629-2021")</f>
        <v/>
      </c>
      <c r="X204">
        <f>HYPERLINK("https://klasma.github.io/Logging_0763/tillsyn/A 58629-2021 tillsynsbegäran.docx", "A 58629-2021")</f>
        <v/>
      </c>
      <c r="Y204">
        <f>HYPERLINK("https://klasma.github.io/Logging_0763/tillsynsmail/A 58629-2021 tillsynsbegäran mail.docx", "A 58629-2021")</f>
        <v/>
      </c>
    </row>
    <row r="205" ht="15" customHeight="1">
      <c r="A205" t="inlineStr">
        <is>
          <t>A 60235-2021</t>
        </is>
      </c>
      <c r="B205" s="1" t="n">
        <v>44495</v>
      </c>
      <c r="C205" s="1" t="n">
        <v>45835</v>
      </c>
      <c r="D205" t="inlineStr">
        <is>
          <t>KRONOBERGS LÄN</t>
        </is>
      </c>
      <c r="E205" t="inlineStr">
        <is>
          <t>LJUNGBY</t>
        </is>
      </c>
      <c r="G205" t="n">
        <v>9.4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60235-2021 artfynd.xlsx", "A 60235-2021")</f>
        <v/>
      </c>
      <c r="T205">
        <f>HYPERLINK("https://klasma.github.io/Logging_0781/kartor/A 60235-2021 karta.png", "A 60235-2021")</f>
        <v/>
      </c>
      <c r="U205">
        <f>HYPERLINK("https://klasma.github.io/Logging_0781/knärot/A 60235-2021 karta knärot.png", "A 60235-2021")</f>
        <v/>
      </c>
      <c r="V205">
        <f>HYPERLINK("https://klasma.github.io/Logging_0781/klagomål/A 60235-2021 FSC-klagomål.docx", "A 60235-2021")</f>
        <v/>
      </c>
      <c r="W205">
        <f>HYPERLINK("https://klasma.github.io/Logging_0781/klagomålsmail/A 60235-2021 FSC-klagomål mail.docx", "A 60235-2021")</f>
        <v/>
      </c>
      <c r="X205">
        <f>HYPERLINK("https://klasma.github.io/Logging_0781/tillsyn/A 60235-2021 tillsynsbegäran.docx", "A 60235-2021")</f>
        <v/>
      </c>
      <c r="Y205">
        <f>HYPERLINK("https://klasma.github.io/Logging_0781/tillsynsmail/A 60235-2021 tillsynsbegäran mail.docx", "A 60235-2021")</f>
        <v/>
      </c>
    </row>
    <row r="206" ht="15" customHeight="1">
      <c r="A206" t="inlineStr">
        <is>
          <t>A 67665-2021</t>
        </is>
      </c>
      <c r="B206" s="1" t="n">
        <v>44524</v>
      </c>
      <c r="C206" s="1" t="n">
        <v>45835</v>
      </c>
      <c r="D206" t="inlineStr">
        <is>
          <t>KRONOBERGS LÄN</t>
        </is>
      </c>
      <c r="E206" t="inlineStr">
        <is>
          <t>LJUNGBY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Sjötåtel</t>
        </is>
      </c>
      <c r="S206">
        <f>HYPERLINK("https://klasma.github.io/Logging_0781/artfynd/A 67665-2021 artfynd.xlsx", "A 67665-2021")</f>
        <v/>
      </c>
      <c r="T206">
        <f>HYPERLINK("https://klasma.github.io/Logging_0781/kartor/A 67665-2021 karta.png", "A 67665-2021")</f>
        <v/>
      </c>
      <c r="V206">
        <f>HYPERLINK("https://klasma.github.io/Logging_0781/klagomål/A 67665-2021 FSC-klagomål.docx", "A 67665-2021")</f>
        <v/>
      </c>
      <c r="W206">
        <f>HYPERLINK("https://klasma.github.io/Logging_0781/klagomålsmail/A 67665-2021 FSC-klagomål mail.docx", "A 67665-2021")</f>
        <v/>
      </c>
      <c r="X206">
        <f>HYPERLINK("https://klasma.github.io/Logging_0781/tillsyn/A 67665-2021 tillsynsbegäran.docx", "A 67665-2021")</f>
        <v/>
      </c>
      <c r="Y206">
        <f>HYPERLINK("https://klasma.github.io/Logging_0781/tillsynsmail/A 67665-2021 tillsynsbegäran mail.docx", "A 67665-2021")</f>
        <v/>
      </c>
    </row>
    <row r="207" ht="15" customHeight="1">
      <c r="A207" t="inlineStr">
        <is>
          <t>A 73118-2021</t>
        </is>
      </c>
      <c r="B207" s="1" t="n">
        <v>44550</v>
      </c>
      <c r="C207" s="1" t="n">
        <v>45835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73118-2021 artfynd.xlsx", "A 73118-2021")</f>
        <v/>
      </c>
      <c r="T207">
        <f>HYPERLINK("https://klasma.github.io/Logging_0760/kartor/A 73118-2021 karta.png", "A 73118-2021")</f>
        <v/>
      </c>
      <c r="V207">
        <f>HYPERLINK("https://klasma.github.io/Logging_0760/klagomål/A 73118-2021 FSC-klagomål.docx", "A 73118-2021")</f>
        <v/>
      </c>
      <c r="W207">
        <f>HYPERLINK("https://klasma.github.io/Logging_0760/klagomålsmail/A 73118-2021 FSC-klagomål mail.docx", "A 73118-2021")</f>
        <v/>
      </c>
      <c r="X207">
        <f>HYPERLINK("https://klasma.github.io/Logging_0760/tillsyn/A 73118-2021 tillsynsbegäran.docx", "A 73118-2021")</f>
        <v/>
      </c>
      <c r="Y207">
        <f>HYPERLINK("https://klasma.github.io/Logging_0760/tillsynsmail/A 73118-2021 tillsynsbegäran mail.docx", "A 73118-2021")</f>
        <v/>
      </c>
    </row>
    <row r="208" ht="15" customHeight="1">
      <c r="A208" t="inlineStr">
        <is>
          <t>A 3220-2022</t>
        </is>
      </c>
      <c r="B208" s="1" t="n">
        <v>44582</v>
      </c>
      <c r="C208" s="1" t="n">
        <v>45835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3220-2022 artfynd.xlsx", "A 3220-2022")</f>
        <v/>
      </c>
      <c r="T208">
        <f>HYPERLINK("https://klasma.github.io/Logging_0781/kartor/A 3220-2022 karta.png", "A 3220-2022")</f>
        <v/>
      </c>
      <c r="V208">
        <f>HYPERLINK("https://klasma.github.io/Logging_0781/klagomål/A 3220-2022 FSC-klagomål.docx", "A 3220-2022")</f>
        <v/>
      </c>
      <c r="W208">
        <f>HYPERLINK("https://klasma.github.io/Logging_0781/klagomålsmail/A 3220-2022 FSC-klagomål mail.docx", "A 3220-2022")</f>
        <v/>
      </c>
      <c r="X208">
        <f>HYPERLINK("https://klasma.github.io/Logging_0781/tillsyn/A 3220-2022 tillsynsbegäran.docx", "A 3220-2022")</f>
        <v/>
      </c>
      <c r="Y208">
        <f>HYPERLINK("https://klasma.github.io/Logging_0781/tillsynsmail/A 3220-2022 tillsynsbegäran mail.docx", "A 3220-2022")</f>
        <v/>
      </c>
      <c r="Z208">
        <f>HYPERLINK("https://klasma.github.io/Logging_0781/fåglar/A 3220-2022 prioriterade fågelarter.docx", "A 3220-2022")</f>
        <v/>
      </c>
    </row>
    <row r="209" ht="15" customHeight="1">
      <c r="A209" t="inlineStr">
        <is>
          <t>A 6134-2022</t>
        </is>
      </c>
      <c r="B209" s="1" t="n">
        <v>44599</v>
      </c>
      <c r="C209" s="1" t="n">
        <v>45835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HYPERLINK("https://klasma.github.io/Logging_0763/artfynd/A 6134-2022 artfynd.xlsx", "A 6134-2022")</f>
        <v/>
      </c>
      <c r="T209">
        <f>HYPERLINK("https://klasma.github.io/Logging_0763/kartor/A 6134-2022 karta.png", "A 6134-2022")</f>
        <v/>
      </c>
      <c r="U209">
        <f>HYPERLINK("https://klasma.github.io/Logging_0763/knärot/A 6134-2022 karta knärot.png", "A 6134-2022")</f>
        <v/>
      </c>
      <c r="V209">
        <f>HYPERLINK("https://klasma.github.io/Logging_0763/klagomål/A 6134-2022 FSC-klagomål.docx", "A 6134-2022")</f>
        <v/>
      </c>
      <c r="W209">
        <f>HYPERLINK("https://klasma.github.io/Logging_0763/klagomålsmail/A 6134-2022 FSC-klagomål mail.docx", "A 6134-2022")</f>
        <v/>
      </c>
      <c r="X209">
        <f>HYPERLINK("https://klasma.github.io/Logging_0763/tillsyn/A 6134-2022 tillsynsbegäran.docx", "A 6134-2022")</f>
        <v/>
      </c>
      <c r="Y209">
        <f>HYPERLINK("https://klasma.github.io/Logging_0763/tillsynsmail/A 6134-2022 tillsynsbegäran mail.docx", "A 6134-2022")</f>
        <v/>
      </c>
    </row>
    <row r="210" ht="15" customHeight="1">
      <c r="A210" t="inlineStr">
        <is>
          <t>A 13387-2022</t>
        </is>
      </c>
      <c r="B210" s="1" t="n">
        <v>44645</v>
      </c>
      <c r="C210" s="1" t="n">
        <v>45835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13387-2022 artfynd.xlsx", "A 13387-2022")</f>
        <v/>
      </c>
      <c r="T210">
        <f>HYPERLINK("https://klasma.github.io/Logging_0781/kartor/A 13387-2022 karta.png", "A 13387-2022")</f>
        <v/>
      </c>
      <c r="V210">
        <f>HYPERLINK("https://klasma.github.io/Logging_0781/klagomål/A 13387-2022 FSC-klagomål.docx", "A 13387-2022")</f>
        <v/>
      </c>
      <c r="W210">
        <f>HYPERLINK("https://klasma.github.io/Logging_0781/klagomålsmail/A 13387-2022 FSC-klagomål mail.docx", "A 13387-2022")</f>
        <v/>
      </c>
      <c r="X210">
        <f>HYPERLINK("https://klasma.github.io/Logging_0781/tillsyn/A 13387-2022 tillsynsbegäran.docx", "A 13387-2022")</f>
        <v/>
      </c>
      <c r="Y210">
        <f>HYPERLINK("https://klasma.github.io/Logging_0781/tillsynsmail/A 13387-2022 tillsynsbegäran mail.docx", "A 13387-2022")</f>
        <v/>
      </c>
    </row>
    <row r="211" ht="15" customHeight="1">
      <c r="A211" t="inlineStr">
        <is>
          <t>A 15756-2022</t>
        </is>
      </c>
      <c r="B211" s="1" t="n">
        <v>44663</v>
      </c>
      <c r="C211" s="1" t="n">
        <v>45835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Slåtterfibbla</t>
        </is>
      </c>
      <c r="S211">
        <f>HYPERLINK("https://klasma.github.io/Logging_0765/artfynd/A 15756-2022 artfynd.xlsx", "A 15756-2022")</f>
        <v/>
      </c>
      <c r="T211">
        <f>HYPERLINK("https://klasma.github.io/Logging_0765/kartor/A 15756-2022 karta.png", "A 15756-2022")</f>
        <v/>
      </c>
      <c r="V211">
        <f>HYPERLINK("https://klasma.github.io/Logging_0765/klagomål/A 15756-2022 FSC-klagomål.docx", "A 15756-2022")</f>
        <v/>
      </c>
      <c r="W211">
        <f>HYPERLINK("https://klasma.github.io/Logging_0765/klagomålsmail/A 15756-2022 FSC-klagomål mail.docx", "A 15756-2022")</f>
        <v/>
      </c>
      <c r="X211">
        <f>HYPERLINK("https://klasma.github.io/Logging_0765/tillsyn/A 15756-2022 tillsynsbegäran.docx", "A 15756-2022")</f>
        <v/>
      </c>
      <c r="Y211">
        <f>HYPERLINK("https://klasma.github.io/Logging_0765/tillsynsmail/A 15756-2022 tillsynsbegäran mail.docx", "A 15756-2022")</f>
        <v/>
      </c>
    </row>
    <row r="212" ht="15" customHeight="1">
      <c r="A212" t="inlineStr">
        <is>
          <t>A 15676-2022</t>
        </is>
      </c>
      <c r="B212" s="1" t="n">
        <v>44663</v>
      </c>
      <c r="C212" s="1" t="n">
        <v>45835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HYPERLINK("https://klasma.github.io/Logging_0760/artfynd/A 15676-2022 artfynd.xlsx", "A 15676-2022")</f>
        <v/>
      </c>
      <c r="T212">
        <f>HYPERLINK("https://klasma.github.io/Logging_0760/kartor/A 15676-2022 karta.png", "A 15676-2022")</f>
        <v/>
      </c>
      <c r="U212">
        <f>HYPERLINK("https://klasma.github.io/Logging_0760/knärot/A 15676-2022 karta knärot.png", "A 15676-2022")</f>
        <v/>
      </c>
      <c r="V212">
        <f>HYPERLINK("https://klasma.github.io/Logging_0760/klagomål/A 15676-2022 FSC-klagomål.docx", "A 15676-2022")</f>
        <v/>
      </c>
      <c r="W212">
        <f>HYPERLINK("https://klasma.github.io/Logging_0760/klagomålsmail/A 15676-2022 FSC-klagomål mail.docx", "A 15676-2022")</f>
        <v/>
      </c>
      <c r="X212">
        <f>HYPERLINK("https://klasma.github.io/Logging_0760/tillsyn/A 15676-2022 tillsynsbegäran.docx", "A 15676-2022")</f>
        <v/>
      </c>
      <c r="Y212">
        <f>HYPERLINK("https://klasma.github.io/Logging_0760/tillsynsmail/A 15676-2022 tillsynsbegäran mail.docx", "A 15676-2022")</f>
        <v/>
      </c>
    </row>
    <row r="213" ht="15" customHeight="1">
      <c r="A213" t="inlineStr">
        <is>
          <t>A 16796-2022</t>
        </is>
      </c>
      <c r="B213" s="1" t="n">
        <v>44673</v>
      </c>
      <c r="C213" s="1" t="n">
        <v>45835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HYPERLINK("https://klasma.github.io/Logging_0780/artfynd/A 16796-2022 artfynd.xlsx", "A 16796-2022")</f>
        <v/>
      </c>
      <c r="T213">
        <f>HYPERLINK("https://klasma.github.io/Logging_0780/kartor/A 16796-2022 karta.png", "A 16796-2022")</f>
        <v/>
      </c>
      <c r="V213">
        <f>HYPERLINK("https://klasma.github.io/Logging_0780/klagomål/A 16796-2022 FSC-klagomål.docx", "A 16796-2022")</f>
        <v/>
      </c>
      <c r="W213">
        <f>HYPERLINK("https://klasma.github.io/Logging_0780/klagomålsmail/A 16796-2022 FSC-klagomål mail.docx", "A 16796-2022")</f>
        <v/>
      </c>
      <c r="X213">
        <f>HYPERLINK("https://klasma.github.io/Logging_0780/tillsyn/A 16796-2022 tillsynsbegäran.docx", "A 16796-2022")</f>
        <v/>
      </c>
      <c r="Y213">
        <f>HYPERLINK("https://klasma.github.io/Logging_0780/tillsynsmail/A 16796-2022 tillsynsbegäran mail.docx", "A 16796-2022")</f>
        <v/>
      </c>
    </row>
    <row r="214" ht="15" customHeight="1">
      <c r="A214" t="inlineStr">
        <is>
          <t>A 16882-2022</t>
        </is>
      </c>
      <c r="B214" s="1" t="n">
        <v>44676</v>
      </c>
      <c r="C214" s="1" t="n">
        <v>45835</v>
      </c>
      <c r="D214" t="inlineStr">
        <is>
          <t>KRONOBERGS LÄN</t>
        </is>
      </c>
      <c r="E214" t="inlineStr">
        <is>
          <t>UPPVIDINGE</t>
        </is>
      </c>
      <c r="G214" t="n">
        <v>13.5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Sommarfibbla</t>
        </is>
      </c>
      <c r="S214">
        <f>HYPERLINK("https://klasma.github.io/Logging_0760/artfynd/A 16882-2022 artfynd.xlsx", "A 16882-2022")</f>
        <v/>
      </c>
      <c r="T214">
        <f>HYPERLINK("https://klasma.github.io/Logging_0760/kartor/A 16882-2022 karta.png", "A 16882-2022")</f>
        <v/>
      </c>
      <c r="V214">
        <f>HYPERLINK("https://klasma.github.io/Logging_0760/klagomål/A 16882-2022 FSC-klagomål.docx", "A 16882-2022")</f>
        <v/>
      </c>
      <c r="W214">
        <f>HYPERLINK("https://klasma.github.io/Logging_0760/klagomålsmail/A 16882-2022 FSC-klagomål mail.docx", "A 16882-2022")</f>
        <v/>
      </c>
      <c r="X214">
        <f>HYPERLINK("https://klasma.github.io/Logging_0760/tillsyn/A 16882-2022 tillsynsbegäran.docx", "A 16882-2022")</f>
        <v/>
      </c>
      <c r="Y214">
        <f>HYPERLINK("https://klasma.github.io/Logging_0760/tillsynsmail/A 16882-2022 tillsynsbegäran mail.docx", "A 16882-2022")</f>
        <v/>
      </c>
    </row>
    <row r="215" ht="15" customHeight="1">
      <c r="A215" t="inlineStr">
        <is>
          <t>A 17570-2022</t>
        </is>
      </c>
      <c r="B215" s="1" t="n">
        <v>44679</v>
      </c>
      <c r="C215" s="1" t="n">
        <v>45835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17570-2022 artfynd.xlsx", "A 17570-2022")</f>
        <v/>
      </c>
      <c r="T215">
        <f>HYPERLINK("https://klasma.github.io/Logging_0781/kartor/A 17570-2022 karta.png", "A 17570-2022")</f>
        <v/>
      </c>
      <c r="V215">
        <f>HYPERLINK("https://klasma.github.io/Logging_0781/klagomål/A 17570-2022 FSC-klagomål.docx", "A 17570-2022")</f>
        <v/>
      </c>
      <c r="W215">
        <f>HYPERLINK("https://klasma.github.io/Logging_0781/klagomålsmail/A 17570-2022 FSC-klagomål mail.docx", "A 17570-2022")</f>
        <v/>
      </c>
      <c r="X215">
        <f>HYPERLINK("https://klasma.github.io/Logging_0781/tillsyn/A 17570-2022 tillsynsbegäran.docx", "A 17570-2022")</f>
        <v/>
      </c>
      <c r="Y215">
        <f>HYPERLINK("https://klasma.github.io/Logging_0781/tillsynsmail/A 17570-2022 tillsynsbegäran mail.docx", "A 17570-2022")</f>
        <v/>
      </c>
    </row>
    <row r="216" ht="15" customHeight="1">
      <c r="A216" t="inlineStr">
        <is>
          <t>A 33935-2022</t>
        </is>
      </c>
      <c r="B216" s="1" t="n">
        <v>44790</v>
      </c>
      <c r="C216" s="1" t="n">
        <v>45835</v>
      </c>
      <c r="D216" t="inlineStr">
        <is>
          <t>KRONOBERGS LÄN</t>
        </is>
      </c>
      <c r="E216" t="inlineStr">
        <is>
          <t>LJUNGBY</t>
        </is>
      </c>
      <c r="G216" t="n">
        <v>10.5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Äkta lopplummer</t>
        </is>
      </c>
      <c r="S216">
        <f>HYPERLINK("https://klasma.github.io/Logging_0781/artfynd/A 33935-2022 artfynd.xlsx", "A 33935-2022")</f>
        <v/>
      </c>
      <c r="T216">
        <f>HYPERLINK("https://klasma.github.io/Logging_0781/kartor/A 33935-2022 karta.png", "A 33935-2022")</f>
        <v/>
      </c>
      <c r="V216">
        <f>HYPERLINK("https://klasma.github.io/Logging_0781/klagomål/A 33935-2022 FSC-klagomål.docx", "A 33935-2022")</f>
        <v/>
      </c>
      <c r="W216">
        <f>HYPERLINK("https://klasma.github.io/Logging_0781/klagomålsmail/A 33935-2022 FSC-klagomål mail.docx", "A 33935-2022")</f>
        <v/>
      </c>
      <c r="X216">
        <f>HYPERLINK("https://klasma.github.io/Logging_0781/tillsyn/A 33935-2022 tillsynsbegäran.docx", "A 33935-2022")</f>
        <v/>
      </c>
      <c r="Y216">
        <f>HYPERLINK("https://klasma.github.io/Logging_0781/tillsynsmail/A 33935-2022 tillsynsbegäran mail.docx", "A 33935-2022")</f>
        <v/>
      </c>
    </row>
    <row r="217" ht="15" customHeight="1">
      <c r="A217" t="inlineStr">
        <is>
          <t>A 37378-2022</t>
        </is>
      </c>
      <c r="B217" s="1" t="n">
        <v>44809</v>
      </c>
      <c r="C217" s="1" t="n">
        <v>45835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37378-2022 artfynd.xlsx", "A 37378-2022")</f>
        <v/>
      </c>
      <c r="T217">
        <f>HYPERLINK("https://klasma.github.io/Logging_0781/kartor/A 37378-2022 karta.png", "A 37378-2022")</f>
        <v/>
      </c>
      <c r="V217">
        <f>HYPERLINK("https://klasma.github.io/Logging_0781/klagomål/A 37378-2022 FSC-klagomål.docx", "A 37378-2022")</f>
        <v/>
      </c>
      <c r="W217">
        <f>HYPERLINK("https://klasma.github.io/Logging_0781/klagomålsmail/A 37378-2022 FSC-klagomål mail.docx", "A 37378-2022")</f>
        <v/>
      </c>
      <c r="X217">
        <f>HYPERLINK("https://klasma.github.io/Logging_0781/tillsyn/A 37378-2022 tillsynsbegäran.docx", "A 37378-2022")</f>
        <v/>
      </c>
      <c r="Y217">
        <f>HYPERLINK("https://klasma.github.io/Logging_0781/tillsynsmail/A 37378-2022 tillsynsbegäran mail.docx", "A 37378-2022")</f>
        <v/>
      </c>
      <c r="Z217">
        <f>HYPERLINK("https://klasma.github.io/Logging_0781/fåglar/A 37378-2022 prioriterade fågelarter.docx", "A 37378-2022")</f>
        <v/>
      </c>
    </row>
    <row r="218" ht="15" customHeight="1">
      <c r="A218" t="inlineStr">
        <is>
          <t>A 37608-2022</t>
        </is>
      </c>
      <c r="B218" s="1" t="n">
        <v>44810</v>
      </c>
      <c r="C218" s="1" t="n">
        <v>45835</v>
      </c>
      <c r="D218" t="inlineStr">
        <is>
          <t>KRONOBERGS LÄN</t>
        </is>
      </c>
      <c r="E218" t="inlineStr">
        <is>
          <t>ALVESTA</t>
        </is>
      </c>
      <c r="G218" t="n">
        <v>5.3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HYPERLINK("https://klasma.github.io/Logging_0764/artfynd/A 37608-2022 artfynd.xlsx", "A 37608-2022")</f>
        <v/>
      </c>
      <c r="T218">
        <f>HYPERLINK("https://klasma.github.io/Logging_0764/kartor/A 37608-2022 karta.png", "A 37608-2022")</f>
        <v/>
      </c>
      <c r="V218">
        <f>HYPERLINK("https://klasma.github.io/Logging_0764/klagomål/A 37608-2022 FSC-klagomål.docx", "A 37608-2022")</f>
        <v/>
      </c>
      <c r="W218">
        <f>HYPERLINK("https://klasma.github.io/Logging_0764/klagomålsmail/A 37608-2022 FSC-klagomål mail.docx", "A 37608-2022")</f>
        <v/>
      </c>
      <c r="X218">
        <f>HYPERLINK("https://klasma.github.io/Logging_0764/tillsyn/A 37608-2022 tillsynsbegäran.docx", "A 37608-2022")</f>
        <v/>
      </c>
      <c r="Y218">
        <f>HYPERLINK("https://klasma.github.io/Logging_0764/tillsynsmail/A 37608-2022 tillsynsbegäran mail.docx", "A 37608-2022")</f>
        <v/>
      </c>
    </row>
    <row r="219" ht="15" customHeight="1">
      <c r="A219" t="inlineStr">
        <is>
          <t>A 39508-2022</t>
        </is>
      </c>
      <c r="B219" s="1" t="n">
        <v>44818</v>
      </c>
      <c r="C219" s="1" t="n">
        <v>45835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45.6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Gråkråka</t>
        </is>
      </c>
      <c r="S219">
        <f>HYPERLINK("https://klasma.github.io/Logging_0767/artfynd/A 39508-2022 artfynd.xlsx", "A 39508-2022")</f>
        <v/>
      </c>
      <c r="T219">
        <f>HYPERLINK("https://klasma.github.io/Logging_0767/kartor/A 39508-2022 karta.png", "A 39508-2022")</f>
        <v/>
      </c>
      <c r="V219">
        <f>HYPERLINK("https://klasma.github.io/Logging_0767/klagomål/A 39508-2022 FSC-klagomål.docx", "A 39508-2022")</f>
        <v/>
      </c>
      <c r="W219">
        <f>HYPERLINK("https://klasma.github.io/Logging_0767/klagomålsmail/A 39508-2022 FSC-klagomål mail.docx", "A 39508-2022")</f>
        <v/>
      </c>
      <c r="X219">
        <f>HYPERLINK("https://klasma.github.io/Logging_0767/tillsyn/A 39508-2022 tillsynsbegäran.docx", "A 39508-2022")</f>
        <v/>
      </c>
      <c r="Y219">
        <f>HYPERLINK("https://klasma.github.io/Logging_0767/tillsynsmail/A 39508-2022 tillsynsbegäran mail.docx", "A 39508-2022")</f>
        <v/>
      </c>
    </row>
    <row r="220" ht="15" customHeight="1">
      <c r="A220" t="inlineStr">
        <is>
          <t>A 39766-2022</t>
        </is>
      </c>
      <c r="B220" s="1" t="n">
        <v>44819</v>
      </c>
      <c r="C220" s="1" t="n">
        <v>45835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39766-2022 artfynd.xlsx", "A 39766-2022")</f>
        <v/>
      </c>
      <c r="T220">
        <f>HYPERLINK("https://klasma.github.io/Logging_0764/kartor/A 39766-2022 karta.png", "A 39766-2022")</f>
        <v/>
      </c>
      <c r="V220">
        <f>HYPERLINK("https://klasma.github.io/Logging_0764/klagomål/A 39766-2022 FSC-klagomål.docx", "A 39766-2022")</f>
        <v/>
      </c>
      <c r="W220">
        <f>HYPERLINK("https://klasma.github.io/Logging_0764/klagomålsmail/A 39766-2022 FSC-klagomål mail.docx", "A 39766-2022")</f>
        <v/>
      </c>
      <c r="X220">
        <f>HYPERLINK("https://klasma.github.io/Logging_0764/tillsyn/A 39766-2022 tillsynsbegäran.docx", "A 39766-2022")</f>
        <v/>
      </c>
      <c r="Y220">
        <f>HYPERLINK("https://klasma.github.io/Logging_0764/tillsynsmail/A 39766-2022 tillsynsbegäran mail.docx", "A 39766-2022")</f>
        <v/>
      </c>
    </row>
    <row r="221" ht="15" customHeight="1">
      <c r="A221" t="inlineStr">
        <is>
          <t>A 40568-2022</t>
        </is>
      </c>
      <c r="B221" s="1" t="n">
        <v>44823</v>
      </c>
      <c r="C221" s="1" t="n">
        <v>45835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HYPERLINK("https://klasma.github.io/Logging_0764/artfynd/A 40568-2022 artfynd.xlsx", "A 40568-2022")</f>
        <v/>
      </c>
      <c r="T221">
        <f>HYPERLINK("https://klasma.github.io/Logging_0764/kartor/A 40568-2022 karta.png", "A 40568-2022")</f>
        <v/>
      </c>
      <c r="V221">
        <f>HYPERLINK("https://klasma.github.io/Logging_0764/klagomål/A 40568-2022 FSC-klagomål.docx", "A 40568-2022")</f>
        <v/>
      </c>
      <c r="W221">
        <f>HYPERLINK("https://klasma.github.io/Logging_0764/klagomålsmail/A 40568-2022 FSC-klagomål mail.docx", "A 40568-2022")</f>
        <v/>
      </c>
      <c r="X221">
        <f>HYPERLINK("https://klasma.github.io/Logging_0764/tillsyn/A 40568-2022 tillsynsbegäran.docx", "A 40568-2022")</f>
        <v/>
      </c>
      <c r="Y221">
        <f>HYPERLINK("https://klasma.github.io/Logging_0764/tillsynsmail/A 40568-2022 tillsynsbegäran mail.docx", "A 40568-2022")</f>
        <v/>
      </c>
      <c r="Z221">
        <f>HYPERLINK("https://klasma.github.io/Logging_0764/fåglar/A 40568-2022 prioriterade fågelarter.docx", "A 40568-2022")</f>
        <v/>
      </c>
    </row>
    <row r="222" ht="15" customHeight="1">
      <c r="A222" t="inlineStr">
        <is>
          <t>A 41124-2022</t>
        </is>
      </c>
      <c r="B222" s="1" t="n">
        <v>44825</v>
      </c>
      <c r="C222" s="1" t="n">
        <v>45835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HYPERLINK("https://klasma.github.io/Logging_0781/artfynd/A 41124-2022 artfynd.xlsx", "A 41124-2022")</f>
        <v/>
      </c>
      <c r="T222">
        <f>HYPERLINK("https://klasma.github.io/Logging_0781/kartor/A 41124-2022 karta.png", "A 41124-2022")</f>
        <v/>
      </c>
      <c r="V222">
        <f>HYPERLINK("https://klasma.github.io/Logging_0781/klagomål/A 41124-2022 FSC-klagomål.docx", "A 41124-2022")</f>
        <v/>
      </c>
      <c r="W222">
        <f>HYPERLINK("https://klasma.github.io/Logging_0781/klagomålsmail/A 41124-2022 FSC-klagomål mail.docx", "A 41124-2022")</f>
        <v/>
      </c>
      <c r="X222">
        <f>HYPERLINK("https://klasma.github.io/Logging_0781/tillsyn/A 41124-2022 tillsynsbegäran.docx", "A 41124-2022")</f>
        <v/>
      </c>
      <c r="Y222">
        <f>HYPERLINK("https://klasma.github.io/Logging_0781/tillsynsmail/A 41124-2022 tillsynsbegäran mail.docx", "A 41124-2022")</f>
        <v/>
      </c>
      <c r="Z222">
        <f>HYPERLINK("https://klasma.github.io/Logging_0781/fåglar/A 41124-2022 prioriterade fågelarter.docx", "A 41124-2022")</f>
        <v/>
      </c>
    </row>
    <row r="223" ht="15" customHeight="1">
      <c r="A223" t="inlineStr">
        <is>
          <t>A 41652-2022</t>
        </is>
      </c>
      <c r="B223" s="1" t="n">
        <v>44827</v>
      </c>
      <c r="C223" s="1" t="n">
        <v>45835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Sankt pers nycklar</t>
        </is>
      </c>
      <c r="S223">
        <f>HYPERLINK("https://klasma.github.io/Logging_0760/artfynd/A 41652-2022 artfynd.xlsx", "A 41652-2022")</f>
        <v/>
      </c>
      <c r="T223">
        <f>HYPERLINK("https://klasma.github.io/Logging_0760/kartor/A 41652-2022 karta.png", "A 41652-2022")</f>
        <v/>
      </c>
      <c r="V223">
        <f>HYPERLINK("https://klasma.github.io/Logging_0760/klagomål/A 41652-2022 FSC-klagomål.docx", "A 41652-2022")</f>
        <v/>
      </c>
      <c r="W223">
        <f>HYPERLINK("https://klasma.github.io/Logging_0760/klagomålsmail/A 41652-2022 FSC-klagomål mail.docx", "A 41652-2022")</f>
        <v/>
      </c>
      <c r="X223">
        <f>HYPERLINK("https://klasma.github.io/Logging_0760/tillsyn/A 41652-2022 tillsynsbegäran.docx", "A 41652-2022")</f>
        <v/>
      </c>
      <c r="Y223">
        <f>HYPERLINK("https://klasma.github.io/Logging_0760/tillsynsmail/A 41652-2022 tillsynsbegäran mail.docx", "A 41652-2022")</f>
        <v/>
      </c>
    </row>
    <row r="224" ht="15" customHeight="1">
      <c r="A224" t="inlineStr">
        <is>
          <t>A 43291-2022</t>
        </is>
      </c>
      <c r="B224" s="1" t="n">
        <v>44834</v>
      </c>
      <c r="C224" s="1" t="n">
        <v>45835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HYPERLINK("https://klasma.github.io/Logging_0763/artfynd/A 43291-2022 artfynd.xlsx", "A 43291-2022")</f>
        <v/>
      </c>
      <c r="T224">
        <f>HYPERLINK("https://klasma.github.io/Logging_0763/kartor/A 43291-2022 karta.png", "A 43291-2022")</f>
        <v/>
      </c>
      <c r="V224">
        <f>HYPERLINK("https://klasma.github.io/Logging_0763/klagomål/A 43291-2022 FSC-klagomål.docx", "A 43291-2022")</f>
        <v/>
      </c>
      <c r="W224">
        <f>HYPERLINK("https://klasma.github.io/Logging_0763/klagomålsmail/A 43291-2022 FSC-klagomål mail.docx", "A 43291-2022")</f>
        <v/>
      </c>
      <c r="X224">
        <f>HYPERLINK("https://klasma.github.io/Logging_0763/tillsyn/A 43291-2022 tillsynsbegäran.docx", "A 43291-2022")</f>
        <v/>
      </c>
      <c r="Y224">
        <f>HYPERLINK("https://klasma.github.io/Logging_0763/tillsynsmail/A 43291-2022 tillsynsbegäran mail.docx", "A 43291-2022")</f>
        <v/>
      </c>
    </row>
    <row r="225" ht="15" customHeight="1">
      <c r="A225" t="inlineStr">
        <is>
          <t>A 45975-2022</t>
        </is>
      </c>
      <c r="B225" s="1" t="n">
        <v>44846</v>
      </c>
      <c r="C225" s="1" t="n">
        <v>45835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HYPERLINK("https://klasma.github.io/Logging_0761/artfynd/A 45975-2022 artfynd.xlsx", "A 45975-2022")</f>
        <v/>
      </c>
      <c r="T225">
        <f>HYPERLINK("https://klasma.github.io/Logging_0761/kartor/A 45975-2022 karta.png", "A 45975-2022")</f>
        <v/>
      </c>
      <c r="U225">
        <f>HYPERLINK("https://klasma.github.io/Logging_0761/knärot/A 45975-2022 karta knärot.png", "A 45975-2022")</f>
        <v/>
      </c>
      <c r="V225">
        <f>HYPERLINK("https://klasma.github.io/Logging_0761/klagomål/A 45975-2022 FSC-klagomål.docx", "A 45975-2022")</f>
        <v/>
      </c>
      <c r="W225">
        <f>HYPERLINK("https://klasma.github.io/Logging_0761/klagomålsmail/A 45975-2022 FSC-klagomål mail.docx", "A 45975-2022")</f>
        <v/>
      </c>
      <c r="X225">
        <f>HYPERLINK("https://klasma.github.io/Logging_0761/tillsyn/A 45975-2022 tillsynsbegäran.docx", "A 45975-2022")</f>
        <v/>
      </c>
      <c r="Y225">
        <f>HYPERLINK("https://klasma.github.io/Logging_0761/tillsynsmail/A 45975-2022 tillsynsbegäran mail.docx", "A 45975-2022")</f>
        <v/>
      </c>
    </row>
    <row r="226" ht="15" customHeight="1">
      <c r="A226" t="inlineStr">
        <is>
          <t>A 49123-2022</t>
        </is>
      </c>
      <c r="B226" s="1" t="n">
        <v>44858</v>
      </c>
      <c r="C226" s="1" t="n">
        <v>45835</v>
      </c>
      <c r="D226" t="inlineStr">
        <is>
          <t>KRONOBERGS LÄN</t>
        </is>
      </c>
      <c r="E226" t="inlineStr">
        <is>
          <t>UPPVIDINGE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HYPERLINK("https://klasma.github.io/Logging_0760/artfynd/A 49123-2022 artfynd.xlsx", "A 49123-2022")</f>
        <v/>
      </c>
      <c r="T226">
        <f>HYPERLINK("https://klasma.github.io/Logging_0760/kartor/A 49123-2022 karta.png", "A 49123-2022")</f>
        <v/>
      </c>
      <c r="V226">
        <f>HYPERLINK("https://klasma.github.io/Logging_0760/klagomål/A 49123-2022 FSC-klagomål.docx", "A 49123-2022")</f>
        <v/>
      </c>
      <c r="W226">
        <f>HYPERLINK("https://klasma.github.io/Logging_0760/klagomålsmail/A 49123-2022 FSC-klagomål mail.docx", "A 49123-2022")</f>
        <v/>
      </c>
      <c r="X226">
        <f>HYPERLINK("https://klasma.github.io/Logging_0760/tillsyn/A 49123-2022 tillsynsbegäran.docx", "A 49123-2022")</f>
        <v/>
      </c>
      <c r="Y226">
        <f>HYPERLINK("https://klasma.github.io/Logging_0760/tillsynsmail/A 49123-2022 tillsynsbegäran mail.docx", "A 49123-2022")</f>
        <v/>
      </c>
    </row>
    <row r="227" ht="15" customHeight="1">
      <c r="A227" t="inlineStr">
        <is>
          <t>A 54470-2022</t>
        </is>
      </c>
      <c r="B227" s="1" t="n">
        <v>44882</v>
      </c>
      <c r="C227" s="1" t="n">
        <v>45835</v>
      </c>
      <c r="D227" t="inlineStr">
        <is>
          <t>KRONOBERGS LÄN</t>
        </is>
      </c>
      <c r="E227" t="inlineStr">
        <is>
          <t>ÄLMHULT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HYPERLINK("https://klasma.github.io/Logging_0765/artfynd/A 54470-2022 artfynd.xlsx", "A 54470-2022")</f>
        <v/>
      </c>
      <c r="T227">
        <f>HYPERLINK("https://klasma.github.io/Logging_0765/kartor/A 54470-2022 karta.png", "A 54470-2022")</f>
        <v/>
      </c>
      <c r="V227">
        <f>HYPERLINK("https://klasma.github.io/Logging_0765/klagomål/A 54470-2022 FSC-klagomål.docx", "A 54470-2022")</f>
        <v/>
      </c>
      <c r="W227">
        <f>HYPERLINK("https://klasma.github.io/Logging_0765/klagomålsmail/A 54470-2022 FSC-klagomål mail.docx", "A 54470-2022")</f>
        <v/>
      </c>
      <c r="X227">
        <f>HYPERLINK("https://klasma.github.io/Logging_0765/tillsyn/A 54470-2022 tillsynsbegäran.docx", "A 54470-2022")</f>
        <v/>
      </c>
      <c r="Y227">
        <f>HYPERLINK("https://klasma.github.io/Logging_0765/tillsynsmail/A 54470-2022 tillsynsbegäran mail.docx", "A 54470-2022")</f>
        <v/>
      </c>
    </row>
    <row r="228" ht="15" customHeight="1">
      <c r="A228" t="inlineStr">
        <is>
          <t>A 55924-2022</t>
        </is>
      </c>
      <c r="B228" s="1" t="n">
        <v>44886</v>
      </c>
      <c r="C228" s="1" t="n">
        <v>45835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1.1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HYPERLINK("https://klasma.github.io/Logging_0763/artfynd/A 55924-2022 artfynd.xlsx", "A 55924-2022")</f>
        <v/>
      </c>
      <c r="T228">
        <f>HYPERLINK("https://klasma.github.io/Logging_0763/kartor/A 55924-2022 karta.png", "A 55924-2022")</f>
        <v/>
      </c>
      <c r="V228">
        <f>HYPERLINK("https://klasma.github.io/Logging_0763/klagomål/A 55924-2022 FSC-klagomål.docx", "A 55924-2022")</f>
        <v/>
      </c>
      <c r="W228">
        <f>HYPERLINK("https://klasma.github.io/Logging_0763/klagomålsmail/A 55924-2022 FSC-klagomål mail.docx", "A 55924-2022")</f>
        <v/>
      </c>
      <c r="X228">
        <f>HYPERLINK("https://klasma.github.io/Logging_0763/tillsyn/A 55924-2022 tillsynsbegäran.docx", "A 55924-2022")</f>
        <v/>
      </c>
      <c r="Y228">
        <f>HYPERLINK("https://klasma.github.io/Logging_0763/tillsynsmail/A 55924-2022 tillsynsbegäran mail.docx", "A 55924-2022")</f>
        <v/>
      </c>
    </row>
    <row r="229" ht="15" customHeight="1">
      <c r="A229" t="inlineStr">
        <is>
          <t>A 57999-2022</t>
        </is>
      </c>
      <c r="B229" s="1" t="n">
        <v>44900</v>
      </c>
      <c r="C229" s="1" t="n">
        <v>45835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HYPERLINK("https://klasma.github.io/Logging_0760/artfynd/A 57999-2022 artfynd.xlsx", "A 57999-2022")</f>
        <v/>
      </c>
      <c r="T229">
        <f>HYPERLINK("https://klasma.github.io/Logging_0760/kartor/A 57999-2022 karta.png", "A 57999-2022")</f>
        <v/>
      </c>
      <c r="V229">
        <f>HYPERLINK("https://klasma.github.io/Logging_0760/klagomål/A 57999-2022 FSC-klagomål.docx", "A 57999-2022")</f>
        <v/>
      </c>
      <c r="W229">
        <f>HYPERLINK("https://klasma.github.io/Logging_0760/klagomålsmail/A 57999-2022 FSC-klagomål mail.docx", "A 57999-2022")</f>
        <v/>
      </c>
      <c r="X229">
        <f>HYPERLINK("https://klasma.github.io/Logging_0760/tillsyn/A 57999-2022 tillsynsbegäran.docx", "A 57999-2022")</f>
        <v/>
      </c>
      <c r="Y229">
        <f>HYPERLINK("https://klasma.github.io/Logging_0760/tillsynsmail/A 57999-2022 tillsynsbegäran mail.docx", "A 57999-2022")</f>
        <v/>
      </c>
    </row>
    <row r="230" ht="15" customHeight="1">
      <c r="A230" t="inlineStr">
        <is>
          <t>A 60820-2022</t>
        </is>
      </c>
      <c r="B230" s="1" t="n">
        <v>44914</v>
      </c>
      <c r="C230" s="1" t="n">
        <v>45835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HYPERLINK("https://klasma.github.io/Logging_0780/artfynd/A 60820-2022 artfynd.xlsx", "A 60820-2022")</f>
        <v/>
      </c>
      <c r="T230">
        <f>HYPERLINK("https://klasma.github.io/Logging_0780/kartor/A 60820-2022 karta.png", "A 60820-2022")</f>
        <v/>
      </c>
      <c r="V230">
        <f>HYPERLINK("https://klasma.github.io/Logging_0780/klagomål/A 60820-2022 FSC-klagomål.docx", "A 60820-2022")</f>
        <v/>
      </c>
      <c r="W230">
        <f>HYPERLINK("https://klasma.github.io/Logging_0780/klagomålsmail/A 60820-2022 FSC-klagomål mail.docx", "A 60820-2022")</f>
        <v/>
      </c>
      <c r="X230">
        <f>HYPERLINK("https://klasma.github.io/Logging_0780/tillsyn/A 60820-2022 tillsynsbegäran.docx", "A 60820-2022")</f>
        <v/>
      </c>
      <c r="Y230">
        <f>HYPERLINK("https://klasma.github.io/Logging_0780/tillsynsmail/A 60820-2022 tillsynsbegäran mail.docx", "A 60820-2022")</f>
        <v/>
      </c>
      <c r="Z230">
        <f>HYPERLINK("https://klasma.github.io/Logging_0780/fåglar/A 60820-2022 prioriterade fågelarter.docx", "A 60820-2022")</f>
        <v/>
      </c>
    </row>
    <row r="231" ht="15" customHeight="1">
      <c r="A231" t="inlineStr">
        <is>
          <t>A 205-2023</t>
        </is>
      </c>
      <c r="B231" s="1" t="n">
        <v>44928</v>
      </c>
      <c r="C231" s="1" t="n">
        <v>45835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HYPERLINK("https://klasma.github.io/Logging_0781/artfynd/A 205-2023 artfynd.xlsx", "A 205-2023")</f>
        <v/>
      </c>
      <c r="T231">
        <f>HYPERLINK("https://klasma.github.io/Logging_0781/kartor/A 205-2023 karta.png", "A 205-2023")</f>
        <v/>
      </c>
      <c r="V231">
        <f>HYPERLINK("https://klasma.github.io/Logging_0781/klagomål/A 205-2023 FSC-klagomål.docx", "A 205-2023")</f>
        <v/>
      </c>
      <c r="W231">
        <f>HYPERLINK("https://klasma.github.io/Logging_0781/klagomålsmail/A 205-2023 FSC-klagomål mail.docx", "A 205-2023")</f>
        <v/>
      </c>
      <c r="X231">
        <f>HYPERLINK("https://klasma.github.io/Logging_0781/tillsyn/A 205-2023 tillsynsbegäran.docx", "A 205-2023")</f>
        <v/>
      </c>
      <c r="Y231">
        <f>HYPERLINK("https://klasma.github.io/Logging_0781/tillsynsmail/A 205-2023 tillsynsbegäran mail.docx", "A 205-2023")</f>
        <v/>
      </c>
    </row>
    <row r="232" ht="15" customHeight="1">
      <c r="A232" t="inlineStr">
        <is>
          <t>A 3677-2023</t>
        </is>
      </c>
      <c r="B232" s="1" t="n">
        <v>44950</v>
      </c>
      <c r="C232" s="1" t="n">
        <v>45835</v>
      </c>
      <c r="D232" t="inlineStr">
        <is>
          <t>KRONOBERGS LÄN</t>
        </is>
      </c>
      <c r="E232" t="inlineStr">
        <is>
          <t>UPPVIDINGE</t>
        </is>
      </c>
      <c r="G232" t="n">
        <v>13.4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HYPERLINK("https://klasma.github.io/Logging_0760/artfynd/A 3677-2023 artfynd.xlsx", "A 3677-2023")</f>
        <v/>
      </c>
      <c r="T232">
        <f>HYPERLINK("https://klasma.github.io/Logging_0760/kartor/A 3677-2023 karta.png", "A 3677-2023")</f>
        <v/>
      </c>
      <c r="V232">
        <f>HYPERLINK("https://klasma.github.io/Logging_0760/klagomål/A 3677-2023 FSC-klagomål.docx", "A 3677-2023")</f>
        <v/>
      </c>
      <c r="W232">
        <f>HYPERLINK("https://klasma.github.io/Logging_0760/klagomålsmail/A 3677-2023 FSC-klagomål mail.docx", "A 3677-2023")</f>
        <v/>
      </c>
      <c r="X232">
        <f>HYPERLINK("https://klasma.github.io/Logging_0760/tillsyn/A 3677-2023 tillsynsbegäran.docx", "A 3677-2023")</f>
        <v/>
      </c>
      <c r="Y232">
        <f>HYPERLINK("https://klasma.github.io/Logging_0760/tillsynsmail/A 3677-2023 tillsynsbegäran mail.docx", "A 3677-2023")</f>
        <v/>
      </c>
    </row>
    <row r="233" ht="15" customHeight="1">
      <c r="A233" t="inlineStr">
        <is>
          <t>A 9825-2023</t>
        </is>
      </c>
      <c r="B233" s="1" t="n">
        <v>44984</v>
      </c>
      <c r="C233" s="1" t="n">
        <v>45835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Huggorm</t>
        </is>
      </c>
      <c r="S233">
        <f>HYPERLINK("https://klasma.github.io/Logging_0763/artfynd/A 9825-2023 artfynd.xlsx", "A 9825-2023")</f>
        <v/>
      </c>
      <c r="T233">
        <f>HYPERLINK("https://klasma.github.io/Logging_0763/kartor/A 9825-2023 karta.png", "A 9825-2023")</f>
        <v/>
      </c>
      <c r="V233">
        <f>HYPERLINK("https://klasma.github.io/Logging_0763/klagomål/A 9825-2023 FSC-klagomål.docx", "A 9825-2023")</f>
        <v/>
      </c>
      <c r="W233">
        <f>HYPERLINK("https://klasma.github.io/Logging_0763/klagomålsmail/A 9825-2023 FSC-klagomål mail.docx", "A 9825-2023")</f>
        <v/>
      </c>
      <c r="X233">
        <f>HYPERLINK("https://klasma.github.io/Logging_0763/tillsyn/A 9825-2023 tillsynsbegäran.docx", "A 9825-2023")</f>
        <v/>
      </c>
      <c r="Y233">
        <f>HYPERLINK("https://klasma.github.io/Logging_0763/tillsynsmail/A 9825-2023 tillsynsbegäran mail.docx", "A 9825-2023")</f>
        <v/>
      </c>
    </row>
    <row r="234" ht="15" customHeight="1">
      <c r="A234" t="inlineStr">
        <is>
          <t>A 9911-2023</t>
        </is>
      </c>
      <c r="B234" s="1" t="n">
        <v>44985</v>
      </c>
      <c r="C234" s="1" t="n">
        <v>45835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9911-2023 artfynd.xlsx", "A 9911-2023")</f>
        <v/>
      </c>
      <c r="T234">
        <f>HYPERLINK("https://klasma.github.io/Logging_0781/kartor/A 9911-2023 karta.png", "A 9911-2023")</f>
        <v/>
      </c>
      <c r="V234">
        <f>HYPERLINK("https://klasma.github.io/Logging_0781/klagomål/A 9911-2023 FSC-klagomål.docx", "A 9911-2023")</f>
        <v/>
      </c>
      <c r="W234">
        <f>HYPERLINK("https://klasma.github.io/Logging_0781/klagomålsmail/A 9911-2023 FSC-klagomål mail.docx", "A 9911-2023")</f>
        <v/>
      </c>
      <c r="X234">
        <f>HYPERLINK("https://klasma.github.io/Logging_0781/tillsyn/A 9911-2023 tillsynsbegäran.docx", "A 9911-2023")</f>
        <v/>
      </c>
      <c r="Y234">
        <f>HYPERLINK("https://klasma.github.io/Logging_0781/tillsynsmail/A 9911-2023 tillsynsbegäran mail.docx", "A 9911-2023")</f>
        <v/>
      </c>
    </row>
    <row r="235" ht="15" customHeight="1">
      <c r="A235" t="inlineStr">
        <is>
          <t>A 11270-2023</t>
        </is>
      </c>
      <c r="B235" s="1" t="n">
        <v>44992</v>
      </c>
      <c r="C235" s="1" t="n">
        <v>45835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Brunag</t>
        </is>
      </c>
      <c r="S235">
        <f>HYPERLINK("https://klasma.github.io/Logging_0763/artfynd/A 11270-2023 artfynd.xlsx", "A 11270-2023")</f>
        <v/>
      </c>
      <c r="T235">
        <f>HYPERLINK("https://klasma.github.io/Logging_0763/kartor/A 11270-2023 karta.png", "A 11270-2023")</f>
        <v/>
      </c>
      <c r="V235">
        <f>HYPERLINK("https://klasma.github.io/Logging_0763/klagomål/A 11270-2023 FSC-klagomål.docx", "A 11270-2023")</f>
        <v/>
      </c>
      <c r="W235">
        <f>HYPERLINK("https://klasma.github.io/Logging_0763/klagomålsmail/A 11270-2023 FSC-klagomål mail.docx", "A 11270-2023")</f>
        <v/>
      </c>
      <c r="X235">
        <f>HYPERLINK("https://klasma.github.io/Logging_0763/tillsyn/A 11270-2023 tillsynsbegäran.docx", "A 11270-2023")</f>
        <v/>
      </c>
      <c r="Y235">
        <f>HYPERLINK("https://klasma.github.io/Logging_0763/tillsynsmail/A 11270-2023 tillsynsbegäran mail.docx", "A 11270-2023")</f>
        <v/>
      </c>
    </row>
    <row r="236" ht="15" customHeight="1">
      <c r="A236" t="inlineStr">
        <is>
          <t>A 12084-2023</t>
        </is>
      </c>
      <c r="B236" s="1" t="n">
        <v>44997</v>
      </c>
      <c r="C236" s="1" t="n">
        <v>45835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Borsttåg</t>
        </is>
      </c>
      <c r="S236">
        <f>HYPERLINK("https://klasma.github.io/Logging_0767/artfynd/A 12084-2023 artfynd.xlsx", "A 12084-2023")</f>
        <v/>
      </c>
      <c r="T236">
        <f>HYPERLINK("https://klasma.github.io/Logging_0767/kartor/A 12084-2023 karta.png", "A 12084-2023")</f>
        <v/>
      </c>
      <c r="V236">
        <f>HYPERLINK("https://klasma.github.io/Logging_0767/klagomål/A 12084-2023 FSC-klagomål.docx", "A 12084-2023")</f>
        <v/>
      </c>
      <c r="W236">
        <f>HYPERLINK("https://klasma.github.io/Logging_0767/klagomålsmail/A 12084-2023 FSC-klagomål mail.docx", "A 12084-2023")</f>
        <v/>
      </c>
      <c r="X236">
        <f>HYPERLINK("https://klasma.github.io/Logging_0767/tillsyn/A 12084-2023 tillsynsbegäran.docx", "A 12084-2023")</f>
        <v/>
      </c>
      <c r="Y236">
        <f>HYPERLINK("https://klasma.github.io/Logging_0767/tillsynsmail/A 12084-2023 tillsynsbegäran mail.docx", "A 12084-2023")</f>
        <v/>
      </c>
    </row>
    <row r="237" ht="15" customHeight="1">
      <c r="A237" t="inlineStr">
        <is>
          <t>A 12184-2023</t>
        </is>
      </c>
      <c r="B237" s="1" t="n">
        <v>44998</v>
      </c>
      <c r="C237" s="1" t="n">
        <v>45835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HYPERLINK("https://klasma.github.io/Logging_0760/artfynd/A 12184-2023 artfynd.xlsx", "A 12184-2023")</f>
        <v/>
      </c>
      <c r="T237">
        <f>HYPERLINK("https://klasma.github.io/Logging_0760/kartor/A 12184-2023 karta.png", "A 12184-2023")</f>
        <v/>
      </c>
      <c r="V237">
        <f>HYPERLINK("https://klasma.github.io/Logging_0760/klagomål/A 12184-2023 FSC-klagomål.docx", "A 12184-2023")</f>
        <v/>
      </c>
      <c r="W237">
        <f>HYPERLINK("https://klasma.github.io/Logging_0760/klagomålsmail/A 12184-2023 FSC-klagomål mail.docx", "A 12184-2023")</f>
        <v/>
      </c>
      <c r="X237">
        <f>HYPERLINK("https://klasma.github.io/Logging_0760/tillsyn/A 12184-2023 tillsynsbegäran.docx", "A 12184-2023")</f>
        <v/>
      </c>
      <c r="Y237">
        <f>HYPERLINK("https://klasma.github.io/Logging_0760/tillsynsmail/A 12184-2023 tillsynsbegäran mail.docx", "A 12184-2023")</f>
        <v/>
      </c>
    </row>
    <row r="238" ht="15" customHeight="1">
      <c r="A238" t="inlineStr">
        <is>
          <t>A 13460-2023</t>
        </is>
      </c>
      <c r="B238" s="1" t="n">
        <v>45005</v>
      </c>
      <c r="C238" s="1" t="n">
        <v>45835</v>
      </c>
      <c r="D238" t="inlineStr">
        <is>
          <t>KRONOBERGS LÄN</t>
        </is>
      </c>
      <c r="E238" t="inlineStr">
        <is>
          <t>LJUNGBY</t>
        </is>
      </c>
      <c r="G238" t="n">
        <v>5.1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HYPERLINK("https://klasma.github.io/Logging_0781/artfynd/A 13460-2023 artfynd.xlsx", "A 13460-2023")</f>
        <v/>
      </c>
      <c r="T238">
        <f>HYPERLINK("https://klasma.github.io/Logging_0781/kartor/A 13460-2023 karta.png", "A 13460-2023")</f>
        <v/>
      </c>
      <c r="V238">
        <f>HYPERLINK("https://klasma.github.io/Logging_0781/klagomål/A 13460-2023 FSC-klagomål.docx", "A 13460-2023")</f>
        <v/>
      </c>
      <c r="W238">
        <f>HYPERLINK("https://klasma.github.io/Logging_0781/klagomålsmail/A 13460-2023 FSC-klagomål mail.docx", "A 13460-2023")</f>
        <v/>
      </c>
      <c r="X238">
        <f>HYPERLINK("https://klasma.github.io/Logging_0781/tillsyn/A 13460-2023 tillsynsbegäran.docx", "A 13460-2023")</f>
        <v/>
      </c>
      <c r="Y238">
        <f>HYPERLINK("https://klasma.github.io/Logging_0781/tillsynsmail/A 13460-2023 tillsynsbegäran mail.docx", "A 13460-2023")</f>
        <v/>
      </c>
      <c r="Z238">
        <f>HYPERLINK("https://klasma.github.io/Logging_0781/fåglar/A 13460-2023 prioriterade fågelarter.docx", "A 13460-2023")</f>
        <v/>
      </c>
    </row>
    <row r="239" ht="15" customHeight="1">
      <c r="A239" t="inlineStr">
        <is>
          <t>A 18430-2023</t>
        </is>
      </c>
      <c r="B239" s="1" t="n">
        <v>45042</v>
      </c>
      <c r="C239" s="1" t="n">
        <v>45835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HYPERLINK("https://klasma.github.io/Logging_0781/artfynd/A 18430-2023 artfynd.xlsx", "A 18430-2023")</f>
        <v/>
      </c>
      <c r="T239">
        <f>HYPERLINK("https://klasma.github.io/Logging_0781/kartor/A 18430-2023 karta.png", "A 18430-2023")</f>
        <v/>
      </c>
      <c r="U239">
        <f>HYPERLINK("https://klasma.github.io/Logging_0781/knärot/A 18430-2023 karta knärot.png", "A 18430-2023")</f>
        <v/>
      </c>
      <c r="V239">
        <f>HYPERLINK("https://klasma.github.io/Logging_0781/klagomål/A 18430-2023 FSC-klagomål.docx", "A 18430-2023")</f>
        <v/>
      </c>
      <c r="W239">
        <f>HYPERLINK("https://klasma.github.io/Logging_0781/klagomålsmail/A 18430-2023 FSC-klagomål mail.docx", "A 18430-2023")</f>
        <v/>
      </c>
      <c r="X239">
        <f>HYPERLINK("https://klasma.github.io/Logging_0781/tillsyn/A 18430-2023 tillsynsbegäran.docx", "A 18430-2023")</f>
        <v/>
      </c>
      <c r="Y239">
        <f>HYPERLINK("https://klasma.github.io/Logging_0781/tillsynsmail/A 18430-2023 tillsynsbegäran mail.docx", "A 18430-2023")</f>
        <v/>
      </c>
    </row>
    <row r="240" ht="15" customHeight="1">
      <c r="A240" t="inlineStr">
        <is>
          <t>A 18676-2023</t>
        </is>
      </c>
      <c r="B240" s="1" t="n">
        <v>45043</v>
      </c>
      <c r="C240" s="1" t="n">
        <v>45835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HYPERLINK("https://klasma.github.io/Logging_0764/artfynd/A 18676-2023 artfynd.xlsx", "A 18676-2023")</f>
        <v/>
      </c>
      <c r="T240">
        <f>HYPERLINK("https://klasma.github.io/Logging_0764/kartor/A 18676-2023 karta.png", "A 18676-2023")</f>
        <v/>
      </c>
      <c r="V240">
        <f>HYPERLINK("https://klasma.github.io/Logging_0764/klagomål/A 18676-2023 FSC-klagomål.docx", "A 18676-2023")</f>
        <v/>
      </c>
      <c r="W240">
        <f>HYPERLINK("https://klasma.github.io/Logging_0764/klagomålsmail/A 18676-2023 FSC-klagomål mail.docx", "A 18676-2023")</f>
        <v/>
      </c>
      <c r="X240">
        <f>HYPERLINK("https://klasma.github.io/Logging_0764/tillsyn/A 18676-2023 tillsynsbegäran.docx", "A 18676-2023")</f>
        <v/>
      </c>
      <c r="Y240">
        <f>HYPERLINK("https://klasma.github.io/Logging_0764/tillsynsmail/A 18676-2023 tillsynsbegäran mail.docx", "A 18676-2023")</f>
        <v/>
      </c>
    </row>
    <row r="241" ht="15" customHeight="1">
      <c r="A241" t="inlineStr">
        <is>
          <t>A 25295-2023</t>
        </is>
      </c>
      <c r="B241" s="1" t="n">
        <v>45086</v>
      </c>
      <c r="C241" s="1" t="n">
        <v>45835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HYPERLINK("https://klasma.github.io/Logging_0781/artfynd/A 25295-2023 artfynd.xlsx", "A 25295-2023")</f>
        <v/>
      </c>
      <c r="T241">
        <f>HYPERLINK("https://klasma.github.io/Logging_0781/kartor/A 25295-2023 karta.png", "A 25295-2023")</f>
        <v/>
      </c>
      <c r="V241">
        <f>HYPERLINK("https://klasma.github.io/Logging_0781/klagomål/A 25295-2023 FSC-klagomål.docx", "A 25295-2023")</f>
        <v/>
      </c>
      <c r="W241">
        <f>HYPERLINK("https://klasma.github.io/Logging_0781/klagomålsmail/A 25295-2023 FSC-klagomål mail.docx", "A 25295-2023")</f>
        <v/>
      </c>
      <c r="X241">
        <f>HYPERLINK("https://klasma.github.io/Logging_0781/tillsyn/A 25295-2023 tillsynsbegäran.docx", "A 25295-2023")</f>
        <v/>
      </c>
      <c r="Y241">
        <f>HYPERLINK("https://klasma.github.io/Logging_0781/tillsynsmail/A 25295-2023 tillsynsbegäran mail.docx", "A 25295-2023")</f>
        <v/>
      </c>
    </row>
    <row r="242" ht="15" customHeight="1">
      <c r="A242" t="inlineStr">
        <is>
          <t>A 25422-2023</t>
        </is>
      </c>
      <c r="B242" s="1" t="n">
        <v>45089</v>
      </c>
      <c r="C242" s="1" t="n">
        <v>45835</v>
      </c>
      <c r="D242" t="inlineStr">
        <is>
          <t>KRONOBERGS LÄN</t>
        </is>
      </c>
      <c r="E242" t="inlineStr">
        <is>
          <t>ÄLMHULT</t>
        </is>
      </c>
      <c r="G242" t="n">
        <v>4.1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HYPERLINK("https://klasma.github.io/Logging_0765/artfynd/A 25422-2023 artfynd.xlsx", "A 25422-2023")</f>
        <v/>
      </c>
      <c r="T242">
        <f>HYPERLINK("https://klasma.github.io/Logging_0765/kartor/A 25422-2023 karta.png", "A 25422-2023")</f>
        <v/>
      </c>
      <c r="V242">
        <f>HYPERLINK("https://klasma.github.io/Logging_0765/klagomål/A 25422-2023 FSC-klagomål.docx", "A 25422-2023")</f>
        <v/>
      </c>
      <c r="W242">
        <f>HYPERLINK("https://klasma.github.io/Logging_0765/klagomålsmail/A 25422-2023 FSC-klagomål mail.docx", "A 25422-2023")</f>
        <v/>
      </c>
      <c r="X242">
        <f>HYPERLINK("https://klasma.github.io/Logging_0765/tillsyn/A 25422-2023 tillsynsbegäran.docx", "A 25422-2023")</f>
        <v/>
      </c>
      <c r="Y242">
        <f>HYPERLINK("https://klasma.github.io/Logging_0765/tillsynsmail/A 25422-2023 tillsynsbegäran mail.docx", "A 25422-2023")</f>
        <v/>
      </c>
    </row>
    <row r="243" ht="15" customHeight="1">
      <c r="A243" t="inlineStr">
        <is>
          <t>A 25595-2023</t>
        </is>
      </c>
      <c r="B243" s="1" t="n">
        <v>45089</v>
      </c>
      <c r="C243" s="1" t="n">
        <v>45835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Mosippa</t>
        </is>
      </c>
      <c r="S243">
        <f>HYPERLINK("https://klasma.github.io/Logging_0781/artfynd/A 25595-2023 artfynd.xlsx", "A 25595-2023")</f>
        <v/>
      </c>
      <c r="T243">
        <f>HYPERLINK("https://klasma.github.io/Logging_0781/kartor/A 25595-2023 karta.png", "A 25595-2023")</f>
        <v/>
      </c>
      <c r="V243">
        <f>HYPERLINK("https://klasma.github.io/Logging_0781/klagomål/A 25595-2023 FSC-klagomål.docx", "A 25595-2023")</f>
        <v/>
      </c>
      <c r="W243">
        <f>HYPERLINK("https://klasma.github.io/Logging_0781/klagomålsmail/A 25595-2023 FSC-klagomål mail.docx", "A 25595-2023")</f>
        <v/>
      </c>
      <c r="X243">
        <f>HYPERLINK("https://klasma.github.io/Logging_0781/tillsyn/A 25595-2023 tillsynsbegäran.docx", "A 25595-2023")</f>
        <v/>
      </c>
      <c r="Y243">
        <f>HYPERLINK("https://klasma.github.io/Logging_0781/tillsynsmail/A 25595-2023 tillsynsbegäran mail.docx", "A 25595-2023")</f>
        <v/>
      </c>
    </row>
    <row r="244" ht="15" customHeight="1">
      <c r="A244" t="inlineStr">
        <is>
          <t>A 31667-2023</t>
        </is>
      </c>
      <c r="B244" s="1" t="n">
        <v>45098</v>
      </c>
      <c r="C244" s="1" t="n">
        <v>45835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HYPERLINK("https://klasma.github.io/Logging_0780/artfynd/A 31667-2023 artfynd.xlsx", "A 31667-2023")</f>
        <v/>
      </c>
      <c r="T244">
        <f>HYPERLINK("https://klasma.github.io/Logging_0780/kartor/A 31667-2023 karta.png", "A 31667-2023")</f>
        <v/>
      </c>
      <c r="V244">
        <f>HYPERLINK("https://klasma.github.io/Logging_0780/klagomål/A 31667-2023 FSC-klagomål.docx", "A 31667-2023")</f>
        <v/>
      </c>
      <c r="W244">
        <f>HYPERLINK("https://klasma.github.io/Logging_0780/klagomålsmail/A 31667-2023 FSC-klagomål mail.docx", "A 31667-2023")</f>
        <v/>
      </c>
      <c r="X244">
        <f>HYPERLINK("https://klasma.github.io/Logging_0780/tillsyn/A 31667-2023 tillsynsbegäran.docx", "A 31667-2023")</f>
        <v/>
      </c>
      <c r="Y244">
        <f>HYPERLINK("https://klasma.github.io/Logging_0780/tillsynsmail/A 31667-2023 tillsynsbegäran mail.docx", "A 31667-2023")</f>
        <v/>
      </c>
    </row>
    <row r="245" ht="15" customHeight="1">
      <c r="A245" t="inlineStr">
        <is>
          <t>A 28572-2023</t>
        </is>
      </c>
      <c r="B245" s="1" t="n">
        <v>45103</v>
      </c>
      <c r="C245" s="1" t="n">
        <v>45835</v>
      </c>
      <c r="D245" t="inlineStr">
        <is>
          <t>KRONOBERGS LÄN</t>
        </is>
      </c>
      <c r="E245" t="inlineStr">
        <is>
          <t>VÄXJÖ</t>
        </is>
      </c>
      <c r="G245" t="n">
        <v>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HYPERLINK("https://klasma.github.io/Logging_0780/artfynd/A 28572-2023 artfynd.xlsx", "A 28572-2023")</f>
        <v/>
      </c>
      <c r="T245">
        <f>HYPERLINK("https://klasma.github.io/Logging_0780/kartor/A 28572-2023 karta.png", "A 28572-2023")</f>
        <v/>
      </c>
      <c r="V245">
        <f>HYPERLINK("https://klasma.github.io/Logging_0780/klagomål/A 28572-2023 FSC-klagomål.docx", "A 28572-2023")</f>
        <v/>
      </c>
      <c r="W245">
        <f>HYPERLINK("https://klasma.github.io/Logging_0780/klagomålsmail/A 28572-2023 FSC-klagomål mail.docx", "A 28572-2023")</f>
        <v/>
      </c>
      <c r="X245">
        <f>HYPERLINK("https://klasma.github.io/Logging_0780/tillsyn/A 28572-2023 tillsynsbegäran.docx", "A 28572-2023")</f>
        <v/>
      </c>
      <c r="Y245">
        <f>HYPERLINK("https://klasma.github.io/Logging_0780/tillsynsmail/A 28572-2023 tillsynsbegäran mail.docx", "A 28572-2023")</f>
        <v/>
      </c>
    </row>
    <row r="246" ht="15" customHeight="1">
      <c r="A246" t="inlineStr">
        <is>
          <t>A 31848-2023</t>
        </is>
      </c>
      <c r="B246" s="1" t="n">
        <v>45106</v>
      </c>
      <c r="C246" s="1" t="n">
        <v>45835</v>
      </c>
      <c r="D246" t="inlineStr">
        <is>
          <t>KRONOBERGS LÄN</t>
        </is>
      </c>
      <c r="E246" t="inlineStr">
        <is>
          <t>ALVESTA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Springkorn</t>
        </is>
      </c>
      <c r="S246">
        <f>HYPERLINK("https://klasma.github.io/Logging_0764/artfynd/A 31848-2023 artfynd.xlsx", "A 31848-2023")</f>
        <v/>
      </c>
      <c r="T246">
        <f>HYPERLINK("https://klasma.github.io/Logging_0764/kartor/A 31848-2023 karta.png", "A 31848-2023")</f>
        <v/>
      </c>
      <c r="V246">
        <f>HYPERLINK("https://klasma.github.io/Logging_0764/klagomål/A 31848-2023 FSC-klagomål.docx", "A 31848-2023")</f>
        <v/>
      </c>
      <c r="W246">
        <f>HYPERLINK("https://klasma.github.io/Logging_0764/klagomålsmail/A 31848-2023 FSC-klagomål mail.docx", "A 31848-2023")</f>
        <v/>
      </c>
      <c r="X246">
        <f>HYPERLINK("https://klasma.github.io/Logging_0764/tillsyn/A 31848-2023 tillsynsbegäran.docx", "A 31848-2023")</f>
        <v/>
      </c>
      <c r="Y246">
        <f>HYPERLINK("https://klasma.github.io/Logging_0764/tillsynsmail/A 31848-2023 tillsynsbegäran mail.docx", "A 31848-2023")</f>
        <v/>
      </c>
    </row>
    <row r="247" ht="15" customHeight="1">
      <c r="A247" t="inlineStr">
        <is>
          <t>A 30359-2023</t>
        </is>
      </c>
      <c r="B247" s="1" t="n">
        <v>45111</v>
      </c>
      <c r="C247" s="1" t="n">
        <v>45835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HYPERLINK("https://klasma.github.io/Logging_0781/artfynd/A 30359-2023 artfynd.xlsx", "A 30359-2023")</f>
        <v/>
      </c>
      <c r="T247">
        <f>HYPERLINK("https://klasma.github.io/Logging_0781/kartor/A 30359-2023 karta.png", "A 30359-2023")</f>
        <v/>
      </c>
      <c r="V247">
        <f>HYPERLINK("https://klasma.github.io/Logging_0781/klagomål/A 30359-2023 FSC-klagomål.docx", "A 30359-2023")</f>
        <v/>
      </c>
      <c r="W247">
        <f>HYPERLINK("https://klasma.github.io/Logging_0781/klagomålsmail/A 30359-2023 FSC-klagomål mail.docx", "A 30359-2023")</f>
        <v/>
      </c>
      <c r="X247">
        <f>HYPERLINK("https://klasma.github.io/Logging_0781/tillsyn/A 30359-2023 tillsynsbegäran.docx", "A 30359-2023")</f>
        <v/>
      </c>
      <c r="Y247">
        <f>HYPERLINK("https://klasma.github.io/Logging_0781/tillsynsmail/A 30359-2023 tillsynsbegäran mail.docx", "A 30359-2023")</f>
        <v/>
      </c>
    </row>
    <row r="248" ht="15" customHeight="1">
      <c r="A248" t="inlineStr">
        <is>
          <t>A 37950-2023</t>
        </is>
      </c>
      <c r="B248" s="1" t="n">
        <v>45160</v>
      </c>
      <c r="C248" s="1" t="n">
        <v>45835</v>
      </c>
      <c r="D248" t="inlineStr">
        <is>
          <t>KRONOBERGS LÄN</t>
        </is>
      </c>
      <c r="E248" t="inlineStr">
        <is>
          <t>ALVESTA</t>
        </is>
      </c>
      <c r="G248" t="n">
        <v>4.8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HYPERLINK("https://klasma.github.io/Logging_0764/artfynd/A 37950-2023 artfynd.xlsx", "A 37950-2023")</f>
        <v/>
      </c>
      <c r="T248">
        <f>HYPERLINK("https://klasma.github.io/Logging_0764/kartor/A 37950-2023 karta.png", "A 37950-2023")</f>
        <v/>
      </c>
      <c r="V248">
        <f>HYPERLINK("https://klasma.github.io/Logging_0764/klagomål/A 37950-2023 FSC-klagomål.docx", "A 37950-2023")</f>
        <v/>
      </c>
      <c r="W248">
        <f>HYPERLINK("https://klasma.github.io/Logging_0764/klagomålsmail/A 37950-2023 FSC-klagomål mail.docx", "A 37950-2023")</f>
        <v/>
      </c>
      <c r="X248">
        <f>HYPERLINK("https://klasma.github.io/Logging_0764/tillsyn/A 37950-2023 tillsynsbegäran.docx", "A 37950-2023")</f>
        <v/>
      </c>
      <c r="Y248">
        <f>HYPERLINK("https://klasma.github.io/Logging_0764/tillsynsmail/A 37950-2023 tillsynsbegäran mail.docx", "A 37950-2023")</f>
        <v/>
      </c>
    </row>
    <row r="249" ht="15" customHeight="1">
      <c r="A249" t="inlineStr">
        <is>
          <t>A 39277-2023</t>
        </is>
      </c>
      <c r="B249" s="1" t="n">
        <v>45166</v>
      </c>
      <c r="C249" s="1" t="n">
        <v>45835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Västlig hakmossa</t>
        </is>
      </c>
      <c r="S249">
        <f>HYPERLINK("https://klasma.github.io/Logging_0764/artfynd/A 39277-2023 artfynd.xlsx", "A 39277-2023")</f>
        <v/>
      </c>
      <c r="T249">
        <f>HYPERLINK("https://klasma.github.io/Logging_0764/kartor/A 39277-2023 karta.png", "A 39277-2023")</f>
        <v/>
      </c>
      <c r="V249">
        <f>HYPERLINK("https://klasma.github.io/Logging_0764/klagomål/A 39277-2023 FSC-klagomål.docx", "A 39277-2023")</f>
        <v/>
      </c>
      <c r="W249">
        <f>HYPERLINK("https://klasma.github.io/Logging_0764/klagomålsmail/A 39277-2023 FSC-klagomål mail.docx", "A 39277-2023")</f>
        <v/>
      </c>
      <c r="X249">
        <f>HYPERLINK("https://klasma.github.io/Logging_0764/tillsyn/A 39277-2023 tillsynsbegäran.docx", "A 39277-2023")</f>
        <v/>
      </c>
      <c r="Y249">
        <f>HYPERLINK("https://klasma.github.io/Logging_0764/tillsynsmail/A 39277-2023 tillsynsbegäran mail.docx", "A 39277-2023")</f>
        <v/>
      </c>
    </row>
    <row r="250" ht="15" customHeight="1">
      <c r="A250" t="inlineStr">
        <is>
          <t>A 40825-2023</t>
        </is>
      </c>
      <c r="B250" s="1" t="n">
        <v>45171</v>
      </c>
      <c r="C250" s="1" t="n">
        <v>45835</v>
      </c>
      <c r="D250" t="inlineStr">
        <is>
          <t>KRONOBERGS LÄN</t>
        </is>
      </c>
      <c r="E250" t="inlineStr">
        <is>
          <t>ÄLMHULT</t>
        </is>
      </c>
      <c r="G250" t="n">
        <v>5.8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HYPERLINK("https://klasma.github.io/Logging_0765/artfynd/A 40825-2023 artfynd.xlsx", "A 40825-2023")</f>
        <v/>
      </c>
      <c r="T250">
        <f>HYPERLINK("https://klasma.github.io/Logging_0765/kartor/A 40825-2023 karta.png", "A 40825-2023")</f>
        <v/>
      </c>
      <c r="V250">
        <f>HYPERLINK("https://klasma.github.io/Logging_0765/klagomål/A 40825-2023 FSC-klagomål.docx", "A 40825-2023")</f>
        <v/>
      </c>
      <c r="W250">
        <f>HYPERLINK("https://klasma.github.io/Logging_0765/klagomålsmail/A 40825-2023 FSC-klagomål mail.docx", "A 40825-2023")</f>
        <v/>
      </c>
      <c r="X250">
        <f>HYPERLINK("https://klasma.github.io/Logging_0765/tillsyn/A 40825-2023 tillsynsbegäran.docx", "A 40825-2023")</f>
        <v/>
      </c>
      <c r="Y250">
        <f>HYPERLINK("https://klasma.github.io/Logging_0765/tillsynsmail/A 40825-2023 tillsynsbegäran mail.docx", "A 40825-2023")</f>
        <v/>
      </c>
    </row>
    <row r="251" ht="15" customHeight="1">
      <c r="A251" t="inlineStr">
        <is>
          <t>A 42783-2023</t>
        </is>
      </c>
      <c r="B251" s="1" t="n">
        <v>45181</v>
      </c>
      <c r="C251" s="1" t="n">
        <v>45835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Hårklomossa</t>
        </is>
      </c>
      <c r="S251">
        <f>HYPERLINK("https://klasma.github.io/Logging_0781/artfynd/A 42783-2023 artfynd.xlsx", "A 42783-2023")</f>
        <v/>
      </c>
      <c r="T251">
        <f>HYPERLINK("https://klasma.github.io/Logging_0781/kartor/A 42783-2023 karta.png", "A 42783-2023")</f>
        <v/>
      </c>
      <c r="V251">
        <f>HYPERLINK("https://klasma.github.io/Logging_0781/klagomål/A 42783-2023 FSC-klagomål.docx", "A 42783-2023")</f>
        <v/>
      </c>
      <c r="W251">
        <f>HYPERLINK("https://klasma.github.io/Logging_0781/klagomålsmail/A 42783-2023 FSC-klagomål mail.docx", "A 42783-2023")</f>
        <v/>
      </c>
      <c r="X251">
        <f>HYPERLINK("https://klasma.github.io/Logging_0781/tillsyn/A 42783-2023 tillsynsbegäran.docx", "A 42783-2023")</f>
        <v/>
      </c>
      <c r="Y251">
        <f>HYPERLINK("https://klasma.github.io/Logging_0781/tillsynsmail/A 42783-2023 tillsynsbegäran mail.docx", "A 42783-2023")</f>
        <v/>
      </c>
    </row>
    <row r="252" ht="15" customHeight="1">
      <c r="A252" t="inlineStr">
        <is>
          <t>A 42987-2023</t>
        </is>
      </c>
      <c r="B252" s="1" t="n">
        <v>45182</v>
      </c>
      <c r="C252" s="1" t="n">
        <v>45835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HYPERLINK("https://klasma.github.io/Logging_0760/artfynd/A 42987-2023 artfynd.xlsx", "A 42987-2023")</f>
        <v/>
      </c>
      <c r="T252">
        <f>HYPERLINK("https://klasma.github.io/Logging_0760/kartor/A 42987-2023 karta.png", "A 42987-2023")</f>
        <v/>
      </c>
      <c r="V252">
        <f>HYPERLINK("https://klasma.github.io/Logging_0760/klagomål/A 42987-2023 FSC-klagomål.docx", "A 42987-2023")</f>
        <v/>
      </c>
      <c r="W252">
        <f>HYPERLINK("https://klasma.github.io/Logging_0760/klagomålsmail/A 42987-2023 FSC-klagomål mail.docx", "A 42987-2023")</f>
        <v/>
      </c>
      <c r="X252">
        <f>HYPERLINK("https://klasma.github.io/Logging_0760/tillsyn/A 42987-2023 tillsynsbegäran.docx", "A 42987-2023")</f>
        <v/>
      </c>
      <c r="Y252">
        <f>HYPERLINK("https://klasma.github.io/Logging_0760/tillsynsmail/A 42987-2023 tillsynsbegäran mail.docx", "A 42987-2023")</f>
        <v/>
      </c>
    </row>
    <row r="253" ht="15" customHeight="1">
      <c r="A253" t="inlineStr">
        <is>
          <t>A 43004-2023</t>
        </is>
      </c>
      <c r="B253" s="1" t="n">
        <v>45182</v>
      </c>
      <c r="C253" s="1" t="n">
        <v>45835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Hasselmus</t>
        </is>
      </c>
      <c r="S253">
        <f>HYPERLINK("https://klasma.github.io/Logging_0763/artfynd/A 43004-2023 artfynd.xlsx", "A 43004-2023")</f>
        <v/>
      </c>
      <c r="T253">
        <f>HYPERLINK("https://klasma.github.io/Logging_0763/kartor/A 43004-2023 karta.png", "A 43004-2023")</f>
        <v/>
      </c>
      <c r="V253">
        <f>HYPERLINK("https://klasma.github.io/Logging_0763/klagomål/A 43004-2023 FSC-klagomål.docx", "A 43004-2023")</f>
        <v/>
      </c>
      <c r="W253">
        <f>HYPERLINK("https://klasma.github.io/Logging_0763/klagomålsmail/A 43004-2023 FSC-klagomål mail.docx", "A 43004-2023")</f>
        <v/>
      </c>
      <c r="X253">
        <f>HYPERLINK("https://klasma.github.io/Logging_0763/tillsyn/A 43004-2023 tillsynsbegäran.docx", "A 43004-2023")</f>
        <v/>
      </c>
      <c r="Y253">
        <f>HYPERLINK("https://klasma.github.io/Logging_0763/tillsynsmail/A 43004-2023 tillsynsbegäran mail.docx", "A 43004-2023")</f>
        <v/>
      </c>
    </row>
    <row r="254" ht="15" customHeight="1">
      <c r="A254" t="inlineStr">
        <is>
          <t>A 43196-2023</t>
        </is>
      </c>
      <c r="B254" s="1" t="n">
        <v>45183</v>
      </c>
      <c r="C254" s="1" t="n">
        <v>45835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Vedtrappmossa</t>
        </is>
      </c>
      <c r="S254">
        <f>HYPERLINK("https://klasma.github.io/Logging_0765/artfynd/A 43196-2023 artfynd.xlsx", "A 43196-2023")</f>
        <v/>
      </c>
      <c r="T254">
        <f>HYPERLINK("https://klasma.github.io/Logging_0765/kartor/A 43196-2023 karta.png", "A 43196-2023")</f>
        <v/>
      </c>
      <c r="V254">
        <f>HYPERLINK("https://klasma.github.io/Logging_0765/klagomål/A 43196-2023 FSC-klagomål.docx", "A 43196-2023")</f>
        <v/>
      </c>
      <c r="W254">
        <f>HYPERLINK("https://klasma.github.io/Logging_0765/klagomålsmail/A 43196-2023 FSC-klagomål mail.docx", "A 43196-2023")</f>
        <v/>
      </c>
      <c r="X254">
        <f>HYPERLINK("https://klasma.github.io/Logging_0765/tillsyn/A 43196-2023 tillsynsbegäran.docx", "A 43196-2023")</f>
        <v/>
      </c>
      <c r="Y254">
        <f>HYPERLINK("https://klasma.github.io/Logging_0765/tillsynsmail/A 43196-2023 tillsynsbegäran mail.docx", "A 43196-2023")</f>
        <v/>
      </c>
    </row>
    <row r="255" ht="15" customHeight="1">
      <c r="A255" t="inlineStr">
        <is>
          <t>A 43831-2023</t>
        </is>
      </c>
      <c r="B255" s="1" t="n">
        <v>45187</v>
      </c>
      <c r="C255" s="1" t="n">
        <v>45835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Cypresslummer</t>
        </is>
      </c>
      <c r="S255">
        <f>HYPERLINK("https://klasma.github.io/Logging_0781/artfynd/A 43831-2023 artfynd.xlsx", "A 43831-2023")</f>
        <v/>
      </c>
      <c r="T255">
        <f>HYPERLINK("https://klasma.github.io/Logging_0781/kartor/A 43831-2023 karta.png", "A 43831-2023")</f>
        <v/>
      </c>
      <c r="V255">
        <f>HYPERLINK("https://klasma.github.io/Logging_0781/klagomål/A 43831-2023 FSC-klagomål.docx", "A 43831-2023")</f>
        <v/>
      </c>
      <c r="W255">
        <f>HYPERLINK("https://klasma.github.io/Logging_0781/klagomålsmail/A 43831-2023 FSC-klagomål mail.docx", "A 43831-2023")</f>
        <v/>
      </c>
      <c r="X255">
        <f>HYPERLINK("https://klasma.github.io/Logging_0781/tillsyn/A 43831-2023 tillsynsbegäran.docx", "A 43831-2023")</f>
        <v/>
      </c>
      <c r="Y255">
        <f>HYPERLINK("https://klasma.github.io/Logging_0781/tillsynsmail/A 43831-2023 tillsynsbegäran mail.docx", "A 43831-2023")</f>
        <v/>
      </c>
    </row>
    <row r="256" ht="15" customHeight="1">
      <c r="A256" t="inlineStr">
        <is>
          <t>A 43766-2023</t>
        </is>
      </c>
      <c r="B256" s="1" t="n">
        <v>45187</v>
      </c>
      <c r="C256" s="1" t="n">
        <v>45835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HYPERLINK("https://klasma.github.io/Logging_0764/artfynd/A 43766-2023 artfynd.xlsx", "A 43766-2023")</f>
        <v/>
      </c>
      <c r="T256">
        <f>HYPERLINK("https://klasma.github.io/Logging_0764/kartor/A 43766-2023 karta.png", "A 43766-2023")</f>
        <v/>
      </c>
      <c r="V256">
        <f>HYPERLINK("https://klasma.github.io/Logging_0764/klagomål/A 43766-2023 FSC-klagomål.docx", "A 43766-2023")</f>
        <v/>
      </c>
      <c r="W256">
        <f>HYPERLINK("https://klasma.github.io/Logging_0764/klagomålsmail/A 43766-2023 FSC-klagomål mail.docx", "A 43766-2023")</f>
        <v/>
      </c>
      <c r="X256">
        <f>HYPERLINK("https://klasma.github.io/Logging_0764/tillsyn/A 43766-2023 tillsynsbegäran.docx", "A 43766-2023")</f>
        <v/>
      </c>
      <c r="Y256">
        <f>HYPERLINK("https://klasma.github.io/Logging_0764/tillsynsmail/A 43766-2023 tillsynsbegäran mail.docx", "A 43766-2023")</f>
        <v/>
      </c>
    </row>
    <row r="257" ht="15" customHeight="1">
      <c r="A257" t="inlineStr">
        <is>
          <t>A 44227-2023</t>
        </is>
      </c>
      <c r="B257" s="1" t="n">
        <v>45188</v>
      </c>
      <c r="C257" s="1" t="n">
        <v>45835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Brunpudrad nållav</t>
        </is>
      </c>
      <c r="S257">
        <f>HYPERLINK("https://klasma.github.io/Logging_0764/artfynd/A 44227-2023 artfynd.xlsx", "A 44227-2023")</f>
        <v/>
      </c>
      <c r="T257">
        <f>HYPERLINK("https://klasma.github.io/Logging_0764/kartor/A 44227-2023 karta.png", "A 44227-2023")</f>
        <v/>
      </c>
      <c r="V257">
        <f>HYPERLINK("https://klasma.github.io/Logging_0764/klagomål/A 44227-2023 FSC-klagomål.docx", "A 44227-2023")</f>
        <v/>
      </c>
      <c r="W257">
        <f>HYPERLINK("https://klasma.github.io/Logging_0764/klagomålsmail/A 44227-2023 FSC-klagomål mail.docx", "A 44227-2023")</f>
        <v/>
      </c>
      <c r="X257">
        <f>HYPERLINK("https://klasma.github.io/Logging_0764/tillsyn/A 44227-2023 tillsynsbegäran.docx", "A 44227-2023")</f>
        <v/>
      </c>
      <c r="Y257">
        <f>HYPERLINK("https://klasma.github.io/Logging_0764/tillsynsmail/A 44227-2023 tillsynsbegäran mail.docx", "A 44227-2023")</f>
        <v/>
      </c>
    </row>
    <row r="258" ht="15" customHeight="1">
      <c r="A258" t="inlineStr">
        <is>
          <t>A 46698-2023</t>
        </is>
      </c>
      <c r="B258" s="1" t="n">
        <v>45198</v>
      </c>
      <c r="C258" s="1" t="n">
        <v>45835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Tjäder</t>
        </is>
      </c>
      <c r="S258">
        <f>HYPERLINK("https://klasma.github.io/Logging_0764/artfynd/A 46698-2023 artfynd.xlsx", "A 46698-2023")</f>
        <v/>
      </c>
      <c r="T258">
        <f>HYPERLINK("https://klasma.github.io/Logging_0764/kartor/A 46698-2023 karta.png", "A 46698-2023")</f>
        <v/>
      </c>
      <c r="V258">
        <f>HYPERLINK("https://klasma.github.io/Logging_0764/klagomål/A 46698-2023 FSC-klagomål.docx", "A 46698-2023")</f>
        <v/>
      </c>
      <c r="W258">
        <f>HYPERLINK("https://klasma.github.io/Logging_0764/klagomålsmail/A 46698-2023 FSC-klagomål mail.docx", "A 46698-2023")</f>
        <v/>
      </c>
      <c r="X258">
        <f>HYPERLINK("https://klasma.github.io/Logging_0764/tillsyn/A 46698-2023 tillsynsbegäran.docx", "A 46698-2023")</f>
        <v/>
      </c>
      <c r="Y258">
        <f>HYPERLINK("https://klasma.github.io/Logging_0764/tillsynsmail/A 46698-2023 tillsynsbegäran mail.docx", "A 46698-2023")</f>
        <v/>
      </c>
      <c r="Z258">
        <f>HYPERLINK("https://klasma.github.io/Logging_0764/fåglar/A 46698-2023 prioriterade fågelarter.docx", "A 46698-2023")</f>
        <v/>
      </c>
    </row>
    <row r="259" ht="15" customHeight="1">
      <c r="A259" t="inlineStr">
        <is>
          <t>A 49557-2023</t>
        </is>
      </c>
      <c r="B259" s="1" t="n">
        <v>45211</v>
      </c>
      <c r="C259" s="1" t="n">
        <v>45835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HYPERLINK("https://klasma.github.io/Logging_0781/artfynd/A 49557-2023 artfynd.xlsx", "A 49557-2023")</f>
        <v/>
      </c>
      <c r="T259">
        <f>HYPERLINK("https://klasma.github.io/Logging_0781/kartor/A 49557-2023 karta.png", "A 49557-2023")</f>
        <v/>
      </c>
      <c r="V259">
        <f>HYPERLINK("https://klasma.github.io/Logging_0781/klagomål/A 49557-2023 FSC-klagomål.docx", "A 49557-2023")</f>
        <v/>
      </c>
      <c r="W259">
        <f>HYPERLINK("https://klasma.github.io/Logging_0781/klagomålsmail/A 49557-2023 FSC-klagomål mail.docx", "A 49557-2023")</f>
        <v/>
      </c>
      <c r="X259">
        <f>HYPERLINK("https://klasma.github.io/Logging_0781/tillsyn/A 49557-2023 tillsynsbegäran.docx", "A 49557-2023")</f>
        <v/>
      </c>
      <c r="Y259">
        <f>HYPERLINK("https://klasma.github.io/Logging_0781/tillsynsmail/A 49557-2023 tillsynsbegäran mail.docx", "A 49557-2023")</f>
        <v/>
      </c>
    </row>
    <row r="260" ht="15" customHeight="1">
      <c r="A260" t="inlineStr">
        <is>
          <t>A 50892-2023</t>
        </is>
      </c>
      <c r="B260" s="1" t="n">
        <v>45218</v>
      </c>
      <c r="C260" s="1" t="n">
        <v>45835</v>
      </c>
      <c r="D260" t="inlineStr">
        <is>
          <t>KRONOBERGS LÄN</t>
        </is>
      </c>
      <c r="E260" t="inlineStr">
        <is>
          <t>ÄLMHULT</t>
        </is>
      </c>
      <c r="G260" t="n">
        <v>83.40000000000001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HYPERLINK("https://klasma.github.io/Logging_0765/artfynd/A 50892-2023 artfynd.xlsx", "A 50892-2023")</f>
        <v/>
      </c>
      <c r="T260">
        <f>HYPERLINK("https://klasma.github.io/Logging_0765/kartor/A 50892-2023 karta.png", "A 50892-2023")</f>
        <v/>
      </c>
      <c r="V260">
        <f>HYPERLINK("https://klasma.github.io/Logging_0765/klagomål/A 50892-2023 FSC-klagomål.docx", "A 50892-2023")</f>
        <v/>
      </c>
      <c r="W260">
        <f>HYPERLINK("https://klasma.github.io/Logging_0765/klagomålsmail/A 50892-2023 FSC-klagomål mail.docx", "A 50892-2023")</f>
        <v/>
      </c>
      <c r="X260">
        <f>HYPERLINK("https://klasma.github.io/Logging_0765/tillsyn/A 50892-2023 tillsynsbegäran.docx", "A 50892-2023")</f>
        <v/>
      </c>
      <c r="Y260">
        <f>HYPERLINK("https://klasma.github.io/Logging_0765/tillsynsmail/A 50892-2023 tillsynsbegäran mail.docx", "A 50892-2023")</f>
        <v/>
      </c>
    </row>
    <row r="261" ht="15" customHeight="1">
      <c r="A261" t="inlineStr">
        <is>
          <t>A 51195-2023</t>
        </is>
      </c>
      <c r="B261" s="1" t="n">
        <v>45219</v>
      </c>
      <c r="C261" s="1" t="n">
        <v>45835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HYPERLINK("https://klasma.github.io/Logging_0767/artfynd/A 51195-2023 artfynd.xlsx", "A 51195-2023")</f>
        <v/>
      </c>
      <c r="T261">
        <f>HYPERLINK("https://klasma.github.io/Logging_0767/kartor/A 51195-2023 karta.png", "A 51195-2023")</f>
        <v/>
      </c>
      <c r="V261">
        <f>HYPERLINK("https://klasma.github.io/Logging_0767/klagomål/A 51195-2023 FSC-klagomål.docx", "A 51195-2023")</f>
        <v/>
      </c>
      <c r="W261">
        <f>HYPERLINK("https://klasma.github.io/Logging_0767/klagomålsmail/A 51195-2023 FSC-klagomål mail.docx", "A 51195-2023")</f>
        <v/>
      </c>
      <c r="X261">
        <f>HYPERLINK("https://klasma.github.io/Logging_0767/tillsyn/A 51195-2023 tillsynsbegäran.docx", "A 51195-2023")</f>
        <v/>
      </c>
      <c r="Y261">
        <f>HYPERLINK("https://klasma.github.io/Logging_0767/tillsynsmail/A 51195-2023 tillsynsbegäran mail.docx", "A 51195-2023")</f>
        <v/>
      </c>
    </row>
    <row r="262" ht="15" customHeight="1">
      <c r="A262" t="inlineStr">
        <is>
          <t>A 53697-2023</t>
        </is>
      </c>
      <c r="B262" s="1" t="n">
        <v>45230</v>
      </c>
      <c r="C262" s="1" t="n">
        <v>45835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Vårärt</t>
        </is>
      </c>
      <c r="S262">
        <f>HYPERLINK("https://klasma.github.io/Logging_0760/artfynd/A 53697-2023 artfynd.xlsx", "A 53697-2023")</f>
        <v/>
      </c>
      <c r="T262">
        <f>HYPERLINK("https://klasma.github.io/Logging_0760/kartor/A 53697-2023 karta.png", "A 53697-2023")</f>
        <v/>
      </c>
      <c r="V262">
        <f>HYPERLINK("https://klasma.github.io/Logging_0760/klagomål/A 53697-2023 FSC-klagomål.docx", "A 53697-2023")</f>
        <v/>
      </c>
      <c r="W262">
        <f>HYPERLINK("https://klasma.github.io/Logging_0760/klagomålsmail/A 53697-2023 FSC-klagomål mail.docx", "A 53697-2023")</f>
        <v/>
      </c>
      <c r="X262">
        <f>HYPERLINK("https://klasma.github.io/Logging_0760/tillsyn/A 53697-2023 tillsynsbegäran.docx", "A 53697-2023")</f>
        <v/>
      </c>
      <c r="Y262">
        <f>HYPERLINK("https://klasma.github.io/Logging_0760/tillsynsmail/A 53697-2023 tillsynsbegäran mail.docx", "A 53697-2023")</f>
        <v/>
      </c>
    </row>
    <row r="263" ht="15" customHeight="1">
      <c r="A263" t="inlineStr">
        <is>
          <t>A 54485-2023</t>
        </is>
      </c>
      <c r="B263" s="1" t="n">
        <v>45233</v>
      </c>
      <c r="C263" s="1" t="n">
        <v>45835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Slåtterfibbla</t>
        </is>
      </c>
      <c r="S263">
        <f>HYPERLINK("https://klasma.github.io/Logging_0767/artfynd/A 54485-2023 artfynd.xlsx", "A 54485-2023")</f>
        <v/>
      </c>
      <c r="T263">
        <f>HYPERLINK("https://klasma.github.io/Logging_0767/kartor/A 54485-2023 karta.png", "A 54485-2023")</f>
        <v/>
      </c>
      <c r="V263">
        <f>HYPERLINK("https://klasma.github.io/Logging_0767/klagomål/A 54485-2023 FSC-klagomål.docx", "A 54485-2023")</f>
        <v/>
      </c>
      <c r="W263">
        <f>HYPERLINK("https://klasma.github.io/Logging_0767/klagomålsmail/A 54485-2023 FSC-klagomål mail.docx", "A 54485-2023")</f>
        <v/>
      </c>
      <c r="X263">
        <f>HYPERLINK("https://klasma.github.io/Logging_0767/tillsyn/A 54485-2023 tillsynsbegäran.docx", "A 54485-2023")</f>
        <v/>
      </c>
      <c r="Y263">
        <f>HYPERLINK("https://klasma.github.io/Logging_0767/tillsynsmail/A 54485-2023 tillsynsbegäran mail.docx", "A 54485-2023")</f>
        <v/>
      </c>
    </row>
    <row r="264" ht="15" customHeight="1">
      <c r="A264" t="inlineStr">
        <is>
          <t>A 58051-2023</t>
        </is>
      </c>
      <c r="B264" s="1" t="n">
        <v>45247</v>
      </c>
      <c r="C264" s="1" t="n">
        <v>45835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Parkhättemossa</t>
        </is>
      </c>
      <c r="S264">
        <f>HYPERLINK("https://klasma.github.io/Logging_0780/artfynd/A 58051-2023 artfynd.xlsx", "A 58051-2023")</f>
        <v/>
      </c>
      <c r="T264">
        <f>HYPERLINK("https://klasma.github.io/Logging_0780/kartor/A 58051-2023 karta.png", "A 58051-2023")</f>
        <v/>
      </c>
      <c r="V264">
        <f>HYPERLINK("https://klasma.github.io/Logging_0780/klagomål/A 58051-2023 FSC-klagomål.docx", "A 58051-2023")</f>
        <v/>
      </c>
      <c r="W264">
        <f>HYPERLINK("https://klasma.github.io/Logging_0780/klagomålsmail/A 58051-2023 FSC-klagomål mail.docx", "A 58051-2023")</f>
        <v/>
      </c>
      <c r="X264">
        <f>HYPERLINK("https://klasma.github.io/Logging_0780/tillsyn/A 58051-2023 tillsynsbegäran.docx", "A 58051-2023")</f>
        <v/>
      </c>
      <c r="Y264">
        <f>HYPERLINK("https://klasma.github.io/Logging_0780/tillsynsmail/A 58051-2023 tillsynsbegäran mail.docx", "A 58051-2023")</f>
        <v/>
      </c>
    </row>
    <row r="265" ht="15" customHeight="1">
      <c r="A265" t="inlineStr">
        <is>
          <t>A 61219-2023</t>
        </is>
      </c>
      <c r="B265" s="1" t="n">
        <v>45264</v>
      </c>
      <c r="C265" s="1" t="n">
        <v>45835</v>
      </c>
      <c r="D265" t="inlineStr">
        <is>
          <t>KRONOBERGS LÄN</t>
        </is>
      </c>
      <c r="E265" t="inlineStr">
        <is>
          <t>UPPVIDINGE</t>
        </is>
      </c>
      <c r="G265" t="n">
        <v>14.7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Gröngöling</t>
        </is>
      </c>
      <c r="S265">
        <f>HYPERLINK("https://klasma.github.io/Logging_0760/artfynd/A 61219-2023 artfynd.xlsx", "A 61219-2023")</f>
        <v/>
      </c>
      <c r="T265">
        <f>HYPERLINK("https://klasma.github.io/Logging_0760/kartor/A 61219-2023 karta.png", "A 61219-2023")</f>
        <v/>
      </c>
      <c r="V265">
        <f>HYPERLINK("https://klasma.github.io/Logging_0760/klagomål/A 61219-2023 FSC-klagomål.docx", "A 61219-2023")</f>
        <v/>
      </c>
      <c r="W265">
        <f>HYPERLINK("https://klasma.github.io/Logging_0760/klagomålsmail/A 61219-2023 FSC-klagomål mail.docx", "A 61219-2023")</f>
        <v/>
      </c>
      <c r="X265">
        <f>HYPERLINK("https://klasma.github.io/Logging_0760/tillsyn/A 61219-2023 tillsynsbegäran.docx", "A 61219-2023")</f>
        <v/>
      </c>
      <c r="Y265">
        <f>HYPERLINK("https://klasma.github.io/Logging_0760/tillsynsmail/A 61219-2023 tillsynsbegäran mail.docx", "A 61219-2023")</f>
        <v/>
      </c>
      <c r="Z265">
        <f>HYPERLINK("https://klasma.github.io/Logging_0760/fåglar/A 61219-2023 prioriterade fågelarter.docx", "A 61219-2023")</f>
        <v/>
      </c>
    </row>
    <row r="266" ht="15" customHeight="1">
      <c r="A266" t="inlineStr">
        <is>
          <t>A 61847-2023</t>
        </is>
      </c>
      <c r="B266" s="1" t="n">
        <v>45266</v>
      </c>
      <c r="C266" s="1" t="n">
        <v>45835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HYPERLINK("https://klasma.github.io/Logging_0763/artfynd/A 61847-2023 artfynd.xlsx", "A 61847-2023")</f>
        <v/>
      </c>
      <c r="T266">
        <f>HYPERLINK("https://klasma.github.io/Logging_0763/kartor/A 61847-2023 karta.png", "A 61847-2023")</f>
        <v/>
      </c>
      <c r="V266">
        <f>HYPERLINK("https://klasma.github.io/Logging_0763/klagomål/A 61847-2023 FSC-klagomål.docx", "A 61847-2023")</f>
        <v/>
      </c>
      <c r="W266">
        <f>HYPERLINK("https://klasma.github.io/Logging_0763/klagomålsmail/A 61847-2023 FSC-klagomål mail.docx", "A 61847-2023")</f>
        <v/>
      </c>
      <c r="X266">
        <f>HYPERLINK("https://klasma.github.io/Logging_0763/tillsyn/A 61847-2023 tillsynsbegäran.docx", "A 61847-2023")</f>
        <v/>
      </c>
      <c r="Y266">
        <f>HYPERLINK("https://klasma.github.io/Logging_0763/tillsynsmail/A 61847-2023 tillsynsbegäran mail.docx", "A 61847-2023")</f>
        <v/>
      </c>
    </row>
    <row r="267" ht="15" customHeight="1">
      <c r="A267" t="inlineStr">
        <is>
          <t>A 63249-2023</t>
        </is>
      </c>
      <c r="B267" s="1" t="n">
        <v>45273</v>
      </c>
      <c r="C267" s="1" t="n">
        <v>45835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HYPERLINK("https://klasma.github.io/Logging_0780/artfynd/A 63249-2023 artfynd.xlsx", "A 63249-2023")</f>
        <v/>
      </c>
      <c r="T267">
        <f>HYPERLINK("https://klasma.github.io/Logging_0780/kartor/A 63249-2023 karta.png", "A 63249-2023")</f>
        <v/>
      </c>
      <c r="V267">
        <f>HYPERLINK("https://klasma.github.io/Logging_0780/klagomål/A 63249-2023 FSC-klagomål.docx", "A 63249-2023")</f>
        <v/>
      </c>
      <c r="W267">
        <f>HYPERLINK("https://klasma.github.io/Logging_0780/klagomålsmail/A 63249-2023 FSC-klagomål mail.docx", "A 63249-2023")</f>
        <v/>
      </c>
      <c r="X267">
        <f>HYPERLINK("https://klasma.github.io/Logging_0780/tillsyn/A 63249-2023 tillsynsbegäran.docx", "A 63249-2023")</f>
        <v/>
      </c>
      <c r="Y267">
        <f>HYPERLINK("https://klasma.github.io/Logging_0780/tillsynsmail/A 63249-2023 tillsynsbegäran mail.docx", "A 63249-2023")</f>
        <v/>
      </c>
    </row>
    <row r="268" ht="15" customHeight="1">
      <c r="A268" t="inlineStr">
        <is>
          <t>A 63304-2023</t>
        </is>
      </c>
      <c r="B268" s="1" t="n">
        <v>45274</v>
      </c>
      <c r="C268" s="1" t="n">
        <v>45835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HYPERLINK("https://klasma.github.io/Logging_0781/artfynd/A 63304-2023 artfynd.xlsx", "A 63304-2023")</f>
        <v/>
      </c>
      <c r="T268">
        <f>HYPERLINK("https://klasma.github.io/Logging_0781/kartor/A 63304-2023 karta.png", "A 63304-2023")</f>
        <v/>
      </c>
      <c r="V268">
        <f>HYPERLINK("https://klasma.github.io/Logging_0781/klagomål/A 63304-2023 FSC-klagomål.docx", "A 63304-2023")</f>
        <v/>
      </c>
      <c r="W268">
        <f>HYPERLINK("https://klasma.github.io/Logging_0781/klagomålsmail/A 63304-2023 FSC-klagomål mail.docx", "A 63304-2023")</f>
        <v/>
      </c>
      <c r="X268">
        <f>HYPERLINK("https://klasma.github.io/Logging_0781/tillsyn/A 63304-2023 tillsynsbegäran.docx", "A 63304-2023")</f>
        <v/>
      </c>
      <c r="Y268">
        <f>HYPERLINK("https://klasma.github.io/Logging_0781/tillsynsmail/A 63304-2023 tillsynsbegäran mail.docx", "A 63304-2023")</f>
        <v/>
      </c>
    </row>
    <row r="269" ht="15" customHeight="1">
      <c r="A269" t="inlineStr">
        <is>
          <t>A 64150-2023</t>
        </is>
      </c>
      <c r="B269" s="1" t="n">
        <v>45279</v>
      </c>
      <c r="C269" s="1" t="n">
        <v>45835</v>
      </c>
      <c r="D269" t="inlineStr">
        <is>
          <t>KRONOBERGS LÄN</t>
        </is>
      </c>
      <c r="E269" t="inlineStr">
        <is>
          <t>VÄXJÖ</t>
        </is>
      </c>
      <c r="G269" t="n">
        <v>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HYPERLINK("https://klasma.github.io/Logging_0780/artfynd/A 64150-2023 artfynd.xlsx", "A 64150-2023")</f>
        <v/>
      </c>
      <c r="T269">
        <f>HYPERLINK("https://klasma.github.io/Logging_0780/kartor/A 64150-2023 karta.png", "A 64150-2023")</f>
        <v/>
      </c>
      <c r="V269">
        <f>HYPERLINK("https://klasma.github.io/Logging_0780/klagomål/A 64150-2023 FSC-klagomål.docx", "A 64150-2023")</f>
        <v/>
      </c>
      <c r="W269">
        <f>HYPERLINK("https://klasma.github.io/Logging_0780/klagomålsmail/A 64150-2023 FSC-klagomål mail.docx", "A 64150-2023")</f>
        <v/>
      </c>
      <c r="X269">
        <f>HYPERLINK("https://klasma.github.io/Logging_0780/tillsyn/A 64150-2023 tillsynsbegäran.docx", "A 64150-2023")</f>
        <v/>
      </c>
      <c r="Y269">
        <f>HYPERLINK("https://klasma.github.io/Logging_0780/tillsynsmail/A 64150-2023 tillsynsbegäran mail.docx", "A 64150-2023")</f>
        <v/>
      </c>
    </row>
    <row r="270" ht="15" customHeight="1">
      <c r="A270" t="inlineStr">
        <is>
          <t>A 64284-2023</t>
        </is>
      </c>
      <c r="B270" s="1" t="n">
        <v>45280</v>
      </c>
      <c r="C270" s="1" t="n">
        <v>45835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HYPERLINK("https://klasma.github.io/Logging_0780/artfynd/A 64284-2023 artfynd.xlsx", "A 64284-2023")</f>
        <v/>
      </c>
      <c r="T270">
        <f>HYPERLINK("https://klasma.github.io/Logging_0780/kartor/A 64284-2023 karta.png", "A 64284-2023")</f>
        <v/>
      </c>
      <c r="V270">
        <f>HYPERLINK("https://klasma.github.io/Logging_0780/klagomål/A 64284-2023 FSC-klagomål.docx", "A 64284-2023")</f>
        <v/>
      </c>
      <c r="W270">
        <f>HYPERLINK("https://klasma.github.io/Logging_0780/klagomålsmail/A 64284-2023 FSC-klagomål mail.docx", "A 64284-2023")</f>
        <v/>
      </c>
      <c r="X270">
        <f>HYPERLINK("https://klasma.github.io/Logging_0780/tillsyn/A 64284-2023 tillsynsbegäran.docx", "A 64284-2023")</f>
        <v/>
      </c>
      <c r="Y270">
        <f>HYPERLINK("https://klasma.github.io/Logging_0780/tillsynsmail/A 64284-2023 tillsynsbegäran mail.docx", "A 64284-2023")</f>
        <v/>
      </c>
    </row>
    <row r="271" ht="15" customHeight="1">
      <c r="A271" t="inlineStr">
        <is>
          <t>A 64830-2023</t>
        </is>
      </c>
      <c r="B271" s="1" t="n">
        <v>45282</v>
      </c>
      <c r="C271" s="1" t="n">
        <v>45835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Mattlummer</t>
        </is>
      </c>
      <c r="S271">
        <f>HYPERLINK("https://klasma.github.io/Logging_0781/artfynd/A 64830-2023 artfynd.xlsx", "A 64830-2023")</f>
        <v/>
      </c>
      <c r="T271">
        <f>HYPERLINK("https://klasma.github.io/Logging_0781/kartor/A 64830-2023 karta.png", "A 64830-2023")</f>
        <v/>
      </c>
      <c r="V271">
        <f>HYPERLINK("https://klasma.github.io/Logging_0781/klagomål/A 64830-2023 FSC-klagomål.docx", "A 64830-2023")</f>
        <v/>
      </c>
      <c r="W271">
        <f>HYPERLINK("https://klasma.github.io/Logging_0781/klagomålsmail/A 64830-2023 FSC-klagomål mail.docx", "A 64830-2023")</f>
        <v/>
      </c>
      <c r="X271">
        <f>HYPERLINK("https://klasma.github.io/Logging_0781/tillsyn/A 64830-2023 tillsynsbegäran.docx", "A 64830-2023")</f>
        <v/>
      </c>
      <c r="Y271">
        <f>HYPERLINK("https://klasma.github.io/Logging_0781/tillsynsmail/A 64830-2023 tillsynsbegäran mail.docx", "A 64830-2023")</f>
        <v/>
      </c>
    </row>
    <row r="272" ht="15" customHeight="1">
      <c r="A272" t="inlineStr">
        <is>
          <t>A 65125-2023</t>
        </is>
      </c>
      <c r="B272" s="1" t="n">
        <v>45287</v>
      </c>
      <c r="C272" s="1" t="n">
        <v>45835</v>
      </c>
      <c r="D272" t="inlineStr">
        <is>
          <t>KRONOBERGS LÄN</t>
        </is>
      </c>
      <c r="E272" t="inlineStr">
        <is>
          <t>UPPVIDINGE</t>
        </is>
      </c>
      <c r="G272" t="n">
        <v>5.1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Korallrot</t>
        </is>
      </c>
      <c r="S272">
        <f>HYPERLINK("https://klasma.github.io/Logging_0760/artfynd/A 65125-2023 artfynd.xlsx", "A 65125-2023")</f>
        <v/>
      </c>
      <c r="T272">
        <f>HYPERLINK("https://klasma.github.io/Logging_0760/kartor/A 65125-2023 karta.png", "A 65125-2023")</f>
        <v/>
      </c>
      <c r="V272">
        <f>HYPERLINK("https://klasma.github.io/Logging_0760/klagomål/A 65125-2023 FSC-klagomål.docx", "A 65125-2023")</f>
        <v/>
      </c>
      <c r="W272">
        <f>HYPERLINK("https://klasma.github.io/Logging_0760/klagomålsmail/A 65125-2023 FSC-klagomål mail.docx", "A 65125-2023")</f>
        <v/>
      </c>
      <c r="X272">
        <f>HYPERLINK("https://klasma.github.io/Logging_0760/tillsyn/A 65125-2023 tillsynsbegäran.docx", "A 65125-2023")</f>
        <v/>
      </c>
      <c r="Y272">
        <f>HYPERLINK("https://klasma.github.io/Logging_0760/tillsynsmail/A 65125-2023 tillsynsbegäran mail.docx", "A 65125-2023")</f>
        <v/>
      </c>
    </row>
    <row r="273" ht="15" customHeight="1">
      <c r="A273" t="inlineStr">
        <is>
          <t>A 1605-2024</t>
        </is>
      </c>
      <c r="B273" s="1" t="n">
        <v>45306</v>
      </c>
      <c r="C273" s="1" t="n">
        <v>45835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Dvärgpipistrell</t>
        </is>
      </c>
      <c r="S273">
        <f>HYPERLINK("https://klasma.github.io/Logging_0760/artfynd/A 1605-2024 artfynd.xlsx", "A 1605-2024")</f>
        <v/>
      </c>
      <c r="T273">
        <f>HYPERLINK("https://klasma.github.io/Logging_0760/kartor/A 1605-2024 karta.png", "A 1605-2024")</f>
        <v/>
      </c>
      <c r="V273">
        <f>HYPERLINK("https://klasma.github.io/Logging_0760/klagomål/A 1605-2024 FSC-klagomål.docx", "A 1605-2024")</f>
        <v/>
      </c>
      <c r="W273">
        <f>HYPERLINK("https://klasma.github.io/Logging_0760/klagomålsmail/A 1605-2024 FSC-klagomål mail.docx", "A 1605-2024")</f>
        <v/>
      </c>
      <c r="X273">
        <f>HYPERLINK("https://klasma.github.io/Logging_0760/tillsyn/A 1605-2024 tillsynsbegäran.docx", "A 1605-2024")</f>
        <v/>
      </c>
      <c r="Y273">
        <f>HYPERLINK("https://klasma.github.io/Logging_0760/tillsynsmail/A 1605-2024 tillsynsbegäran mail.docx", "A 1605-2024")</f>
        <v/>
      </c>
    </row>
    <row r="274" ht="15" customHeight="1">
      <c r="A274" t="inlineStr">
        <is>
          <t>A 2251-2024</t>
        </is>
      </c>
      <c r="B274" s="1" t="n">
        <v>45310</v>
      </c>
      <c r="C274" s="1" t="n">
        <v>45835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2251-2024 artfynd.xlsx", "A 2251-2024")</f>
        <v/>
      </c>
      <c r="T274">
        <f>HYPERLINK("https://klasma.github.io/Logging_0764/kartor/A 2251-2024 karta.png", "A 2251-2024")</f>
        <v/>
      </c>
      <c r="V274">
        <f>HYPERLINK("https://klasma.github.io/Logging_0764/klagomål/A 2251-2024 FSC-klagomål.docx", "A 2251-2024")</f>
        <v/>
      </c>
      <c r="W274">
        <f>HYPERLINK("https://klasma.github.io/Logging_0764/klagomålsmail/A 2251-2024 FSC-klagomål mail.docx", "A 2251-2024")</f>
        <v/>
      </c>
      <c r="X274">
        <f>HYPERLINK("https://klasma.github.io/Logging_0764/tillsyn/A 2251-2024 tillsynsbegäran.docx", "A 2251-2024")</f>
        <v/>
      </c>
      <c r="Y274">
        <f>HYPERLINK("https://klasma.github.io/Logging_0764/tillsynsmail/A 2251-2024 tillsynsbegäran mail.docx", "A 2251-2024")</f>
        <v/>
      </c>
    </row>
    <row r="275" ht="15" customHeight="1">
      <c r="A275" t="inlineStr">
        <is>
          <t>A 3863-2024</t>
        </is>
      </c>
      <c r="B275" s="1" t="n">
        <v>45322</v>
      </c>
      <c r="C275" s="1" t="n">
        <v>45835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HYPERLINK("https://klasma.github.io/Logging_0763/artfynd/A 3863-2024 artfynd.xlsx", "A 3863-2024")</f>
        <v/>
      </c>
      <c r="T275">
        <f>HYPERLINK("https://klasma.github.io/Logging_0763/kartor/A 3863-2024 karta.png", "A 3863-2024")</f>
        <v/>
      </c>
      <c r="V275">
        <f>HYPERLINK("https://klasma.github.io/Logging_0763/klagomål/A 3863-2024 FSC-klagomål.docx", "A 3863-2024")</f>
        <v/>
      </c>
      <c r="W275">
        <f>HYPERLINK("https://klasma.github.io/Logging_0763/klagomålsmail/A 3863-2024 FSC-klagomål mail.docx", "A 3863-2024")</f>
        <v/>
      </c>
      <c r="X275">
        <f>HYPERLINK("https://klasma.github.io/Logging_0763/tillsyn/A 3863-2024 tillsynsbegäran.docx", "A 3863-2024")</f>
        <v/>
      </c>
      <c r="Y275">
        <f>HYPERLINK("https://klasma.github.io/Logging_0763/tillsynsmail/A 3863-2024 tillsynsbegäran mail.docx", "A 3863-2024")</f>
        <v/>
      </c>
    </row>
    <row r="276" ht="15" customHeight="1">
      <c r="A276" t="inlineStr">
        <is>
          <t>A 5856-2024</t>
        </is>
      </c>
      <c r="B276" s="1" t="n">
        <v>45335</v>
      </c>
      <c r="C276" s="1" t="n">
        <v>45835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Vågbandad barkbock</t>
        </is>
      </c>
      <c r="S276">
        <f>HYPERLINK("https://klasma.github.io/Logging_0760/artfynd/A 5856-2024 artfynd.xlsx", "A 5856-2024")</f>
        <v/>
      </c>
      <c r="T276">
        <f>HYPERLINK("https://klasma.github.io/Logging_0760/kartor/A 5856-2024 karta.png", "A 5856-2024")</f>
        <v/>
      </c>
      <c r="V276">
        <f>HYPERLINK("https://klasma.github.io/Logging_0760/klagomål/A 5856-2024 FSC-klagomål.docx", "A 5856-2024")</f>
        <v/>
      </c>
      <c r="W276">
        <f>HYPERLINK("https://klasma.github.io/Logging_0760/klagomålsmail/A 5856-2024 FSC-klagomål mail.docx", "A 5856-2024")</f>
        <v/>
      </c>
      <c r="X276">
        <f>HYPERLINK("https://klasma.github.io/Logging_0760/tillsyn/A 5856-2024 tillsynsbegäran.docx", "A 5856-2024")</f>
        <v/>
      </c>
      <c r="Y276">
        <f>HYPERLINK("https://klasma.github.io/Logging_0760/tillsynsmail/A 5856-2024 tillsynsbegäran mail.docx", "A 5856-2024")</f>
        <v/>
      </c>
    </row>
    <row r="277" ht="15" customHeight="1">
      <c r="A277" t="inlineStr">
        <is>
          <t>A 6548-2024</t>
        </is>
      </c>
      <c r="B277" s="1" t="n">
        <v>45341</v>
      </c>
      <c r="C277" s="1" t="n">
        <v>45835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HYPERLINK("https://klasma.github.io/Logging_0763/artfynd/A 6548-2024 artfynd.xlsx", "A 6548-2024")</f>
        <v/>
      </c>
      <c r="T277">
        <f>HYPERLINK("https://klasma.github.io/Logging_0763/kartor/A 6548-2024 karta.png", "A 6548-2024")</f>
        <v/>
      </c>
      <c r="V277">
        <f>HYPERLINK("https://klasma.github.io/Logging_0763/klagomål/A 6548-2024 FSC-klagomål.docx", "A 6548-2024")</f>
        <v/>
      </c>
      <c r="W277">
        <f>HYPERLINK("https://klasma.github.io/Logging_0763/klagomålsmail/A 6548-2024 FSC-klagomål mail.docx", "A 6548-2024")</f>
        <v/>
      </c>
      <c r="X277">
        <f>HYPERLINK("https://klasma.github.io/Logging_0763/tillsyn/A 6548-2024 tillsynsbegäran.docx", "A 6548-2024")</f>
        <v/>
      </c>
      <c r="Y277">
        <f>HYPERLINK("https://klasma.github.io/Logging_0763/tillsynsmail/A 6548-2024 tillsynsbegäran mail.docx", "A 6548-2024")</f>
        <v/>
      </c>
    </row>
    <row r="278" ht="15" customHeight="1">
      <c r="A278" t="inlineStr">
        <is>
          <t>A 7011-2024</t>
        </is>
      </c>
      <c r="B278" s="1" t="n">
        <v>45343</v>
      </c>
      <c r="C278" s="1" t="n">
        <v>45835</v>
      </c>
      <c r="D278" t="inlineStr">
        <is>
          <t>KRONOBERGS LÄN</t>
        </is>
      </c>
      <c r="E278" t="inlineStr">
        <is>
          <t>ÄLMHULT</t>
        </is>
      </c>
      <c r="G278" t="n">
        <v>4.2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HYPERLINK("https://klasma.github.io/Logging_0765/artfynd/A 7011-2024 artfynd.xlsx", "A 7011-2024")</f>
        <v/>
      </c>
      <c r="T278">
        <f>HYPERLINK("https://klasma.github.io/Logging_0765/kartor/A 7011-2024 karta.png", "A 7011-2024")</f>
        <v/>
      </c>
      <c r="V278">
        <f>HYPERLINK("https://klasma.github.io/Logging_0765/klagomål/A 7011-2024 FSC-klagomål.docx", "A 7011-2024")</f>
        <v/>
      </c>
      <c r="W278">
        <f>HYPERLINK("https://klasma.github.io/Logging_0765/klagomålsmail/A 7011-2024 FSC-klagomål mail.docx", "A 7011-2024")</f>
        <v/>
      </c>
      <c r="X278">
        <f>HYPERLINK("https://klasma.github.io/Logging_0765/tillsyn/A 7011-2024 tillsynsbegäran.docx", "A 7011-2024")</f>
        <v/>
      </c>
      <c r="Y278">
        <f>HYPERLINK("https://klasma.github.io/Logging_0765/tillsynsmail/A 7011-2024 tillsynsbegäran mail.docx", "A 7011-2024")</f>
        <v/>
      </c>
      <c r="Z278">
        <f>HYPERLINK("https://klasma.github.io/Logging_0765/fåglar/A 7011-2024 prioriterade fågelarter.docx", "A 7011-2024")</f>
        <v/>
      </c>
    </row>
    <row r="279" ht="15" customHeight="1">
      <c r="A279" t="inlineStr">
        <is>
          <t>A 7984-2024</t>
        </is>
      </c>
      <c r="B279" s="1" t="n">
        <v>45348</v>
      </c>
      <c r="C279" s="1" t="n">
        <v>45835</v>
      </c>
      <c r="D279" t="inlineStr">
        <is>
          <t>KRONOBERGS LÄN</t>
        </is>
      </c>
      <c r="E279" t="inlineStr">
        <is>
          <t>UPPVIDINGE</t>
        </is>
      </c>
      <c r="G279" t="n">
        <v>1.3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HYPERLINK("https://klasma.github.io/Logging_0760/artfynd/A 7984-2024 artfynd.xlsx", "A 7984-2024")</f>
        <v/>
      </c>
      <c r="T279">
        <f>HYPERLINK("https://klasma.github.io/Logging_0760/kartor/A 7984-2024 karta.png", "A 7984-2024")</f>
        <v/>
      </c>
      <c r="V279">
        <f>HYPERLINK("https://klasma.github.io/Logging_0760/klagomål/A 7984-2024 FSC-klagomål.docx", "A 7984-2024")</f>
        <v/>
      </c>
      <c r="W279">
        <f>HYPERLINK("https://klasma.github.io/Logging_0760/klagomålsmail/A 7984-2024 FSC-klagomål mail.docx", "A 7984-2024")</f>
        <v/>
      </c>
      <c r="X279">
        <f>HYPERLINK("https://klasma.github.io/Logging_0760/tillsyn/A 7984-2024 tillsynsbegäran.docx", "A 7984-2024")</f>
        <v/>
      </c>
      <c r="Y279">
        <f>HYPERLINK("https://klasma.github.io/Logging_0760/tillsynsmail/A 7984-2024 tillsynsbegäran mail.docx", "A 7984-2024")</f>
        <v/>
      </c>
    </row>
    <row r="280" ht="15" customHeight="1">
      <c r="A280" t="inlineStr">
        <is>
          <t>A 8482-2024</t>
        </is>
      </c>
      <c r="B280" s="1" t="n">
        <v>45355</v>
      </c>
      <c r="C280" s="1" t="n">
        <v>45835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HYPERLINK("https://klasma.github.io/Logging_0763/artfynd/A 8482-2024 artfynd.xlsx", "A 8482-2024")</f>
        <v/>
      </c>
      <c r="T280">
        <f>HYPERLINK("https://klasma.github.io/Logging_0763/kartor/A 8482-2024 karta.png", "A 8482-2024")</f>
        <v/>
      </c>
      <c r="V280">
        <f>HYPERLINK("https://klasma.github.io/Logging_0763/klagomål/A 8482-2024 FSC-klagomål.docx", "A 8482-2024")</f>
        <v/>
      </c>
      <c r="W280">
        <f>HYPERLINK("https://klasma.github.io/Logging_0763/klagomålsmail/A 8482-2024 FSC-klagomål mail.docx", "A 8482-2024")</f>
        <v/>
      </c>
      <c r="X280">
        <f>HYPERLINK("https://klasma.github.io/Logging_0763/tillsyn/A 8482-2024 tillsynsbegäran.docx", "A 8482-2024")</f>
        <v/>
      </c>
      <c r="Y280">
        <f>HYPERLINK("https://klasma.github.io/Logging_0763/tillsynsmail/A 8482-2024 tillsynsbegäran mail.docx", "A 8482-2024")</f>
        <v/>
      </c>
    </row>
    <row r="281" ht="15" customHeight="1">
      <c r="A281" t="inlineStr">
        <is>
          <t>A 8780-2024</t>
        </is>
      </c>
      <c r="B281" s="1" t="n">
        <v>45356</v>
      </c>
      <c r="C281" s="1" t="n">
        <v>45835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Kornknutmossa</t>
        </is>
      </c>
      <c r="S281">
        <f>HYPERLINK("https://klasma.github.io/Logging_0763/artfynd/A 8780-2024 artfynd.xlsx", "A 8780-2024")</f>
        <v/>
      </c>
      <c r="T281">
        <f>HYPERLINK("https://klasma.github.io/Logging_0763/kartor/A 8780-2024 karta.png", "A 8780-2024")</f>
        <v/>
      </c>
      <c r="V281">
        <f>HYPERLINK("https://klasma.github.io/Logging_0763/klagomål/A 8780-2024 FSC-klagomål.docx", "A 8780-2024")</f>
        <v/>
      </c>
      <c r="W281">
        <f>HYPERLINK("https://klasma.github.io/Logging_0763/klagomålsmail/A 8780-2024 FSC-klagomål mail.docx", "A 8780-2024")</f>
        <v/>
      </c>
      <c r="X281">
        <f>HYPERLINK("https://klasma.github.io/Logging_0763/tillsyn/A 8780-2024 tillsynsbegäran.docx", "A 8780-2024")</f>
        <v/>
      </c>
      <c r="Y281">
        <f>HYPERLINK("https://klasma.github.io/Logging_0763/tillsynsmail/A 8780-2024 tillsynsbegäran mail.docx", "A 8780-2024")</f>
        <v/>
      </c>
    </row>
    <row r="282" ht="15" customHeight="1">
      <c r="A282" t="inlineStr">
        <is>
          <t>A 11508-2024</t>
        </is>
      </c>
      <c r="B282" s="1" t="n">
        <v>45372</v>
      </c>
      <c r="C282" s="1" t="n">
        <v>45835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HYPERLINK("https://klasma.github.io/Logging_0781/artfynd/A 11508-2024 artfynd.xlsx", "A 11508-2024")</f>
        <v/>
      </c>
      <c r="T282">
        <f>HYPERLINK("https://klasma.github.io/Logging_0781/kartor/A 11508-2024 karta.png", "A 11508-2024")</f>
        <v/>
      </c>
      <c r="V282">
        <f>HYPERLINK("https://klasma.github.io/Logging_0781/klagomål/A 11508-2024 FSC-klagomål.docx", "A 11508-2024")</f>
        <v/>
      </c>
      <c r="W282">
        <f>HYPERLINK("https://klasma.github.io/Logging_0781/klagomålsmail/A 11508-2024 FSC-klagomål mail.docx", "A 11508-2024")</f>
        <v/>
      </c>
      <c r="X282">
        <f>HYPERLINK("https://klasma.github.io/Logging_0781/tillsyn/A 11508-2024 tillsynsbegäran.docx", "A 11508-2024")</f>
        <v/>
      </c>
      <c r="Y282">
        <f>HYPERLINK("https://klasma.github.io/Logging_0781/tillsynsmail/A 11508-2024 tillsynsbegäran mail.docx", "A 11508-2024")</f>
        <v/>
      </c>
    </row>
    <row r="283" ht="15" customHeight="1">
      <c r="A283" t="inlineStr">
        <is>
          <t>A 13497-2024</t>
        </is>
      </c>
      <c r="B283" s="1" t="n">
        <v>45387</v>
      </c>
      <c r="C283" s="1" t="n">
        <v>45835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HYPERLINK("https://klasma.github.io/Logging_0763/artfynd/A 13497-2024 artfynd.xlsx", "A 13497-2024")</f>
        <v/>
      </c>
      <c r="T283">
        <f>HYPERLINK("https://klasma.github.io/Logging_0763/kartor/A 13497-2024 karta.png", "A 13497-2024")</f>
        <v/>
      </c>
      <c r="U283">
        <f>HYPERLINK("https://klasma.github.io/Logging_0763/knärot/A 13497-2024 karta knärot.png", "A 13497-2024")</f>
        <v/>
      </c>
      <c r="V283">
        <f>HYPERLINK("https://klasma.github.io/Logging_0763/klagomål/A 13497-2024 FSC-klagomål.docx", "A 13497-2024")</f>
        <v/>
      </c>
      <c r="W283">
        <f>HYPERLINK("https://klasma.github.io/Logging_0763/klagomålsmail/A 13497-2024 FSC-klagomål mail.docx", "A 13497-2024")</f>
        <v/>
      </c>
      <c r="X283">
        <f>HYPERLINK("https://klasma.github.io/Logging_0763/tillsyn/A 13497-2024 tillsynsbegäran.docx", "A 13497-2024")</f>
        <v/>
      </c>
      <c r="Y283">
        <f>HYPERLINK("https://klasma.github.io/Logging_0763/tillsynsmail/A 13497-2024 tillsynsbegäran mail.docx", "A 13497-2024")</f>
        <v/>
      </c>
    </row>
    <row r="284" ht="15" customHeight="1">
      <c r="A284" t="inlineStr">
        <is>
          <t>A 14022-2024</t>
        </is>
      </c>
      <c r="B284" s="1" t="n">
        <v>45392</v>
      </c>
      <c r="C284" s="1" t="n">
        <v>45835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Borsttåg</t>
        </is>
      </c>
      <c r="S284">
        <f>HYPERLINK("https://klasma.github.io/Logging_0780/artfynd/A 14022-2024 artfynd.xlsx", "A 14022-2024")</f>
        <v/>
      </c>
      <c r="T284">
        <f>HYPERLINK("https://klasma.github.io/Logging_0780/kartor/A 14022-2024 karta.png", "A 14022-2024")</f>
        <v/>
      </c>
      <c r="V284">
        <f>HYPERLINK("https://klasma.github.io/Logging_0780/klagomål/A 14022-2024 FSC-klagomål.docx", "A 14022-2024")</f>
        <v/>
      </c>
      <c r="W284">
        <f>HYPERLINK("https://klasma.github.io/Logging_0780/klagomålsmail/A 14022-2024 FSC-klagomål mail.docx", "A 14022-2024")</f>
        <v/>
      </c>
      <c r="X284">
        <f>HYPERLINK("https://klasma.github.io/Logging_0780/tillsyn/A 14022-2024 tillsynsbegäran.docx", "A 14022-2024")</f>
        <v/>
      </c>
      <c r="Y284">
        <f>HYPERLINK("https://klasma.github.io/Logging_0780/tillsynsmail/A 14022-2024 tillsynsbegäran mail.docx", "A 14022-2024")</f>
        <v/>
      </c>
    </row>
    <row r="285" ht="15" customHeight="1">
      <c r="A285" t="inlineStr">
        <is>
          <t>A 16141-2024</t>
        </is>
      </c>
      <c r="B285" s="1" t="n">
        <v>45406</v>
      </c>
      <c r="C285" s="1" t="n">
        <v>45835</v>
      </c>
      <c r="D285" t="inlineStr">
        <is>
          <t>KRONOBERGS LÄN</t>
        </is>
      </c>
      <c r="E285" t="inlineStr">
        <is>
          <t>TINGSRYD</t>
        </is>
      </c>
      <c r="G285" t="n">
        <v>2.8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Ekoxe</t>
        </is>
      </c>
      <c r="S285">
        <f>HYPERLINK("https://klasma.github.io/Logging_0763/artfynd/A 16141-2024 artfynd.xlsx", "A 16141-2024")</f>
        <v/>
      </c>
      <c r="T285">
        <f>HYPERLINK("https://klasma.github.io/Logging_0763/kartor/A 16141-2024 karta.png", "A 16141-2024")</f>
        <v/>
      </c>
      <c r="V285">
        <f>HYPERLINK("https://klasma.github.io/Logging_0763/klagomål/A 16141-2024 FSC-klagomål.docx", "A 16141-2024")</f>
        <v/>
      </c>
      <c r="W285">
        <f>HYPERLINK("https://klasma.github.io/Logging_0763/klagomålsmail/A 16141-2024 FSC-klagomål mail.docx", "A 16141-2024")</f>
        <v/>
      </c>
      <c r="X285">
        <f>HYPERLINK("https://klasma.github.io/Logging_0763/tillsyn/A 16141-2024 tillsynsbegäran.docx", "A 16141-2024")</f>
        <v/>
      </c>
      <c r="Y285">
        <f>HYPERLINK("https://klasma.github.io/Logging_0763/tillsynsmail/A 16141-2024 tillsynsbegäran mail.docx", "A 16141-2024")</f>
        <v/>
      </c>
    </row>
    <row r="286" ht="15" customHeight="1">
      <c r="A286" t="inlineStr">
        <is>
          <t>A 17393-2024</t>
        </is>
      </c>
      <c r="B286" s="1" t="n">
        <v>45414</v>
      </c>
      <c r="C286" s="1" t="n">
        <v>45835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Västlig hakmossa</t>
        </is>
      </c>
      <c r="S286">
        <f>HYPERLINK("https://klasma.github.io/Logging_0764/artfynd/A 17393-2024 artfynd.xlsx", "A 17393-2024")</f>
        <v/>
      </c>
      <c r="T286">
        <f>HYPERLINK("https://klasma.github.io/Logging_0764/kartor/A 17393-2024 karta.png", "A 17393-2024")</f>
        <v/>
      </c>
      <c r="V286">
        <f>HYPERLINK("https://klasma.github.io/Logging_0764/klagomål/A 17393-2024 FSC-klagomål.docx", "A 17393-2024")</f>
        <v/>
      </c>
      <c r="W286">
        <f>HYPERLINK("https://klasma.github.io/Logging_0764/klagomålsmail/A 17393-2024 FSC-klagomål mail.docx", "A 17393-2024")</f>
        <v/>
      </c>
      <c r="X286">
        <f>HYPERLINK("https://klasma.github.io/Logging_0764/tillsyn/A 17393-2024 tillsynsbegäran.docx", "A 17393-2024")</f>
        <v/>
      </c>
      <c r="Y286">
        <f>HYPERLINK("https://klasma.github.io/Logging_0764/tillsynsmail/A 17393-2024 tillsynsbegäran mail.docx", "A 17393-2024")</f>
        <v/>
      </c>
    </row>
    <row r="287" ht="15" customHeight="1">
      <c r="A287" t="inlineStr">
        <is>
          <t>A 18593-2024</t>
        </is>
      </c>
      <c r="B287" s="1" t="n">
        <v>45425</v>
      </c>
      <c r="C287" s="1" t="n">
        <v>45835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18593-2024 artfynd.xlsx", "A 18593-2024")</f>
        <v/>
      </c>
      <c r="T287">
        <f>HYPERLINK("https://klasma.github.io/Logging_0781/kartor/A 18593-2024 karta.png", "A 18593-2024")</f>
        <v/>
      </c>
      <c r="U287">
        <f>HYPERLINK("https://klasma.github.io/Logging_0781/knärot/A 18593-2024 karta knärot.png", "A 18593-2024")</f>
        <v/>
      </c>
      <c r="V287">
        <f>HYPERLINK("https://klasma.github.io/Logging_0781/klagomål/A 18593-2024 FSC-klagomål.docx", "A 18593-2024")</f>
        <v/>
      </c>
      <c r="W287">
        <f>HYPERLINK("https://klasma.github.io/Logging_0781/klagomålsmail/A 18593-2024 FSC-klagomål mail.docx", "A 18593-2024")</f>
        <v/>
      </c>
      <c r="X287">
        <f>HYPERLINK("https://klasma.github.io/Logging_0781/tillsyn/A 18593-2024 tillsynsbegäran.docx", "A 18593-2024")</f>
        <v/>
      </c>
      <c r="Y287">
        <f>HYPERLINK("https://klasma.github.io/Logging_0781/tillsynsmail/A 18593-2024 tillsynsbegäran mail.docx", "A 18593-2024")</f>
        <v/>
      </c>
    </row>
    <row r="288" ht="15" customHeight="1">
      <c r="A288" t="inlineStr">
        <is>
          <t>A 18952-2024</t>
        </is>
      </c>
      <c r="B288" s="1" t="n">
        <v>45427</v>
      </c>
      <c r="C288" s="1" t="n">
        <v>45835</v>
      </c>
      <c r="D288" t="inlineStr">
        <is>
          <t>KRONOBERGS LÄN</t>
        </is>
      </c>
      <c r="E288" t="inlineStr">
        <is>
          <t>ÄLMHULT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Rapunkelklocka</t>
        </is>
      </c>
      <c r="S288">
        <f>HYPERLINK("https://klasma.github.io/Logging_0765/artfynd/A 18952-2024 artfynd.xlsx", "A 18952-2024")</f>
        <v/>
      </c>
      <c r="T288">
        <f>HYPERLINK("https://klasma.github.io/Logging_0765/kartor/A 18952-2024 karta.png", "A 18952-2024")</f>
        <v/>
      </c>
      <c r="V288">
        <f>HYPERLINK("https://klasma.github.io/Logging_0765/klagomål/A 18952-2024 FSC-klagomål.docx", "A 18952-2024")</f>
        <v/>
      </c>
      <c r="W288">
        <f>HYPERLINK("https://klasma.github.io/Logging_0765/klagomålsmail/A 18952-2024 FSC-klagomål mail.docx", "A 18952-2024")</f>
        <v/>
      </c>
      <c r="X288">
        <f>HYPERLINK("https://klasma.github.io/Logging_0765/tillsyn/A 18952-2024 tillsynsbegäran.docx", "A 18952-2024")</f>
        <v/>
      </c>
      <c r="Y288">
        <f>HYPERLINK("https://klasma.github.io/Logging_0765/tillsynsmail/A 18952-2024 tillsynsbegäran mail.docx", "A 18952-2024")</f>
        <v/>
      </c>
    </row>
    <row r="289" ht="15" customHeight="1">
      <c r="A289" t="inlineStr">
        <is>
          <t>A 20033-2024</t>
        </is>
      </c>
      <c r="B289" s="1" t="n">
        <v>45434</v>
      </c>
      <c r="C289" s="1" t="n">
        <v>45835</v>
      </c>
      <c r="D289" t="inlineStr">
        <is>
          <t>KRONOBERGS LÄN</t>
        </is>
      </c>
      <c r="E289" t="inlineStr">
        <is>
          <t>TINGSRYD</t>
        </is>
      </c>
      <c r="G289" t="n">
        <v>3.9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HYPERLINK("https://klasma.github.io/Logging_0763/artfynd/A 20033-2024 artfynd.xlsx", "A 20033-2024")</f>
        <v/>
      </c>
      <c r="T289">
        <f>HYPERLINK("https://klasma.github.io/Logging_0763/kartor/A 20033-2024 karta.png", "A 20033-2024")</f>
        <v/>
      </c>
      <c r="V289">
        <f>HYPERLINK("https://klasma.github.io/Logging_0763/klagomål/A 20033-2024 FSC-klagomål.docx", "A 20033-2024")</f>
        <v/>
      </c>
      <c r="W289">
        <f>HYPERLINK("https://klasma.github.io/Logging_0763/klagomålsmail/A 20033-2024 FSC-klagomål mail.docx", "A 20033-2024")</f>
        <v/>
      </c>
      <c r="X289">
        <f>HYPERLINK("https://klasma.github.io/Logging_0763/tillsyn/A 20033-2024 tillsynsbegäran.docx", "A 20033-2024")</f>
        <v/>
      </c>
      <c r="Y289">
        <f>HYPERLINK("https://klasma.github.io/Logging_0763/tillsynsmail/A 20033-2024 tillsynsbegäran mail.docx", "A 20033-2024")</f>
        <v/>
      </c>
    </row>
    <row r="290" ht="15" customHeight="1">
      <c r="A290" t="inlineStr">
        <is>
          <t>A 22238-2024</t>
        </is>
      </c>
      <c r="B290" s="1" t="n">
        <v>45446</v>
      </c>
      <c r="C290" s="1" t="n">
        <v>45835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Klockgentiana</t>
        </is>
      </c>
      <c r="S290">
        <f>HYPERLINK("https://klasma.github.io/Logging_0764/artfynd/A 22238-2024 artfynd.xlsx", "A 22238-2024")</f>
        <v/>
      </c>
      <c r="T290">
        <f>HYPERLINK("https://klasma.github.io/Logging_0764/kartor/A 22238-2024 karta.png", "A 22238-2024")</f>
        <v/>
      </c>
      <c r="V290">
        <f>HYPERLINK("https://klasma.github.io/Logging_0764/klagomål/A 22238-2024 FSC-klagomål.docx", "A 22238-2024")</f>
        <v/>
      </c>
      <c r="W290">
        <f>HYPERLINK("https://klasma.github.io/Logging_0764/klagomålsmail/A 22238-2024 FSC-klagomål mail.docx", "A 22238-2024")</f>
        <v/>
      </c>
      <c r="X290">
        <f>HYPERLINK("https://klasma.github.io/Logging_0764/tillsyn/A 22238-2024 tillsynsbegäran.docx", "A 22238-2024")</f>
        <v/>
      </c>
      <c r="Y290">
        <f>HYPERLINK("https://klasma.github.io/Logging_0764/tillsynsmail/A 22238-2024 tillsynsbegäran mail.docx", "A 22238-2024")</f>
        <v/>
      </c>
    </row>
    <row r="291" ht="15" customHeight="1">
      <c r="A291" t="inlineStr">
        <is>
          <t>A 22576-2024</t>
        </is>
      </c>
      <c r="B291" s="1" t="n">
        <v>45447</v>
      </c>
      <c r="C291" s="1" t="n">
        <v>45835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Loppstarr</t>
        </is>
      </c>
      <c r="S291">
        <f>HYPERLINK("https://klasma.github.io/Logging_0780/artfynd/A 22576-2024 artfynd.xlsx", "A 22576-2024")</f>
        <v/>
      </c>
      <c r="T291">
        <f>HYPERLINK("https://klasma.github.io/Logging_0780/kartor/A 22576-2024 karta.png", "A 22576-2024")</f>
        <v/>
      </c>
      <c r="V291">
        <f>HYPERLINK("https://klasma.github.io/Logging_0780/klagomål/A 22576-2024 FSC-klagomål.docx", "A 22576-2024")</f>
        <v/>
      </c>
      <c r="W291">
        <f>HYPERLINK("https://klasma.github.io/Logging_0780/klagomålsmail/A 22576-2024 FSC-klagomål mail.docx", "A 22576-2024")</f>
        <v/>
      </c>
      <c r="X291">
        <f>HYPERLINK("https://klasma.github.io/Logging_0780/tillsyn/A 22576-2024 tillsynsbegäran.docx", "A 22576-2024")</f>
        <v/>
      </c>
      <c r="Y291">
        <f>HYPERLINK("https://klasma.github.io/Logging_0780/tillsynsmail/A 22576-2024 tillsynsbegäran mail.docx", "A 22576-2024")</f>
        <v/>
      </c>
    </row>
    <row r="292" ht="15" customHeight="1">
      <c r="A292" t="inlineStr">
        <is>
          <t>A 25113-2024</t>
        </is>
      </c>
      <c r="B292" s="1" t="n">
        <v>45462</v>
      </c>
      <c r="C292" s="1" t="n">
        <v>45835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25113-2024 artfynd.xlsx", "A 25113-2024")</f>
        <v/>
      </c>
      <c r="T292">
        <f>HYPERLINK("https://klasma.github.io/Logging_0764/kartor/A 25113-2024 karta.png", "A 25113-2024")</f>
        <v/>
      </c>
      <c r="V292">
        <f>HYPERLINK("https://klasma.github.io/Logging_0764/klagomål/A 25113-2024 FSC-klagomål.docx", "A 25113-2024")</f>
        <v/>
      </c>
      <c r="W292">
        <f>HYPERLINK("https://klasma.github.io/Logging_0764/klagomålsmail/A 25113-2024 FSC-klagomål mail.docx", "A 25113-2024")</f>
        <v/>
      </c>
      <c r="X292">
        <f>HYPERLINK("https://klasma.github.io/Logging_0764/tillsyn/A 25113-2024 tillsynsbegäran.docx", "A 25113-2024")</f>
        <v/>
      </c>
      <c r="Y292">
        <f>HYPERLINK("https://klasma.github.io/Logging_0764/tillsynsmail/A 25113-2024 tillsynsbegäran mail.docx", "A 25113-2024")</f>
        <v/>
      </c>
    </row>
    <row r="293" ht="15" customHeight="1">
      <c r="A293" t="inlineStr">
        <is>
          <t>A 26608-2024</t>
        </is>
      </c>
      <c r="B293" s="1" t="n">
        <v>45469</v>
      </c>
      <c r="C293" s="1" t="n">
        <v>45835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Havstulpanlav</t>
        </is>
      </c>
      <c r="S293">
        <f>HYPERLINK("https://klasma.github.io/Logging_0765/artfynd/A 26608-2024 artfynd.xlsx", "A 26608-2024")</f>
        <v/>
      </c>
      <c r="T293">
        <f>HYPERLINK("https://klasma.github.io/Logging_0765/kartor/A 26608-2024 karta.png", "A 26608-2024")</f>
        <v/>
      </c>
      <c r="V293">
        <f>HYPERLINK("https://klasma.github.io/Logging_0765/klagomål/A 26608-2024 FSC-klagomål.docx", "A 26608-2024")</f>
        <v/>
      </c>
      <c r="W293">
        <f>HYPERLINK("https://klasma.github.io/Logging_0765/klagomålsmail/A 26608-2024 FSC-klagomål mail.docx", "A 26608-2024")</f>
        <v/>
      </c>
      <c r="X293">
        <f>HYPERLINK("https://klasma.github.io/Logging_0765/tillsyn/A 26608-2024 tillsynsbegäran.docx", "A 26608-2024")</f>
        <v/>
      </c>
      <c r="Y293">
        <f>HYPERLINK("https://klasma.github.io/Logging_0765/tillsynsmail/A 26608-2024 tillsynsbegäran mail.docx", "A 26608-2024")</f>
        <v/>
      </c>
    </row>
    <row r="294" ht="15" customHeight="1">
      <c r="A294" t="inlineStr">
        <is>
          <t>A 26726-2024</t>
        </is>
      </c>
      <c r="B294" s="1" t="n">
        <v>45470</v>
      </c>
      <c r="C294" s="1" t="n">
        <v>45835</v>
      </c>
      <c r="D294" t="inlineStr">
        <is>
          <t>KRONOBERGS LÄN</t>
        </is>
      </c>
      <c r="E294" t="inlineStr">
        <is>
          <t>ALVESTA</t>
        </is>
      </c>
      <c r="G294" t="n">
        <v>4.3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HYPERLINK("https://klasma.github.io/Logging_0764/artfynd/A 26726-2024 artfynd.xlsx", "A 26726-2024")</f>
        <v/>
      </c>
      <c r="T294">
        <f>HYPERLINK("https://klasma.github.io/Logging_0764/kartor/A 26726-2024 karta.png", "A 26726-2024")</f>
        <v/>
      </c>
      <c r="V294">
        <f>HYPERLINK("https://klasma.github.io/Logging_0764/klagomål/A 26726-2024 FSC-klagomål.docx", "A 26726-2024")</f>
        <v/>
      </c>
      <c r="W294">
        <f>HYPERLINK("https://klasma.github.io/Logging_0764/klagomålsmail/A 26726-2024 FSC-klagomål mail.docx", "A 26726-2024")</f>
        <v/>
      </c>
      <c r="X294">
        <f>HYPERLINK("https://klasma.github.io/Logging_0764/tillsyn/A 26726-2024 tillsynsbegäran.docx", "A 26726-2024")</f>
        <v/>
      </c>
      <c r="Y294">
        <f>HYPERLINK("https://klasma.github.io/Logging_0764/tillsynsmail/A 26726-2024 tillsynsbegäran mail.docx", "A 26726-2024")</f>
        <v/>
      </c>
    </row>
    <row r="295" ht="15" customHeight="1">
      <c r="A295" t="inlineStr">
        <is>
          <t>A 27081-2024</t>
        </is>
      </c>
      <c r="B295" s="1" t="n">
        <v>45471</v>
      </c>
      <c r="C295" s="1" t="n">
        <v>45835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HYPERLINK("https://klasma.github.io/Logging_0764/artfynd/A 27081-2024 artfynd.xlsx", "A 27081-2024")</f>
        <v/>
      </c>
      <c r="T295">
        <f>HYPERLINK("https://klasma.github.io/Logging_0764/kartor/A 27081-2024 karta.png", "A 27081-2024")</f>
        <v/>
      </c>
      <c r="V295">
        <f>HYPERLINK("https://klasma.github.io/Logging_0764/klagomål/A 27081-2024 FSC-klagomål.docx", "A 27081-2024")</f>
        <v/>
      </c>
      <c r="W295">
        <f>HYPERLINK("https://klasma.github.io/Logging_0764/klagomålsmail/A 27081-2024 FSC-klagomål mail.docx", "A 27081-2024")</f>
        <v/>
      </c>
      <c r="X295">
        <f>HYPERLINK("https://klasma.github.io/Logging_0764/tillsyn/A 27081-2024 tillsynsbegäran.docx", "A 27081-2024")</f>
        <v/>
      </c>
      <c r="Y295">
        <f>HYPERLINK("https://klasma.github.io/Logging_0764/tillsynsmail/A 27081-2024 tillsynsbegäran mail.docx", "A 27081-2024")</f>
        <v/>
      </c>
    </row>
    <row r="296" ht="15" customHeight="1">
      <c r="A296" t="inlineStr">
        <is>
          <t>A 28019-2024</t>
        </is>
      </c>
      <c r="B296" s="1" t="n">
        <v>45476</v>
      </c>
      <c r="C296" s="1" t="n">
        <v>45835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Spindelblomster</t>
        </is>
      </c>
      <c r="S296">
        <f>HYPERLINK("https://klasma.github.io/Logging_0781/artfynd/A 28019-2024 artfynd.xlsx", "A 28019-2024")</f>
        <v/>
      </c>
      <c r="T296">
        <f>HYPERLINK("https://klasma.github.io/Logging_0781/kartor/A 28019-2024 karta.png", "A 28019-2024")</f>
        <v/>
      </c>
      <c r="V296">
        <f>HYPERLINK("https://klasma.github.io/Logging_0781/klagomål/A 28019-2024 FSC-klagomål.docx", "A 28019-2024")</f>
        <v/>
      </c>
      <c r="W296">
        <f>HYPERLINK("https://klasma.github.io/Logging_0781/klagomålsmail/A 28019-2024 FSC-klagomål mail.docx", "A 28019-2024")</f>
        <v/>
      </c>
      <c r="X296">
        <f>HYPERLINK("https://klasma.github.io/Logging_0781/tillsyn/A 28019-2024 tillsynsbegäran.docx", "A 28019-2024")</f>
        <v/>
      </c>
      <c r="Y296">
        <f>HYPERLINK("https://klasma.github.io/Logging_0781/tillsynsmail/A 28019-2024 tillsynsbegäran mail.docx", "A 28019-2024")</f>
        <v/>
      </c>
    </row>
    <row r="297" ht="15" customHeight="1">
      <c r="A297" t="inlineStr">
        <is>
          <t>A 28041-2024</t>
        </is>
      </c>
      <c r="B297" s="1" t="n">
        <v>45476</v>
      </c>
      <c r="C297" s="1" t="n">
        <v>45835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HYPERLINK("https://klasma.github.io/Logging_0781/artfynd/A 28041-2024 artfynd.xlsx", "A 28041-2024")</f>
        <v/>
      </c>
      <c r="T297">
        <f>HYPERLINK("https://klasma.github.io/Logging_0781/kartor/A 28041-2024 karta.png", "A 28041-2024")</f>
        <v/>
      </c>
      <c r="V297">
        <f>HYPERLINK("https://klasma.github.io/Logging_0781/klagomål/A 28041-2024 FSC-klagomål.docx", "A 28041-2024")</f>
        <v/>
      </c>
      <c r="W297">
        <f>HYPERLINK("https://klasma.github.io/Logging_0781/klagomålsmail/A 28041-2024 FSC-klagomål mail.docx", "A 28041-2024")</f>
        <v/>
      </c>
      <c r="X297">
        <f>HYPERLINK("https://klasma.github.io/Logging_0781/tillsyn/A 28041-2024 tillsynsbegäran.docx", "A 28041-2024")</f>
        <v/>
      </c>
      <c r="Y297">
        <f>HYPERLINK("https://klasma.github.io/Logging_0781/tillsynsmail/A 28041-2024 tillsynsbegäran mail.docx", "A 28041-2024")</f>
        <v/>
      </c>
    </row>
    <row r="298" ht="15" customHeight="1">
      <c r="A298" t="inlineStr">
        <is>
          <t>A 30112-2024</t>
        </is>
      </c>
      <c r="B298" s="1" t="n">
        <v>45489</v>
      </c>
      <c r="C298" s="1" t="n">
        <v>45835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Etternässla</t>
        </is>
      </c>
      <c r="S298">
        <f>HYPERLINK("https://klasma.github.io/Logging_0760/artfynd/A 30112-2024 artfynd.xlsx", "A 30112-2024")</f>
        <v/>
      </c>
      <c r="T298">
        <f>HYPERLINK("https://klasma.github.io/Logging_0760/kartor/A 30112-2024 karta.png", "A 30112-2024")</f>
        <v/>
      </c>
      <c r="V298">
        <f>HYPERLINK("https://klasma.github.io/Logging_0760/klagomål/A 30112-2024 FSC-klagomål.docx", "A 30112-2024")</f>
        <v/>
      </c>
      <c r="W298">
        <f>HYPERLINK("https://klasma.github.io/Logging_0760/klagomålsmail/A 30112-2024 FSC-klagomål mail.docx", "A 30112-2024")</f>
        <v/>
      </c>
      <c r="X298">
        <f>HYPERLINK("https://klasma.github.io/Logging_0760/tillsyn/A 30112-2024 tillsynsbegäran.docx", "A 30112-2024")</f>
        <v/>
      </c>
      <c r="Y298">
        <f>HYPERLINK("https://klasma.github.io/Logging_0760/tillsynsmail/A 30112-2024 tillsynsbegäran mail.docx", "A 30112-2024")</f>
        <v/>
      </c>
    </row>
    <row r="299" ht="15" customHeight="1">
      <c r="A299" t="inlineStr">
        <is>
          <t>A 30317-2024</t>
        </is>
      </c>
      <c r="B299" s="1" t="n">
        <v>45490</v>
      </c>
      <c r="C299" s="1" t="n">
        <v>45835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2.7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Scharlakansskål</t>
        </is>
      </c>
      <c r="S299">
        <f>HYPERLINK("https://klasma.github.io/Logging_0780/artfynd/A 30317-2024 artfynd.xlsx", "A 30317-2024")</f>
        <v/>
      </c>
      <c r="T299">
        <f>HYPERLINK("https://klasma.github.io/Logging_0780/kartor/A 30317-2024 karta.png", "A 30317-2024")</f>
        <v/>
      </c>
      <c r="V299">
        <f>HYPERLINK("https://klasma.github.io/Logging_0780/klagomål/A 30317-2024 FSC-klagomål.docx", "A 30317-2024")</f>
        <v/>
      </c>
      <c r="W299">
        <f>HYPERLINK("https://klasma.github.io/Logging_0780/klagomålsmail/A 30317-2024 FSC-klagomål mail.docx", "A 30317-2024")</f>
        <v/>
      </c>
      <c r="X299">
        <f>HYPERLINK("https://klasma.github.io/Logging_0780/tillsyn/A 30317-2024 tillsynsbegäran.docx", "A 30317-2024")</f>
        <v/>
      </c>
      <c r="Y299">
        <f>HYPERLINK("https://klasma.github.io/Logging_0780/tillsynsmail/A 30317-2024 tillsynsbegäran mail.docx", "A 30317-2024")</f>
        <v/>
      </c>
    </row>
    <row r="300" ht="15" customHeight="1">
      <c r="A300" t="inlineStr">
        <is>
          <t>A 34935-2024</t>
        </is>
      </c>
      <c r="B300" s="1" t="n">
        <v>45527</v>
      </c>
      <c r="C300" s="1" t="n">
        <v>45835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Hårginst</t>
        </is>
      </c>
      <c r="S300">
        <f>HYPERLINK("https://klasma.github.io/Logging_0781/artfynd/A 34935-2024 artfynd.xlsx", "A 34935-2024")</f>
        <v/>
      </c>
      <c r="T300">
        <f>HYPERLINK("https://klasma.github.io/Logging_0781/kartor/A 34935-2024 karta.png", "A 34935-2024")</f>
        <v/>
      </c>
      <c r="V300">
        <f>HYPERLINK("https://klasma.github.io/Logging_0781/klagomål/A 34935-2024 FSC-klagomål.docx", "A 34935-2024")</f>
        <v/>
      </c>
      <c r="W300">
        <f>HYPERLINK("https://klasma.github.io/Logging_0781/klagomålsmail/A 34935-2024 FSC-klagomål mail.docx", "A 34935-2024")</f>
        <v/>
      </c>
      <c r="X300">
        <f>HYPERLINK("https://klasma.github.io/Logging_0781/tillsyn/A 34935-2024 tillsynsbegäran.docx", "A 34935-2024")</f>
        <v/>
      </c>
      <c r="Y300">
        <f>HYPERLINK("https://klasma.github.io/Logging_0781/tillsynsmail/A 34935-2024 tillsynsbegäran mail.docx", "A 34935-2024")</f>
        <v/>
      </c>
    </row>
    <row r="301" ht="15" customHeight="1">
      <c r="A301" t="inlineStr">
        <is>
          <t>A 35901-2024</t>
        </is>
      </c>
      <c r="B301" s="1" t="n">
        <v>45533</v>
      </c>
      <c r="C301" s="1" t="n">
        <v>45835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Tjäder</t>
        </is>
      </c>
      <c r="S301">
        <f>HYPERLINK("https://klasma.github.io/Logging_0780/artfynd/A 35901-2024 artfynd.xlsx", "A 35901-2024")</f>
        <v/>
      </c>
      <c r="T301">
        <f>HYPERLINK("https://klasma.github.io/Logging_0780/kartor/A 35901-2024 karta.png", "A 35901-2024")</f>
        <v/>
      </c>
      <c r="V301">
        <f>HYPERLINK("https://klasma.github.io/Logging_0780/klagomål/A 35901-2024 FSC-klagomål.docx", "A 35901-2024")</f>
        <v/>
      </c>
      <c r="W301">
        <f>HYPERLINK("https://klasma.github.io/Logging_0780/klagomålsmail/A 35901-2024 FSC-klagomål mail.docx", "A 35901-2024")</f>
        <v/>
      </c>
      <c r="X301">
        <f>HYPERLINK("https://klasma.github.io/Logging_0780/tillsyn/A 35901-2024 tillsynsbegäran.docx", "A 35901-2024")</f>
        <v/>
      </c>
      <c r="Y301">
        <f>HYPERLINK("https://klasma.github.io/Logging_0780/tillsynsmail/A 35901-2024 tillsynsbegäran mail.docx", "A 35901-2024")</f>
        <v/>
      </c>
      <c r="Z301">
        <f>HYPERLINK("https://klasma.github.io/Logging_0780/fåglar/A 35901-2024 prioriterade fågelarter.docx", "A 35901-2024")</f>
        <v/>
      </c>
    </row>
    <row r="302" ht="15" customHeight="1">
      <c r="A302" t="inlineStr">
        <is>
          <t>A 38036-2024</t>
        </is>
      </c>
      <c r="B302" s="1" t="n">
        <v>45544</v>
      </c>
      <c r="C302" s="1" t="n">
        <v>45835</v>
      </c>
      <c r="D302" t="inlineStr">
        <is>
          <t>KRONOBERGS LÄN</t>
        </is>
      </c>
      <c r="E302" t="inlineStr">
        <is>
          <t>VÄXJÖ</t>
        </is>
      </c>
      <c r="F302" t="inlineStr">
        <is>
          <t>Övriga Aktiebolag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Nattviol</t>
        </is>
      </c>
      <c r="S302">
        <f>HYPERLINK("https://klasma.github.io/Logging_0780/artfynd/A 38036-2024 artfynd.xlsx", "A 38036-2024")</f>
        <v/>
      </c>
      <c r="T302">
        <f>HYPERLINK("https://klasma.github.io/Logging_0780/kartor/A 38036-2024 karta.png", "A 38036-2024")</f>
        <v/>
      </c>
      <c r="V302">
        <f>HYPERLINK("https://klasma.github.io/Logging_0780/klagomål/A 38036-2024 FSC-klagomål.docx", "A 38036-2024")</f>
        <v/>
      </c>
      <c r="W302">
        <f>HYPERLINK("https://klasma.github.io/Logging_0780/klagomålsmail/A 38036-2024 FSC-klagomål mail.docx", "A 38036-2024")</f>
        <v/>
      </c>
      <c r="X302">
        <f>HYPERLINK("https://klasma.github.io/Logging_0780/tillsyn/A 38036-2024 tillsynsbegäran.docx", "A 38036-2024")</f>
        <v/>
      </c>
      <c r="Y302">
        <f>HYPERLINK("https://klasma.github.io/Logging_0780/tillsynsmail/A 38036-2024 tillsynsbegäran mail.docx", "A 38036-2024")</f>
        <v/>
      </c>
    </row>
    <row r="303" ht="15" customHeight="1">
      <c r="A303" t="inlineStr">
        <is>
          <t>A 38339-2024</t>
        </is>
      </c>
      <c r="B303" s="1" t="n">
        <v>45545</v>
      </c>
      <c r="C303" s="1" t="n">
        <v>45835</v>
      </c>
      <c r="D303" t="inlineStr">
        <is>
          <t>KRONOBERGS LÄN</t>
        </is>
      </c>
      <c r="E303" t="inlineStr">
        <is>
          <t>VÄXJÖ</t>
        </is>
      </c>
      <c r="G303" t="n">
        <v>4.9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Tallriska</t>
        </is>
      </c>
      <c r="S303">
        <f>HYPERLINK("https://klasma.github.io/Logging_0780/artfynd/A 38339-2024 artfynd.xlsx", "A 38339-2024")</f>
        <v/>
      </c>
      <c r="T303">
        <f>HYPERLINK("https://klasma.github.io/Logging_0780/kartor/A 38339-2024 karta.png", "A 38339-2024")</f>
        <v/>
      </c>
      <c r="V303">
        <f>HYPERLINK("https://klasma.github.io/Logging_0780/klagomål/A 38339-2024 FSC-klagomål.docx", "A 38339-2024")</f>
        <v/>
      </c>
      <c r="W303">
        <f>HYPERLINK("https://klasma.github.io/Logging_0780/klagomålsmail/A 38339-2024 FSC-klagomål mail.docx", "A 38339-2024")</f>
        <v/>
      </c>
      <c r="X303">
        <f>HYPERLINK("https://klasma.github.io/Logging_0780/tillsyn/A 38339-2024 tillsynsbegäran.docx", "A 38339-2024")</f>
        <v/>
      </c>
      <c r="Y303">
        <f>HYPERLINK("https://klasma.github.io/Logging_0780/tillsynsmail/A 38339-2024 tillsynsbegäran mail.docx", "A 38339-2024")</f>
        <v/>
      </c>
    </row>
    <row r="304" ht="15" customHeight="1">
      <c r="A304" t="inlineStr">
        <is>
          <t>A 38523-2024</t>
        </is>
      </c>
      <c r="B304" s="1" t="n">
        <v>45546</v>
      </c>
      <c r="C304" s="1" t="n">
        <v>45835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HYPERLINK("https://klasma.github.io/Logging_0763/artfynd/A 38523-2024 artfynd.xlsx", "A 38523-2024")</f>
        <v/>
      </c>
      <c r="T304">
        <f>HYPERLINK("https://klasma.github.io/Logging_0763/kartor/A 38523-2024 karta.png", "A 38523-2024")</f>
        <v/>
      </c>
      <c r="V304">
        <f>HYPERLINK("https://klasma.github.io/Logging_0763/klagomål/A 38523-2024 FSC-klagomål.docx", "A 38523-2024")</f>
        <v/>
      </c>
      <c r="W304">
        <f>HYPERLINK("https://klasma.github.io/Logging_0763/klagomålsmail/A 38523-2024 FSC-klagomål mail.docx", "A 38523-2024")</f>
        <v/>
      </c>
      <c r="X304">
        <f>HYPERLINK("https://klasma.github.io/Logging_0763/tillsyn/A 38523-2024 tillsynsbegäran.docx", "A 38523-2024")</f>
        <v/>
      </c>
      <c r="Y304">
        <f>HYPERLINK("https://klasma.github.io/Logging_0763/tillsynsmail/A 38523-2024 tillsynsbegäran mail.docx", "A 38523-2024")</f>
        <v/>
      </c>
    </row>
    <row r="305" ht="15" customHeight="1">
      <c r="A305" t="inlineStr">
        <is>
          <t>A 38890-2024</t>
        </is>
      </c>
      <c r="B305" s="1" t="n">
        <v>45547</v>
      </c>
      <c r="C305" s="1" t="n">
        <v>45835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Hårklomossa</t>
        </is>
      </c>
      <c r="S305">
        <f>HYPERLINK("https://klasma.github.io/Logging_0764/artfynd/A 38890-2024 artfynd.xlsx", "A 38890-2024")</f>
        <v/>
      </c>
      <c r="T305">
        <f>HYPERLINK("https://klasma.github.io/Logging_0764/kartor/A 38890-2024 karta.png", "A 38890-2024")</f>
        <v/>
      </c>
      <c r="V305">
        <f>HYPERLINK("https://klasma.github.io/Logging_0764/klagomål/A 38890-2024 FSC-klagomål.docx", "A 38890-2024")</f>
        <v/>
      </c>
      <c r="W305">
        <f>HYPERLINK("https://klasma.github.io/Logging_0764/klagomålsmail/A 38890-2024 FSC-klagomål mail.docx", "A 38890-2024")</f>
        <v/>
      </c>
      <c r="X305">
        <f>HYPERLINK("https://klasma.github.io/Logging_0764/tillsyn/A 38890-2024 tillsynsbegäran.docx", "A 38890-2024")</f>
        <v/>
      </c>
      <c r="Y305">
        <f>HYPERLINK("https://klasma.github.io/Logging_0764/tillsynsmail/A 38890-2024 tillsynsbegäran mail.docx", "A 38890-2024")</f>
        <v/>
      </c>
    </row>
    <row r="306" ht="15" customHeight="1">
      <c r="A306" t="inlineStr">
        <is>
          <t>A 40266-2024</t>
        </is>
      </c>
      <c r="B306" s="1" t="n">
        <v>45554</v>
      </c>
      <c r="C306" s="1" t="n">
        <v>45835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Mindre bastardsvärmare</t>
        </is>
      </c>
      <c r="S306">
        <f>HYPERLINK("https://klasma.github.io/Logging_0780/artfynd/A 40266-2024 artfynd.xlsx", "A 40266-2024")</f>
        <v/>
      </c>
      <c r="T306">
        <f>HYPERLINK("https://klasma.github.io/Logging_0780/kartor/A 40266-2024 karta.png", "A 40266-2024")</f>
        <v/>
      </c>
      <c r="V306">
        <f>HYPERLINK("https://klasma.github.io/Logging_0780/klagomål/A 40266-2024 FSC-klagomål.docx", "A 40266-2024")</f>
        <v/>
      </c>
      <c r="W306">
        <f>HYPERLINK("https://klasma.github.io/Logging_0780/klagomålsmail/A 40266-2024 FSC-klagomål mail.docx", "A 40266-2024")</f>
        <v/>
      </c>
      <c r="X306">
        <f>HYPERLINK("https://klasma.github.io/Logging_0780/tillsyn/A 40266-2024 tillsynsbegäran.docx", "A 40266-2024")</f>
        <v/>
      </c>
      <c r="Y306">
        <f>HYPERLINK("https://klasma.github.io/Logging_0780/tillsynsmail/A 40266-2024 tillsynsbegäran mail.docx", "A 40266-2024")</f>
        <v/>
      </c>
    </row>
    <row r="307" ht="15" customHeight="1">
      <c r="A307" t="inlineStr">
        <is>
          <t>A 40560-2024</t>
        </is>
      </c>
      <c r="B307" s="1" t="n">
        <v>45555</v>
      </c>
      <c r="C307" s="1" t="n">
        <v>45835</v>
      </c>
      <c r="D307" t="inlineStr">
        <is>
          <t>KRONOBERGS LÄN</t>
        </is>
      </c>
      <c r="E307" t="inlineStr">
        <is>
          <t>LJUNGBY</t>
        </is>
      </c>
      <c r="G307" t="n">
        <v>3.4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HYPERLINK("https://klasma.github.io/Logging_0781/artfynd/A 40560-2024 artfynd.xlsx", "A 40560-2024")</f>
        <v/>
      </c>
      <c r="T307">
        <f>HYPERLINK("https://klasma.github.io/Logging_0781/kartor/A 40560-2024 karta.png", "A 40560-2024")</f>
        <v/>
      </c>
      <c r="V307">
        <f>HYPERLINK("https://klasma.github.io/Logging_0781/klagomål/A 40560-2024 FSC-klagomål.docx", "A 40560-2024")</f>
        <v/>
      </c>
      <c r="W307">
        <f>HYPERLINK("https://klasma.github.io/Logging_0781/klagomålsmail/A 40560-2024 FSC-klagomål mail.docx", "A 40560-2024")</f>
        <v/>
      </c>
      <c r="X307">
        <f>HYPERLINK("https://klasma.github.io/Logging_0781/tillsyn/A 40560-2024 tillsynsbegäran.docx", "A 40560-2024")</f>
        <v/>
      </c>
      <c r="Y307">
        <f>HYPERLINK("https://klasma.github.io/Logging_0781/tillsynsmail/A 40560-2024 tillsynsbegäran mail.docx", "A 40560-2024")</f>
        <v/>
      </c>
      <c r="Z307">
        <f>HYPERLINK("https://klasma.github.io/Logging_0781/fåglar/A 40560-2024 prioriterade fågelarter.docx", "A 40560-2024")</f>
        <v/>
      </c>
    </row>
    <row r="308" ht="15" customHeight="1">
      <c r="A308" t="inlineStr">
        <is>
          <t>A 40911-2024</t>
        </is>
      </c>
      <c r="B308" s="1" t="n">
        <v>45558</v>
      </c>
      <c r="C308" s="1" t="n">
        <v>45835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40911-2024 artfynd.xlsx", "A 40911-2024")</f>
        <v/>
      </c>
      <c r="T308">
        <f>HYPERLINK("https://klasma.github.io/Logging_0781/kartor/A 40911-2024 karta.png", "A 40911-2024")</f>
        <v/>
      </c>
      <c r="V308">
        <f>HYPERLINK("https://klasma.github.io/Logging_0781/klagomål/A 40911-2024 FSC-klagomål.docx", "A 40911-2024")</f>
        <v/>
      </c>
      <c r="W308">
        <f>HYPERLINK("https://klasma.github.io/Logging_0781/klagomålsmail/A 40911-2024 FSC-klagomål mail.docx", "A 40911-2024")</f>
        <v/>
      </c>
      <c r="X308">
        <f>HYPERLINK("https://klasma.github.io/Logging_0781/tillsyn/A 40911-2024 tillsynsbegäran.docx", "A 40911-2024")</f>
        <v/>
      </c>
      <c r="Y308">
        <f>HYPERLINK("https://klasma.github.io/Logging_0781/tillsynsmail/A 40911-2024 tillsynsbegäran mail.docx", "A 40911-2024")</f>
        <v/>
      </c>
    </row>
    <row r="309" ht="15" customHeight="1">
      <c r="A309" t="inlineStr">
        <is>
          <t>A 42487-2024</t>
        </is>
      </c>
      <c r="B309" s="1" t="n">
        <v>45565</v>
      </c>
      <c r="C309" s="1" t="n">
        <v>45835</v>
      </c>
      <c r="D309" t="inlineStr">
        <is>
          <t>KRONOBERGS LÄN</t>
        </is>
      </c>
      <c r="E309" t="inlineStr">
        <is>
          <t>TINGSRYD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HYPERLINK("https://klasma.github.io/Logging_0763/artfynd/A 42487-2024 artfynd.xlsx", "A 42487-2024")</f>
        <v/>
      </c>
      <c r="T309">
        <f>HYPERLINK("https://klasma.github.io/Logging_0763/kartor/A 42487-2024 karta.png", "A 42487-2024")</f>
        <v/>
      </c>
      <c r="V309">
        <f>HYPERLINK("https://klasma.github.io/Logging_0763/klagomål/A 42487-2024 FSC-klagomål.docx", "A 42487-2024")</f>
        <v/>
      </c>
      <c r="W309">
        <f>HYPERLINK("https://klasma.github.io/Logging_0763/klagomålsmail/A 42487-2024 FSC-klagomål mail.docx", "A 42487-2024")</f>
        <v/>
      </c>
      <c r="X309">
        <f>HYPERLINK("https://klasma.github.io/Logging_0763/tillsyn/A 42487-2024 tillsynsbegäran.docx", "A 42487-2024")</f>
        <v/>
      </c>
      <c r="Y309">
        <f>HYPERLINK("https://klasma.github.io/Logging_0763/tillsynsmail/A 42487-2024 tillsynsbegäran mail.docx", "A 42487-2024")</f>
        <v/>
      </c>
      <c r="Z309">
        <f>HYPERLINK("https://klasma.github.io/Logging_0763/fåglar/A 42487-2024 prioriterade fågelarter.docx", "A 42487-2024")</f>
        <v/>
      </c>
    </row>
    <row r="310" ht="15" customHeight="1">
      <c r="A310" t="inlineStr">
        <is>
          <t>A 43653-2024</t>
        </is>
      </c>
      <c r="B310" s="1" t="n">
        <v>45569</v>
      </c>
      <c r="C310" s="1" t="n">
        <v>45835</v>
      </c>
      <c r="D310" t="inlineStr">
        <is>
          <t>KRONOBERGS LÄN</t>
        </is>
      </c>
      <c r="E310" t="inlineStr">
        <is>
          <t>LJUNGBY</t>
        </is>
      </c>
      <c r="G310" t="n">
        <v>11.6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43653-2024 artfynd.xlsx", "A 43653-2024")</f>
        <v/>
      </c>
      <c r="T310">
        <f>HYPERLINK("https://klasma.github.io/Logging_0781/kartor/A 43653-2024 karta.png", "A 43653-2024")</f>
        <v/>
      </c>
      <c r="V310">
        <f>HYPERLINK("https://klasma.github.io/Logging_0781/klagomål/A 43653-2024 FSC-klagomål.docx", "A 43653-2024")</f>
        <v/>
      </c>
      <c r="W310">
        <f>HYPERLINK("https://klasma.github.io/Logging_0781/klagomålsmail/A 43653-2024 FSC-klagomål mail.docx", "A 43653-2024")</f>
        <v/>
      </c>
      <c r="X310">
        <f>HYPERLINK("https://klasma.github.io/Logging_0781/tillsyn/A 43653-2024 tillsynsbegäran.docx", "A 43653-2024")</f>
        <v/>
      </c>
      <c r="Y310">
        <f>HYPERLINK("https://klasma.github.io/Logging_0781/tillsynsmail/A 43653-2024 tillsynsbegäran mail.docx", "A 43653-2024")</f>
        <v/>
      </c>
    </row>
    <row r="311" ht="15" customHeight="1">
      <c r="A311" t="inlineStr">
        <is>
          <t>A 44406-2024</t>
        </is>
      </c>
      <c r="B311" s="1" t="n">
        <v>45573</v>
      </c>
      <c r="C311" s="1" t="n">
        <v>45835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Brandticka</t>
        </is>
      </c>
      <c r="S311">
        <f>HYPERLINK("https://klasma.github.io/Logging_0764/artfynd/A 44406-2024 artfynd.xlsx", "A 44406-2024")</f>
        <v/>
      </c>
      <c r="T311">
        <f>HYPERLINK("https://klasma.github.io/Logging_0764/kartor/A 44406-2024 karta.png", "A 44406-2024")</f>
        <v/>
      </c>
      <c r="V311">
        <f>HYPERLINK("https://klasma.github.io/Logging_0764/klagomål/A 44406-2024 FSC-klagomål.docx", "A 44406-2024")</f>
        <v/>
      </c>
      <c r="W311">
        <f>HYPERLINK("https://klasma.github.io/Logging_0764/klagomålsmail/A 44406-2024 FSC-klagomål mail.docx", "A 44406-2024")</f>
        <v/>
      </c>
      <c r="X311">
        <f>HYPERLINK("https://klasma.github.io/Logging_0764/tillsyn/A 44406-2024 tillsynsbegäran.docx", "A 44406-2024")</f>
        <v/>
      </c>
      <c r="Y311">
        <f>HYPERLINK("https://klasma.github.io/Logging_0764/tillsynsmail/A 44406-2024 tillsynsbegäran mail.docx", "A 44406-2024")</f>
        <v/>
      </c>
    </row>
    <row r="312" ht="15" customHeight="1">
      <c r="A312" t="inlineStr">
        <is>
          <t>A 46344-2024</t>
        </is>
      </c>
      <c r="B312" s="1" t="n">
        <v>45582</v>
      </c>
      <c r="C312" s="1" t="n">
        <v>45835</v>
      </c>
      <c r="D312" t="inlineStr">
        <is>
          <t>KRONOBERGS LÄN</t>
        </is>
      </c>
      <c r="E312" t="inlineStr">
        <is>
          <t>ALVESTA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46344-2024 artfynd.xlsx", "A 46344-2024")</f>
        <v/>
      </c>
      <c r="T312">
        <f>HYPERLINK("https://klasma.github.io/Logging_0764/kartor/A 46344-2024 karta.png", "A 46344-2024")</f>
        <v/>
      </c>
      <c r="V312">
        <f>HYPERLINK("https://klasma.github.io/Logging_0764/klagomål/A 46344-2024 FSC-klagomål.docx", "A 46344-2024")</f>
        <v/>
      </c>
      <c r="W312">
        <f>HYPERLINK("https://klasma.github.io/Logging_0764/klagomålsmail/A 46344-2024 FSC-klagomål mail.docx", "A 46344-2024")</f>
        <v/>
      </c>
      <c r="X312">
        <f>HYPERLINK("https://klasma.github.io/Logging_0764/tillsyn/A 46344-2024 tillsynsbegäran.docx", "A 46344-2024")</f>
        <v/>
      </c>
      <c r="Y312">
        <f>HYPERLINK("https://klasma.github.io/Logging_0764/tillsynsmail/A 46344-2024 tillsynsbegäran mail.docx", "A 46344-2024")</f>
        <v/>
      </c>
    </row>
    <row r="313" ht="15" customHeight="1">
      <c r="A313" t="inlineStr">
        <is>
          <t>A 51647-2024</t>
        </is>
      </c>
      <c r="B313" s="1" t="n">
        <v>45606</v>
      </c>
      <c r="C313" s="1" t="n">
        <v>45835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Granspira</t>
        </is>
      </c>
      <c r="S313">
        <f>HYPERLINK("https://klasma.github.io/Logging_0780/artfynd/A 51647-2024 artfynd.xlsx", "A 51647-2024")</f>
        <v/>
      </c>
      <c r="T313">
        <f>HYPERLINK("https://klasma.github.io/Logging_0780/kartor/A 51647-2024 karta.png", "A 51647-2024")</f>
        <v/>
      </c>
      <c r="V313">
        <f>HYPERLINK("https://klasma.github.io/Logging_0780/klagomål/A 51647-2024 FSC-klagomål.docx", "A 51647-2024")</f>
        <v/>
      </c>
      <c r="W313">
        <f>HYPERLINK("https://klasma.github.io/Logging_0780/klagomålsmail/A 51647-2024 FSC-klagomål mail.docx", "A 51647-2024")</f>
        <v/>
      </c>
      <c r="X313">
        <f>HYPERLINK("https://klasma.github.io/Logging_0780/tillsyn/A 51647-2024 tillsynsbegäran.docx", "A 51647-2024")</f>
        <v/>
      </c>
      <c r="Y313">
        <f>HYPERLINK("https://klasma.github.io/Logging_0780/tillsynsmail/A 51647-2024 tillsynsbegäran mail.docx", "A 51647-2024")</f>
        <v/>
      </c>
    </row>
    <row r="314" ht="15" customHeight="1">
      <c r="A314" t="inlineStr">
        <is>
          <t>A 52628-2024</t>
        </is>
      </c>
      <c r="B314" s="1" t="n">
        <v>45610</v>
      </c>
      <c r="C314" s="1" t="n">
        <v>45835</v>
      </c>
      <c r="D314" t="inlineStr">
        <is>
          <t>KRONOBERGS LÄN</t>
        </is>
      </c>
      <c r="E314" t="inlineStr">
        <is>
          <t>VÄXJÖ</t>
        </is>
      </c>
      <c r="G314" t="n">
        <v>4.2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Spillkråka</t>
        </is>
      </c>
      <c r="S314">
        <f>HYPERLINK("https://klasma.github.io/Logging_0780/artfynd/A 52628-2024 artfynd.xlsx", "A 52628-2024")</f>
        <v/>
      </c>
      <c r="T314">
        <f>HYPERLINK("https://klasma.github.io/Logging_0780/kartor/A 52628-2024 karta.png", "A 52628-2024")</f>
        <v/>
      </c>
      <c r="V314">
        <f>HYPERLINK("https://klasma.github.io/Logging_0780/klagomål/A 52628-2024 FSC-klagomål.docx", "A 52628-2024")</f>
        <v/>
      </c>
      <c r="W314">
        <f>HYPERLINK("https://klasma.github.io/Logging_0780/klagomålsmail/A 52628-2024 FSC-klagomål mail.docx", "A 52628-2024")</f>
        <v/>
      </c>
      <c r="X314">
        <f>HYPERLINK("https://klasma.github.io/Logging_0780/tillsyn/A 52628-2024 tillsynsbegäran.docx", "A 52628-2024")</f>
        <v/>
      </c>
      <c r="Y314">
        <f>HYPERLINK("https://klasma.github.io/Logging_0780/tillsynsmail/A 52628-2024 tillsynsbegäran mail.docx", "A 52628-2024")</f>
        <v/>
      </c>
      <c r="Z314">
        <f>HYPERLINK("https://klasma.github.io/Logging_0780/fåglar/A 52628-2024 prioriterade fågelarter.docx", "A 52628-2024")</f>
        <v/>
      </c>
    </row>
    <row r="315" ht="15" customHeight="1">
      <c r="A315" t="inlineStr">
        <is>
          <t>A 55799-2024</t>
        </is>
      </c>
      <c r="B315" s="1" t="n">
        <v>45623</v>
      </c>
      <c r="C315" s="1" t="n">
        <v>45835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Slåttergubbe</t>
        </is>
      </c>
      <c r="S315">
        <f>HYPERLINK("https://klasma.github.io/Logging_0760/artfynd/A 55799-2024 artfynd.xlsx", "A 55799-2024")</f>
        <v/>
      </c>
      <c r="T315">
        <f>HYPERLINK("https://klasma.github.io/Logging_0760/kartor/A 55799-2024 karta.png", "A 55799-2024")</f>
        <v/>
      </c>
      <c r="V315">
        <f>HYPERLINK("https://klasma.github.io/Logging_0760/klagomål/A 55799-2024 FSC-klagomål.docx", "A 55799-2024")</f>
        <v/>
      </c>
      <c r="W315">
        <f>HYPERLINK("https://klasma.github.io/Logging_0760/klagomålsmail/A 55799-2024 FSC-klagomål mail.docx", "A 55799-2024")</f>
        <v/>
      </c>
      <c r="X315">
        <f>HYPERLINK("https://klasma.github.io/Logging_0760/tillsyn/A 55799-2024 tillsynsbegäran.docx", "A 55799-2024")</f>
        <v/>
      </c>
      <c r="Y315">
        <f>HYPERLINK("https://klasma.github.io/Logging_0760/tillsynsmail/A 55799-2024 tillsynsbegäran mail.docx", "A 55799-2024")</f>
        <v/>
      </c>
    </row>
    <row r="316" ht="15" customHeight="1">
      <c r="A316" t="inlineStr">
        <is>
          <t>A 56472-2024</t>
        </is>
      </c>
      <c r="B316" s="1" t="n">
        <v>45625</v>
      </c>
      <c r="C316" s="1" t="n">
        <v>45835</v>
      </c>
      <c r="D316" t="inlineStr">
        <is>
          <t>KRONOBERGS LÄN</t>
        </is>
      </c>
      <c r="E316" t="inlineStr">
        <is>
          <t>LESSEBO</t>
        </is>
      </c>
      <c r="G316" t="n">
        <v>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HYPERLINK("https://klasma.github.io/Logging_0761/artfynd/A 56472-2024 artfynd.xlsx", "A 56472-2024")</f>
        <v/>
      </c>
      <c r="T316">
        <f>HYPERLINK("https://klasma.github.io/Logging_0761/kartor/A 56472-2024 karta.png", "A 56472-2024")</f>
        <v/>
      </c>
      <c r="V316">
        <f>HYPERLINK("https://klasma.github.io/Logging_0761/klagomål/A 56472-2024 FSC-klagomål.docx", "A 56472-2024")</f>
        <v/>
      </c>
      <c r="W316">
        <f>HYPERLINK("https://klasma.github.io/Logging_0761/klagomålsmail/A 56472-2024 FSC-klagomål mail.docx", "A 56472-2024")</f>
        <v/>
      </c>
      <c r="X316">
        <f>HYPERLINK("https://klasma.github.io/Logging_0761/tillsyn/A 56472-2024 tillsynsbegäran.docx", "A 56472-2024")</f>
        <v/>
      </c>
      <c r="Y316">
        <f>HYPERLINK("https://klasma.github.io/Logging_0761/tillsynsmail/A 56472-2024 tillsynsbegäran mail.docx", "A 56472-2024")</f>
        <v/>
      </c>
    </row>
    <row r="317" ht="15" customHeight="1">
      <c r="A317" t="inlineStr">
        <is>
          <t>A 57204-2024</t>
        </is>
      </c>
      <c r="B317" s="1" t="n">
        <v>45629</v>
      </c>
      <c r="C317" s="1" t="n">
        <v>45835</v>
      </c>
      <c r="D317" t="inlineStr">
        <is>
          <t>KRONOBERGS LÄN</t>
        </is>
      </c>
      <c r="E317" t="inlineStr">
        <is>
          <t>LJUNGBY</t>
        </is>
      </c>
      <c r="G317" t="n">
        <v>23.5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HYPERLINK("https://klasma.github.io/Logging_0781/artfynd/A 57204-2024 artfynd.xlsx", "A 57204-2024")</f>
        <v/>
      </c>
      <c r="T317">
        <f>HYPERLINK("https://klasma.github.io/Logging_0781/kartor/A 57204-2024 karta.png", "A 57204-2024")</f>
        <v/>
      </c>
      <c r="U317">
        <f>HYPERLINK("https://klasma.github.io/Logging_0781/knärot/A 57204-2024 karta knärot.png", "A 57204-2024")</f>
        <v/>
      </c>
      <c r="V317">
        <f>HYPERLINK("https://klasma.github.io/Logging_0781/klagomål/A 57204-2024 FSC-klagomål.docx", "A 57204-2024")</f>
        <v/>
      </c>
      <c r="W317">
        <f>HYPERLINK("https://klasma.github.io/Logging_0781/klagomålsmail/A 57204-2024 FSC-klagomål mail.docx", "A 57204-2024")</f>
        <v/>
      </c>
      <c r="X317">
        <f>HYPERLINK("https://klasma.github.io/Logging_0781/tillsyn/A 57204-2024 tillsynsbegäran.docx", "A 57204-2024")</f>
        <v/>
      </c>
      <c r="Y317">
        <f>HYPERLINK("https://klasma.github.io/Logging_0781/tillsynsmail/A 57204-2024 tillsynsbegäran mail.docx", "A 57204-2024")</f>
        <v/>
      </c>
    </row>
    <row r="318" ht="15" customHeight="1">
      <c r="A318" t="inlineStr">
        <is>
          <t>A 58048-2024</t>
        </is>
      </c>
      <c r="B318" s="1" t="n">
        <v>45631</v>
      </c>
      <c r="C318" s="1" t="n">
        <v>45835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HYPERLINK("https://klasma.github.io/Logging_0765/artfynd/A 58048-2024 artfynd.xlsx", "A 58048-2024")</f>
        <v/>
      </c>
      <c r="T318">
        <f>HYPERLINK("https://klasma.github.io/Logging_0765/kartor/A 58048-2024 karta.png", "A 58048-2024")</f>
        <v/>
      </c>
      <c r="V318">
        <f>HYPERLINK("https://klasma.github.io/Logging_0765/klagomål/A 58048-2024 FSC-klagomål.docx", "A 58048-2024")</f>
        <v/>
      </c>
      <c r="W318">
        <f>HYPERLINK("https://klasma.github.io/Logging_0765/klagomålsmail/A 58048-2024 FSC-klagomål mail.docx", "A 58048-2024")</f>
        <v/>
      </c>
      <c r="X318">
        <f>HYPERLINK("https://klasma.github.io/Logging_0765/tillsyn/A 58048-2024 tillsynsbegäran.docx", "A 58048-2024")</f>
        <v/>
      </c>
      <c r="Y318">
        <f>HYPERLINK("https://klasma.github.io/Logging_0765/tillsynsmail/A 58048-2024 tillsynsbegäran mail.docx", "A 58048-2024")</f>
        <v/>
      </c>
    </row>
    <row r="319" ht="15" customHeight="1">
      <c r="A319" t="inlineStr">
        <is>
          <t>A 58359-2024</t>
        </is>
      </c>
      <c r="B319" s="1" t="n">
        <v>45632</v>
      </c>
      <c r="C319" s="1" t="n">
        <v>45835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Ljungögontröst</t>
        </is>
      </c>
      <c r="S319">
        <f>HYPERLINK("https://klasma.github.io/Logging_0765/artfynd/A 58359-2024 artfynd.xlsx", "A 58359-2024")</f>
        <v/>
      </c>
      <c r="T319">
        <f>HYPERLINK("https://klasma.github.io/Logging_0765/kartor/A 58359-2024 karta.png", "A 58359-2024")</f>
        <v/>
      </c>
      <c r="V319">
        <f>HYPERLINK("https://klasma.github.io/Logging_0765/klagomål/A 58359-2024 FSC-klagomål.docx", "A 58359-2024")</f>
        <v/>
      </c>
      <c r="W319">
        <f>HYPERLINK("https://klasma.github.io/Logging_0765/klagomålsmail/A 58359-2024 FSC-klagomål mail.docx", "A 58359-2024")</f>
        <v/>
      </c>
      <c r="X319">
        <f>HYPERLINK("https://klasma.github.io/Logging_0765/tillsyn/A 58359-2024 tillsynsbegäran.docx", "A 58359-2024")</f>
        <v/>
      </c>
      <c r="Y319">
        <f>HYPERLINK("https://klasma.github.io/Logging_0765/tillsynsmail/A 58359-2024 tillsynsbegäran mail.docx", "A 58359-2024")</f>
        <v/>
      </c>
    </row>
    <row r="320" ht="15" customHeight="1">
      <c r="A320" t="inlineStr">
        <is>
          <t>A 59362-2024</t>
        </is>
      </c>
      <c r="B320" s="1" t="n">
        <v>45638</v>
      </c>
      <c r="C320" s="1" t="n">
        <v>45835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HYPERLINK("https://klasma.github.io/Logging_0764/artfynd/A 59362-2024 artfynd.xlsx", "A 59362-2024")</f>
        <v/>
      </c>
      <c r="T320">
        <f>HYPERLINK("https://klasma.github.io/Logging_0764/kartor/A 59362-2024 karta.png", "A 59362-2024")</f>
        <v/>
      </c>
      <c r="V320">
        <f>HYPERLINK("https://klasma.github.io/Logging_0764/klagomål/A 59362-2024 FSC-klagomål.docx", "A 59362-2024")</f>
        <v/>
      </c>
      <c r="W320">
        <f>HYPERLINK("https://klasma.github.io/Logging_0764/klagomålsmail/A 59362-2024 FSC-klagomål mail.docx", "A 59362-2024")</f>
        <v/>
      </c>
      <c r="X320">
        <f>HYPERLINK("https://klasma.github.io/Logging_0764/tillsyn/A 59362-2024 tillsynsbegäran.docx", "A 59362-2024")</f>
        <v/>
      </c>
      <c r="Y320">
        <f>HYPERLINK("https://klasma.github.io/Logging_0764/tillsynsmail/A 59362-2024 tillsynsbegäran mail.docx", "A 59362-2024")</f>
        <v/>
      </c>
    </row>
    <row r="321" ht="15" customHeight="1">
      <c r="A321" t="inlineStr">
        <is>
          <t>A 60064-2024</t>
        </is>
      </c>
      <c r="B321" s="1" t="n">
        <v>45642</v>
      </c>
      <c r="C321" s="1" t="n">
        <v>45835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60064-2024 artfynd.xlsx", "A 60064-2024")</f>
        <v/>
      </c>
      <c r="T321">
        <f>HYPERLINK("https://klasma.github.io/Logging_0780/kartor/A 60064-2024 karta.png", "A 60064-2024")</f>
        <v/>
      </c>
      <c r="V321">
        <f>HYPERLINK("https://klasma.github.io/Logging_0780/klagomål/A 60064-2024 FSC-klagomål.docx", "A 60064-2024")</f>
        <v/>
      </c>
      <c r="W321">
        <f>HYPERLINK("https://klasma.github.io/Logging_0780/klagomålsmail/A 60064-2024 FSC-klagomål mail.docx", "A 60064-2024")</f>
        <v/>
      </c>
      <c r="X321">
        <f>HYPERLINK("https://klasma.github.io/Logging_0780/tillsyn/A 60064-2024 tillsynsbegäran.docx", "A 60064-2024")</f>
        <v/>
      </c>
      <c r="Y321">
        <f>HYPERLINK("https://klasma.github.io/Logging_0780/tillsynsmail/A 60064-2024 tillsynsbegäran mail.docx", "A 60064-2024")</f>
        <v/>
      </c>
    </row>
    <row r="322" ht="15" customHeight="1">
      <c r="A322" t="inlineStr">
        <is>
          <t>A 60139-2024</t>
        </is>
      </c>
      <c r="B322" s="1" t="n">
        <v>45642</v>
      </c>
      <c r="C322" s="1" t="n">
        <v>45835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HYPERLINK("https://klasma.github.io/Logging_0781/artfynd/A 60139-2024 artfynd.xlsx", "A 60139-2024")</f>
        <v/>
      </c>
      <c r="T322">
        <f>HYPERLINK("https://klasma.github.io/Logging_0781/kartor/A 60139-2024 karta.png", "A 60139-2024")</f>
        <v/>
      </c>
      <c r="V322">
        <f>HYPERLINK("https://klasma.github.io/Logging_0781/klagomål/A 60139-2024 FSC-klagomål.docx", "A 60139-2024")</f>
        <v/>
      </c>
      <c r="W322">
        <f>HYPERLINK("https://klasma.github.io/Logging_0781/klagomålsmail/A 60139-2024 FSC-klagomål mail.docx", "A 60139-2024")</f>
        <v/>
      </c>
      <c r="X322">
        <f>HYPERLINK("https://klasma.github.io/Logging_0781/tillsyn/A 60139-2024 tillsynsbegäran.docx", "A 60139-2024")</f>
        <v/>
      </c>
      <c r="Y322">
        <f>HYPERLINK("https://klasma.github.io/Logging_0781/tillsynsmail/A 60139-2024 tillsynsbegäran mail.docx", "A 60139-2024")</f>
        <v/>
      </c>
    </row>
    <row r="323" ht="15" customHeight="1">
      <c r="A323" t="inlineStr">
        <is>
          <t>A 60370-2024</t>
        </is>
      </c>
      <c r="B323" s="1" t="n">
        <v>45643</v>
      </c>
      <c r="C323" s="1" t="n">
        <v>45835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60370-2024 artfynd.xlsx", "A 60370-2024")</f>
        <v/>
      </c>
      <c r="T323">
        <f>HYPERLINK("https://klasma.github.io/Logging_0780/kartor/A 60370-2024 karta.png", "A 60370-2024")</f>
        <v/>
      </c>
      <c r="V323">
        <f>HYPERLINK("https://klasma.github.io/Logging_0780/klagomål/A 60370-2024 FSC-klagomål.docx", "A 60370-2024")</f>
        <v/>
      </c>
      <c r="W323">
        <f>HYPERLINK("https://klasma.github.io/Logging_0780/klagomålsmail/A 60370-2024 FSC-klagomål mail.docx", "A 60370-2024")</f>
        <v/>
      </c>
      <c r="X323">
        <f>HYPERLINK("https://klasma.github.io/Logging_0780/tillsyn/A 60370-2024 tillsynsbegäran.docx", "A 60370-2024")</f>
        <v/>
      </c>
      <c r="Y323">
        <f>HYPERLINK("https://klasma.github.io/Logging_0780/tillsynsmail/A 60370-2024 tillsynsbegäran mail.docx", "A 60370-2024")</f>
        <v/>
      </c>
    </row>
    <row r="324" ht="15" customHeight="1">
      <c r="A324" t="inlineStr">
        <is>
          <t>A 430-2025</t>
        </is>
      </c>
      <c r="B324" s="1" t="n">
        <v>45664</v>
      </c>
      <c r="C324" s="1" t="n">
        <v>45835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Grönsångare</t>
        </is>
      </c>
      <c r="S324">
        <f>HYPERLINK("https://klasma.github.io/Logging_0764/artfynd/A 430-2025 artfynd.xlsx", "A 430-2025")</f>
        <v/>
      </c>
      <c r="T324">
        <f>HYPERLINK("https://klasma.github.io/Logging_0764/kartor/A 430-2025 karta.png", "A 430-2025")</f>
        <v/>
      </c>
      <c r="V324">
        <f>HYPERLINK("https://klasma.github.io/Logging_0764/klagomål/A 430-2025 FSC-klagomål.docx", "A 430-2025")</f>
        <v/>
      </c>
      <c r="W324">
        <f>HYPERLINK("https://klasma.github.io/Logging_0764/klagomålsmail/A 430-2025 FSC-klagomål mail.docx", "A 430-2025")</f>
        <v/>
      </c>
      <c r="X324">
        <f>HYPERLINK("https://klasma.github.io/Logging_0764/tillsyn/A 430-2025 tillsynsbegäran.docx", "A 430-2025")</f>
        <v/>
      </c>
      <c r="Y324">
        <f>HYPERLINK("https://klasma.github.io/Logging_0764/tillsynsmail/A 430-2025 tillsynsbegäran mail.docx", "A 430-2025")</f>
        <v/>
      </c>
      <c r="Z324">
        <f>HYPERLINK("https://klasma.github.io/Logging_0764/fåglar/A 430-2025 prioriterade fågelarter.docx", "A 430-2025")</f>
        <v/>
      </c>
    </row>
    <row r="325" ht="15" customHeight="1">
      <c r="A325" t="inlineStr">
        <is>
          <t>A 792-2025</t>
        </is>
      </c>
      <c r="B325" s="1" t="n">
        <v>45665</v>
      </c>
      <c r="C325" s="1" t="n">
        <v>45835</v>
      </c>
      <c r="D325" t="inlineStr">
        <is>
          <t>KRONOBERGS LÄN</t>
        </is>
      </c>
      <c r="E325" t="inlineStr">
        <is>
          <t>ÄLMHULT</t>
        </is>
      </c>
      <c r="G325" t="n">
        <v>6.1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HYPERLINK("https://klasma.github.io/Logging_0765/artfynd/A 792-2025 artfynd.xlsx", "A 792-2025")</f>
        <v/>
      </c>
      <c r="T325">
        <f>HYPERLINK("https://klasma.github.io/Logging_0765/kartor/A 792-2025 karta.png", "A 792-2025")</f>
        <v/>
      </c>
      <c r="V325">
        <f>HYPERLINK("https://klasma.github.io/Logging_0765/klagomål/A 792-2025 FSC-klagomål.docx", "A 792-2025")</f>
        <v/>
      </c>
      <c r="W325">
        <f>HYPERLINK("https://klasma.github.io/Logging_0765/klagomålsmail/A 792-2025 FSC-klagomål mail.docx", "A 792-2025")</f>
        <v/>
      </c>
      <c r="X325">
        <f>HYPERLINK("https://klasma.github.io/Logging_0765/tillsyn/A 792-2025 tillsynsbegäran.docx", "A 792-2025")</f>
        <v/>
      </c>
      <c r="Y325">
        <f>HYPERLINK("https://klasma.github.io/Logging_0765/tillsynsmail/A 792-2025 tillsynsbegäran mail.docx", "A 792-2025")</f>
        <v/>
      </c>
    </row>
    <row r="326" ht="15" customHeight="1">
      <c r="A326" t="inlineStr">
        <is>
          <t>A 1811-2025</t>
        </is>
      </c>
      <c r="B326" s="1" t="n">
        <v>45670</v>
      </c>
      <c r="C326" s="1" t="n">
        <v>45835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HYPERLINK("https://klasma.github.io/Logging_0764/artfynd/A 1811-2025 artfynd.xlsx", "A 1811-2025")</f>
        <v/>
      </c>
      <c r="T326">
        <f>HYPERLINK("https://klasma.github.io/Logging_0764/kartor/A 1811-2025 karta.png", "A 1811-2025")</f>
        <v/>
      </c>
      <c r="V326">
        <f>HYPERLINK("https://klasma.github.io/Logging_0764/klagomål/A 1811-2025 FSC-klagomål.docx", "A 1811-2025")</f>
        <v/>
      </c>
      <c r="W326">
        <f>HYPERLINK("https://klasma.github.io/Logging_0764/klagomålsmail/A 1811-2025 FSC-klagomål mail.docx", "A 1811-2025")</f>
        <v/>
      </c>
      <c r="X326">
        <f>HYPERLINK("https://klasma.github.io/Logging_0764/tillsyn/A 1811-2025 tillsynsbegäran.docx", "A 1811-2025")</f>
        <v/>
      </c>
      <c r="Y326">
        <f>HYPERLINK("https://klasma.github.io/Logging_0764/tillsynsmail/A 1811-2025 tillsynsbegäran mail.docx", "A 1811-2025")</f>
        <v/>
      </c>
      <c r="Z326">
        <f>HYPERLINK("https://klasma.github.io/Logging_0764/fåglar/A 1811-2025 prioriterade fågelarter.docx", "A 1811-2025")</f>
        <v/>
      </c>
    </row>
    <row r="327" ht="15" customHeight="1">
      <c r="A327" t="inlineStr">
        <is>
          <t>A 4451-2025</t>
        </is>
      </c>
      <c r="B327" s="1" t="n">
        <v>45686</v>
      </c>
      <c r="C327" s="1" t="n">
        <v>45835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Duvhök</t>
        </is>
      </c>
      <c r="S327">
        <f>HYPERLINK("https://klasma.github.io/Logging_0781/artfynd/A 4451-2025 artfynd.xlsx", "A 4451-2025")</f>
        <v/>
      </c>
      <c r="T327">
        <f>HYPERLINK("https://klasma.github.io/Logging_0781/kartor/A 4451-2025 karta.png", "A 4451-2025")</f>
        <v/>
      </c>
      <c r="V327">
        <f>HYPERLINK("https://klasma.github.io/Logging_0781/klagomål/A 4451-2025 FSC-klagomål.docx", "A 4451-2025")</f>
        <v/>
      </c>
      <c r="W327">
        <f>HYPERLINK("https://klasma.github.io/Logging_0781/klagomålsmail/A 4451-2025 FSC-klagomål mail.docx", "A 4451-2025")</f>
        <v/>
      </c>
      <c r="X327">
        <f>HYPERLINK("https://klasma.github.io/Logging_0781/tillsyn/A 4451-2025 tillsynsbegäran.docx", "A 4451-2025")</f>
        <v/>
      </c>
      <c r="Y327">
        <f>HYPERLINK("https://klasma.github.io/Logging_0781/tillsynsmail/A 4451-2025 tillsynsbegäran mail.docx", "A 4451-2025")</f>
        <v/>
      </c>
      <c r="Z327">
        <f>HYPERLINK("https://klasma.github.io/Logging_0781/fåglar/A 4451-2025 prioriterade fågelarter.docx", "A 4451-2025")</f>
        <v/>
      </c>
    </row>
    <row r="328" ht="15" customHeight="1">
      <c r="A328" t="inlineStr">
        <is>
          <t>A 4801-2025</t>
        </is>
      </c>
      <c r="B328" s="1" t="n">
        <v>45688</v>
      </c>
      <c r="C328" s="1" t="n">
        <v>45835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4801-2025 artfynd.xlsx", "A 4801-2025")</f>
        <v/>
      </c>
      <c r="T328">
        <f>HYPERLINK("https://klasma.github.io/Logging_0760/kartor/A 4801-2025 karta.png", "A 4801-2025")</f>
        <v/>
      </c>
      <c r="V328">
        <f>HYPERLINK("https://klasma.github.io/Logging_0760/klagomål/A 4801-2025 FSC-klagomål.docx", "A 4801-2025")</f>
        <v/>
      </c>
      <c r="W328">
        <f>HYPERLINK("https://klasma.github.io/Logging_0760/klagomålsmail/A 4801-2025 FSC-klagomål mail.docx", "A 4801-2025")</f>
        <v/>
      </c>
      <c r="X328">
        <f>HYPERLINK("https://klasma.github.io/Logging_0760/tillsyn/A 4801-2025 tillsynsbegäran.docx", "A 4801-2025")</f>
        <v/>
      </c>
      <c r="Y328">
        <f>HYPERLINK("https://klasma.github.io/Logging_0760/tillsynsmail/A 4801-2025 tillsynsbegäran mail.docx", "A 4801-2025")</f>
        <v/>
      </c>
    </row>
    <row r="329" ht="15" customHeight="1">
      <c r="A329" t="inlineStr">
        <is>
          <t>A 4720-2025</t>
        </is>
      </c>
      <c r="B329" s="1" t="n">
        <v>45688</v>
      </c>
      <c r="C329" s="1" t="n">
        <v>45835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4720-2025 artfynd.xlsx", "A 4720-2025")</f>
        <v/>
      </c>
      <c r="T329">
        <f>HYPERLINK("https://klasma.github.io/Logging_0760/kartor/A 4720-2025 karta.png", "A 4720-2025")</f>
        <v/>
      </c>
      <c r="V329">
        <f>HYPERLINK("https://klasma.github.io/Logging_0760/klagomål/A 4720-2025 FSC-klagomål.docx", "A 4720-2025")</f>
        <v/>
      </c>
      <c r="W329">
        <f>HYPERLINK("https://klasma.github.io/Logging_0760/klagomålsmail/A 4720-2025 FSC-klagomål mail.docx", "A 4720-2025")</f>
        <v/>
      </c>
      <c r="X329">
        <f>HYPERLINK("https://klasma.github.io/Logging_0760/tillsyn/A 4720-2025 tillsynsbegäran.docx", "A 4720-2025")</f>
        <v/>
      </c>
      <c r="Y329">
        <f>HYPERLINK("https://klasma.github.io/Logging_0760/tillsynsmail/A 4720-2025 tillsynsbegäran mail.docx", "A 4720-2025")</f>
        <v/>
      </c>
    </row>
    <row r="330" ht="15" customHeight="1">
      <c r="A330" t="inlineStr">
        <is>
          <t>A 6614-2025</t>
        </is>
      </c>
      <c r="B330" s="1" t="n">
        <v>45700</v>
      </c>
      <c r="C330" s="1" t="n">
        <v>45835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HYPERLINK("https://klasma.github.io/Logging_0767/artfynd/A 6614-2025 artfynd.xlsx", "A 6614-2025")</f>
        <v/>
      </c>
      <c r="T330">
        <f>HYPERLINK("https://klasma.github.io/Logging_0767/kartor/A 6614-2025 karta.png", "A 6614-2025")</f>
        <v/>
      </c>
      <c r="V330">
        <f>HYPERLINK("https://klasma.github.io/Logging_0767/klagomål/A 6614-2025 FSC-klagomål.docx", "A 6614-2025")</f>
        <v/>
      </c>
      <c r="W330">
        <f>HYPERLINK("https://klasma.github.io/Logging_0767/klagomålsmail/A 6614-2025 FSC-klagomål mail.docx", "A 6614-2025")</f>
        <v/>
      </c>
      <c r="X330">
        <f>HYPERLINK("https://klasma.github.io/Logging_0767/tillsyn/A 6614-2025 tillsynsbegäran.docx", "A 6614-2025")</f>
        <v/>
      </c>
      <c r="Y330">
        <f>HYPERLINK("https://klasma.github.io/Logging_0767/tillsynsmail/A 6614-2025 tillsynsbegäran mail.docx", "A 6614-2025")</f>
        <v/>
      </c>
    </row>
    <row r="331" ht="15" customHeight="1">
      <c r="A331" t="inlineStr">
        <is>
          <t>A 9876-2025</t>
        </is>
      </c>
      <c r="B331" s="1" t="n">
        <v>45716</v>
      </c>
      <c r="C331" s="1" t="n">
        <v>45835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HYPERLINK("https://klasma.github.io/Logging_070765/artfynd/A 9876-2025 artfynd.xlsx", "A 9876-2025")</f>
        <v/>
      </c>
      <c r="T331">
        <f>HYPERLINK("https://klasma.github.io/Logging_070765/kartor/A 9876-2025 karta.png", "A 9876-2025")</f>
        <v/>
      </c>
      <c r="V331">
        <f>HYPERLINK("https://klasma.github.io/Logging_070765/klagomål/A 9876-2025 FSC-klagomål.docx", "A 9876-2025")</f>
        <v/>
      </c>
      <c r="W331">
        <f>HYPERLINK("https://klasma.github.io/Logging_070765/klagomålsmail/A 9876-2025 FSC-klagomål mail.docx", "A 9876-2025")</f>
        <v/>
      </c>
      <c r="X331">
        <f>HYPERLINK("https://klasma.github.io/Logging_070765/tillsyn/A 9876-2025 tillsynsbegäran.docx", "A 9876-2025")</f>
        <v/>
      </c>
      <c r="Y331">
        <f>HYPERLINK("https://klasma.github.io/Logging_070765/tillsynsmail/A 9876-2025 tillsynsbegäran mail.docx", "A 9876-2025")</f>
        <v/>
      </c>
    </row>
    <row r="332" ht="15" customHeight="1">
      <c r="A332" t="inlineStr">
        <is>
          <t>A 13604-2025</t>
        </is>
      </c>
      <c r="B332" s="1" t="n">
        <v>45736</v>
      </c>
      <c r="C332" s="1" t="n">
        <v>45835</v>
      </c>
      <c r="D332" t="inlineStr">
        <is>
          <t>KRONOBERGS LÄN</t>
        </is>
      </c>
      <c r="E332" t="inlineStr">
        <is>
          <t>TINGSRYD</t>
        </is>
      </c>
      <c r="G332" t="n">
        <v>2.2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Barkticka</t>
        </is>
      </c>
      <c r="S332">
        <f>HYPERLINK("https://klasma.github.io/Logging_070763/artfynd/A 13604-2025 artfynd.xlsx", "A 13604-2025")</f>
        <v/>
      </c>
      <c r="T332">
        <f>HYPERLINK("https://klasma.github.io/Logging_070763/kartor/A 13604-2025 karta.png", "A 13604-2025")</f>
        <v/>
      </c>
      <c r="V332">
        <f>HYPERLINK("https://klasma.github.io/Logging_070763/klagomål/A 13604-2025 FSC-klagomål.docx", "A 13604-2025")</f>
        <v/>
      </c>
      <c r="W332">
        <f>HYPERLINK("https://klasma.github.io/Logging_070763/klagomålsmail/A 13604-2025 FSC-klagomål mail.docx", "A 13604-2025")</f>
        <v/>
      </c>
      <c r="X332">
        <f>HYPERLINK("https://klasma.github.io/Logging_070763/tillsyn/A 13604-2025 tillsynsbegäran.docx", "A 13604-2025")</f>
        <v/>
      </c>
      <c r="Y332">
        <f>HYPERLINK("https://klasma.github.io/Logging_070763/tillsynsmail/A 13604-2025 tillsynsbegäran mail.docx", "A 13604-2025")</f>
        <v/>
      </c>
    </row>
    <row r="333" ht="15" customHeight="1">
      <c r="A333" t="inlineStr">
        <is>
          <t>A 14789-2025</t>
        </is>
      </c>
      <c r="B333" s="1" t="n">
        <v>45742</v>
      </c>
      <c r="C333" s="1" t="n">
        <v>45835</v>
      </c>
      <c r="D333" t="inlineStr">
        <is>
          <t>KRONOBERGS LÄN</t>
        </is>
      </c>
      <c r="E333" t="inlineStr">
        <is>
          <t>ÄLMHULT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1</v>
      </c>
      <c r="O333" t="n">
        <v>1</v>
      </c>
      <c r="P333" t="n">
        <v>0</v>
      </c>
      <c r="Q333" t="n">
        <v>1</v>
      </c>
      <c r="R333" s="2" t="inlineStr">
        <is>
          <t>Pimpinellros</t>
        </is>
      </c>
      <c r="S333">
        <f>HYPERLINK("https://klasma.github.io/Logging_070765/artfynd/A 14789-2025 artfynd.xlsx", "A 14789-2025")</f>
        <v/>
      </c>
      <c r="T333">
        <f>HYPERLINK("https://klasma.github.io/Logging_070765/kartor/A 14789-2025 karta.png", "A 14789-2025")</f>
        <v/>
      </c>
      <c r="V333">
        <f>HYPERLINK("https://klasma.github.io/Logging_070765/klagomål/A 14789-2025 FSC-klagomål.docx", "A 14789-2025")</f>
        <v/>
      </c>
      <c r="W333">
        <f>HYPERLINK("https://klasma.github.io/Logging_070765/klagomålsmail/A 14789-2025 FSC-klagomål mail.docx", "A 14789-2025")</f>
        <v/>
      </c>
      <c r="X333">
        <f>HYPERLINK("https://klasma.github.io/Logging_070765/tillsyn/A 14789-2025 tillsynsbegäran.docx", "A 14789-2025")</f>
        <v/>
      </c>
      <c r="Y333">
        <f>HYPERLINK("https://klasma.github.io/Logging_070765/tillsynsmail/A 14789-2025 tillsynsbegäran mail.docx", "A 14789-2025")</f>
        <v/>
      </c>
    </row>
    <row r="334" ht="15" customHeight="1">
      <c r="A334" t="inlineStr">
        <is>
          <t>A 15510-2025</t>
        </is>
      </c>
      <c r="B334" s="1" t="n">
        <v>45747</v>
      </c>
      <c r="C334" s="1" t="n">
        <v>45835</v>
      </c>
      <c r="D334" t="inlineStr">
        <is>
          <t>KRONOBERGS LÄN</t>
        </is>
      </c>
      <c r="E334" t="inlineStr">
        <is>
          <t>UPPVIDINGE</t>
        </is>
      </c>
      <c r="F334" t="inlineStr">
        <is>
          <t>Kommuner</t>
        </is>
      </c>
      <c r="G334" t="n">
        <v>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HYPERLINK("https://klasma.github.io/Logging_070760/artfynd/A 15510-2025 artfynd.xlsx", "A 15510-2025")</f>
        <v/>
      </c>
      <c r="T334">
        <f>HYPERLINK("https://klasma.github.io/Logging_070760/kartor/A 15510-2025 karta.png", "A 15510-2025")</f>
        <v/>
      </c>
      <c r="V334">
        <f>HYPERLINK("https://klasma.github.io/Logging_070760/klagomål/A 15510-2025 FSC-klagomål.docx", "A 15510-2025")</f>
        <v/>
      </c>
      <c r="W334">
        <f>HYPERLINK("https://klasma.github.io/Logging_070760/klagomålsmail/A 15510-2025 FSC-klagomål mail.docx", "A 15510-2025")</f>
        <v/>
      </c>
      <c r="X334">
        <f>HYPERLINK("https://klasma.github.io/Logging_070760/tillsyn/A 15510-2025 tillsynsbegäran.docx", "A 15510-2025")</f>
        <v/>
      </c>
      <c r="Y334">
        <f>HYPERLINK("https://klasma.github.io/Logging_070760/tillsynsmail/A 15510-2025 tillsynsbegäran mail.docx", "A 15510-2025")</f>
        <v/>
      </c>
    </row>
    <row r="335" ht="15" customHeight="1">
      <c r="A335" t="inlineStr">
        <is>
          <t>A 15922-2025</t>
        </is>
      </c>
      <c r="B335" s="1" t="n">
        <v>45749</v>
      </c>
      <c r="C335" s="1" t="n">
        <v>45835</v>
      </c>
      <c r="D335" t="inlineStr">
        <is>
          <t>KRONOBERGS LÄN</t>
        </is>
      </c>
      <c r="E335" t="inlineStr">
        <is>
          <t>LJUNGBY</t>
        </is>
      </c>
      <c r="G335" t="n">
        <v>4.4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Kungsörn</t>
        </is>
      </c>
      <c r="S335">
        <f>HYPERLINK("https://klasma.github.io/Logging_070781/artfynd/A 15922-2025 artfynd.xlsx", "A 15922-2025")</f>
        <v/>
      </c>
      <c r="T335">
        <f>HYPERLINK("https://klasma.github.io/Logging_070781/kartor/A 15922-2025 karta.png", "A 15922-2025")</f>
        <v/>
      </c>
      <c r="V335">
        <f>HYPERLINK("https://klasma.github.io/Logging_070781/klagomål/A 15922-2025 FSC-klagomål.docx", "A 15922-2025")</f>
        <v/>
      </c>
      <c r="W335">
        <f>HYPERLINK("https://klasma.github.io/Logging_070781/klagomålsmail/A 15922-2025 FSC-klagomål mail.docx", "A 15922-2025")</f>
        <v/>
      </c>
      <c r="X335">
        <f>HYPERLINK("https://klasma.github.io/Logging_070781/tillsyn/A 15922-2025 tillsynsbegäran.docx", "A 15922-2025")</f>
        <v/>
      </c>
      <c r="Y335">
        <f>HYPERLINK("https://klasma.github.io/Logging_070781/tillsynsmail/A 15922-2025 tillsynsbegäran mail.docx", "A 15922-2025")</f>
        <v/>
      </c>
      <c r="Z335">
        <f>HYPERLINK("https://klasma.github.io/Logging_070781/fåglar/A 15922-2025 prioriterade fågelarter.docx", "A 15922-2025")</f>
        <v/>
      </c>
    </row>
    <row r="336" ht="15" customHeight="1">
      <c r="A336" t="inlineStr">
        <is>
          <t>A 16749-2025</t>
        </is>
      </c>
      <c r="B336" s="1" t="n">
        <v>45754</v>
      </c>
      <c r="C336" s="1" t="n">
        <v>45835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HYPERLINK("https://klasma.github.io/Logging_070781/artfynd/A 16749-2025 artfynd.xlsx", "A 16749-2025")</f>
        <v/>
      </c>
      <c r="T336">
        <f>HYPERLINK("https://klasma.github.io/Logging_070781/kartor/A 16749-2025 karta.png", "A 16749-2025")</f>
        <v/>
      </c>
      <c r="V336">
        <f>HYPERLINK("https://klasma.github.io/Logging_070781/klagomål/A 16749-2025 FSC-klagomål.docx", "A 16749-2025")</f>
        <v/>
      </c>
      <c r="W336">
        <f>HYPERLINK("https://klasma.github.io/Logging_070781/klagomålsmail/A 16749-2025 FSC-klagomål mail.docx", "A 16749-2025")</f>
        <v/>
      </c>
      <c r="X336">
        <f>HYPERLINK("https://klasma.github.io/Logging_070781/tillsyn/A 16749-2025 tillsynsbegäran.docx", "A 16749-2025")</f>
        <v/>
      </c>
      <c r="Y336">
        <f>HYPERLINK("https://klasma.github.io/Logging_070781/tillsynsmail/A 16749-2025 tillsynsbegäran mail.docx", "A 16749-2025")</f>
        <v/>
      </c>
      <c r="Z336">
        <f>HYPERLINK("https://klasma.github.io/Logging_070781/fåglar/A 16749-2025 prioriterade fågelarter.docx", "A 16749-2025")</f>
        <v/>
      </c>
    </row>
    <row r="337" ht="15" customHeight="1">
      <c r="A337" t="inlineStr">
        <is>
          <t>A 18079-2025</t>
        </is>
      </c>
      <c r="B337" s="1" t="n">
        <v>45761</v>
      </c>
      <c r="C337" s="1" t="n">
        <v>45835</v>
      </c>
      <c r="D337" t="inlineStr">
        <is>
          <t>KRONOBERGS LÄN</t>
        </is>
      </c>
      <c r="E337" t="inlineStr">
        <is>
          <t>VÄXJÖ</t>
        </is>
      </c>
      <c r="G337" t="n">
        <v>2.6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HYPERLINK("https://klasma.github.io/Logging_070780/artfynd/A 18079-2025 artfynd.xlsx", "A 18079-2025")</f>
        <v/>
      </c>
      <c r="T337">
        <f>HYPERLINK("https://klasma.github.io/Logging_070780/kartor/A 18079-2025 karta.png", "A 18079-2025")</f>
        <v/>
      </c>
      <c r="V337">
        <f>HYPERLINK("https://klasma.github.io/Logging_070780/klagomål/A 18079-2025 FSC-klagomål.docx", "A 18079-2025")</f>
        <v/>
      </c>
      <c r="W337">
        <f>HYPERLINK("https://klasma.github.io/Logging_070780/klagomålsmail/A 18079-2025 FSC-klagomål mail.docx", "A 18079-2025")</f>
        <v/>
      </c>
      <c r="X337">
        <f>HYPERLINK("https://klasma.github.io/Logging_070780/tillsyn/A 18079-2025 tillsynsbegäran.docx", "A 18079-2025")</f>
        <v/>
      </c>
      <c r="Y337">
        <f>HYPERLINK("https://klasma.github.io/Logging_070780/tillsynsmail/A 18079-2025 tillsynsbegäran mail.docx", "A 18079-2025")</f>
        <v/>
      </c>
    </row>
    <row r="338" ht="15" customHeight="1">
      <c r="A338" t="inlineStr">
        <is>
          <t>A 18747-2025</t>
        </is>
      </c>
      <c r="B338" s="1" t="n">
        <v>45763</v>
      </c>
      <c r="C338" s="1" t="n">
        <v>45835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Borsttåg</t>
        </is>
      </c>
      <c r="S338">
        <f>HYPERLINK("https://klasma.github.io/Logging_070765/artfynd/A 18747-2025 artfynd.xlsx", "A 18747-2025")</f>
        <v/>
      </c>
      <c r="T338">
        <f>HYPERLINK("https://klasma.github.io/Logging_070765/kartor/A 18747-2025 karta.png", "A 18747-2025")</f>
        <v/>
      </c>
      <c r="V338">
        <f>HYPERLINK("https://klasma.github.io/Logging_070765/klagomål/A 18747-2025 FSC-klagomål.docx", "A 18747-2025")</f>
        <v/>
      </c>
      <c r="W338">
        <f>HYPERLINK("https://klasma.github.io/Logging_070765/klagomålsmail/A 18747-2025 FSC-klagomål mail.docx", "A 18747-2025")</f>
        <v/>
      </c>
      <c r="X338">
        <f>HYPERLINK("https://klasma.github.io/Logging_070765/tillsyn/A 18747-2025 tillsynsbegäran.docx", "A 18747-2025")</f>
        <v/>
      </c>
      <c r="Y338">
        <f>HYPERLINK("https://klasma.github.io/Logging_070765/tillsynsmail/A 18747-2025 tillsynsbegäran mail.docx", "A 18747-2025")</f>
        <v/>
      </c>
    </row>
    <row r="339" ht="15" customHeight="1">
      <c r="A339" t="inlineStr">
        <is>
          <t>A 18486-2025</t>
        </is>
      </c>
      <c r="B339" s="1" t="n">
        <v>45763</v>
      </c>
      <c r="C339" s="1" t="n">
        <v>45835</v>
      </c>
      <c r="D339" t="inlineStr">
        <is>
          <t>KRONOBERGS LÄN</t>
        </is>
      </c>
      <c r="E339" t="inlineStr">
        <is>
          <t>ALVESTA</t>
        </is>
      </c>
      <c r="G339" t="n">
        <v>1.5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Spillkråka</t>
        </is>
      </c>
      <c r="S339">
        <f>HYPERLINK("https://klasma.github.io/Logging_070764/artfynd/A 18486-2025 artfynd.xlsx", "A 18486-2025")</f>
        <v/>
      </c>
      <c r="T339">
        <f>HYPERLINK("https://klasma.github.io/Logging_070764/kartor/A 18486-2025 karta.png", "A 18486-2025")</f>
        <v/>
      </c>
      <c r="V339">
        <f>HYPERLINK("https://klasma.github.io/Logging_070764/klagomål/A 18486-2025 FSC-klagomål.docx", "A 18486-2025")</f>
        <v/>
      </c>
      <c r="W339">
        <f>HYPERLINK("https://klasma.github.io/Logging_070764/klagomålsmail/A 18486-2025 FSC-klagomål mail.docx", "A 18486-2025")</f>
        <v/>
      </c>
      <c r="X339">
        <f>HYPERLINK("https://klasma.github.io/Logging_070764/tillsyn/A 18486-2025 tillsynsbegäran.docx", "A 18486-2025")</f>
        <v/>
      </c>
      <c r="Y339">
        <f>HYPERLINK("https://klasma.github.io/Logging_070764/tillsynsmail/A 18486-2025 tillsynsbegäran mail.docx", "A 18486-2025")</f>
        <v/>
      </c>
      <c r="Z339">
        <f>HYPERLINK("https://klasma.github.io/Logging_070764/fåglar/A 18486-2025 prioriterade fågelarter.docx", "A 18486-2025")</f>
        <v/>
      </c>
    </row>
    <row r="340" ht="15" customHeight="1">
      <c r="A340" t="inlineStr">
        <is>
          <t>A 18746-2025</t>
        </is>
      </c>
      <c r="B340" s="1" t="n">
        <v>45763</v>
      </c>
      <c r="C340" s="1" t="n">
        <v>45835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HYPERLINK("https://klasma.github.io/Logging_070765/artfynd/A 18746-2025 artfynd.xlsx", "A 18746-2025")</f>
        <v/>
      </c>
      <c r="T340">
        <f>HYPERLINK("https://klasma.github.io/Logging_070765/kartor/A 18746-2025 karta.png", "A 18746-2025")</f>
        <v/>
      </c>
      <c r="V340">
        <f>HYPERLINK("https://klasma.github.io/Logging_070765/klagomål/A 18746-2025 FSC-klagomål.docx", "A 18746-2025")</f>
        <v/>
      </c>
      <c r="W340">
        <f>HYPERLINK("https://klasma.github.io/Logging_070765/klagomålsmail/A 18746-2025 FSC-klagomål mail.docx", "A 18746-2025")</f>
        <v/>
      </c>
      <c r="X340">
        <f>HYPERLINK("https://klasma.github.io/Logging_070765/tillsyn/A 18746-2025 tillsynsbegäran.docx", "A 18746-2025")</f>
        <v/>
      </c>
      <c r="Y340">
        <f>HYPERLINK("https://klasma.github.io/Logging_070765/tillsynsmail/A 18746-2025 tillsynsbegäran mail.docx", "A 18746-2025")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45835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45835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45835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45835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45835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45835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45835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45835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45835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45835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45835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45835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45835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45835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45835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45835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45835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45835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45835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45835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45835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45835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45835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45835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45835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45835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45835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45835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45835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45835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45835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45835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45835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45835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45835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45835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45835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45835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45835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45835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45835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45835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45835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45835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45835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45835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45835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45835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45835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45835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45835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45835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45835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45835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45835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45835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45835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45835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45835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45835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45835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45835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45835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45835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45835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45835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45835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45835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45835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45835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45835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45835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45835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45835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45835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45835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45835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45835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45835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45835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45835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45835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45835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45835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45835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45835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45835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45835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45835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45835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45835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45835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45835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45835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45835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45835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45835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45835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45835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45835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45835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45835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45835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45835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45835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45835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45835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45835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45835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45835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45835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45835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45835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45835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45835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45835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45835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45835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45835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45835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45835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45835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45835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45835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45835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45835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45835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45835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45835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45835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45835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45835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45835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45835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45835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45835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45835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45835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45835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45835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45835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45835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45835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45835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45835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45835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45835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45835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45835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45835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45835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45835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45835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45835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45835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45835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45835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45835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45835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45835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45835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45835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45835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45835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45835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45835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45835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45835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45835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45835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45835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45835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45835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45835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45835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45835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45835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45835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45835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45835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45835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45835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45835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45835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45835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45835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45835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45835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45835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45835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45835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45835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45835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45835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45835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45835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45835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45835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45835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45835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45835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45835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45835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45835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45835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45835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45835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45835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45835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45835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45835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45835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45835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45835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45835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45835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45835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45835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45835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45835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45835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45835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45835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45835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45835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45835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45835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45835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45835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45835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45835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45835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45835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45835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45835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45835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45835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45835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45835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45835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45835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45835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45835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45835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45835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45835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45835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45835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45835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45835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45835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45835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45835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45835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45835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45835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45835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45835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45835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45835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45835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45835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45835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45835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45835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45835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45835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45835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45835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45835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45835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45835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45835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45835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45835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45835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45835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45835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45835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45835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45835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45835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45835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45835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45835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45835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45835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45835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45835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45835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45835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45835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45835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45835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45835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45835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45835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45835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45835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45835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45835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45835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45835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45835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45835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45835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45835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45835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45835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45835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45835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45835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45835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45835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45835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45835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45835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45835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45835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45835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45835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45835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45835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45835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45835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45835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45835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45835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45835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45835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45835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45835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45835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45835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45835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45835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45835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45835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45835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45835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45835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45835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45835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45835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45835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45835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45835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45835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45835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45835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45835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45835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45835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45835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45835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45835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45835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45835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45835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45835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45835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45835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45835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45835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45835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45835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45835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45835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45835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45835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45835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45835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45835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45835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45835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45835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45835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45835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45835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45835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45835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45835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45835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45835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45835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45835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45835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45835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45835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45835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45835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45835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45835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45835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45835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45835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45835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45835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45835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45835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45835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45835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45835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45835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45835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45835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45835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45835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45835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45835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45835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45835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45835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45835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45835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45835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45835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45835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45835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45835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45835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45835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45835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45835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45835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45835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45835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45835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45835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45835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45835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45835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45835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45835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45835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45835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45835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45835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45835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45835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45835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45835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45835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45835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45835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45835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45835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45835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45835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45835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45835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45835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45835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45835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45835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45835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45835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45835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45835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45835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45835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45835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45835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45835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45835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45835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45835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45835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45835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45835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45835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45835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45835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45835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45835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45835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45835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45835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45835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45835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45835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45835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45835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45835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45835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45835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45835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45835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45835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45835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45835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45835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45835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45835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45835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45835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45835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45835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45835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45835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45835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45835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45835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45835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45835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45835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45835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45835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45835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45835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45835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45835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45835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45835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45835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45835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45835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45835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45835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45835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45835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45835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45835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45835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45835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45835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45835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45835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45835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45835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45835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45835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45835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45835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45835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45835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45835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45835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45835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45835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45835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45835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45835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45835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45835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45835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45835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45835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45835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45835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45835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45835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45835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45835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45835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45835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45835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45835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45835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45835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45835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45835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45835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45835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45835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45835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45835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45835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45835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45835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45835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45835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45835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45835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45835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45835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45835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45835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45835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45835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45835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45835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45835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45835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45835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45835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45835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45835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45835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45835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45835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45835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45835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45835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45835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45835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45835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45835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45835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45835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45835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45835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45835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45835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45835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45835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45835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45835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45835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45835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45835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45835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45835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45835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45835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45835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45835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45835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45835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45835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45835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45835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45835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45835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45835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45835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45835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45835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45835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45835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45835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45835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45835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45835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45835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45835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45835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45835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45835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45835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45835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45835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45835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45835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45835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45835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45835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45835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45835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45835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45835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45835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45835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45835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45835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45835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45835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45835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45835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45835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45835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45835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45835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45835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45835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45835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45835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45835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45835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45835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45835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45835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45835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45835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45835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45835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45835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45835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45835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45835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45835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45835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45835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45835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45835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45835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45835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45835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45835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45835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45835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45835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45835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45835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45835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45835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45835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45835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45835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45835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45835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45835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45835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45835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45835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45835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45835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45835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45835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45835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45835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45835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45835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45835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45835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45835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45835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45835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45835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45835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45835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45835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45835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45835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45835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45835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45835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45835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45835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45835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45835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45835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45835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45835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45835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45835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45835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45835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45835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45835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45835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45835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45835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45835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45835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45835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45835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45835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45835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45835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45835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45835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45835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45835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45835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45835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45835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45835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45835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45835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45835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45835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45835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45835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45835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45835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45835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45835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45835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45835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45835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45835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45835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45835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45835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45835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45835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45835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45835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45835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45835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45835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45835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45835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45835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45835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45835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45835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45835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45835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45835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45835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45835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45835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45835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45835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45835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45835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45835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45835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45835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45835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45835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45835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45835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45835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45835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45835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45835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45835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45835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45835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45835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45835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45835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45835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45835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45835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45835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45835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45835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45835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45835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45835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45835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45835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45835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45835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45835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45835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45835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45835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45835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45835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45835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45835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45835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45835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45835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45835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45835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45835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45835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45835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45835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45835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45835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45835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45835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45835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45835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45835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45835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45835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45835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45835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45835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45835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45835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45835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45835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45835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45835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45835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45835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45835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45835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45835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45835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45835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45835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45835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45835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45835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45835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45835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45835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45835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45835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45835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45835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45835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45835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45835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45835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45835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45835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45835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45835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45835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45835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45835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45835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45835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45835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45835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45835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45835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45835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45835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45835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45835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45835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45835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45835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45835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45835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45835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45835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45835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45835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45835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45835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45835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45835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45835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45835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45835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45835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45835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45835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45835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45835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45835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45835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45835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45835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45835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45835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45835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45835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45835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45835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45835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45835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45835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45835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45835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45835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45835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45835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45835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45835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45835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45835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45835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45835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45835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45835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45835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45835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45835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45835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45835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45835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45835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45835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45835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45835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45835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45835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45835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45835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45835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45835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45835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45835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45835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45835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45835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45835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45835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45835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45835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45835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45835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45835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45835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45835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45835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45835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45835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45835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45835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45835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45835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45835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45835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45835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45835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45835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45835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45835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45835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45835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45835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45835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45835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45835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45835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45835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45835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45835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45835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45835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45835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45835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45835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45835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45835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45835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45835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45835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45835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45835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45835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45835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45835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45835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45835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45835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45835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45835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45835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45835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45835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45835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45835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45835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45835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45835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45835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45835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45835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45835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45835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45835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45835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45835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45835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45835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45835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45835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45835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45835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45835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45835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45835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45835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45835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45835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45835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45835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45835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45835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45835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45835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45835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45835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45835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45835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45835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45835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45835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45835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45835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45835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45835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45835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45835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45835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45835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45835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45835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45835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45835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45835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45835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45835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45835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45835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45835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45835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45835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45835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45835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45835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45835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45835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45835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45835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45835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45835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45835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45835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45835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45835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45835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45835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45835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45835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45835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45835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45835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45835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45835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45835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45835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45835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45835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45835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45835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45835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45835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45835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45835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45835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45835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45835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45835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45835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45835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45835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45835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45835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45835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45835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45835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45835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45835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45835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45835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45835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45835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45835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45835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45835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45835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45835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45835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45835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45835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45835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45835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45835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45835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45835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45835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45835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45835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45835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45835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45835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45835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45835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45835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45835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45835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45835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45835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45835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45835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45835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45835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45835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45835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45835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45835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45835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45835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45835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45835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45835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45835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45835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45835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45835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45835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45835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45835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45835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45835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45835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45835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45835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45835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45835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45835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45835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45835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45835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45835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45835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45835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45835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45835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45835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45835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45835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45835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45835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45835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45835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45835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45835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45835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45835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45835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45835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45835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45835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45835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45835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45835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45835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45835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45835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45835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45835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45835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45835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45835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45835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45835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45835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45835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45835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45835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45835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45835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45835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45835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45835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45835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45835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45835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45835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45835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45835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45835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45835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45835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45835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45835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45835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45835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45835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45835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45835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45835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45835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45835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45835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45835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45835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45835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45835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45835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45835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45835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45835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45835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45835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45835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45835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45835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45835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45835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45835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45835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45835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45835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45835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45835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45835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45835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45835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45835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45835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45835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45835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45835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45835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45835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45835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45835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45835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45835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45835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45835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45835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45835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45835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45835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45835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45835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45835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45835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45835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45835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45835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45835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45835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45835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45835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45835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45835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45835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45835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45835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45835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45835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45835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45835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45835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45835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45835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45835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45835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45835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45835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45835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45835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45835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45835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45835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45835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45835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45835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45835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45835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45835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45835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45835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45835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45835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45835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45835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45835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45835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45835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45835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45835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45835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45835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45835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45835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45835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45835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45835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45835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45835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45835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45835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45835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45835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45835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45835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45835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45835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45835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45835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45835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45835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45835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45835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45835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45835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45835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45835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45835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45835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45835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45835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45835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45835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45835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45835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45835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45835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45835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45835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45835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45835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45835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45835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45835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45835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45835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45835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45835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45835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45835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45835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45835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45835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45835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45835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45835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45835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45835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45835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45835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45835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45835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45835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45835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45835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45835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45835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45835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45835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45835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45835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45835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45835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45835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45835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45835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45835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45835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45835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45835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45835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45835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45835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45835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45835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45835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45835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45835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45835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45835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45835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45835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45835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45835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45835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45835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45835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45835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45835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45835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45835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45835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45835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45835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45835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45835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45835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45835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45835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45835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45835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45835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45835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45835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45835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45835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45835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45835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45835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45835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45835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45835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45835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45835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45835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45835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45835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45835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45835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45835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45835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45835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45835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45835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45835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45835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45835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45835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45835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45835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45835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45835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45835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45835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45835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45835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45835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45835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45835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45835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45835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45835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45835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45835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45835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45835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45835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45835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45835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45835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45835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45835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45835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45835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45835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45835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45835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45835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45835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45835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45835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45835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45835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45835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45835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45835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45835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45835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45835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45835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45835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45835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45835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45835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45835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45835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45835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45835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45835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45835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45835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45835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45835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45835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45835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45835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45835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45835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45835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45835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45835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45835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45835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45835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45835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45835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45835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45835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45835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45835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45835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45835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45835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45835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45835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45835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45835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45835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45835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45835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45835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45835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45835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45835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45835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45835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45835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45835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45835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45835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45835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45835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45835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45835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45835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45835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45835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45835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45835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45835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45835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45835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45835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45835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45835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45835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45835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45835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45835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45835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45835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45835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45835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45835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45835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45835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45835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45835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45835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45835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45835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45835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45835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45835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45835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45835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45835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45835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45835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45835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45835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45835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45835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45835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45835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45835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45835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45835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45835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45835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45835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45835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45835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45835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45835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45835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45835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45835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45835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45835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45835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45835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45835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45835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45835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45835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45835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45835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45835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45835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45835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45835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45835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45835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45835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45835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45835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45835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45835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45835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45835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45835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45835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45835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45835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45835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45835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45835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45835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45835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45835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45835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45835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45835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45835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45835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45835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45835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45835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45835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45835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45835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45835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45835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45835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45835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45835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45835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45835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45835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45835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45835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45835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45835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45835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45835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45835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45835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45835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45835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45835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45835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45835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45835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45835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45835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45835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45835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45835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45835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45835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45835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45835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45835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45835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45835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45835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45835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45835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45835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45835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45835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45835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45835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45835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45835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45835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45835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45835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45835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45835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45835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45835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45835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45835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45835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45835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45835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45835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45835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45835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45835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45835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45835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45835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45835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45835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45835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45835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45835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45835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45835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45835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45835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45835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45835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45835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45835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45835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45835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45835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45835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45835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45835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45835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45835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45835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45835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45835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45835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45835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45835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45835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45835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45835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45835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45835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45835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45835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45835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45835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45835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45835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45835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45835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45835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45835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45835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45835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45835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45835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45835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45835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45835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45835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45835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45835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45835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45835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45835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45835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45835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45835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45835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45835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45835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45835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45835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45835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45835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45835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45835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45835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45835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45835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45835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45835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45835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45835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45835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45835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45835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45835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45835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45835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45835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45835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45835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45835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45835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45835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45835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45835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45835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45835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45835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45835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45835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45835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45835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45835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45835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45835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45835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45835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45835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45835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45835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45835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45835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45835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45835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45835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45835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45835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45835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45835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45835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45835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45835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45835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45835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45835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45835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45835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45835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45835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45835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45835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45835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45835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45835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45835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45835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45835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45835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45835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45835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45835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45835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45835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45835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45835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45835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45835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45835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45835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45835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45835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45835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45835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45835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45835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45835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45835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45835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45835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45835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45835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45835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45835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45835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45835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45835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45835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45835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45835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45835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45835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45835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45835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45835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45835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45835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45835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45835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45835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45835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45835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45835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45835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45835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45835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45835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45835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45835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45835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45835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45835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45835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45835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45835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45835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45835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45835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45835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45835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45835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45835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45835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45835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45835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45835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45835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45835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45835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45835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45835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45835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45835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45835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45835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45835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45835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45835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45835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45835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45835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45835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45835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45835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45835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45835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45835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45835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45835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45835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45835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45835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45835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45835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45835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45835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45835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45835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45835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45835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45835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45835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45835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45835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45835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45835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45835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45835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45835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45835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45835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45835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45835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45835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45835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45835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45835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45835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45835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45835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45835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45835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45835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45835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45835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45835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45835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45835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45835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45835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45835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45835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45835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45835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45835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45835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45835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45835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45835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45835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45835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45835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45835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45835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45835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45835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45835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45835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45835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45835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45835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45835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45835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45835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45835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45835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45835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45835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45835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45835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45835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45835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45835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45835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45835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45835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45835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45835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45835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45835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45835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45835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45835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45835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45835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45835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45835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45835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45835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45835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45835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45835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45835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45835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45835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45835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45835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45835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45835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45835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45835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45835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45835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45835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45835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45835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45835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45835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45835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45835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45835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45835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45835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45835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45835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45835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45835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45835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45835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45835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45835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45835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45835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45835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45835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45835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45835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45835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45835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45835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45835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45835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45835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45835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45835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45835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45835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45835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45835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45835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45835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45835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45835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45835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45835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45835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45835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45835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45835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45835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45835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45835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45835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45835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45835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45835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45835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45835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45835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45835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45835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45835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45835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45835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45835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45835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45835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45835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45835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45835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45835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45835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45835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45835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45835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45835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45835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45835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45835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45835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45835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45835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45835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45835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45835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45835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45835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45835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45835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45835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45835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45835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45835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45835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45835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45835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45835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45835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45835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45835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45835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45835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45835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45835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45835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45835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45835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45835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45835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45835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45835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45835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45835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45835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45835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45835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45835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45835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45835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45835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45835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45835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45835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45835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45835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45835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45835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45835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45835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45835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45835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45835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45835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45835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45835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45835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45835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45835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45835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45835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45835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45835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45835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45835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45835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45835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45835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45835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45835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45835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45835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45835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45835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45835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45835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45835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45835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45835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45835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45835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45835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45835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45835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45835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45835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45835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45835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45835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45835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45835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45835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45835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45835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45835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45835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45835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45835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45835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45835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45835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45835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45835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45835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45835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45835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45835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45835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45835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45835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45835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45835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45835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45835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45835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45835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45835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45835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45835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45835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45835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45835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45835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45835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45835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45835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45835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45835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45835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45835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45835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45835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45835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45835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45835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45835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45835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45835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45835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45835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45835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45835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45835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45835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45835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45835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45835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45835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45835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45835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45835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45835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45835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45835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45835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45835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45835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45835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45835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45835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45835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45835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45835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45835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45835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45835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45835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45835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45835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45835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45835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45835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45835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45835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45835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45835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45835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45835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45835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45835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45835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45835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45835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45835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45835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45835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45835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45835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45835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45835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45835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45835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45835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45835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45835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45835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45835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45835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45835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45835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45835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45835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45835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45835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45835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45835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45835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45835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45835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45835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45835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45835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45835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45835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45835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45835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45835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45835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45835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45835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45835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45835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45835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45835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45835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45835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45835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45835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45835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45835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45835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45835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45835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45835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45835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45835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45835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45835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45835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45835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45835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45835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45835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45835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45835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45835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45835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45835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45835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45835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45835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45835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45835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45835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45835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45835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45835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45835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45835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45835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45835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45835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45835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45835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45835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45835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45835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45835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45835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45835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45835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45835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45835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45835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45835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45835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45835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45835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45835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45835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45835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45835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45835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45835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45835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45835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45835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45835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45835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45835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45835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45835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45835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45835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45835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45835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45835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45835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45835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45835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45835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45835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45835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45835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45835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45835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45835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45835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45835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45835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45835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45835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45835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45835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45835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45835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45835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45835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45835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45835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45835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45835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45835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45835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45835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45835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45835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45835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45835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45835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45835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45835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45835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45835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45835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45835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45835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45835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45835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45835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45835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45835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45835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45835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45835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45835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45835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45835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45835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45835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45835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45835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45835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45835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45835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45835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45835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45835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45835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45835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45835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45835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45835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45835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45835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45835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45835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45835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45835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45835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45835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45835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45835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45835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45835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45835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45835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45835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45835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45835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45835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45835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45835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45835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45835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45835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45835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45835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45835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45835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45835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45835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45835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45835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45835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45835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45835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45835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45835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45835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45835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45835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45835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45835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45835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45835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45835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45835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45835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45835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45835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45835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45835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45835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45835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45835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45835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45835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45835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45835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45835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45835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45835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45835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45835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45835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45835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45835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45835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45835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45835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45835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45835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45835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45835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45835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45835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45835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45835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45835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45835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45835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45835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45835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45835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45835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45835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45835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45835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45835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45835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45835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45835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45835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45835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45835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45835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45835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45835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45835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45835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45835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45835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45835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45835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45835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45835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45835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45835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45835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45835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45835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45835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45835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45835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45835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45835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45835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45835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45835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45835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45835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45835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45835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45835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45835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45835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45835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45835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45835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45835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45835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45835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45835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45835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45835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45835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45835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45835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45835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45835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45835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45835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45835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45835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45835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45835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45835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45835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45835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45835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45835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45835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45835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45835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45835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45835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45835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45835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45835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45835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45835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45835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45835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45835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45835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45835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45835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45835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45835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45835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45835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45835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45835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45835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45835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45835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45835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45835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45835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45835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45835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45835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45835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45835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45835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45835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45835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45835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45835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45835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45835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45835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45835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45835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45835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45835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45835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45835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45835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45835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45835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45835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45835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45835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45835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45835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45835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45835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45835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45835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45835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45835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45835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45835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45835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45835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45835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45835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45835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45835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45835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45835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45835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45835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45835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45835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45835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45835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45835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45835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45835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45835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45835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45835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45835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45835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45835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45835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45835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45835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45835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45835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45835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45835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45835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45835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45835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45835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45835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45835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45835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45835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45835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45835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45835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45835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45835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45835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45835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45835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45835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45835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45835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45835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45835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45835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45835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45835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45835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45835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45835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45835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45835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45835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45835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45835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45835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45835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45835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45835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45835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45835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45835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45835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45835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45835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45835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45835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45835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45835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45835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45835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45835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45835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45835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45835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45835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45835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45835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45835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45835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45835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45835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45835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45835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45835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45835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45835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45835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45835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45835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45835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45835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45835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45835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45835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45835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45835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45835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45835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45835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45835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45835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45835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45835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45835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45835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45835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45835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45835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45835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45835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45835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45835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45835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45835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45835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45835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45835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45835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45835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45835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45835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45835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45835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45835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45835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45835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45835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45835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45835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45835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45835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45835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45835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45835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45835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45835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45835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45835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45835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45835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45835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45835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45835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45835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45835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45835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45835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45835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45835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45835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45835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45835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45835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45835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45835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45835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45835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45835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45835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45835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45835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45835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45835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45835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45835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45835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45835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45835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45835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45835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45835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45835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45835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45835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45835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45835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45835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45835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45835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45835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45835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45835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45835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45835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45835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45835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45835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45835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45835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45835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45835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45835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45835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45835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45835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45835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45835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45835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45835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45835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45835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45835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45835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45835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45835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45835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45835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45835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45835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45835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45835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45835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45835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45835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45835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45835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45835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45835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45835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45835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45835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45835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45835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45835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45835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45835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45835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45835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45835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45835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45835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45835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45835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45835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45835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45835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45835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45835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45835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45835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45835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45835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45835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45835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45835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45835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45835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45835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45835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45835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45835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45835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45835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45835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45835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45835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45835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45835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45835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45835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45835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45835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45835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45835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45835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45835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45835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45835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45835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45835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45835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45835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45835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45835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45835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45835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45835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45835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45835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45835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45835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45835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45835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45835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45835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45835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45835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45835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45835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45835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45835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45835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45835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45835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45835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45835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45835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45835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45835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45835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45835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45835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45835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45835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45835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45835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45835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45835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45835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45835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45835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45835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45835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45835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45835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45835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45835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45835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45835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45835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45835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45835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45835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45835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45835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45835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45835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45835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45835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45835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45835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45835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45835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45835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45835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45835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45835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45835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45835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45835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45835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45835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45835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45835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45835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45835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45835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45835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45835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45835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45835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45835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45835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45835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45835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45835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45835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45835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45835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45835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45835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45835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45835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45835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45835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45835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45835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45835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45835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45835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45835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45835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45835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45835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45835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45835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45835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45835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45835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45835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45835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45835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45835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45835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45835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45835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45835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45835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45835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45835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45835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45835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45835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45835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45835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45835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45835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45835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45835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45835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45835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45835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45835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45835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45835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45835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45835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45835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45835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45835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45835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45835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45835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45835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45835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45835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45835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45835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45835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45835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45835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45835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45835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45835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45835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45835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45835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45835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45835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45835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45835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45835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45835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45835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45835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45835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45835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45835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45835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45835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45835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45835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45835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45835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45835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45835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45835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45835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45835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45835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45835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45835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45835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45835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45835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45835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45835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45835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45835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45835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45835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45835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45835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45835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45835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45835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45835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45835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45835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45835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45835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45835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45835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45835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45835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45835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45835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45835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45835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45835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45835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45835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45835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45835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45835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45835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45835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45835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45835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45835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45835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45835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45835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45835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45835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45835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45835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45835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45835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45835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45835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45835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45835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45835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45835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45835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45835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45835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45835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45835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45835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45835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45835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45835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45835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45835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45835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45835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45835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45835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45835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45835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45835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45835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45835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45835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45835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45835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45835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45835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45835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45835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45835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45835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45835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45835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45835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45835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45835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45835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45835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45835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45835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45835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45835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45835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45835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45835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45835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45835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45835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45835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45835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45835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45835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45835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45835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45835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45835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45835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45835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45835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45835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45835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45835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45835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45835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45835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45835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45835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45835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45835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45835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45835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45835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45835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45835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45835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45835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45835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45835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45835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45835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45835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45835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45835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45835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45835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45835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45835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45835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45835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45835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45835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45835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45835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45835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45835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45835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45835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45835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45835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45835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45835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45835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45835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45835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45835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45835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45835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45835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45835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45835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45835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45835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45835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45835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45835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45835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45835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45835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45835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45835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45835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45835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45835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45835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45835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45835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45835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45835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45835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45835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45835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45835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45835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45835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45835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45835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45835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45835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45835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45835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45835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45835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45835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45835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45835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45835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45835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45835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45835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45835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45835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45835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45835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45835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45835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45835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45835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45835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45835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45835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45835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45835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45835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45835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45835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45835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45835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45835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45835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45835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45835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45835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45835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45835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45835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45835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45835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45835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45835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45835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45835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45835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45835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45835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45835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45835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45835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45835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45835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45835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45835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45835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45835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45835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45835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45835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45835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45835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45835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45835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45835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45835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45835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45835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45835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45835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45835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45835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45835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45835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45835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45835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45835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45835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45835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45835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45835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45835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45835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45835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45835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45835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45835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45835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45835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45835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45835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45835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45835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45835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45835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45835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45835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45835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45835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45835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45835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45835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45835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45835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45835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45835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45835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45835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45835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45835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45835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45835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45835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45835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45835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45835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45835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45835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45835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45835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45835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45835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45835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45835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45835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45835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45835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45835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45835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45835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45835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45835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45835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45835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45835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45835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45835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45835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45835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45835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45835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45835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45835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45835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45835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45835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45835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45835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45835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45835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45835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45835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45835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45835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45835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45835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45835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45835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45835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45835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45835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45835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45835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45835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45835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45835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45835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45835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45835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45835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45835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45835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45835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45835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45835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45835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45835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45835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45835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45835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45835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45835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45835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45835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45835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45835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45835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45835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45835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45835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45835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45835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45835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45835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45835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45835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45835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45835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45835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45835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45835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45835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45835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45835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45835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45835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45835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45835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45835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45835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45835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45835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45835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45835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45835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45835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45835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45835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45835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45835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45835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45835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45835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45835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45835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45835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45835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45835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45835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45835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45835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45835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45835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45835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45835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45835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45835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45835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45835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45835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45835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45835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45835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45835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45835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45835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45835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45835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45835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45835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45835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45835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45835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45835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45835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45835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45835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45835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45835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45835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45835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45835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45835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45835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45835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45835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45835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45835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45835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45835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45835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45835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45835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45835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45835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45835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45835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45835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45835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45835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45835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45835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45835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45835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45835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45835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45835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45835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45835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45835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45835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45835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45835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45835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45835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45835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45835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45835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45835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45835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45835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45835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45835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45835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45835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45835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45835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45835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45835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45835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45835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45835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45835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45835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45835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45835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45835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45835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45835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45835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45835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45835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45835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45835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45835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45835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45835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45835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45835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45835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45835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45835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45835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45835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45835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45835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45835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45835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45835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45835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45835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45835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45835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45835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45835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45835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45835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45835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45835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45835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45835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45835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45835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45835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45835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45835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45835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45835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45835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45835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45835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45835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45835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45835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45835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45835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45835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45835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45835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45835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45835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45835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45835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45835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45835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45835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45835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45835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45835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45835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45835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45835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45835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45835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45835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45835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45835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45835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45835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45835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45835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45835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45835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45835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45835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45835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45835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45835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45835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45835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45835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45835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45835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45835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45835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45835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45835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45835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45835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45835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45835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45835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45835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45835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45835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45835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45835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45835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45835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45835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45835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45835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45835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45835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45835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45835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45835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45835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45835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45835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45835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45835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45835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45835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45835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45835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45835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45835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45835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45835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45835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45835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45835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45835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45835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45835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45835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45835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45835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45835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45835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45835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45835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45835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45835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45835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45835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45835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45835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45835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45835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45835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45835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45835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45835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45835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45835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45835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45835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45835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45835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45835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45835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45835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45835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45835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45835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45835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45835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45835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45835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45835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45835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45835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45835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45835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45835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45835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45835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45835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45835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45835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45835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45835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45835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45835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45835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45835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45835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45835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45835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45835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45835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45835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45835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45835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45835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45835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45835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45835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45835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45835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45835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45835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45835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45835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45835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45835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45835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45835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45835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45835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45835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45835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45835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45835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45835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45835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45835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45835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45835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45835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45835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45835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45835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45835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45835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45835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45835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45835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45835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45835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45835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45835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45835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45835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45835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45835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45835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45835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45835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45835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45835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45835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45835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45835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45835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45835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45835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45835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45835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45835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45835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45835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45835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45835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45835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45835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45835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45835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45835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45835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45835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45835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45835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45835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45835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45835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45835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45835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45835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45835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45835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45835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45835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45835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45835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45835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45835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45835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45835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45835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45835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45835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45835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45835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45835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45835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45835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45835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45835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45835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45835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45835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45835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45835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45835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45835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45835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45835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45835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45835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45835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45835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45835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45835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45835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45835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45835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45835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45835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45835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45835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45835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45835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45835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45835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45835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45835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45835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45835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45835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45835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45835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45835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45835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45835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45835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45835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45835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45835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45835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45835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45835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45835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45835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45835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45835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45835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45835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45835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45835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45835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45835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45835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45835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45835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45835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45835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45835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45835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45835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45835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45835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45835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45835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45835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45835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45835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45835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45835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45835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45835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45835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45835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45835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45835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45835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45835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45835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45835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45835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45835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45835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45835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45835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45835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45835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45835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45835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45835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45835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45835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45835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45835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45835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45835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45835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45835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45835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45835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45835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45835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45835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45835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45835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45835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45835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45835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45835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45835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45835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45835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45835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45835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45835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45835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45835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45835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45835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45835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45835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45835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45835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45835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45835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45835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45835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45835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45835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45835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45835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45835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45835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45835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45835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45835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45835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45835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45835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45835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45835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45835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45835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45835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45835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45835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45835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45835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45835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45835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45835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45835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45835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45835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45835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45835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45835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45835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45835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45835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45835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45835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45835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45835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45835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45835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45835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45835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45835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45835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45835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45835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45835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45835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45835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45835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45835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45835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45835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45835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45835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45835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45835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45835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45835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45835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45835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45835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45835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45835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45835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45835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45835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45835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45835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45835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45835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45835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45835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45835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45835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45835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45835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45835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45835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45835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45835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45835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45835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45835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45835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45835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45835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45835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45835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45835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45835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45835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45835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45835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45835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45835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45835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45835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45835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45835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45835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45835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45835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45835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45835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45835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45835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45835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45835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45835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45835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45835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45835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45835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45835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45835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45835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45835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45835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45835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45835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45835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45835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45835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45835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45835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45835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45835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45835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45835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45835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45835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45835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45835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45835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45835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45835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45835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45835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45835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45835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45835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45835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45835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45835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45835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45835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45835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45835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45835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45835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45835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45835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45835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45835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45835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45835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45835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45835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45835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45835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45835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45835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45835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45835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45835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45835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45835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45835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45835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45835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45835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45835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45835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45835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45835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45835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45835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45835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45835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45835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45835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45835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45835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45835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45835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45835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45835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45835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45835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45835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45835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45835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45835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45835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45835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45835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45835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45835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45835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45835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45835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45835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45835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45835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45835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45835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45835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45835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45835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45835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45835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45835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45835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45835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45835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45835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45835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45835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45835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45835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45835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45835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45835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45835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45835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45835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45835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45835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45835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45835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45835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45835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45835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45835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45835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45835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45835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45835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45835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45835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45835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45835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45835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45835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45835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45835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45835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45835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45835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45835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45835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45835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45835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45835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45835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45835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45835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45835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45835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45835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45835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45835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45835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45835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45835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45835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45835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45835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45835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45835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45835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45835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45835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45835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45835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45835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45835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45835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45835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45835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45835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45835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45835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45835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45835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45835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45835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45835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45835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45835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45835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45835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45835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45835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45835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45835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45835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45835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45835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45835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45835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45835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45835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45835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45835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45835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45835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45835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45835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45835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45835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45835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45835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45835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45835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45835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45835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45835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45835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45835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45835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45835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45835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45835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45835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45835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45835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45835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45835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45835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45835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45835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45835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45835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45835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45835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45835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45835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45835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45835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45835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45835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45835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45835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45835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45835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45835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45835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45835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45835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45835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45835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45835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45835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45835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45835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45835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45835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45835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45835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45835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45835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45835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45835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45835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45835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45835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45835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45835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45835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45835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45835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45835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45835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45835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45835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45835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45835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45835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45835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45835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45835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45835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45835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45835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45835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45835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45835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45835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45835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45835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45835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45835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45835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45835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45835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45835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45835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45835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45835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45835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45835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45835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45835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45835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45835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45835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45835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45835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45835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45835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45835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45835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45835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45835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45835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45835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45835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45835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45835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45835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45835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45835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45835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45835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45835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45835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45835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45835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45835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45835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45835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45835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45835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45835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45835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45835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45835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45835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45835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45835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45835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45835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45835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45835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45835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45835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45835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45835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45835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45835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45835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45835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45835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45835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45835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45835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45835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45835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45835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45835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45835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45835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45835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45835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45835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45835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45835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45835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45835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45835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45835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45835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45835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45835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45835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45835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45835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45835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45835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45835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45835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45835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45835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45835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45835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45835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45835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45835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45835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45835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45835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45835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45835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45835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45835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45835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45835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45835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45835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45835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45835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45835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45835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45835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45835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45835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45835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45835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45835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45835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45835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45835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45835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45835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45835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45835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45835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45835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45835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45835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45835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45835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45835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45835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45835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45835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45835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45835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45835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45835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45835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45835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45835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45835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45835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45835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45835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45835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45835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45835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45835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45835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45835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45835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45835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45835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45835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45835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45835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45835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45835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45835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45835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45835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45835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45835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45835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45835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45835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45835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45835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45835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45835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45835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45835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45835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45835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45835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45835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45835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45835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45835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45835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45835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45835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45835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45835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45835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45835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45835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45835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45835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45835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45835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45835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45835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45835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45835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45835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45835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45835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45835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45835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45835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45835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45835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45835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45835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45835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45835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45835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45835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45835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45835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45835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45835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45835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45835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45835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45835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45835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45835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45835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45835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45835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45835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45835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45835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45835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45835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45835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45835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45835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45835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45835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45835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45835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45835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45835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45835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45835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45835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45835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45835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45835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45835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45835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45835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45835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45835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45835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45835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45835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45835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45835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45835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45835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45835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45835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45835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45835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45835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45835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45835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45835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45835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45835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45835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45835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45835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45835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45835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45835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45835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45835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45835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45835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45835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45835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45835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45835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45835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45835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45835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45835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45835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45835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45835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45835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45835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45835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45835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45835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45835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45835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45835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45835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45835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45835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45835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45835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45835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45835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45835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45835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45835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45835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45835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45835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45835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45835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45835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45835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45835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45835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45835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45835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45835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45835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45835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45835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45835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45835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45835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45835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45835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45835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45835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45835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45835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45835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45835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45835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45835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45835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45835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45835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45835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45835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45835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45835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45835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45835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45835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45835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45835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45835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45835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45835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45835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45835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45835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45835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45835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45835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45835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45835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45835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45835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45835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45835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45835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45835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45835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45835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45835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45835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45835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45835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45835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45835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45835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45835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45835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45835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45835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45835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45835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45835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45835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45835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45835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45835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45835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45835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45835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45835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45835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45835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45835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45835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45835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45835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45835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45835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45835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45835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45835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45835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45835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45835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45835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45835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45835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45835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45835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45835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45835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45835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45835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45835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45835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45835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45835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45835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45835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45835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45835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45835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45835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45835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45835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45835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45835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45835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45835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45835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45835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45835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45835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45835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45835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45835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45835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45835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45835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45835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45835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45835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45835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45835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45835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45835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45835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45835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45835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45835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45835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45835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45835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45835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45835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45835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45835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45835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45835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45835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45835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45835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45835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45835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45835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45835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45835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45835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45835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45835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45835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45835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45835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45835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45835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45835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45835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45835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45835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45835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45835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45835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45835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45835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45835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45835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45835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45835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45835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45835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45835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45835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45835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45835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45835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45835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45835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45835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45835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45835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45835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45835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45835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45835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45835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45835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45835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45835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45835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45835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45835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45835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45835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45835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45835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45835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45835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45835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45835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45835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45835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45835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45835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45835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45835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45835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45835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45835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45835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45835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45835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45835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45835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45835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45835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45835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45835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45835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45835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45835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45835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45835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45835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45835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45835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45835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45835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45835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45835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45835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45835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45835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45835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45835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45835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45835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45835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45835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45835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45835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45835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45835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45835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45835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45835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45835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45835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45835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45835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45835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45835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45835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45835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45835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45835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45835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45835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45835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45835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45835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45835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45835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45835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45835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45835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45835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45835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45835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45835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45835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45835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45835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45835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45835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45835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45835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45835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45835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45835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45835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45835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45835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45835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45835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45835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45835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45835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45835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45835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45835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45835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45835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45835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45835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45835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45835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45835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45835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45835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45835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45835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45835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45835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45835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45835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45835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45835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45835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45835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45835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45835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45835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45835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45835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45835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45835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45835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45835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45835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45835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45835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45835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45835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45835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45835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45835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45835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45835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45835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45835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45835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45835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45835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45835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45835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45835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45835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45835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45835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45835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45835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45835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45835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45835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45835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45835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45835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45835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45835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45835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45835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45835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45835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45835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45835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45835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45835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45835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45835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45835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45835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45835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45835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45835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45835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45835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45835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45835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45835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45835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45835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45835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45835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45835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45835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45835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45835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45835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45835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45835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45835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45835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45835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45835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45835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45835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45835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45835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45835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45835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45835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45835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45835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45835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45835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45835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45835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45835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45835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45835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45835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45835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45835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45835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45835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45835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45835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45835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45835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45835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45835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45835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45835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45835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45835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45835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45835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45835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45835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45835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45835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45835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45835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45835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45835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45835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45835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45835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45835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45835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45835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45835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45835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45835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45835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45835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45835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45835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45835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45835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45835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45835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45835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45835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45835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45835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45835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45835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45835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45835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45835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45835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45835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45835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45835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45835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45835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45835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45835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45835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45835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45835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45835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45835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45835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45835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45835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45835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45835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45835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45835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45835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45835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45835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45835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45835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45835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45835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45835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45835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45835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45835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45835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45835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45835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45835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45835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45835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45835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45835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45835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45835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45835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45835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45835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45835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45835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45835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45835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45835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45835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45835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45835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45835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45835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45835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45835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45835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45835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45835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45835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45835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45835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45835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45835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45835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45835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45835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45835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45835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45835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45835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45835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45835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45835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45835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45835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45835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45835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45835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45835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45835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45835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45835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45835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45835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45835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45835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45835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45835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45835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45835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45835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45835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45835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45835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45835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45835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45835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45835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45835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45835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45835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45835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45835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45835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45835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45835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45835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45835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45835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45835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45835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45835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45835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45835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45835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45835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45835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45835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45835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45835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45835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45835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45835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45835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45835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45835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45835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45835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45835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45835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45835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45835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45835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45835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45835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45835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45835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45835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45835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45835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45835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45835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45835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45835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45835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45835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45835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45835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45835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45835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45835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45835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45835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45835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45835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45835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45835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45835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45835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45835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45835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45835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45835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45835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45835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45835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45835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45835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45835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45835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45835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45835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45835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45835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45835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45835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45835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45835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45835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45835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45835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45835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45835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45835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45835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45835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45835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45835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45835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45835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45835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45835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45835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45835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45835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45835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45835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45835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45835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45835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45835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45835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45835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45835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45835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45835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45835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45835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45835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45835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45835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45835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45835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45835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45835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45835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45835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45835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45835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45835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45835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45835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45835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45835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45835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45835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45835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45835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45835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45835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45835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45835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45835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45835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45835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45835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45835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45835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45835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45835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45835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45835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45835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45835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45835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45835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45835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45835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45835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45835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45835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45835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45835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45835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45835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45835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45835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45835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45835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45835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45835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45835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45835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45835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45835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45835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45835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45835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45835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45835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45835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45835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45835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45835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45835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45835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45835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45835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45835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45835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45835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45835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45835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45835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45835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45835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45835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45835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45835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45835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45835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45835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45835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45835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45835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45835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45835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45835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45835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45835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45835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45835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45835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45835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45835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45835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45835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45835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45835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45835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45835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45835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45835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45835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45835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45835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45835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45835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45835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45835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45835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45835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45835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45835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45835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45835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45835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45835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45835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45835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45835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45835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45835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45835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45835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45835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45835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45835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45835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45835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45835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45835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45835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45835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45835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45835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45835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45835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45835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45835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45835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45835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45835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45835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45835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45835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45835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45835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45835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45835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45835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45835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45835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45835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45835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45835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45835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45835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45835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45835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45835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45835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45835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45835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45835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45835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45835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45835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45835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45835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45835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45835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45835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45835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45835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45835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45835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45835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45835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45835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45835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45835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45835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45835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45835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45835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45835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45835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45835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45835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45835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45835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45835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45835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45835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45835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45835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45835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45835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45835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45835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45835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45835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45835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45835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45835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45835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45835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45835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45835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45835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45835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45835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45835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45835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45835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45835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45835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45835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45835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45835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45835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45835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45835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45835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45835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45835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45835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45835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45835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45835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45835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45835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45835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45835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45835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45835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45835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45835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45835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45835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45835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45835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45835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45835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45835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45835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45835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45835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45835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45835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45835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45835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45835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45835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45835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45835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45835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45835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45835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45835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45835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45835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45835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45835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45835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45835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45835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45835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45835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45835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45835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45835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45835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45835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45835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45835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45835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45835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45835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45835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45835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45835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45835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45835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45835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45835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45835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45835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45835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45835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45835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45835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45835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45835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45835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45835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45835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45835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45835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45835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45835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45835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45835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45835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45835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45835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45835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45835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45835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45835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45835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45835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45835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45835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45835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45835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45835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45835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45835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45835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45835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45835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45835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45835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45835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45835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45835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45835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45835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45835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45835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45835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45835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45835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45835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45835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45835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45835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45835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45835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45835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45835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45835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45835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45835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45835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45835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45835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45835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45835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45835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45835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45835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45835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45835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45835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45835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45835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45835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45835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45835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45835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45835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45835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45835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45835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45835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45835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45835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45835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45835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45835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45835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45835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45835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45835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45835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45835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45835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45835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45835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45835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45835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45835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45835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45835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45835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45835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45835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45835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45835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45835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45835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45835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45835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45835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45835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45835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45835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45835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45835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45835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45835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45835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45835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45835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45835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45835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45835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45835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45835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45835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45835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45835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45835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45835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45835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45835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45835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45835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45835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45835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45835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45835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45835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45835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45835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45835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45835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45835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45835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45835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45835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45835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45835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45835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45835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45835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45835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45835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45835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45835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45835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45835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45835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45835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45835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45835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45835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45835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45835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45835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45835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45835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45835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45835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45835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45835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45835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45835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45835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45835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45835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45835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45835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45835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45835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45835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45835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45835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45835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45835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45835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45835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45835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45835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45835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45835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45835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45835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45835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45835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45835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45835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45835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45835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45835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45835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45835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45835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45835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45835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45835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45835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45835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45835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45835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45835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45835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45835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45835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45835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45835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45835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45835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45835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45835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45835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45835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45835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45835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45835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45835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45835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45835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45835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45835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45835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45835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45835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45835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45835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45835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45835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45835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45835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45835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45835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45835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45835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45835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45835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45835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45835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45835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45835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45835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45835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45835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45835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45835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45835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45835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45835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45835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45835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45835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45835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45835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45835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45835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45835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45835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45835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45835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45835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45835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45835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45835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45835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45835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45835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45835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45835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45835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45835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45835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45835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45835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45835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45835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45835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45835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45835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45835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45835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45835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45835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45835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45835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45835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45835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45835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45835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45835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45835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45835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45835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45835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45835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45835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45835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45835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45835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45835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45835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45835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45835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45835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45835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45835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45835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45835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45835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45835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45835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45835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45835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45835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45835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45835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45835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45835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45835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45835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45835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45835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45835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45835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45835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45835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45835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45835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45835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45835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45835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45835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45835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45835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45835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45835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45835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45835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45835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45835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45835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45835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45835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45835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45835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45835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45835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45835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45835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45835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45835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45835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45835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45835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45835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45835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45835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45835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45835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45835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45835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45835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45835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45835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45835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45835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45835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45835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45835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45835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45835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45835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45835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45835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45835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45835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45835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45835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45835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45835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45835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45835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45835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45835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45835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45835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45835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45835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45835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45835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45835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45835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45835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45835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45835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45835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45835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45835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45835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45835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45835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45835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45835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45835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45835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45835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45835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45835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45835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45835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45835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45835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45835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45835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45835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45835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45835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45835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45835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45835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45835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45835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45835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45835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45835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45835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45835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45835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45835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45835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45835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45835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45835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45835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45835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45835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45835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45835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45835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45835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45835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45835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45835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45835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45835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45835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45835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45835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45835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45835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45835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45835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45835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45835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45835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45835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45835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45835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45835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45835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45835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45835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45835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45835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45835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45835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45835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45835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45835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45835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45835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45835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45835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45835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45835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45835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45835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45835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45835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45835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45835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45835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45835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45835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45835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45835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45835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45835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45835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45835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45835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45835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45835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45835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45835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45835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45835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45835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45835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45835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45835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45835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45835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45835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45835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45835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45835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45835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45835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45835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45835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45835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45835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45835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45835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45835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45835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45835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45835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45835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45835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45835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45835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45835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45835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45835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45835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45835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45835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45835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45835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45835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45835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45835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45835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45835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45835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45835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45835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45835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45835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45835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45835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45835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45835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45835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45835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45835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45835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45835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45835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45835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45835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45835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45835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45835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45835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45835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45835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45835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45835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45835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45835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45835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45835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45835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45835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45835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45835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45835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45835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45835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45835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45835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45835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45835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45835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45835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45835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45835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45835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45835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45835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45835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45835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45835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45835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45835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45835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45835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45835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45835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45835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45835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45835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45835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45835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45835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45835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45835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45835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45835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45835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45835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45835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45835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45835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45835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45835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45835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45835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45835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45835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45835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45835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45835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45835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45835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45835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45835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45835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45835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45835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45835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45835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45835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45835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45835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45835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45835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45835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45835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45835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45835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45835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45835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45835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45835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45835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45835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45835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45835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45835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45835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45835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45835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45835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45835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45835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45835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45835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45835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45835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45835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45835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45835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45835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45835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45835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45835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45835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45835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45835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45835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45835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45835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45835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45835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45835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45835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45835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45835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45835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45835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45835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45835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45835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45835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45835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45835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45835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45835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45835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45835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45835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45835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45835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45835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45835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45835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45835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45835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45835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45835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45835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45835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45835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45835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45835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45835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45835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45835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45835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45835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45835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45835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45835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45835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45835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45835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45835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45835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45835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45835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45835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45835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45835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45835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45835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45835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45835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45835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45835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45835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45835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45835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45835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45835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45835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45835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45835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45835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45835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45835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45835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45835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45835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45835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45835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45835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45835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45835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45835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45835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45835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45835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45835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45835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45835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45835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45835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45835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45835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45835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45835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45835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45835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45835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45835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45835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45835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45835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45835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45835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45835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45835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45835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45835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45835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45835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45835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45835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45835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45835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45835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45835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45835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45835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45835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45835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45835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45835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45835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45835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45835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45835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45835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45835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45835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45835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45835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45835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45835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45835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45835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45835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45835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45835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45835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45835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45835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45835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45835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45835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45835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45835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45835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45835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45835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45835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45835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45835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45835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45835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45835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45835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45835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45835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45835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45835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45835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45835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45835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45835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45835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45835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45835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45835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45835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45835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45835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45835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45835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45835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45835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45835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45835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45835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45835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45835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45835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45835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45835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45835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45835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45835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45835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45835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45835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45835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45835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45835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45835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45835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45835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45835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45835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45835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45835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45835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45835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45835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45835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45835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45835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45835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45835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45835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45835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45835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45835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45835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45835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45835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45835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45835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45835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45835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45835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45835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45835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45835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45835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45835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45835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45835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45835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45835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45835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45835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45835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45835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45835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45835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45835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45835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45835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45835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45835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45835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45835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45835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45835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45835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45835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45835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45835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45835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45835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45835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45835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45835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45835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45835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45835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45835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45835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45835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45835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45835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45835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45835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45835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45835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45835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45835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45835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45835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45835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45835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45835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45835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45835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45835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45835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45835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45835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45835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45835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45835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45835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45835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45835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45835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45835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45835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45835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45835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45835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45835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45835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45835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45835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45835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45835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45835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45835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45835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45835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45835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45835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45835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45835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45835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45835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45835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45835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45835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45835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45835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45835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45835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45835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45835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45835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45835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45835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45835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45835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45835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45835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45835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45835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45835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45835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45835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45835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45835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45835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45835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45835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45835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45835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45835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45835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45835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45835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45835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45835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45835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45835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45835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45835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45835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45835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45835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45835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45835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45835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45835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45835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45835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45835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45835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45835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45835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45835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45835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45835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45835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45835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45835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45835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45835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45835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45835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45835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45835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45835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45835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45835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45835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45835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45835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45835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45835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45835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45835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45835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45835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45835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45835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45835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45835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45835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45835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45835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45835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45835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45835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45835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45835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45835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45835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45835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45835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45835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45835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45835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45835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45835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45835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45835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45835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45835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45835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45835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45835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45835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45835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45835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45835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45835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45835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45835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45835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45835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45835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45835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45835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45835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45835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45835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45835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45835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45835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45835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45835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45835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45835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45835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45835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45835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45835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45835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45835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45835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45835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45835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45835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45835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45835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45835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45835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45835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45835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45835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45835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45835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45835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45835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45835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45835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45835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45835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45835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45835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45835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45835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45835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45835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45835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45835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45835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45835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45835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45835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45835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45835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45835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45835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45835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45835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45835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45835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45835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45835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45835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45835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45835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45835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45835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45835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45835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45835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45835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45835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45835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45835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45835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45835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45835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45835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45835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45835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45835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45835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45835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45835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45835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45835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45835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45835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45835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45835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45835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45835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45835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45835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45835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45835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45835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45835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45835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45835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45835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45835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45835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45835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45835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45835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45835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45835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45835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45835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45835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45835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45835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45835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45835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45835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45835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45835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45835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45835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45835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45835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45835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45835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45835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45835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45835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45835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45835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45835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45835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45835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45835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45835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45835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45835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45835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45835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45835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45835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45835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45835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45835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45835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45835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45835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45835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45835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45835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45835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45835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45835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45835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45835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45835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45835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45835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45835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45835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45835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45835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45835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45835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45835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45835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45835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45835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45835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45835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45835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45835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45835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45835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45835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45835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45835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45835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45835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45835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45835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45835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45835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45835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45835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45835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45835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45835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45835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45835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45835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45835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45835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45835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45835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45835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45835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45835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45835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45835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45835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45835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45835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45835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45835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45835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45835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45835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45835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45835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45835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45835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45835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45835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45835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45835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45835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45835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45835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45835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45835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45835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45835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45835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45835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45835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45835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45835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45835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45835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45835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45835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45835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45835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45835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45835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45835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45835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45835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45835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45835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45835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45835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45835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45835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45835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45835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45835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45835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45835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45835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45835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45835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45835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45835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45835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45835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45835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45835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45835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45835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45835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45835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45835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45835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45835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45835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45835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45835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45835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45835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45835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45835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45835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45835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45835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45835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45835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45835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45835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45835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45835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45835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45835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45835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45835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45835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45835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45835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45835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45835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45835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45835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45835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45835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45835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45835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45835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45835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45835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45835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45835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45835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45835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45835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45835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45835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45835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45835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45835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45835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45835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45835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45835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45835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45835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45835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45835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45835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45835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45835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45835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45835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45835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45835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45835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45835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45835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45835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45835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45835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45835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45835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45835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45835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45835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45835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45835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45835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45835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45835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45835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45835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45835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45835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45835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45835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45835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45835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45835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45835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45835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45835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45835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45835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45835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45835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45835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45835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45835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45835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45835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45835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45835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45835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45835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45835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45835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45835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45835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45835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45835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45835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45835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45835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45835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45835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45835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45835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45835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45835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45835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45835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45835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45835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45835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45835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45835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45835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45835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45835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45835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45835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45835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45835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45835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45835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45835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45835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45835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45835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45835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45835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45835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45835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45835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45835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45835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45835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45835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45835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45835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45835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45835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45835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45835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45835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45835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45835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45835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45835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45835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45835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45835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45835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45835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45835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45835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45835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45835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45835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45835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45835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45835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45835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45835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45835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45835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45835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45835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45835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45835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45835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45835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45835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45835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45835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45835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45835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45835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45835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45835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45835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45835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45835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45835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45835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45835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45835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45835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45835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45835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45835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45835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45835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45835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45835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45835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45835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45835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45835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45835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45835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45835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45835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45835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45835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45835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45835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45835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45835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45835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45835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45835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45835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45835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45835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45835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45835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45835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45835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45835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45835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45835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45835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45835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45835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45835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45835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45835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45835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45835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45835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45835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45835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45835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45835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45835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45835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45835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45835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45835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45835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45835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45835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45835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45835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45835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45835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45835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45835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45835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45835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45835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45835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45835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45835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45835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45835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45835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45835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45835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45835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45835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45835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45835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45835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45835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45835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45835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45835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45835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45835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45835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45835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45835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45835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45835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45835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45835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45835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45835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45835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45835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45835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45835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45835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45835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45835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45835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45835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45835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45835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45835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45835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45835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45835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45835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45835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45835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45835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45835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45835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45835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45835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45835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45835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45835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45835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45835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45835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45835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45835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45835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45835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45835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45835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45835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45835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45835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45835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45835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45835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45835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45835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45835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45835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45835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45835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45835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45835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45835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45835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45835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45835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45835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45835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45835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45835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45835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45835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45835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45835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45835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45835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45835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45835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45835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45835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45835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45835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45835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45835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45835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45835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45835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45835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45835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45835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45835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45835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45835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45835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45835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45835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45835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45835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45835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45835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45835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45835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45835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45835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45835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45835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45835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45835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45835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45835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45835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45835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45835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45835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45835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45835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45835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45835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45835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45835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45835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45835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45835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45835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45835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45835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45835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45835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45835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45835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45835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45835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45835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45835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45835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45835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45835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45835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45835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45835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45835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45835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45835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45835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45835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45835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45835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45835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45835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45835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45835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45835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45835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45835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45835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45835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45835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45835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45835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45835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45835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45835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45835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45835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45835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45835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45835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45835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45835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45835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45835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45835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45835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45835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45835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45835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45835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45835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45835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45835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45835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45835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45835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45835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45835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45835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45835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45835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45835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45835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45835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45835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45835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45835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45835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45835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45835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45835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45835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45835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45835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45835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45835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45835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45835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45835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45835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45835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45835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45835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45835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45835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45835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45835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45835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45835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45835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45835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45835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45835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45835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45835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45835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45835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45835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45835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45835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45835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45835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45835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45835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45835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45835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45835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45835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45835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45835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45835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45835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45835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45835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45835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45835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45835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45835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45835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45835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45835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45835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45835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45835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45835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45835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45835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45835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45835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45835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45835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45835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45835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45835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45835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45835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45835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45835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45835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45835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45835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45835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45835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45835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45835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45835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45835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45835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45835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45835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45835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45835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45835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45835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45835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45835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45835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45835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45835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45835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45835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45835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45835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45835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45835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45835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45835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45835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45835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45835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45835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45835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45835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45835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45835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45835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45835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45835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45835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45835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45835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45835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45835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45835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45835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45835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45835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45835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45835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45835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45835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45835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45835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45835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45835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45835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45835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45835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45835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45835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45835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45835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45835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45835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45835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45835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45835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45835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45835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45835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45835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45835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45835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45835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45835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45835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45835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45835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45835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45835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45835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45835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45835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45835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45835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45835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45835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45835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45835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45835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45835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45835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45835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45835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45835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45835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45835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45835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45835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45835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45835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45835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45835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45835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45835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45835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45835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45835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45835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45835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45835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45835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45835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45835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45835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45835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45835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45835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45835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45835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45835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45835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45835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45835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45835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45835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45835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45835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45835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45835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45835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45835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45835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45835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45835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45835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45835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45835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45835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45835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45835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45835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45835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45835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45835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45835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45835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45835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45835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45835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45835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45835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45835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45835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45835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45835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45835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45835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45835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45835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45835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45835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45835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45835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45835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45835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45835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45835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45835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45835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45835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45835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45835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45835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45835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45835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45835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45835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45835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45835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45835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45835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45835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45835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45835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45835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45835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45835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45835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45835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45835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45835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45835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45835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45835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45835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45835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45835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45835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45835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45835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45835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45835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45835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45835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45835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45835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45835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45835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45835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45835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45835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45835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45835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45835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45835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45835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45835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45835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45835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45835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45835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45835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45835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45835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45835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45835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45835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45835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45835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45835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45835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45835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45835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45835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45835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45835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45835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45835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45835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45835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45835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45835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45835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45835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45835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45835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45835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45835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45835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45835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45835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45835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45835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45835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45835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45835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45835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45835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45835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45835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45835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45835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45835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45835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45835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45835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45835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45835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45835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45835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45835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45835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45835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45835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45835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45835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45835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45835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45835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45835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45835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45835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45835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45835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45835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45835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45835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45835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45835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45835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45835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45835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45835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45835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45835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45835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45835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45835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45835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45835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45835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45835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45835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45835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45835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45835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45835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45835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45835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45835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45835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45835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45835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45835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45835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45835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45835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45835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45835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45835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45835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45835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45835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45835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45835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45835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45835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45835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45835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45835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45835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45835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45835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45835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45835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45835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45835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45835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45835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45835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45835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45835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45835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45835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45835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45835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45835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45835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45835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45835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45835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45835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45835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45835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45835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45835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45835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45835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45835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45835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45835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45835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45835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45835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45835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45835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45835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45835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45835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45835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45835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45835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45835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45835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45835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45835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45835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45835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45835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45835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45835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45835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45835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45835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45835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45835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45835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45835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45835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45835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45835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45835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45835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45835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45835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45835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45835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45835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45835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45835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45835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45835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45835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45835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45835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45835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45835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45835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45835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45835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45835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45835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45835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45835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45835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45835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45835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45835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45835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45835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45835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45835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45835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45835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45835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45835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45835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45835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45835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45835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45835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45835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45835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45835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45835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45835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45835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45835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45835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45835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45835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45835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45835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45835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45835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45835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45835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45835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45835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45835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45835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45835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45835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45835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45835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45835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45835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45835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45835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45835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45835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45835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45835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45835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45835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45835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45835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45835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45835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45835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45835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45835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45835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45835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45835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45835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45835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45835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45835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45835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45835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45835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45835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45835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45835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45835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45835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45835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45835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45835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45835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45835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45835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45835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45835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45835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45835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45835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45835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45835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45835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45835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45835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45835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45835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45835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45835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45835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45835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45835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45835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45835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45835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45835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45835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45835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45835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45835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45835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45835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45835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45835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45835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45835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45835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45835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45835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45835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45835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45835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45835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45835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45835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45835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45835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45835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45835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45835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45835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45835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45835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45835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45835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45835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45835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45835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45835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45835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45835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45835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45835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45835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45835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45835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45835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45835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45835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45835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45835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45835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45835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45835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45835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45835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45835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45835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45835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45835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45835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45835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45835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45835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45835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45835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45835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45835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45835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45835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45835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45835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45835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45835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45835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45835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45835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45835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45835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45835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45835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45835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45835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45835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45835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45835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45835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45835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45835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45835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45835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45835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45835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45835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45835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45835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45835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45835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45835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45835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45835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45835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45835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45835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45835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45835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45835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45835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45835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45835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45835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45835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45835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45835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45835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45835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45835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45835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45835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45835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45835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45835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45835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45835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45835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45835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45835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45835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45835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45835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45835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45835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45835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45835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45835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45835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45835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45835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45835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45835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45835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45835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45835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45835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45835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45835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45835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45835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45835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45835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45835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45835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45835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45835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45835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45835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45835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45835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45835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45835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45835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45835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45835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45835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45835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45835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45835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45835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45835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45835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45835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45835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45835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45835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45835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45835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45835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45835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45835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45835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45835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45835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45835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45835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45835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45835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45835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45835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45835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45835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45835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45835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45835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45835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45835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45835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45835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45835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45835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45835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45835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45835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45835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45835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45835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45835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45835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45835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45835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45835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45835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45835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45835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45835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45835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45835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45835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45835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45835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45835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45835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45835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45835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45835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45835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45835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45835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45835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45835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45835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45835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45835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45835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45835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45835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45835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45835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45835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45835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45835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45835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45835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45835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45835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45835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45835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45835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45835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45835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45835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45835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45835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45835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45835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45835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45835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45835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45835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45835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45835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45835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45835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45835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45835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45835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45835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45835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45835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45835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45835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45835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45835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45835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45835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45835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45835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45835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45835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45835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45835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45835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45835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45835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45835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45835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45835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45835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45835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45835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45835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45835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45835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45835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45835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45835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45835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45835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45835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45835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45835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45835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45835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45835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45835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45835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45835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45835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45835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45835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45835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45835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45835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45835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45835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45835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45835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45835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45835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45835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45835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45835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45835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45835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45835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45835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45835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45835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45835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45835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45835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45835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45835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45835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45835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45835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45835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45835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45835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45835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45835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45835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45835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45835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45835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45835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45835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45835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45835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45835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45835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45835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45835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45835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45835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45835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45835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45835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45835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45835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45835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45835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45835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45835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45835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45835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45835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45835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45835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45835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45835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45835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45835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45835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45835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45835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45835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45835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45835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45835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45835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45835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45835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45835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45835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45835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45835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45835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45835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45835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45835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45835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45835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45835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45835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45835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45835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45835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45835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45835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45835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45835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45835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45835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45835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45835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45835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45835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45835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45835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45835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45835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45835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45835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45835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45835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45835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45835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45835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45835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45835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45835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45835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45835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45835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45835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45835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45835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45835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45835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45835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45835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45835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45835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45835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45835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45835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45835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45835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45835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45835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45835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45835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45835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45835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45835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45835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45835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45835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45835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45835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45835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45835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45835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45835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45835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45835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45835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45835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45835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45835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45835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45835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45835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45835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45835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45835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45835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45835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45835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45835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45835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45835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45835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45835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45835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45835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45835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45835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45835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45835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45835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45835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45835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45835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45835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45835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45835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45835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45835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45835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45835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45835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45835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45835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45835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45835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45835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45835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45835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45835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45835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45835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45835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45835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45835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45835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45835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45835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45835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45835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45835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45835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45835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45835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45835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45835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45835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45835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45835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45835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45835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45835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45835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45835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45835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45835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45835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45835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45835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45835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45835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45835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45835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45835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45835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45835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45835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45835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45835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45835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45835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45835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45835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45835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45835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45835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45835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45835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45835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45835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45835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45835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45835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45835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45835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45835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45835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45835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45835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45835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45835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45835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45835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45835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45835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45835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45835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45835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45835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45835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45835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45835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45835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45835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45835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45835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45835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45835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45835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45835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45835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45835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45835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45835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45835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45835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45835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45835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45835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45835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45835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45835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45835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45835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45835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45835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45835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45835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45835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45835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45835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45835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45835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45835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45835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45835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45835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45835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45835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45835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45835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45835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45835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45835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45835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45835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45835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45835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45835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45835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45835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45835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45835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45835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45835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45835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45835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45835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45835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45835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45835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45835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45835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45835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45835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45835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45835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45835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45835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45835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45835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45835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45835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45835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45835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45835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45835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45835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45835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45835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45835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45835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45835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45835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45835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45835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45835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45835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45835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45835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45835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45835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45835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45835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45835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45835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45835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45835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45835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45835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45835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45835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45835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45835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45835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45835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45835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45835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45835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45835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45835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45835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45835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45835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45835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45835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45835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45835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45835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45835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45835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45835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45835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45835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45835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45835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45835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45835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45835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45835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45835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45835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45835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45835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45835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45835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45835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45835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45835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45835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45835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45835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45835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45835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45835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45835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45835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45835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45835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45835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45835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45835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45835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45835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45835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45835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45835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45835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45835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45835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45835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45835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45835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45835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45835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45835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45835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45835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45835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45835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45835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45835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45835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45835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45835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45835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45835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45835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45835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45835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45835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45835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45835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45835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45835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45835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45835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45835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45835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45835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45835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45835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45835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45835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45835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45835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45835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45835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45835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45835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45835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45835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45835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45835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45835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45835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45835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45835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45835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45835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45835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45835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45835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45835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45835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45835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45835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45835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45835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45835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45835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45835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45835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45835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45835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45835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45835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45835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45835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45835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45835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45835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45835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45835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45835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45835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45835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45835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45835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45835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45835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45835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45835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45835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45835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45835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45835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45835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45835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45835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45835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45835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45835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45835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45835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45835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45835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45835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45835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45835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45835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45835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45835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45835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45835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45835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45835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45835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45835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45835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45835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45835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45835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45835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45835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45835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45835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45835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45835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45835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45835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45835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45835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45835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45835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45835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45835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45835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45835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45835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45835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45835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45835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45835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45835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45835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45835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45835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45835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45835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45835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45835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45835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45835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45835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45835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45835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45835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45835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45835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45835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45835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45835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45835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45835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45835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45835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45835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45835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45835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45835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45835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45835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45835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45835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45835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45835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45835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45835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45835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45835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45835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45835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45835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45835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45835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45835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45835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45835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45835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45835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45835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45835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45835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45835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45835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45835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45835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45835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45835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45835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45835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45835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45835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45835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45835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45835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45835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45835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45835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45835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45835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45835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45835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45835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45835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45835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45835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45835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45835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45835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45835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45835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45835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45835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45835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45835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45835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45835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45835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45835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45835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45835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45835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45835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45835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45835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45835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45835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45835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45835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45835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45835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45835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45835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45835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45835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45835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45835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45835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45835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45835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45835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45835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45835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45835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45835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45835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45835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45835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45835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45835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45835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45835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45835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45835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45835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45835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45835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45835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45835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45835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45835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45835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45835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45835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45835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45835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45835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45835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45835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45835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45835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45835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45835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45835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45835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45835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45835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45835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45835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45835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45835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45835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45835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45835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45835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45835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45835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45835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45835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45835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45835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45835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45835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45835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45835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45835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45835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45835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45835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45835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45835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45835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45835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45835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45835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45835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45835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45835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45835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45835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45835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45835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45835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45835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45835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45835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45835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45835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45835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45835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45835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45835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45835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45835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45835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45835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45835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45835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45835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45835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45835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45835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45835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45835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45835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45835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45835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45835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45835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45835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45835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45835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45835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45835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45835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45835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45835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45835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45835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45835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45835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45835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45835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45835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45835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45835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45835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45835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45835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45835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45835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45835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45835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45835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45835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45835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45835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45835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45835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45835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45835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45835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45835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45835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45835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45835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45835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45835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45835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45835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45835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45835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45835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45835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45835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45835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45835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45835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45835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45835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45835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45835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45835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45835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45835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45835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45835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45835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45835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45835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45835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45835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45835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45835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45835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45835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45835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45835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45835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45835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45835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45835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45835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45835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45835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45835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45835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45835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45835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45835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45835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45835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45835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45835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45835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45835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45835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45835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45835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45835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45835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45835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45835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45835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45835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45835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45835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45835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45835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45835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45835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45835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45835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45835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45835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45835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45835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45835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45835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45835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45835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45835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45835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45835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45835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45835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45835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45835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45835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45835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45835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45835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45835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45835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45835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45835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45835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45835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45835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45835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45835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45835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45835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45835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45835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45835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45835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45835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45835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45835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45835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45835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45835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45835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45835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45835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45835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45835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45835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45835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45835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45835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45835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45835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45835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45835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45835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45835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45835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45835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45835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45835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45835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45835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45835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45835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45835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45835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45835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45835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45835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45835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45835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45835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45835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45835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45835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45835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45835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45835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45835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45835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45835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45835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45835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45835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45835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45835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45835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45835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45835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45835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45835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45835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45835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45835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45835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45835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45835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45835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45835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45835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45835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45835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45835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45835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45835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45835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45835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45835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45835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45835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45835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45835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45835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45835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45835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45835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45835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45835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45835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45835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45835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45835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45835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45835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45835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45835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45835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45835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45835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45835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45835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45835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45835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45835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45835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45835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45835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45835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45835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45835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45835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45835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45835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45835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45835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45835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45835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45835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45835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45835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45835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45835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45835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45835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45835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45835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45835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45835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45835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45835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45835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45835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45835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45835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45835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45835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45835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45835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45835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45835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45835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45835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45835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45835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45835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45835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45835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45835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45835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45835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45835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45835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45835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45835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45835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45835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45835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45835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45835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45835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45835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45835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45835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45835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45835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45835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45835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45835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45835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45835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45835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45835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45835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45835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45835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45835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45835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45835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45835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45835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45835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45835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45835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45835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45835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45835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45835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45835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45835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45835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45835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45835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45835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45835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45835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45835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45835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45835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45835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45835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45835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45835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45835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45835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45835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45835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45835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45835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45835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45835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45835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45835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45835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45835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45835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45835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45835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45835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45835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45835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45835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45835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45835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45835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45835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45835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45835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45835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45835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45835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45835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45835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45835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45835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45835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45835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45835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45835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45835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45835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45835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45835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45835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45835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45835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45835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45835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45835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45835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45835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45835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45835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45835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45835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45835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45835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45835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45835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45835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45835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45835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45835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45835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45835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45835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45835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45835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45835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45835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45835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45835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45835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45835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45835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45835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45835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45835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45835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45835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45835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45835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45835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45835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45835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45835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45835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45835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45835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45835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45835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45835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45835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45835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45835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45835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45835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45835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45835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45835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45835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45835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45835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45835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45835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45835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45835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45835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45835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45835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45835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45835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45835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45835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45835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45835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45835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45835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45835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45835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45835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45835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45835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45835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45835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45835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45835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45835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45835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45835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45835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45835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45835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45835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45835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45835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45835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45835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45835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45835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45835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45835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45835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45835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45835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45835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45835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45835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45835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45835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45835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45835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45835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45835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45835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45835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45835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45835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45835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45835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45835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45835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45835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45835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45835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45835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45835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45835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45835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45835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45835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45835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45835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45835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45835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45835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45835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45835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45835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45835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45835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45835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45835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45835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45835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45835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45835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45835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45835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45835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45835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45835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45835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45835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45835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45835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45835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45835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45835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45835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45835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45835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45835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45835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45835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45835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45835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45835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45835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45835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45835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45835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45835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45835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45835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45835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45835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45835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45835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45835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45835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45835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45835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45835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45835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45835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45835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45835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45835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45835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45835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45835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45835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45835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45835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45835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45835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45835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45835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45835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45835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45835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45835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45835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45835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45835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45835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45835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45835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45835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45835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45835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45835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45835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45835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45835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45835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45835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45835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45835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45835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45835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45835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45835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45835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45835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45835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45835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45835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45835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45835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45835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45835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45835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45835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45835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45835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45835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45835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45835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45835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45835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45835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45835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45835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45835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45835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45835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45835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45835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45835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45835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45835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45835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45835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45835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45835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45835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45835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45835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45835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45835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45835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45835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45835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45835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45835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45835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45835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45835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45835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45835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45835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45835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45835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45835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45835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45835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45835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45835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45835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45835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45835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45835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45835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45835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45835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45835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45835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45835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45835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45835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45835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45835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45835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45835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45835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45835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45835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45835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45835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45835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45835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45835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45835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45835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45835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45835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45835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45835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45835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45835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45835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45835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45835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45835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45835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45835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45835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45835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45835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45835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45835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45835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45835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45835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45835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45835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45835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45835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45835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45835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45835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45835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45835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45835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45835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45835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45835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45835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45835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45835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45835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45835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45835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45835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45835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45835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45835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45835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45835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45835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45835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45835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45835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45835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45835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45835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45835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45835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45835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45835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45835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45835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45835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45835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45835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45835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45835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45835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45835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45835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45835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45835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45835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45835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45835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45835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45835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45835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45835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45835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45835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45835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45835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45835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45835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45835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45835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45835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45835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45835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45835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45835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45835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45835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45835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45835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45835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45835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45835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45835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45835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45835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45835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45835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45835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45835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45835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45835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45835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45835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45835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45835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45835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45835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45835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45835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45835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45835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45835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45835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45835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45835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45835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45835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45835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45835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45835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45835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45835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45835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45835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45835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45835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45835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45835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45835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45835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45835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45835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45835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45835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45835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45835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45835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45835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45835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45835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45835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45835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45835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45835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45835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45835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45835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45835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45835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45835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45835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45835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45835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45835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45835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45835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45835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45835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45835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45835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45835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45835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45835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45835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45835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45835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45835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45835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45835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45835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45835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45835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45835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45835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45835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45835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45835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45835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45835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45835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45835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45835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45835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45835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45835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45835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45835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45835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45835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45835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45835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45835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45835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45835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45835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45835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45835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45835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45835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45835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45835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45835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45835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45835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45835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45835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45835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45835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45835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45835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45835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45835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45835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45835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45835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45835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45835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45835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45835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45835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45835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45835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45835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45835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45835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45835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45835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45835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45835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45835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45835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45835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45835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45835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45835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45835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45835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45835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45835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45835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45835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45835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45835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45835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45835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45835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45835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45835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45835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45835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45835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45835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45835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45835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45835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45835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45835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45835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45835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45835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45835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45835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45835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45835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45835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45835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45835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45835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45835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45835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45835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45835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45835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45835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45835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45835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45835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45835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45835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45835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45835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45835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45835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45835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45835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45835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45835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45835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45835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45835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45835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45835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45835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45835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45835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45835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45835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45835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45835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45835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45835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45835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45835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45835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45835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45835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45835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45835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45835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45835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45835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45835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45835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45835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45835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45835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45835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45835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45835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45835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45835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45835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45835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45835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45835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45835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45835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45835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45835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45835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45835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45835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45835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45835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45835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45835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45835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45835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45835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45835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45835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45835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45835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45835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45835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45835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45835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45835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45835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45835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45835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45835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45835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45835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45835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45835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45835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45835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45835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45835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45835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45835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45835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45835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45835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45835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45835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45835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45835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45835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45835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45835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45835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45835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45835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45835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45835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45835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45835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45835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45835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45835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45835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45835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45835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45835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45835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45835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45835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45835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45835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45835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45835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45835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45835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45835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45835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45835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45835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45835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45835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45835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45835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45835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45835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45835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45835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45835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45835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45835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45835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45835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45835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45835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45835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45835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45835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45835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45835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45835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45835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45835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45835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45835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45835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45835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45835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45835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45835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45835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45835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45835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45835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45835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45835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45835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45835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45835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45835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45835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45835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45835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45835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45835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45835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45835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26737-2025</t>
        </is>
      </c>
      <c r="B10750" s="1" t="n">
        <v>45810</v>
      </c>
      <c r="C10750" s="1" t="n">
        <v>45835</v>
      </c>
      <c r="D10750" t="inlineStr">
        <is>
          <t>KRONOBERGS LÄN</t>
        </is>
      </c>
      <c r="E10750" t="inlineStr">
        <is>
          <t>ÄLMHULT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26840-2025</t>
        </is>
      </c>
      <c r="B10751" s="1" t="n">
        <v>45810</v>
      </c>
      <c r="C10751" s="1" t="n">
        <v>45835</v>
      </c>
      <c r="D10751" t="inlineStr">
        <is>
          <t>KRONOBERGS LÄN</t>
        </is>
      </c>
      <c r="E10751" t="inlineStr">
        <is>
          <t>MARKARYD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26692-2025</t>
        </is>
      </c>
      <c r="B10752" s="1" t="n">
        <v>45810</v>
      </c>
      <c r="C10752" s="1" t="n">
        <v>45835</v>
      </c>
      <c r="D10752" t="inlineStr">
        <is>
          <t>KRONOBERGS LÄN</t>
        </is>
      </c>
      <c r="E10752" t="inlineStr">
        <is>
          <t>LESSEBO</t>
        </is>
      </c>
      <c r="G10752" t="n">
        <v>3.5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45835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45835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45835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45835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45835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45835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26975-2025</t>
        </is>
      </c>
      <c r="B10759" s="1" t="n">
        <v>45811</v>
      </c>
      <c r="C10759" s="1" t="n">
        <v>45835</v>
      </c>
      <c r="D10759" t="inlineStr">
        <is>
          <t>KRONOBERGS LÄN</t>
        </is>
      </c>
      <c r="E10759" t="inlineStr">
        <is>
          <t>LJUNGBY</t>
        </is>
      </c>
      <c r="G10759" t="n">
        <v>5.5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26983-2025</t>
        </is>
      </c>
      <c r="B10760" s="1" t="n">
        <v>45811</v>
      </c>
      <c r="C10760" s="1" t="n">
        <v>45835</v>
      </c>
      <c r="D10760" t="inlineStr">
        <is>
          <t>KRONOBERGS LÄN</t>
        </is>
      </c>
      <c r="E10760" t="inlineStr">
        <is>
          <t>TINGSRYD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45835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45835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45835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45835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45835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26936-2025</t>
        </is>
      </c>
      <c r="B10766" s="1" t="n">
        <v>45811</v>
      </c>
      <c r="C10766" s="1" t="n">
        <v>45835</v>
      </c>
      <c r="D10766" t="inlineStr">
        <is>
          <t>KRONOBERGS LÄN</t>
        </is>
      </c>
      <c r="E10766" t="inlineStr">
        <is>
          <t>LJUNGBY</t>
        </is>
      </c>
      <c r="G10766" t="n">
        <v>0.3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45835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26928-2025</t>
        </is>
      </c>
      <c r="B10768" s="1" t="n">
        <v>45811</v>
      </c>
      <c r="C10768" s="1" t="n">
        <v>45835</v>
      </c>
      <c r="D10768" t="inlineStr">
        <is>
          <t>KRONOBERGS LÄN</t>
        </is>
      </c>
      <c r="E10768" t="inlineStr">
        <is>
          <t>LJUNGBY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45835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27037-2025</t>
        </is>
      </c>
      <c r="B10770" s="1" t="n">
        <v>45811</v>
      </c>
      <c r="C10770" s="1" t="n">
        <v>45835</v>
      </c>
      <c r="D10770" t="inlineStr">
        <is>
          <t>KRONOBERGS LÄN</t>
        </is>
      </c>
      <c r="E10770" t="inlineStr">
        <is>
          <t>UPPVIDINGE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45835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26977-2025</t>
        </is>
      </c>
      <c r="B10772" s="1" t="n">
        <v>45811</v>
      </c>
      <c r="C10772" s="1" t="n">
        <v>45835</v>
      </c>
      <c r="D10772" t="inlineStr">
        <is>
          <t>KRONOBERGS LÄN</t>
        </is>
      </c>
      <c r="E10772" t="inlineStr">
        <is>
          <t>ALVESTA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45835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45835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45835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45835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45835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27423-2025</t>
        </is>
      </c>
      <c r="B10778" s="1" t="n">
        <v>45813</v>
      </c>
      <c r="C10778" s="1" t="n">
        <v>45835</v>
      </c>
      <c r="D10778" t="inlineStr">
        <is>
          <t>KRONOBERGS LÄN</t>
        </is>
      </c>
      <c r="E10778" t="inlineStr">
        <is>
          <t>ÄLMHULT</t>
        </is>
      </c>
      <c r="G10778" t="n">
        <v>5.5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27334-2025</t>
        </is>
      </c>
      <c r="B10779" s="1" t="n">
        <v>45812</v>
      </c>
      <c r="C10779" s="1" t="n">
        <v>45835</v>
      </c>
      <c r="D10779" t="inlineStr">
        <is>
          <t>KRONOBERGS LÄN</t>
        </is>
      </c>
      <c r="E10779" t="inlineStr">
        <is>
          <t>ÄLMHULT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45835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45835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45835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45835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27972-2025</t>
        </is>
      </c>
      <c r="B10784" s="1" t="n">
        <v>45817</v>
      </c>
      <c r="C10784" s="1" t="n">
        <v>45835</v>
      </c>
      <c r="D10784" t="inlineStr">
        <is>
          <t>KRONOBERGS LÄN</t>
        </is>
      </c>
      <c r="E10784" t="inlineStr">
        <is>
          <t>LJUNGBY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45835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45835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45835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45835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45835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45835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28227-2025</t>
        </is>
      </c>
      <c r="B10791" s="1" t="n">
        <v>45818</v>
      </c>
      <c r="C10791" s="1" t="n">
        <v>45835</v>
      </c>
      <c r="D10791" t="inlineStr">
        <is>
          <t>KRONOBERGS LÄN</t>
        </is>
      </c>
      <c r="E10791" t="inlineStr">
        <is>
          <t>LJUNGBY</t>
        </is>
      </c>
      <c r="G10791" t="n">
        <v>3.6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45835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45835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28334-2025</t>
        </is>
      </c>
      <c r="B10794" s="1" t="n">
        <v>45818</v>
      </c>
      <c r="C10794" s="1" t="n">
        <v>45835</v>
      </c>
      <c r="D10794" t="inlineStr">
        <is>
          <t>KRONOBERGS LÄN</t>
        </is>
      </c>
      <c r="E10794" t="inlineStr">
        <is>
          <t>LJUNGBY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28292-2025</t>
        </is>
      </c>
      <c r="B10795" s="1" t="n">
        <v>45818</v>
      </c>
      <c r="C10795" s="1" t="n">
        <v>45835</v>
      </c>
      <c r="D10795" t="inlineStr">
        <is>
          <t>KRONOBERGS LÄN</t>
        </is>
      </c>
      <c r="E10795" t="inlineStr">
        <is>
          <t>MARKARYD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28301-2025</t>
        </is>
      </c>
      <c r="B10796" s="1" t="n">
        <v>45818</v>
      </c>
      <c r="C10796" s="1" t="n">
        <v>45835</v>
      </c>
      <c r="D10796" t="inlineStr">
        <is>
          <t>KRONOBERGS LÄN</t>
        </is>
      </c>
      <c r="E10796" t="inlineStr">
        <is>
          <t>ÄLMHULT</t>
        </is>
      </c>
      <c r="G10796" t="n">
        <v>4.3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28174-2025</t>
        </is>
      </c>
      <c r="B10797" s="1" t="n">
        <v>45818</v>
      </c>
      <c r="C10797" s="1" t="n">
        <v>45835</v>
      </c>
      <c r="D10797" t="inlineStr">
        <is>
          <t>KRONOBERGS LÄN</t>
        </is>
      </c>
      <c r="E10797" t="inlineStr">
        <is>
          <t>VÄXJÖ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28171-2025</t>
        </is>
      </c>
      <c r="B10798" s="1" t="n">
        <v>45818</v>
      </c>
      <c r="C10798" s="1" t="n">
        <v>45835</v>
      </c>
      <c r="D10798" t="inlineStr">
        <is>
          <t>KRONOBERGS LÄN</t>
        </is>
      </c>
      <c r="E10798" t="inlineStr">
        <is>
          <t>VÄXJÖ</t>
        </is>
      </c>
      <c r="G10798" t="n">
        <v>19.3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28165-2025</t>
        </is>
      </c>
      <c r="B10799" s="1" t="n">
        <v>45818</v>
      </c>
      <c r="C10799" s="1" t="n">
        <v>45835</v>
      </c>
      <c r="D10799" t="inlineStr">
        <is>
          <t>KRONOBERGS LÄN</t>
        </is>
      </c>
      <c r="E10799" t="inlineStr">
        <is>
          <t>VÄXJÖ</t>
        </is>
      </c>
      <c r="G10799" t="n">
        <v>3.5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28335-2025</t>
        </is>
      </c>
      <c r="B10800" s="1" t="n">
        <v>45818</v>
      </c>
      <c r="C10800" s="1" t="n">
        <v>45835</v>
      </c>
      <c r="D10800" t="inlineStr">
        <is>
          <t>KRONOBERGS LÄN</t>
        </is>
      </c>
      <c r="E10800" t="inlineStr">
        <is>
          <t>LJUNGBY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45835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28665-2025</t>
        </is>
      </c>
      <c r="B10802" s="1" t="n">
        <v>45819</v>
      </c>
      <c r="C10802" s="1" t="n">
        <v>45835</v>
      </c>
      <c r="D10802" t="inlineStr">
        <is>
          <t>KRONOBERGS LÄN</t>
        </is>
      </c>
      <c r="E10802" t="inlineStr">
        <is>
          <t>ÄLMHULT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45835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45835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45835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28490-2025</t>
        </is>
      </c>
      <c r="B10806" s="1" t="n">
        <v>45819</v>
      </c>
      <c r="C10806" s="1" t="n">
        <v>45835</v>
      </c>
      <c r="D10806" t="inlineStr">
        <is>
          <t>KRONOBERGS LÄN</t>
        </is>
      </c>
      <c r="E10806" t="inlineStr">
        <is>
          <t>UPPVIDINGE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45835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45835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28795-2025</t>
        </is>
      </c>
      <c r="B10809" s="1" t="n">
        <v>45820</v>
      </c>
      <c r="C10809" s="1" t="n">
        <v>45835</v>
      </c>
      <c r="D10809" t="inlineStr">
        <is>
          <t>KRONOBERGS LÄN</t>
        </is>
      </c>
      <c r="E10809" t="inlineStr">
        <is>
          <t>ALVESTA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45835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28947-2025</t>
        </is>
      </c>
      <c r="B10811" s="1" t="n">
        <v>45820</v>
      </c>
      <c r="C10811" s="1" t="n">
        <v>45835</v>
      </c>
      <c r="D10811" t="inlineStr">
        <is>
          <t>KRONOBERGS LÄN</t>
        </is>
      </c>
      <c r="E10811" t="inlineStr">
        <is>
          <t>TINGSRYD</t>
        </is>
      </c>
      <c r="F10811" t="inlineStr">
        <is>
          <t>Sveaskog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28904-2025</t>
        </is>
      </c>
      <c r="B10812" s="1" t="n">
        <v>45820</v>
      </c>
      <c r="C10812" s="1" t="n">
        <v>45835</v>
      </c>
      <c r="D10812" t="inlineStr">
        <is>
          <t>KRONOBERGS LÄN</t>
        </is>
      </c>
      <c r="E10812" t="inlineStr">
        <is>
          <t>VÄXJÖ</t>
        </is>
      </c>
      <c r="G10812" t="n">
        <v>3.6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45835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45835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45835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45835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45835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45835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45835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45835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29406-2025</t>
        </is>
      </c>
      <c r="B10821" s="1" t="n">
        <v>45824</v>
      </c>
      <c r="C10821" s="1" t="n">
        <v>45835</v>
      </c>
      <c r="D10821" t="inlineStr">
        <is>
          <t>KRONOBERGS LÄN</t>
        </is>
      </c>
      <c r="E10821" t="inlineStr">
        <is>
          <t>LJUNGBY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29326-2025</t>
        </is>
      </c>
      <c r="B10822" s="1" t="n">
        <v>45824</v>
      </c>
      <c r="C10822" s="1" t="n">
        <v>45835</v>
      </c>
      <c r="D10822" t="inlineStr">
        <is>
          <t>KRONOBERGS LÄN</t>
        </is>
      </c>
      <c r="E10822" t="inlineStr">
        <is>
          <t>VÄXJÖ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45835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29479-2025</t>
        </is>
      </c>
      <c r="B10824" s="1" t="n">
        <v>45824</v>
      </c>
      <c r="C10824" s="1" t="n">
        <v>45835</v>
      </c>
      <c r="D10824" t="inlineStr">
        <is>
          <t>KRONOBERGS LÄN</t>
        </is>
      </c>
      <c r="E10824" t="inlineStr">
        <is>
          <t>ÄLMHULT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29313-2025</t>
        </is>
      </c>
      <c r="B10825" s="1" t="n">
        <v>45824</v>
      </c>
      <c r="C10825" s="1" t="n">
        <v>45835</v>
      </c>
      <c r="D10825" t="inlineStr">
        <is>
          <t>KRONOBERGS LÄN</t>
        </is>
      </c>
      <c r="E10825" t="inlineStr">
        <is>
          <t>ALVESTA</t>
        </is>
      </c>
      <c r="G10825" t="n">
        <v>2.7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29324-2025</t>
        </is>
      </c>
      <c r="B10826" s="1" t="n">
        <v>45824</v>
      </c>
      <c r="C10826" s="1" t="n">
        <v>45835</v>
      </c>
      <c r="D10826" t="inlineStr">
        <is>
          <t>KRONOBERGS LÄN</t>
        </is>
      </c>
      <c r="E10826" t="inlineStr">
        <is>
          <t>VÄXJÖ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29322-2025</t>
        </is>
      </c>
      <c r="B10827" s="1" t="n">
        <v>45824</v>
      </c>
      <c r="C10827" s="1" t="n">
        <v>45835</v>
      </c>
      <c r="D10827" t="inlineStr">
        <is>
          <t>KRONOBERGS LÄN</t>
        </is>
      </c>
      <c r="E10827" t="inlineStr">
        <is>
          <t>MARKARYD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45835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45835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45835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45835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29785-2025</t>
        </is>
      </c>
      <c r="B10832" s="1" t="n">
        <v>45825</v>
      </c>
      <c r="C10832" s="1" t="n">
        <v>45835</v>
      </c>
      <c r="D10832" t="inlineStr">
        <is>
          <t>KRONOBERGS LÄN</t>
        </is>
      </c>
      <c r="E10832" t="inlineStr">
        <is>
          <t>LJUNGBY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29749-2025</t>
        </is>
      </c>
      <c r="B10833" s="1" t="n">
        <v>45825</v>
      </c>
      <c r="C10833" s="1" t="n">
        <v>45835</v>
      </c>
      <c r="D10833" t="inlineStr">
        <is>
          <t>KRONOBERGS LÄN</t>
        </is>
      </c>
      <c r="E10833" t="inlineStr">
        <is>
          <t>ALVESTA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29734-2025</t>
        </is>
      </c>
      <c r="B10834" s="1" t="n">
        <v>45825</v>
      </c>
      <c r="C10834" s="1" t="n">
        <v>45835</v>
      </c>
      <c r="D10834" t="inlineStr">
        <is>
          <t>KRONOBERGS LÄN</t>
        </is>
      </c>
      <c r="E10834" t="inlineStr">
        <is>
          <t>UPPVIDINGE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29804-2025</t>
        </is>
      </c>
      <c r="B10835" s="1" t="n">
        <v>45825</v>
      </c>
      <c r="C10835" s="1" t="n">
        <v>45835</v>
      </c>
      <c r="D10835" t="inlineStr">
        <is>
          <t>KRONOBERGS LÄN</t>
        </is>
      </c>
      <c r="E10835" t="inlineStr">
        <is>
          <t>TINGSRYD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45835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45835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29592-2025</t>
        </is>
      </c>
      <c r="B10838" s="1" t="n">
        <v>45825</v>
      </c>
      <c r="C10838" s="1" t="n">
        <v>45835</v>
      </c>
      <c r="D10838" t="inlineStr">
        <is>
          <t>KRONOBERGS LÄN</t>
        </is>
      </c>
      <c r="E10838" t="inlineStr">
        <is>
          <t>UPPVIDINGE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29602-2025</t>
        </is>
      </c>
      <c r="B10839" s="1" t="n">
        <v>45825</v>
      </c>
      <c r="C10839" s="1" t="n">
        <v>45835</v>
      </c>
      <c r="D10839" t="inlineStr">
        <is>
          <t>KRONOBERGS LÄN</t>
        </is>
      </c>
      <c r="E10839" t="inlineStr">
        <is>
          <t>TINGSRYD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29629-2025</t>
        </is>
      </c>
      <c r="B10840" s="1" t="n">
        <v>45825</v>
      </c>
      <c r="C10840" s="1" t="n">
        <v>45835</v>
      </c>
      <c r="D10840" t="inlineStr">
        <is>
          <t>KRONOBERGS LÄN</t>
        </is>
      </c>
      <c r="E10840" t="inlineStr">
        <is>
          <t>TINGSRYD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45835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29799-2025</t>
        </is>
      </c>
      <c r="B10842" s="1" t="n">
        <v>45825</v>
      </c>
      <c r="C10842" s="1" t="n">
        <v>45835</v>
      </c>
      <c r="D10842" t="inlineStr">
        <is>
          <t>KRONOBERGS LÄN</t>
        </is>
      </c>
      <c r="E10842" t="inlineStr">
        <is>
          <t>VÄXJÖ</t>
        </is>
      </c>
      <c r="G10842" t="n">
        <v>0.5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29758-2025</t>
        </is>
      </c>
      <c r="B10843" s="1" t="n">
        <v>45825</v>
      </c>
      <c r="C10843" s="1" t="n">
        <v>45835</v>
      </c>
      <c r="D10843" t="inlineStr">
        <is>
          <t>KRONOBERGS LÄN</t>
        </is>
      </c>
      <c r="E10843" t="inlineStr">
        <is>
          <t>ALVESTA</t>
        </is>
      </c>
      <c r="G10843" t="n">
        <v>1.2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29659-2025</t>
        </is>
      </c>
      <c r="B10844" s="1" t="n">
        <v>45825</v>
      </c>
      <c r="C10844" s="1" t="n">
        <v>45835</v>
      </c>
      <c r="D10844" t="inlineStr">
        <is>
          <t>KRONOBERGS LÄN</t>
        </is>
      </c>
      <c r="E10844" t="inlineStr">
        <is>
          <t>LESSEBO</t>
        </is>
      </c>
      <c r="G10844" t="n">
        <v>3.3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45835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45835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30130-2025</t>
        </is>
      </c>
      <c r="B10847" s="1" t="n">
        <v>45826</v>
      </c>
      <c r="C10847" s="1" t="n">
        <v>45835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4.4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30127-2025</t>
        </is>
      </c>
      <c r="B10848" s="1" t="n">
        <v>45826</v>
      </c>
      <c r="C10848" s="1" t="n">
        <v>45835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6.5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30128-2025</t>
        </is>
      </c>
      <c r="B10849" s="1" t="n">
        <v>45826</v>
      </c>
      <c r="C10849" s="1" t="n">
        <v>45835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29915-2025</t>
        </is>
      </c>
      <c r="B10850" s="1" t="n">
        <v>45826</v>
      </c>
      <c r="C10850" s="1" t="n">
        <v>45835</v>
      </c>
      <c r="D10850" t="inlineStr">
        <is>
          <t>KRONOBERGS LÄN</t>
        </is>
      </c>
      <c r="E10850" t="inlineStr">
        <is>
          <t>LJUNGBY</t>
        </is>
      </c>
      <c r="G10850" t="n">
        <v>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30126-2025</t>
        </is>
      </c>
      <c r="B10851" s="1" t="n">
        <v>45826</v>
      </c>
      <c r="C10851" s="1" t="n">
        <v>45835</v>
      </c>
      <c r="D10851" t="inlineStr">
        <is>
          <t>KRONOBERGS LÄN</t>
        </is>
      </c>
      <c r="E10851" t="inlineStr">
        <is>
          <t>MARKARYD</t>
        </is>
      </c>
      <c r="F10851" t="inlineStr">
        <is>
          <t>Kyrkan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30131-2025</t>
        </is>
      </c>
      <c r="B10852" s="1" t="n">
        <v>45826</v>
      </c>
      <c r="C10852" s="1" t="n">
        <v>45835</v>
      </c>
      <c r="D10852" t="inlineStr">
        <is>
          <t>KRONOBERGS LÄN</t>
        </is>
      </c>
      <c r="E10852" t="inlineStr">
        <is>
          <t>ALVESTA</t>
        </is>
      </c>
      <c r="F10852" t="inlineStr">
        <is>
          <t>Kyrkan</t>
        </is>
      </c>
      <c r="G10852" t="n">
        <v>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30132-2025</t>
        </is>
      </c>
      <c r="B10853" s="1" t="n">
        <v>45826</v>
      </c>
      <c r="C10853" s="1" t="n">
        <v>45835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29893-2025</t>
        </is>
      </c>
      <c r="B10854" s="1" t="n">
        <v>45826</v>
      </c>
      <c r="C10854" s="1" t="n">
        <v>45835</v>
      </c>
      <c r="D10854" t="inlineStr">
        <is>
          <t>KRONOBERGS LÄN</t>
        </is>
      </c>
      <c r="E10854" t="inlineStr">
        <is>
          <t>UPPVIDINGE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29959-2025</t>
        </is>
      </c>
      <c r="B10855" s="1" t="n">
        <v>45826</v>
      </c>
      <c r="C10855" s="1" t="n">
        <v>45835</v>
      </c>
      <c r="D10855" t="inlineStr">
        <is>
          <t>KRONOBERGS LÄN</t>
        </is>
      </c>
      <c r="E10855" t="inlineStr">
        <is>
          <t>LJUNGBY</t>
        </is>
      </c>
      <c r="G10855" t="n">
        <v>3.8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29989-2025</t>
        </is>
      </c>
      <c r="B10856" s="1" t="n">
        <v>45826</v>
      </c>
      <c r="C10856" s="1" t="n">
        <v>45835</v>
      </c>
      <c r="D10856" t="inlineStr">
        <is>
          <t>KRONOBERGS LÄN</t>
        </is>
      </c>
      <c r="E10856" t="inlineStr">
        <is>
          <t>UPPVIDINGE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30129-2025</t>
        </is>
      </c>
      <c r="B10857" s="1" t="n">
        <v>45826</v>
      </c>
      <c r="C10857" s="1" t="n">
        <v>45835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5.9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30103-2025</t>
        </is>
      </c>
      <c r="B10858" s="1" t="n">
        <v>45826</v>
      </c>
      <c r="C10858" s="1" t="n">
        <v>45835</v>
      </c>
      <c r="D10858" t="inlineStr">
        <is>
          <t>KRONOBERGS LÄN</t>
        </is>
      </c>
      <c r="E10858" t="inlineStr">
        <is>
          <t>LJUNGBY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30144-2025</t>
        </is>
      </c>
      <c r="B10859" s="1" t="n">
        <v>45827</v>
      </c>
      <c r="C10859" s="1" t="n">
        <v>45835</v>
      </c>
      <c r="D10859" t="inlineStr">
        <is>
          <t>KRONOBERGS LÄN</t>
        </is>
      </c>
      <c r="E10859" t="inlineStr">
        <is>
          <t>MARKARYD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30110-2025</t>
        </is>
      </c>
      <c r="B10860" s="1" t="n">
        <v>45826</v>
      </c>
      <c r="C10860" s="1" t="n">
        <v>45835</v>
      </c>
      <c r="D10860" t="inlineStr">
        <is>
          <t>KRONOBERGS LÄN</t>
        </is>
      </c>
      <c r="E10860" t="inlineStr">
        <is>
          <t>LJUNGBY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30337-2025</t>
        </is>
      </c>
      <c r="B10861" s="1" t="n">
        <v>45827</v>
      </c>
      <c r="C10861" s="1" t="n">
        <v>45835</v>
      </c>
      <c r="D10861" t="inlineStr">
        <is>
          <t>KRONOBERGS LÄN</t>
        </is>
      </c>
      <c r="E10861" t="inlineStr">
        <is>
          <t>ÄLMHULT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30367-2025</t>
        </is>
      </c>
      <c r="B10862" s="1" t="n">
        <v>45827</v>
      </c>
      <c r="C10862" s="1" t="n">
        <v>45835</v>
      </c>
      <c r="D10862" t="inlineStr">
        <is>
          <t>KRONOBERGS LÄN</t>
        </is>
      </c>
      <c r="E10862" t="inlineStr">
        <is>
          <t>VÄXJÖ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30410-2025</t>
        </is>
      </c>
      <c r="B10863" s="1" t="n">
        <v>45827</v>
      </c>
      <c r="C10863" s="1" t="n">
        <v>45835</v>
      </c>
      <c r="D10863" t="inlineStr">
        <is>
          <t>KRONOBERGS LÄN</t>
        </is>
      </c>
      <c r="E10863" t="inlineStr">
        <is>
          <t>ÄLMHULT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30321-2025</t>
        </is>
      </c>
      <c r="B10864" s="1" t="n">
        <v>45827</v>
      </c>
      <c r="C10864" s="1" t="n">
        <v>45835</v>
      </c>
      <c r="D10864" t="inlineStr">
        <is>
          <t>KRONOBERGS LÄN</t>
        </is>
      </c>
      <c r="E10864" t="inlineStr">
        <is>
          <t>VÄXJÖ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30322-2025</t>
        </is>
      </c>
      <c r="B10865" s="1" t="n">
        <v>45827</v>
      </c>
      <c r="C10865" s="1" t="n">
        <v>45835</v>
      </c>
      <c r="D10865" t="inlineStr">
        <is>
          <t>KRONOBERGS LÄN</t>
        </is>
      </c>
      <c r="E10865" t="inlineStr">
        <is>
          <t>ÄLMHULT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30419-2025</t>
        </is>
      </c>
      <c r="B10866" s="1" t="n">
        <v>45827</v>
      </c>
      <c r="C10866" s="1" t="n">
        <v>45835</v>
      </c>
      <c r="D10866" t="inlineStr">
        <is>
          <t>KRONOBERGS LÄN</t>
        </is>
      </c>
      <c r="E10866" t="inlineStr">
        <is>
          <t>MARKARYD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30374-2025</t>
        </is>
      </c>
      <c r="B10867" s="1" t="n">
        <v>45827</v>
      </c>
      <c r="C10867" s="1" t="n">
        <v>45835</v>
      </c>
      <c r="D10867" t="inlineStr">
        <is>
          <t>KRONOBERGS LÄN</t>
        </is>
      </c>
      <c r="E10867" t="inlineStr">
        <is>
          <t>VÄXJÖ</t>
        </is>
      </c>
      <c r="G10867" t="n">
        <v>1.3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30222-2025</t>
        </is>
      </c>
      <c r="B10868" s="1" t="n">
        <v>45827</v>
      </c>
      <c r="C10868" s="1" t="n">
        <v>45835</v>
      </c>
      <c r="D10868" t="inlineStr">
        <is>
          <t>KRONOBERGS LÄN</t>
        </is>
      </c>
      <c r="E10868" t="inlineStr">
        <is>
          <t>ALVESTA</t>
        </is>
      </c>
      <c r="G10868" t="n">
        <v>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30223-2025</t>
        </is>
      </c>
      <c r="B10869" s="1" t="n">
        <v>45827</v>
      </c>
      <c r="C10869" s="1" t="n">
        <v>45835</v>
      </c>
      <c r="D10869" t="inlineStr">
        <is>
          <t>KRONOBERGS LÄN</t>
        </is>
      </c>
      <c r="E10869" t="inlineStr">
        <is>
          <t>ALVESTA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30230-2025</t>
        </is>
      </c>
      <c r="B10870" s="1" t="n">
        <v>45827</v>
      </c>
      <c r="C10870" s="1" t="n">
        <v>45835</v>
      </c>
      <c r="D10870" t="inlineStr">
        <is>
          <t>KRONOBERGS LÄN</t>
        </is>
      </c>
      <c r="E10870" t="inlineStr">
        <is>
          <t>TINGSRYD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30191-2025</t>
        </is>
      </c>
      <c r="B10871" s="1" t="n">
        <v>45827</v>
      </c>
      <c r="C10871" s="1" t="n">
        <v>45835</v>
      </c>
      <c r="D10871" t="inlineStr">
        <is>
          <t>KRONOBERGS LÄN</t>
        </is>
      </c>
      <c r="E10871" t="inlineStr">
        <is>
          <t>ALVESTA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45835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30683-2025</t>
        </is>
      </c>
      <c r="B10873" s="1" t="n">
        <v>45831</v>
      </c>
      <c r="C10873" s="1" t="n">
        <v>45835</v>
      </c>
      <c r="D10873" t="inlineStr">
        <is>
          <t>KRONOBERGS LÄN</t>
        </is>
      </c>
      <c r="E10873" t="inlineStr">
        <is>
          <t>VÄXJÖ</t>
        </is>
      </c>
      <c r="G10873" t="n">
        <v>3.2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30835-2025</t>
        </is>
      </c>
      <c r="B10874" s="1" t="n">
        <v>45831</v>
      </c>
      <c r="C10874" s="1" t="n">
        <v>45835</v>
      </c>
      <c r="D10874" t="inlineStr">
        <is>
          <t>KRONOBERGS LÄN</t>
        </is>
      </c>
      <c r="E10874" t="inlineStr">
        <is>
          <t>ÄLMHULT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30529-2025</t>
        </is>
      </c>
      <c r="B10875" s="1" t="n">
        <v>45831</v>
      </c>
      <c r="C10875" s="1" t="n">
        <v>45835</v>
      </c>
      <c r="D10875" t="inlineStr">
        <is>
          <t>KRONOBERGS LÄN</t>
        </is>
      </c>
      <c r="E10875" t="inlineStr">
        <is>
          <t>LJUNGBY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30720-2025</t>
        </is>
      </c>
      <c r="B10876" s="1" t="n">
        <v>45831</v>
      </c>
      <c r="C10876" s="1" t="n">
        <v>45835</v>
      </c>
      <c r="D10876" t="inlineStr">
        <is>
          <t>KRONOBERGS LÄN</t>
        </is>
      </c>
      <c r="E10876" t="inlineStr">
        <is>
          <t>LJUNGBY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30522-2025</t>
        </is>
      </c>
      <c r="B10877" s="1" t="n">
        <v>45831</v>
      </c>
      <c r="C10877" s="1" t="n">
        <v>45835</v>
      </c>
      <c r="D10877" t="inlineStr">
        <is>
          <t>KRONOBERGS LÄN</t>
        </is>
      </c>
      <c r="E10877" t="inlineStr">
        <is>
          <t>LESSEBO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30643-2025</t>
        </is>
      </c>
      <c r="B10878" s="1" t="n">
        <v>45831</v>
      </c>
      <c r="C10878" s="1" t="n">
        <v>45835</v>
      </c>
      <c r="D10878" t="inlineStr">
        <is>
          <t>KRONOBERGS LÄN</t>
        </is>
      </c>
      <c r="E10878" t="inlineStr">
        <is>
          <t>VÄXJÖ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30521-2025</t>
        </is>
      </c>
      <c r="B10879" s="1" t="n">
        <v>45831</v>
      </c>
      <c r="C10879" s="1" t="n">
        <v>45835</v>
      </c>
      <c r="D10879" t="inlineStr">
        <is>
          <t>KRONOBERGS LÄN</t>
        </is>
      </c>
      <c r="E10879" t="inlineStr">
        <is>
          <t>LJUNGBY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30771-2025</t>
        </is>
      </c>
      <c r="B10880" s="1" t="n">
        <v>45831</v>
      </c>
      <c r="C10880" s="1" t="n">
        <v>45835</v>
      </c>
      <c r="D10880" t="inlineStr">
        <is>
          <t>KRONOBERGS LÄN</t>
        </is>
      </c>
      <c r="E10880" t="inlineStr">
        <is>
          <t>LESSEBO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30547-2025</t>
        </is>
      </c>
      <c r="B10881" s="1" t="n">
        <v>45831</v>
      </c>
      <c r="C10881" s="1" t="n">
        <v>45835</v>
      </c>
      <c r="D10881" t="inlineStr">
        <is>
          <t>KRONOBERGS LÄN</t>
        </is>
      </c>
      <c r="E10881" t="inlineStr">
        <is>
          <t>UPPVIDINGE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30561-2025</t>
        </is>
      </c>
      <c r="B10882" s="1" t="n">
        <v>45831</v>
      </c>
      <c r="C10882" s="1" t="n">
        <v>45835</v>
      </c>
      <c r="D10882" t="inlineStr">
        <is>
          <t>KRONOBERGS LÄN</t>
        </is>
      </c>
      <c r="E10882" t="inlineStr">
        <is>
          <t>LJUNGBY</t>
        </is>
      </c>
      <c r="G10882" t="n">
        <v>7.1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30627-2025</t>
        </is>
      </c>
      <c r="B10883" s="1" t="n">
        <v>45831</v>
      </c>
      <c r="C10883" s="1" t="n">
        <v>45835</v>
      </c>
      <c r="D10883" t="inlineStr">
        <is>
          <t>KRONOBERGS LÄN</t>
        </is>
      </c>
      <c r="E10883" t="inlineStr">
        <is>
          <t>VÄXJÖ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30599-2025</t>
        </is>
      </c>
      <c r="B10884" s="1" t="n">
        <v>45831</v>
      </c>
      <c r="C10884" s="1" t="n">
        <v>45835</v>
      </c>
      <c r="D10884" t="inlineStr">
        <is>
          <t>KRONOBERGS LÄN</t>
        </is>
      </c>
      <c r="E10884" t="inlineStr">
        <is>
          <t>VÄXJÖ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30538-2025</t>
        </is>
      </c>
      <c r="B10885" s="1" t="n">
        <v>45831</v>
      </c>
      <c r="C10885" s="1" t="n">
        <v>45835</v>
      </c>
      <c r="D10885" t="inlineStr">
        <is>
          <t>KRONOBERGS LÄN</t>
        </is>
      </c>
      <c r="E10885" t="inlineStr">
        <is>
          <t>LJUNGBY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30545-2025</t>
        </is>
      </c>
      <c r="B10886" s="1" t="n">
        <v>45831</v>
      </c>
      <c r="C10886" s="1" t="n">
        <v>45835</v>
      </c>
      <c r="D10886" t="inlineStr">
        <is>
          <t>KRONOBERGS LÄN</t>
        </is>
      </c>
      <c r="E10886" t="inlineStr">
        <is>
          <t>UPPVIDINGE</t>
        </is>
      </c>
      <c r="G10886" t="n">
        <v>3.7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30854-2025</t>
        </is>
      </c>
      <c r="B10887" s="1" t="n">
        <v>45831</v>
      </c>
      <c r="C10887" s="1" t="n">
        <v>45835</v>
      </c>
      <c r="D10887" t="inlineStr">
        <is>
          <t>KRONOBERGS LÄN</t>
        </is>
      </c>
      <c r="E10887" t="inlineStr">
        <is>
          <t>LJUNGBY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30801-2025</t>
        </is>
      </c>
      <c r="B10888" s="1" t="n">
        <v>45831</v>
      </c>
      <c r="C10888" s="1" t="n">
        <v>45835</v>
      </c>
      <c r="D10888" t="inlineStr">
        <is>
          <t>KRONOBERGS LÄN</t>
        </is>
      </c>
      <c r="E10888" t="inlineStr">
        <is>
          <t>ÄLMHULT</t>
        </is>
      </c>
      <c r="G10888" t="n">
        <v>2.6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30818-2025</t>
        </is>
      </c>
      <c r="B10889" s="1" t="n">
        <v>45831</v>
      </c>
      <c r="C10889" s="1" t="n">
        <v>45835</v>
      </c>
      <c r="D10889" t="inlineStr">
        <is>
          <t>KRONOBERGS LÄN</t>
        </is>
      </c>
      <c r="E10889" t="inlineStr">
        <is>
          <t>ÄLMHULT</t>
        </is>
      </c>
      <c r="G10889" t="n">
        <v>3.3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30666-2025</t>
        </is>
      </c>
      <c r="B10890" s="1" t="n">
        <v>45831</v>
      </c>
      <c r="C10890" s="1" t="n">
        <v>45835</v>
      </c>
      <c r="D10890" t="inlineStr">
        <is>
          <t>KRONOBERGS LÄN</t>
        </is>
      </c>
      <c r="E10890" t="inlineStr">
        <is>
          <t>VÄXJÖ</t>
        </is>
      </c>
      <c r="G10890" t="n">
        <v>2.1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31094-2025</t>
        </is>
      </c>
      <c r="B10891" s="1" t="n">
        <v>45831</v>
      </c>
      <c r="C10891" s="1" t="n">
        <v>45835</v>
      </c>
      <c r="D10891" t="inlineStr">
        <is>
          <t>KRONOBERGS LÄN</t>
        </is>
      </c>
      <c r="E10891" t="inlineStr">
        <is>
          <t>ALVESTA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30662-2025</t>
        </is>
      </c>
      <c r="B10892" s="1" t="n">
        <v>45831</v>
      </c>
      <c r="C10892" s="1" t="n">
        <v>45835</v>
      </c>
      <c r="D10892" t="inlineStr">
        <is>
          <t>KRONOBERGS LÄN</t>
        </is>
      </c>
      <c r="E10892" t="inlineStr">
        <is>
          <t>UPPVIDINGE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30741-2025</t>
        </is>
      </c>
      <c r="B10893" s="1" t="n">
        <v>45831</v>
      </c>
      <c r="C10893" s="1" t="n">
        <v>45835</v>
      </c>
      <c r="D10893" t="inlineStr">
        <is>
          <t>KRONOBERGS LÄN</t>
        </is>
      </c>
      <c r="E10893" t="inlineStr">
        <is>
          <t>LJUNGBY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30745-2025</t>
        </is>
      </c>
      <c r="B10894" s="1" t="n">
        <v>45831</v>
      </c>
      <c r="C10894" s="1" t="n">
        <v>45835</v>
      </c>
      <c r="D10894" t="inlineStr">
        <is>
          <t>KRONOBERGS LÄN</t>
        </is>
      </c>
      <c r="E10894" t="inlineStr">
        <is>
          <t>UPPVIDINGE</t>
        </is>
      </c>
      <c r="G10894" t="n">
        <v>3.1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30840-2025</t>
        </is>
      </c>
      <c r="B10895" s="1" t="n">
        <v>45831</v>
      </c>
      <c r="C10895" s="1" t="n">
        <v>45835</v>
      </c>
      <c r="D10895" t="inlineStr">
        <is>
          <t>KRONOBERGS LÄN</t>
        </is>
      </c>
      <c r="E10895" t="inlineStr">
        <is>
          <t>TINGSRYD</t>
        </is>
      </c>
      <c r="G10895" t="n">
        <v>0.5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30842-2025</t>
        </is>
      </c>
      <c r="B10896" s="1" t="n">
        <v>45831</v>
      </c>
      <c r="C10896" s="1" t="n">
        <v>45835</v>
      </c>
      <c r="D10896" t="inlineStr">
        <is>
          <t>KRONOBERGS LÄN</t>
        </is>
      </c>
      <c r="E10896" t="inlineStr">
        <is>
          <t>TINGSRYD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30815-2025</t>
        </is>
      </c>
      <c r="B10897" s="1" t="n">
        <v>45831</v>
      </c>
      <c r="C10897" s="1" t="n">
        <v>45835</v>
      </c>
      <c r="D10897" t="inlineStr">
        <is>
          <t>KRONOBERGS LÄN</t>
        </is>
      </c>
      <c r="E10897" t="inlineStr">
        <is>
          <t>UPPVIDINGE</t>
        </is>
      </c>
      <c r="G10897" t="n">
        <v>2.2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30857-2025</t>
        </is>
      </c>
      <c r="B10898" s="1" t="n">
        <v>45831</v>
      </c>
      <c r="C10898" s="1" t="n">
        <v>45835</v>
      </c>
      <c r="D10898" t="inlineStr">
        <is>
          <t>KRONOBERGS LÄN</t>
        </is>
      </c>
      <c r="E10898" t="inlineStr">
        <is>
          <t>LJUNGBY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30523-2025</t>
        </is>
      </c>
      <c r="B10899" s="1" t="n">
        <v>45831</v>
      </c>
      <c r="C10899" s="1" t="n">
        <v>45835</v>
      </c>
      <c r="D10899" t="inlineStr">
        <is>
          <t>KRONOBERGS LÄN</t>
        </is>
      </c>
      <c r="E10899" t="inlineStr">
        <is>
          <t>LJUNGBY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30527-2025</t>
        </is>
      </c>
      <c r="B10900" s="1" t="n">
        <v>45831</v>
      </c>
      <c r="C10900" s="1" t="n">
        <v>45835</v>
      </c>
      <c r="D10900" t="inlineStr">
        <is>
          <t>KRONOBERGS LÄN</t>
        </is>
      </c>
      <c r="E10900" t="inlineStr">
        <is>
          <t>LESSEBO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30533-2025</t>
        </is>
      </c>
      <c r="B10901" s="1" t="n">
        <v>45831</v>
      </c>
      <c r="C10901" s="1" t="n">
        <v>45835</v>
      </c>
      <c r="D10901" t="inlineStr">
        <is>
          <t>KRONOBERGS LÄN</t>
        </is>
      </c>
      <c r="E10901" t="inlineStr">
        <is>
          <t>UPPVIDINGE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30549-2025</t>
        </is>
      </c>
      <c r="B10902" s="1" t="n">
        <v>45831</v>
      </c>
      <c r="C10902" s="1" t="n">
        <v>45835</v>
      </c>
      <c r="D10902" t="inlineStr">
        <is>
          <t>KRONOBERGS LÄN</t>
        </is>
      </c>
      <c r="E10902" t="inlineStr">
        <is>
          <t>LJUNGBY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30996-2025</t>
        </is>
      </c>
      <c r="B10903" s="1" t="n">
        <v>45832</v>
      </c>
      <c r="C10903" s="1" t="n">
        <v>45835</v>
      </c>
      <c r="D10903" t="inlineStr">
        <is>
          <t>KRONOBERGS LÄN</t>
        </is>
      </c>
      <c r="E10903" t="inlineStr">
        <is>
          <t>UPPVIDINGE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31243-2025</t>
        </is>
      </c>
      <c r="B10904" s="1" t="n">
        <v>45832</v>
      </c>
      <c r="C10904" s="1" t="n">
        <v>45835</v>
      </c>
      <c r="D10904" t="inlineStr">
        <is>
          <t>KRONOBERGS LÄN</t>
        </is>
      </c>
      <c r="E10904" t="inlineStr">
        <is>
          <t>VÄXJÖ</t>
        </is>
      </c>
      <c r="G10904" t="n">
        <v>10.6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30861-2025</t>
        </is>
      </c>
      <c r="B10905" s="1" t="n">
        <v>45832</v>
      </c>
      <c r="C10905" s="1" t="n">
        <v>45835</v>
      </c>
      <c r="D10905" t="inlineStr">
        <is>
          <t>KRONOBERGS LÄN</t>
        </is>
      </c>
      <c r="E10905" t="inlineStr">
        <is>
          <t>VÄXJÖ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30983-2025</t>
        </is>
      </c>
      <c r="B10906" s="1" t="n">
        <v>45832</v>
      </c>
      <c r="C10906" s="1" t="n">
        <v>45835</v>
      </c>
      <c r="D10906" t="inlineStr">
        <is>
          <t>KRONOBERGS LÄN</t>
        </is>
      </c>
      <c r="E10906" t="inlineStr">
        <is>
          <t>UPPVIDINGE</t>
        </is>
      </c>
      <c r="F10906" t="inlineStr">
        <is>
          <t>Sveaskog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30862-2025</t>
        </is>
      </c>
      <c r="B10907" s="1" t="n">
        <v>45832</v>
      </c>
      <c r="C10907" s="1" t="n">
        <v>45835</v>
      </c>
      <c r="D10907" t="inlineStr">
        <is>
          <t>KRONOBERGS LÄN</t>
        </is>
      </c>
      <c r="E10907" t="inlineStr">
        <is>
          <t>LJUNGBY</t>
        </is>
      </c>
      <c r="G10907" t="n">
        <v>13.7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31047-2025</t>
        </is>
      </c>
      <c r="B10908" s="1" t="n">
        <v>45832</v>
      </c>
      <c r="C10908" s="1" t="n">
        <v>45835</v>
      </c>
      <c r="D10908" t="inlineStr">
        <is>
          <t>KRONOBERGS LÄN</t>
        </is>
      </c>
      <c r="E10908" t="inlineStr">
        <is>
          <t>TINGSRYD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31069-2025</t>
        </is>
      </c>
      <c r="B10909" s="1" t="n">
        <v>45832</v>
      </c>
      <c r="C10909" s="1" t="n">
        <v>45835</v>
      </c>
      <c r="D10909" t="inlineStr">
        <is>
          <t>KRONOBERGS LÄN</t>
        </is>
      </c>
      <c r="E10909" t="inlineStr">
        <is>
          <t>ÄLMHULT</t>
        </is>
      </c>
      <c r="G10909" t="n">
        <v>3.1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31002-2025</t>
        </is>
      </c>
      <c r="B10910" s="1" t="n">
        <v>45832</v>
      </c>
      <c r="C10910" s="1" t="n">
        <v>45835</v>
      </c>
      <c r="D10910" t="inlineStr">
        <is>
          <t>KRONOBERGS LÄN</t>
        </is>
      </c>
      <c r="E10910" t="inlineStr">
        <is>
          <t>TINGSRYD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31318-2025</t>
        </is>
      </c>
      <c r="B10911" s="1" t="n">
        <v>45833</v>
      </c>
      <c r="C10911" s="1" t="n">
        <v>45835</v>
      </c>
      <c r="D10911" t="inlineStr">
        <is>
          <t>KRONOBERGS LÄN</t>
        </is>
      </c>
      <c r="E10911" t="inlineStr">
        <is>
          <t>VÄXJÖ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31462-2025</t>
        </is>
      </c>
      <c r="B10912" s="1" t="n">
        <v>45833</v>
      </c>
      <c r="C10912" s="1" t="n">
        <v>45835</v>
      </c>
      <c r="D10912" t="inlineStr">
        <is>
          <t>KRONOBERGS LÄN</t>
        </is>
      </c>
      <c r="E10912" t="inlineStr">
        <is>
          <t>TINGSRYD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31513-2025</t>
        </is>
      </c>
      <c r="B10913" s="1" t="n">
        <v>45833</v>
      </c>
      <c r="C10913" s="1" t="n">
        <v>45835</v>
      </c>
      <c r="D10913" t="inlineStr">
        <is>
          <t>KRONOBERGS LÄN</t>
        </is>
      </c>
      <c r="E10913" t="inlineStr">
        <is>
          <t>TINGSRYD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31466-2025</t>
        </is>
      </c>
      <c r="B10914" s="1" t="n">
        <v>45833</v>
      </c>
      <c r="C10914" s="1" t="n">
        <v>45835</v>
      </c>
      <c r="D10914" t="inlineStr">
        <is>
          <t>KRONOBERGS LÄN</t>
        </is>
      </c>
      <c r="E10914" t="inlineStr">
        <is>
          <t>TINGSRYD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31315-2025</t>
        </is>
      </c>
      <c r="B10915" s="1" t="n">
        <v>45833</v>
      </c>
      <c r="C10915" s="1" t="n">
        <v>45835</v>
      </c>
      <c r="D10915" t="inlineStr">
        <is>
          <t>KRONOBERGS LÄN</t>
        </is>
      </c>
      <c r="E10915" t="inlineStr">
        <is>
          <t>VÄXJÖ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31602-2025</t>
        </is>
      </c>
      <c r="B10916" s="1" t="n">
        <v>45833</v>
      </c>
      <c r="C10916" s="1" t="n">
        <v>45835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31604-2025</t>
        </is>
      </c>
      <c r="B10917" s="1" t="n">
        <v>45833</v>
      </c>
      <c r="C10917" s="1" t="n">
        <v>45835</v>
      </c>
      <c r="D10917" t="inlineStr">
        <is>
          <t>KRONOBERGS LÄN</t>
        </is>
      </c>
      <c r="E10917" t="inlineStr">
        <is>
          <t>LJUNGBY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31566-2025</t>
        </is>
      </c>
      <c r="B10918" s="1" t="n">
        <v>45833</v>
      </c>
      <c r="C10918" s="1" t="n">
        <v>45835</v>
      </c>
      <c r="D10918" t="inlineStr">
        <is>
          <t>KRONOBERGS LÄN</t>
        </is>
      </c>
      <c r="E10918" t="inlineStr">
        <is>
          <t>ALVESTA</t>
        </is>
      </c>
      <c r="G10918" t="n">
        <v>2.9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31506-2025</t>
        </is>
      </c>
      <c r="B10919" s="1" t="n">
        <v>45833</v>
      </c>
      <c r="C10919" s="1" t="n">
        <v>45835</v>
      </c>
      <c r="D10919" t="inlineStr">
        <is>
          <t>KRONOBERGS LÄN</t>
        </is>
      </c>
      <c r="E10919" t="inlineStr">
        <is>
          <t>ÄLMHULT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31311-2025</t>
        </is>
      </c>
      <c r="B10920" s="1" t="n">
        <v>45833</v>
      </c>
      <c r="C10920" s="1" t="n">
        <v>45835</v>
      </c>
      <c r="D10920" t="inlineStr">
        <is>
          <t>KRONOBERGS LÄN</t>
        </is>
      </c>
      <c r="E10920" t="inlineStr">
        <is>
          <t>ÄLMHULT</t>
        </is>
      </c>
      <c r="G10920" t="n">
        <v>4.4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31431-2025</t>
        </is>
      </c>
      <c r="B10921" s="1" t="n">
        <v>45833</v>
      </c>
      <c r="C10921" s="1" t="n">
        <v>45835</v>
      </c>
      <c r="D10921" t="inlineStr">
        <is>
          <t>KRONOBERGS LÄN</t>
        </is>
      </c>
      <c r="E10921" t="inlineStr">
        <is>
          <t>ALVESTA</t>
        </is>
      </c>
      <c r="G10921" t="n">
        <v>2.8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31438-2025</t>
        </is>
      </c>
      <c r="B10922" s="1" t="n">
        <v>45833</v>
      </c>
      <c r="C10922" s="1" t="n">
        <v>45835</v>
      </c>
      <c r="D10922" t="inlineStr">
        <is>
          <t>KRONOBERGS LÄN</t>
        </is>
      </c>
      <c r="E10922" t="inlineStr">
        <is>
          <t>TINGSRYD</t>
        </is>
      </c>
      <c r="G10922" t="n">
        <v>4.1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31439-2025</t>
        </is>
      </c>
      <c r="B10923" s="1" t="n">
        <v>45833</v>
      </c>
      <c r="C10923" s="1" t="n">
        <v>45835</v>
      </c>
      <c r="D10923" t="inlineStr">
        <is>
          <t>KRONOBERGS LÄN</t>
        </is>
      </c>
      <c r="E10923" t="inlineStr">
        <is>
          <t>ALVESTA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31560-2025</t>
        </is>
      </c>
      <c r="B10924" s="1" t="n">
        <v>45833</v>
      </c>
      <c r="C10924" s="1" t="n">
        <v>45835</v>
      </c>
      <c r="D10924" t="inlineStr">
        <is>
          <t>KRONOBERGS LÄN</t>
        </is>
      </c>
      <c r="E10924" t="inlineStr">
        <is>
          <t>ÄLMHULT</t>
        </is>
      </c>
      <c r="G10924" t="n">
        <v>3.5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31571-2025</t>
        </is>
      </c>
      <c r="B10925" s="1" t="n">
        <v>45833</v>
      </c>
      <c r="C10925" s="1" t="n">
        <v>45835</v>
      </c>
      <c r="D10925" t="inlineStr">
        <is>
          <t>KRONOBERGS LÄN</t>
        </is>
      </c>
      <c r="E10925" t="inlineStr">
        <is>
          <t>VÄXJÖ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31778-2025</t>
        </is>
      </c>
      <c r="B10926" s="1" t="n">
        <v>45834</v>
      </c>
      <c r="C10926" s="1" t="n">
        <v>45835</v>
      </c>
      <c r="D10926" t="inlineStr">
        <is>
          <t>KRONOBERGS LÄN</t>
        </is>
      </c>
      <c r="E10926" t="inlineStr">
        <is>
          <t>ALVESTA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31785-2025</t>
        </is>
      </c>
      <c r="B10927" s="1" t="n">
        <v>45834</v>
      </c>
      <c r="C10927" s="1" t="n">
        <v>45835</v>
      </c>
      <c r="D10927" t="inlineStr">
        <is>
          <t>KRONOBERGS LÄN</t>
        </is>
      </c>
      <c r="E10927" t="inlineStr">
        <is>
          <t>ALVESTA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31765-2025</t>
        </is>
      </c>
      <c r="B10928" s="1" t="n">
        <v>45834</v>
      </c>
      <c r="C10928" s="1" t="n">
        <v>45835</v>
      </c>
      <c r="D10928" t="inlineStr">
        <is>
          <t>KRONOBERGS LÄN</t>
        </is>
      </c>
      <c r="E10928" t="inlineStr">
        <is>
          <t>TINGSRYD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31793-2025</t>
        </is>
      </c>
      <c r="B10929" s="1" t="n">
        <v>45834</v>
      </c>
      <c r="C10929" s="1" t="n">
        <v>45835</v>
      </c>
      <c r="D10929" t="inlineStr">
        <is>
          <t>KRONOBERGS LÄN</t>
        </is>
      </c>
      <c r="E10929" t="inlineStr">
        <is>
          <t>ALVESTA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31781-2025</t>
        </is>
      </c>
      <c r="B10930" s="1" t="n">
        <v>45834</v>
      </c>
      <c r="C10930" s="1" t="n">
        <v>45835</v>
      </c>
      <c r="D10930" t="inlineStr">
        <is>
          <t>KRONOBERGS LÄN</t>
        </is>
      </c>
      <c r="E10930" t="inlineStr">
        <is>
          <t>ALVESTA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31761-2025</t>
        </is>
      </c>
      <c r="B10931" s="1" t="n">
        <v>45834</v>
      </c>
      <c r="C10931" s="1" t="n">
        <v>45835</v>
      </c>
      <c r="D10931" t="inlineStr">
        <is>
          <t>KRONOBERGS LÄN</t>
        </is>
      </c>
      <c r="E10931" t="inlineStr">
        <is>
          <t>ÄLMHULT</t>
        </is>
      </c>
      <c r="G10931" t="n">
        <v>5.5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31790-2025</t>
        </is>
      </c>
      <c r="B10932" s="1" t="n">
        <v>45834</v>
      </c>
      <c r="C10932" s="1" t="n">
        <v>45835</v>
      </c>
      <c r="D10932" t="inlineStr">
        <is>
          <t>KRONOBERGS LÄN</t>
        </is>
      </c>
      <c r="E10932" t="inlineStr">
        <is>
          <t>ALVESTA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>
      <c r="A10933" t="inlineStr">
        <is>
          <t>A 31754-2025</t>
        </is>
      </c>
      <c r="B10933" s="1" t="n">
        <v>45834</v>
      </c>
      <c r="C10933" s="1" t="n">
        <v>45835</v>
      </c>
      <c r="D10933" t="inlineStr">
        <is>
          <t>KRONOBERGS LÄN</t>
        </is>
      </c>
      <c r="E10933" t="inlineStr">
        <is>
          <t>ALVESTA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2025-06-27T19:25:58Z</dcterms:created>
  <dcterms:modified xmlns:dcterms="http://purl.org/dc/terms/" xmlns:xsi="http://www.w3.org/2001/XMLSchema-instance" xsi:type="dcterms:W3CDTF">2025-06-27T19:26:07Z</dcterms:modified>
</cp:coreProperties>
</file>