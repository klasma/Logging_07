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45832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45832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45832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45832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45832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45832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45832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45832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45832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45832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45832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45832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45832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45832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45832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45832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45832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45832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45832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45832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45832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45832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45832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45832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45832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45832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45832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45832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45832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45832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45832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45832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45832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45832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45832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45832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45832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45832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45832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45832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45832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45832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45832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45832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45832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45832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45832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45832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45832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45832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45832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45832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45832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45832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45832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45832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45832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45832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45832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45832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45832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45832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45832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45832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45832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45832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45832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45832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45832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45832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45832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45832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45832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45832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45832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45832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45832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45832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45832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45832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45832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45832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45832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45832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45832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45832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45832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45832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45832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45832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45832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45832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45832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45832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45832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45832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45832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45832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45832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45832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45832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45832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45832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45832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45832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45832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45832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45832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45832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45832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45832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45832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45832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45832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45832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45832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45832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45832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45832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45832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45832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45832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45832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45832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45832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45832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45832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45832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45832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45832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45832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45832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45832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29988-2025</t>
        </is>
      </c>
      <c r="B138" s="1" t="n">
        <v>45826</v>
      </c>
      <c r="C138" s="1" t="n">
        <v>45832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2</v>
      </c>
      <c r="L138" t="n">
        <v>0</v>
      </c>
      <c r="M138" t="n">
        <v>0</v>
      </c>
      <c r="N138" t="n">
        <v>0</v>
      </c>
      <c r="O138" t="n">
        <v>2</v>
      </c>
      <c r="P138" t="n">
        <v>2</v>
      </c>
      <c r="Q138" t="n">
        <v>2</v>
      </c>
      <c r="R138" s="2" t="inlineStr">
        <is>
          <t>Slåttergubbe
Slåttergubbemal</t>
        </is>
      </c>
      <c r="S138">
        <f>HYPERLINK("https://klasma.github.io/Logging_070760/artfynd/A 29988-2025 artfynd.xlsx", "A 29988-2025")</f>
        <v/>
      </c>
      <c r="T138">
        <f>HYPERLINK("https://klasma.github.io/Logging_070760/kartor/A 29988-2025 karta.png", "A 29988-2025")</f>
        <v/>
      </c>
      <c r="V138">
        <f>HYPERLINK("https://klasma.github.io/Logging_070760/klagomål/A 29988-2025 FSC-klagomål.docx", "A 29988-2025")</f>
        <v/>
      </c>
      <c r="W138">
        <f>HYPERLINK("https://klasma.github.io/Logging_070760/klagomålsmail/A 29988-2025 FSC-klagomål mail.docx", "A 29988-2025")</f>
        <v/>
      </c>
      <c r="X138">
        <f>HYPERLINK("https://klasma.github.io/Logging_070760/tillsyn/A 29988-2025 tillsynsbegäran.docx", "A 29988-2025")</f>
        <v/>
      </c>
      <c r="Y138">
        <f>HYPERLINK("https://klasma.github.io/Logging_070760/tillsynsmail/A 29988-2025 tillsynsbegäran mail.docx", "A 29988-2025")</f>
        <v/>
      </c>
    </row>
    <row r="139" ht="15" customHeight="1">
      <c r="A139" t="inlineStr">
        <is>
          <t>A 18590-2019</t>
        </is>
      </c>
      <c r="B139" s="1" t="n">
        <v>43560</v>
      </c>
      <c r="C139" s="1" t="n">
        <v>45832</v>
      </c>
      <c r="D139" t="inlineStr">
        <is>
          <t>KRONOBERGS LÄN</t>
        </is>
      </c>
      <c r="E139" t="inlineStr">
        <is>
          <t>ALVESTA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18590-2019 artfynd.xlsx", "A 18590-2019")</f>
        <v/>
      </c>
      <c r="T139">
        <f>HYPERLINK("https://klasma.github.io/Logging_0764/kartor/A 18590-2019 karta.png", "A 18590-2019")</f>
        <v/>
      </c>
      <c r="V139">
        <f>HYPERLINK("https://klasma.github.io/Logging_0764/klagomål/A 18590-2019 FSC-klagomål.docx", "A 18590-2019")</f>
        <v/>
      </c>
      <c r="W139">
        <f>HYPERLINK("https://klasma.github.io/Logging_0764/klagomålsmail/A 18590-2019 FSC-klagomål mail.docx", "A 18590-2019")</f>
        <v/>
      </c>
      <c r="X139">
        <f>HYPERLINK("https://klasma.github.io/Logging_0764/tillsyn/A 18590-2019 tillsynsbegäran.docx", "A 18590-2019")</f>
        <v/>
      </c>
      <c r="Y139">
        <f>HYPERLINK("https://klasma.github.io/Logging_0764/tillsynsmail/A 18590-2019 tillsynsbegäran mail.docx", "A 18590-2019")</f>
        <v/>
      </c>
    </row>
    <row r="140" ht="15" customHeight="1">
      <c r="A140" t="inlineStr">
        <is>
          <t>A 22170-2019</t>
        </is>
      </c>
      <c r="B140" s="1" t="n">
        <v>43585</v>
      </c>
      <c r="C140" s="1" t="n">
        <v>45832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HYPERLINK("https://klasma.github.io/Logging_0763/artfynd/A 22170-2019 artfynd.xlsx", "A 22170-2019")</f>
        <v/>
      </c>
      <c r="T140">
        <f>HYPERLINK("https://klasma.github.io/Logging_0763/kartor/A 22170-2019 karta.png", "A 22170-2019")</f>
        <v/>
      </c>
      <c r="V140">
        <f>HYPERLINK("https://klasma.github.io/Logging_0763/klagomål/A 22170-2019 FSC-klagomål.docx", "A 22170-2019")</f>
        <v/>
      </c>
      <c r="W140">
        <f>HYPERLINK("https://klasma.github.io/Logging_0763/klagomålsmail/A 22170-2019 FSC-klagomål mail.docx", "A 22170-2019")</f>
        <v/>
      </c>
      <c r="X140">
        <f>HYPERLINK("https://klasma.github.io/Logging_0763/tillsyn/A 22170-2019 tillsynsbegäran.docx", "A 22170-2019")</f>
        <v/>
      </c>
      <c r="Y140">
        <f>HYPERLINK("https://klasma.github.io/Logging_0763/tillsynsmail/A 22170-2019 tillsynsbegäran mail.docx", "A 22170-2019")</f>
        <v/>
      </c>
    </row>
    <row r="141" ht="15" customHeight="1">
      <c r="A141" t="inlineStr">
        <is>
          <t>A 22980-2019</t>
        </is>
      </c>
      <c r="B141" s="1" t="n">
        <v>43591</v>
      </c>
      <c r="C141" s="1" t="n">
        <v>45832</v>
      </c>
      <c r="D141" t="inlineStr">
        <is>
          <t>KRONOBERGS LÄN</t>
        </is>
      </c>
      <c r="E141" t="inlineStr">
        <is>
          <t>ALVESTA</t>
        </is>
      </c>
      <c r="G141" t="n">
        <v>4.9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HYPERLINK("https://klasma.github.io/Logging_0764/artfynd/A 22980-2019 artfynd.xlsx", "A 22980-2019")</f>
        <v/>
      </c>
      <c r="T141">
        <f>HYPERLINK("https://klasma.github.io/Logging_0764/kartor/A 22980-2019 karta.png", "A 22980-2019")</f>
        <v/>
      </c>
      <c r="V141">
        <f>HYPERLINK("https://klasma.github.io/Logging_0764/klagomål/A 22980-2019 FSC-klagomål.docx", "A 22980-2019")</f>
        <v/>
      </c>
      <c r="W141">
        <f>HYPERLINK("https://klasma.github.io/Logging_0764/klagomålsmail/A 22980-2019 FSC-klagomål mail.docx", "A 22980-2019")</f>
        <v/>
      </c>
      <c r="X141">
        <f>HYPERLINK("https://klasma.github.io/Logging_0764/tillsyn/A 22980-2019 tillsynsbegäran.docx", "A 22980-2019")</f>
        <v/>
      </c>
      <c r="Y141">
        <f>HYPERLINK("https://klasma.github.io/Logging_0764/tillsynsmail/A 22980-2019 tillsynsbegäran mail.docx", "A 22980-2019")</f>
        <v/>
      </c>
    </row>
    <row r="142" ht="15" customHeight="1">
      <c r="A142" t="inlineStr">
        <is>
          <t>A 26557-2019</t>
        </is>
      </c>
      <c r="B142" s="1" t="n">
        <v>43612</v>
      </c>
      <c r="C142" s="1" t="n">
        <v>45832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Silkesslidskivling</t>
        </is>
      </c>
      <c r="S142">
        <f>HYPERLINK("https://klasma.github.io/Logging_0764/artfynd/A 26557-2019 artfynd.xlsx", "A 26557-2019")</f>
        <v/>
      </c>
      <c r="T142">
        <f>HYPERLINK("https://klasma.github.io/Logging_0764/kartor/A 26557-2019 karta.png", "A 26557-2019")</f>
        <v/>
      </c>
      <c r="V142">
        <f>HYPERLINK("https://klasma.github.io/Logging_0764/klagomål/A 26557-2019 FSC-klagomål.docx", "A 26557-2019")</f>
        <v/>
      </c>
      <c r="W142">
        <f>HYPERLINK("https://klasma.github.io/Logging_0764/klagomålsmail/A 26557-2019 FSC-klagomål mail.docx", "A 26557-2019")</f>
        <v/>
      </c>
      <c r="X142">
        <f>HYPERLINK("https://klasma.github.io/Logging_0764/tillsyn/A 26557-2019 tillsynsbegäran.docx", "A 26557-2019")</f>
        <v/>
      </c>
      <c r="Y142">
        <f>HYPERLINK("https://klasma.github.io/Logging_0764/tillsynsmail/A 26557-2019 tillsynsbegäran mail.docx", "A 26557-2019")</f>
        <v/>
      </c>
    </row>
    <row r="143" ht="15" customHeight="1">
      <c r="A143" t="inlineStr">
        <is>
          <t>A 29192-2019</t>
        </is>
      </c>
      <c r="B143" s="1" t="n">
        <v>43623</v>
      </c>
      <c r="C143" s="1" t="n">
        <v>45832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Blomkålssvamp</t>
        </is>
      </c>
      <c r="S143">
        <f>HYPERLINK("https://klasma.github.io/Logging_0760/artfynd/A 29192-2019 artfynd.xlsx", "A 29192-2019")</f>
        <v/>
      </c>
      <c r="T143">
        <f>HYPERLINK("https://klasma.github.io/Logging_0760/kartor/A 29192-2019 karta.png", "A 29192-2019")</f>
        <v/>
      </c>
      <c r="V143">
        <f>HYPERLINK("https://klasma.github.io/Logging_0760/klagomål/A 29192-2019 FSC-klagomål.docx", "A 29192-2019")</f>
        <v/>
      </c>
      <c r="W143">
        <f>HYPERLINK("https://klasma.github.io/Logging_0760/klagomålsmail/A 29192-2019 FSC-klagomål mail.docx", "A 29192-2019")</f>
        <v/>
      </c>
      <c r="X143">
        <f>HYPERLINK("https://klasma.github.io/Logging_0760/tillsyn/A 29192-2019 tillsynsbegäran.docx", "A 29192-2019")</f>
        <v/>
      </c>
      <c r="Y143">
        <f>HYPERLINK("https://klasma.github.io/Logging_0760/tillsynsmail/A 29192-2019 tillsynsbegäran mail.docx", "A 29192-2019")</f>
        <v/>
      </c>
    </row>
    <row r="144" ht="15" customHeight="1">
      <c r="A144" t="inlineStr">
        <is>
          <t>A 32517-2019</t>
        </is>
      </c>
      <c r="B144" s="1" t="n">
        <v>43646</v>
      </c>
      <c r="C144" s="1" t="n">
        <v>45832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HYPERLINK("https://klasma.github.io/Logging_0780/artfynd/A 32517-2019 artfynd.xlsx", "A 32517-2019")</f>
        <v/>
      </c>
      <c r="T144">
        <f>HYPERLINK("https://klasma.github.io/Logging_0780/kartor/A 32517-2019 karta.png", "A 32517-2019")</f>
        <v/>
      </c>
      <c r="V144">
        <f>HYPERLINK("https://klasma.github.io/Logging_0780/klagomål/A 32517-2019 FSC-klagomål.docx", "A 32517-2019")</f>
        <v/>
      </c>
      <c r="W144">
        <f>HYPERLINK("https://klasma.github.io/Logging_0780/klagomålsmail/A 32517-2019 FSC-klagomål mail.docx", "A 32517-2019")</f>
        <v/>
      </c>
      <c r="X144">
        <f>HYPERLINK("https://klasma.github.io/Logging_0780/tillsyn/A 32517-2019 tillsynsbegäran.docx", "A 32517-2019")</f>
        <v/>
      </c>
      <c r="Y144">
        <f>HYPERLINK("https://klasma.github.io/Logging_0780/tillsynsmail/A 32517-2019 tillsynsbegäran mail.docx", "A 32517-2019")</f>
        <v/>
      </c>
    </row>
    <row r="145" ht="15" customHeight="1">
      <c r="A145" t="inlineStr">
        <is>
          <t>A 38428-2019</t>
        </is>
      </c>
      <c r="B145" s="1" t="n">
        <v>43685</v>
      </c>
      <c r="C145" s="1" t="n">
        <v>45832</v>
      </c>
      <c r="D145" t="inlineStr">
        <is>
          <t>KRONOBERGS LÄN</t>
        </is>
      </c>
      <c r="E145" t="inlineStr">
        <is>
          <t>UPPVIDINGE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Grynig filtlav</t>
        </is>
      </c>
      <c r="S145">
        <f>HYPERLINK("https://klasma.github.io/Logging_0760/artfynd/A 38428-2019 artfynd.xlsx", "A 38428-2019")</f>
        <v/>
      </c>
      <c r="T145">
        <f>HYPERLINK("https://klasma.github.io/Logging_0760/kartor/A 38428-2019 karta.png", "A 38428-2019")</f>
        <v/>
      </c>
      <c r="V145">
        <f>HYPERLINK("https://klasma.github.io/Logging_0760/klagomål/A 38428-2019 FSC-klagomål.docx", "A 38428-2019")</f>
        <v/>
      </c>
      <c r="W145">
        <f>HYPERLINK("https://klasma.github.io/Logging_0760/klagomålsmail/A 38428-2019 FSC-klagomål mail.docx", "A 38428-2019")</f>
        <v/>
      </c>
      <c r="X145">
        <f>HYPERLINK("https://klasma.github.io/Logging_0760/tillsyn/A 38428-2019 tillsynsbegäran.docx", "A 38428-2019")</f>
        <v/>
      </c>
      <c r="Y145">
        <f>HYPERLINK("https://klasma.github.io/Logging_0760/tillsynsmail/A 38428-2019 tillsynsbegäran mail.docx", "A 38428-2019")</f>
        <v/>
      </c>
    </row>
    <row r="146" ht="15" customHeight="1">
      <c r="A146" t="inlineStr">
        <is>
          <t>A 40952-2019</t>
        </is>
      </c>
      <c r="B146" s="1" t="n">
        <v>43696</v>
      </c>
      <c r="C146" s="1" t="n">
        <v>45832</v>
      </c>
      <c r="D146" t="inlineStr">
        <is>
          <t>KRONOBERGS LÄN</t>
        </is>
      </c>
      <c r="E146" t="inlineStr">
        <is>
          <t>UPPVIDINGE</t>
        </is>
      </c>
      <c r="G146" t="n">
        <v>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HYPERLINK("https://klasma.github.io/Logging_0760/artfynd/A 40952-2019 artfynd.xlsx", "A 40952-2019")</f>
        <v/>
      </c>
      <c r="T146">
        <f>HYPERLINK("https://klasma.github.io/Logging_0760/kartor/A 40952-2019 karta.png", "A 40952-2019")</f>
        <v/>
      </c>
      <c r="V146">
        <f>HYPERLINK("https://klasma.github.io/Logging_0760/klagomål/A 40952-2019 FSC-klagomål.docx", "A 40952-2019")</f>
        <v/>
      </c>
      <c r="W146">
        <f>HYPERLINK("https://klasma.github.io/Logging_0760/klagomålsmail/A 40952-2019 FSC-klagomål mail.docx", "A 40952-2019")</f>
        <v/>
      </c>
      <c r="X146">
        <f>HYPERLINK("https://klasma.github.io/Logging_0760/tillsyn/A 40952-2019 tillsynsbegäran.docx", "A 40952-2019")</f>
        <v/>
      </c>
      <c r="Y146">
        <f>HYPERLINK("https://klasma.github.io/Logging_0760/tillsynsmail/A 40952-2019 tillsynsbegäran mail.docx", "A 40952-2019")</f>
        <v/>
      </c>
    </row>
    <row r="147" ht="15" customHeight="1">
      <c r="A147" t="inlineStr">
        <is>
          <t>A 41158-2019</t>
        </is>
      </c>
      <c r="B147" s="1" t="n">
        <v>43698</v>
      </c>
      <c r="C147" s="1" t="n">
        <v>45832</v>
      </c>
      <c r="D147" t="inlineStr">
        <is>
          <t>KRONOBERGS LÄN</t>
        </is>
      </c>
      <c r="E147" t="inlineStr">
        <is>
          <t>VÄXJÖ</t>
        </is>
      </c>
      <c r="G147" t="n">
        <v>6.5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HYPERLINK("https://klasma.github.io/Logging_0780/artfynd/A 41158-2019 artfynd.xlsx", "A 41158-2019")</f>
        <v/>
      </c>
      <c r="T147">
        <f>HYPERLINK("https://klasma.github.io/Logging_0780/kartor/A 41158-2019 karta.png", "A 41158-2019")</f>
        <v/>
      </c>
      <c r="U147">
        <f>HYPERLINK("https://klasma.github.io/Logging_0780/knärot/A 41158-2019 karta knärot.png", "A 41158-2019")</f>
        <v/>
      </c>
      <c r="V147">
        <f>HYPERLINK("https://klasma.github.io/Logging_0780/klagomål/A 41158-2019 FSC-klagomål.docx", "A 41158-2019")</f>
        <v/>
      </c>
      <c r="W147">
        <f>HYPERLINK("https://klasma.github.io/Logging_0780/klagomålsmail/A 41158-2019 FSC-klagomål mail.docx", "A 41158-2019")</f>
        <v/>
      </c>
      <c r="X147">
        <f>HYPERLINK("https://klasma.github.io/Logging_0780/tillsyn/A 41158-2019 tillsynsbegäran.docx", "A 41158-2019")</f>
        <v/>
      </c>
      <c r="Y147">
        <f>HYPERLINK("https://klasma.github.io/Logging_0780/tillsynsmail/A 41158-2019 tillsynsbegäran mail.docx", "A 41158-2019")</f>
        <v/>
      </c>
    </row>
    <row r="148" ht="15" customHeight="1">
      <c r="A148" t="inlineStr">
        <is>
          <t>A 43454-2019</t>
        </is>
      </c>
      <c r="B148" s="1" t="n">
        <v>43706</v>
      </c>
      <c r="C148" s="1" t="n">
        <v>45832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HYPERLINK("https://klasma.github.io/Logging_0780/artfynd/A 43454-2019 artfynd.xlsx", "A 43454-2019")</f>
        <v/>
      </c>
      <c r="T148">
        <f>HYPERLINK("https://klasma.github.io/Logging_0780/kartor/A 43454-2019 karta.png", "A 43454-2019")</f>
        <v/>
      </c>
      <c r="V148">
        <f>HYPERLINK("https://klasma.github.io/Logging_0780/klagomål/A 43454-2019 FSC-klagomål.docx", "A 43454-2019")</f>
        <v/>
      </c>
      <c r="W148">
        <f>HYPERLINK("https://klasma.github.io/Logging_0780/klagomålsmail/A 43454-2019 FSC-klagomål mail.docx", "A 43454-2019")</f>
        <v/>
      </c>
      <c r="X148">
        <f>HYPERLINK("https://klasma.github.io/Logging_0780/tillsyn/A 43454-2019 tillsynsbegäran.docx", "A 43454-2019")</f>
        <v/>
      </c>
      <c r="Y148">
        <f>HYPERLINK("https://klasma.github.io/Logging_0780/tillsynsmail/A 43454-2019 tillsynsbegäran mail.docx", "A 43454-2019")</f>
        <v/>
      </c>
    </row>
    <row r="149" ht="15" customHeight="1">
      <c r="A149" t="inlineStr">
        <is>
          <t>A 50912-2019</t>
        </is>
      </c>
      <c r="B149" s="1" t="n">
        <v>43738</v>
      </c>
      <c r="C149" s="1" t="n">
        <v>45832</v>
      </c>
      <c r="D149" t="inlineStr">
        <is>
          <t>KRONOBERGS LÄN</t>
        </is>
      </c>
      <c r="E149" t="inlineStr">
        <is>
          <t>TINGSRYD</t>
        </is>
      </c>
      <c r="G149" t="n">
        <v>14.4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Gröngöling</t>
        </is>
      </c>
      <c r="S149">
        <f>HYPERLINK("https://klasma.github.io/Logging_0763/artfynd/A 50912-2019 artfynd.xlsx", "A 50912-2019")</f>
        <v/>
      </c>
      <c r="T149">
        <f>HYPERLINK("https://klasma.github.io/Logging_0763/kartor/A 50912-2019 karta.png", "A 50912-2019")</f>
        <v/>
      </c>
      <c r="V149">
        <f>HYPERLINK("https://klasma.github.io/Logging_0763/klagomål/A 50912-2019 FSC-klagomål.docx", "A 50912-2019")</f>
        <v/>
      </c>
      <c r="W149">
        <f>HYPERLINK("https://klasma.github.io/Logging_0763/klagomålsmail/A 50912-2019 FSC-klagomål mail.docx", "A 50912-2019")</f>
        <v/>
      </c>
      <c r="X149">
        <f>HYPERLINK("https://klasma.github.io/Logging_0763/tillsyn/A 50912-2019 tillsynsbegäran.docx", "A 50912-2019")</f>
        <v/>
      </c>
      <c r="Y149">
        <f>HYPERLINK("https://klasma.github.io/Logging_0763/tillsynsmail/A 50912-2019 tillsynsbegäran mail.docx", "A 50912-2019")</f>
        <v/>
      </c>
      <c r="Z149">
        <f>HYPERLINK("https://klasma.github.io/Logging_0763/fåglar/A 50912-2019 prioriterade fågelarter.docx", "A 50912-2019")</f>
        <v/>
      </c>
    </row>
    <row r="150" ht="15" customHeight="1">
      <c r="A150" t="inlineStr">
        <is>
          <t>A 53911-2019</t>
        </is>
      </c>
      <c r="B150" s="1" t="n">
        <v>43741</v>
      </c>
      <c r="C150" s="1" t="n">
        <v>45832</v>
      </c>
      <c r="D150" t="inlineStr">
        <is>
          <t>KRONOBERGS LÄN</t>
        </is>
      </c>
      <c r="E150" t="inlineStr">
        <is>
          <t>ALVESTA</t>
        </is>
      </c>
      <c r="G150" t="n">
        <v>24.1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Sotlav</t>
        </is>
      </c>
      <c r="S150">
        <f>HYPERLINK("https://klasma.github.io/Logging_0764/artfynd/A 53911-2019 artfynd.xlsx", "A 53911-2019")</f>
        <v/>
      </c>
      <c r="T150">
        <f>HYPERLINK("https://klasma.github.io/Logging_0764/kartor/A 53911-2019 karta.png", "A 53911-2019")</f>
        <v/>
      </c>
      <c r="V150">
        <f>HYPERLINK("https://klasma.github.io/Logging_0764/klagomål/A 53911-2019 FSC-klagomål.docx", "A 53911-2019")</f>
        <v/>
      </c>
      <c r="W150">
        <f>HYPERLINK("https://klasma.github.io/Logging_0764/klagomålsmail/A 53911-2019 FSC-klagomål mail.docx", "A 53911-2019")</f>
        <v/>
      </c>
      <c r="X150">
        <f>HYPERLINK("https://klasma.github.io/Logging_0764/tillsyn/A 53911-2019 tillsynsbegäran.docx", "A 53911-2019")</f>
        <v/>
      </c>
      <c r="Y150">
        <f>HYPERLINK("https://klasma.github.io/Logging_0764/tillsynsmail/A 53911-2019 tillsynsbegäran mail.docx", "A 53911-2019")</f>
        <v/>
      </c>
    </row>
    <row r="151" ht="15" customHeight="1">
      <c r="A151" t="inlineStr">
        <is>
          <t>A 54638-2019</t>
        </is>
      </c>
      <c r="B151" s="1" t="n">
        <v>43748</v>
      </c>
      <c r="C151" s="1" t="n">
        <v>45832</v>
      </c>
      <c r="D151" t="inlineStr">
        <is>
          <t>KRONOBERGS LÄN</t>
        </is>
      </c>
      <c r="E151" t="inlineStr">
        <is>
          <t>LJUNGBY</t>
        </is>
      </c>
      <c r="G151" t="n">
        <v>12.3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Hasselmus</t>
        </is>
      </c>
      <c r="S151">
        <f>HYPERLINK("https://klasma.github.io/Logging_0781/artfynd/A 54638-2019 artfynd.xlsx", "A 54638-2019")</f>
        <v/>
      </c>
      <c r="T151">
        <f>HYPERLINK("https://klasma.github.io/Logging_0781/kartor/A 54638-2019 karta.png", "A 54638-2019")</f>
        <v/>
      </c>
      <c r="V151">
        <f>HYPERLINK("https://klasma.github.io/Logging_0781/klagomål/A 54638-2019 FSC-klagomål.docx", "A 54638-2019")</f>
        <v/>
      </c>
      <c r="W151">
        <f>HYPERLINK("https://klasma.github.io/Logging_0781/klagomålsmail/A 54638-2019 FSC-klagomål mail.docx", "A 54638-2019")</f>
        <v/>
      </c>
      <c r="X151">
        <f>HYPERLINK("https://klasma.github.io/Logging_0781/tillsyn/A 54638-2019 tillsynsbegäran.docx", "A 54638-2019")</f>
        <v/>
      </c>
      <c r="Y151">
        <f>HYPERLINK("https://klasma.github.io/Logging_0781/tillsynsmail/A 54638-2019 tillsynsbegäran mail.docx", "A 54638-2019")</f>
        <v/>
      </c>
    </row>
    <row r="152" ht="15" customHeight="1">
      <c r="A152" t="inlineStr">
        <is>
          <t>A 62203-2019</t>
        </is>
      </c>
      <c r="B152" s="1" t="n">
        <v>43788</v>
      </c>
      <c r="C152" s="1" t="n">
        <v>45832</v>
      </c>
      <c r="D152" t="inlineStr">
        <is>
          <t>KRONOBERGS LÄN</t>
        </is>
      </c>
      <c r="E152" t="inlineStr">
        <is>
          <t>LJUNGBY</t>
        </is>
      </c>
      <c r="G152" t="n">
        <v>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HYPERLINK("https://klasma.github.io/Logging_0781/artfynd/A 62203-2019 artfynd.xlsx", "A 62203-2019")</f>
        <v/>
      </c>
      <c r="T152">
        <f>HYPERLINK("https://klasma.github.io/Logging_0781/kartor/A 62203-2019 karta.png", "A 62203-2019")</f>
        <v/>
      </c>
      <c r="V152">
        <f>HYPERLINK("https://klasma.github.io/Logging_0781/klagomål/A 62203-2019 FSC-klagomål.docx", "A 62203-2019")</f>
        <v/>
      </c>
      <c r="W152">
        <f>HYPERLINK("https://klasma.github.io/Logging_0781/klagomålsmail/A 62203-2019 FSC-klagomål mail.docx", "A 62203-2019")</f>
        <v/>
      </c>
      <c r="X152">
        <f>HYPERLINK("https://klasma.github.io/Logging_0781/tillsyn/A 62203-2019 tillsynsbegäran.docx", "A 62203-2019")</f>
        <v/>
      </c>
      <c r="Y152">
        <f>HYPERLINK("https://klasma.github.io/Logging_0781/tillsynsmail/A 62203-2019 tillsynsbegäran mail.docx", "A 62203-2019")</f>
        <v/>
      </c>
    </row>
    <row r="153" ht="15" customHeight="1">
      <c r="A153" t="inlineStr">
        <is>
          <t>A 63168-2019</t>
        </is>
      </c>
      <c r="B153" s="1" t="n">
        <v>43791</v>
      </c>
      <c r="C153" s="1" t="n">
        <v>45832</v>
      </c>
      <c r="D153" t="inlineStr">
        <is>
          <t>KRONOBERGS LÄN</t>
        </is>
      </c>
      <c r="E153" t="inlineStr">
        <is>
          <t>UPPVIDINGE</t>
        </is>
      </c>
      <c r="G153" t="n">
        <v>7.4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63168-2019 artfynd.xlsx", "A 63168-2019")</f>
        <v/>
      </c>
      <c r="T153">
        <f>HYPERLINK("https://klasma.github.io/Logging_0760/kartor/A 63168-2019 karta.png", "A 63168-2019")</f>
        <v/>
      </c>
      <c r="U153">
        <f>HYPERLINK("https://klasma.github.io/Logging_0760/knärot/A 63168-2019 karta knärot.png", "A 63168-2019")</f>
        <v/>
      </c>
      <c r="V153">
        <f>HYPERLINK("https://klasma.github.io/Logging_0760/klagomål/A 63168-2019 FSC-klagomål.docx", "A 63168-2019")</f>
        <v/>
      </c>
      <c r="W153">
        <f>HYPERLINK("https://klasma.github.io/Logging_0760/klagomålsmail/A 63168-2019 FSC-klagomål mail.docx", "A 63168-2019")</f>
        <v/>
      </c>
      <c r="X153">
        <f>HYPERLINK("https://klasma.github.io/Logging_0760/tillsyn/A 63168-2019 tillsynsbegäran.docx", "A 63168-2019")</f>
        <v/>
      </c>
      <c r="Y153">
        <f>HYPERLINK("https://klasma.github.io/Logging_0760/tillsynsmail/A 63168-2019 tillsynsbegäran mail.docx", "A 63168-2019")</f>
        <v/>
      </c>
    </row>
    <row r="154" ht="15" customHeight="1">
      <c r="A154" t="inlineStr">
        <is>
          <t>A 63735-2019</t>
        </is>
      </c>
      <c r="B154" s="1" t="n">
        <v>43795</v>
      </c>
      <c r="C154" s="1" t="n">
        <v>45832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Mellanlummer</t>
        </is>
      </c>
      <c r="S154">
        <f>HYPERLINK("https://klasma.github.io/Logging_0760/artfynd/A 63735-2019 artfynd.xlsx", "A 63735-2019")</f>
        <v/>
      </c>
      <c r="T154">
        <f>HYPERLINK("https://klasma.github.io/Logging_0760/kartor/A 63735-2019 karta.png", "A 63735-2019")</f>
        <v/>
      </c>
      <c r="V154">
        <f>HYPERLINK("https://klasma.github.io/Logging_0760/klagomål/A 63735-2019 FSC-klagomål.docx", "A 63735-2019")</f>
        <v/>
      </c>
      <c r="W154">
        <f>HYPERLINK("https://klasma.github.io/Logging_0760/klagomålsmail/A 63735-2019 FSC-klagomål mail.docx", "A 63735-2019")</f>
        <v/>
      </c>
      <c r="X154">
        <f>HYPERLINK("https://klasma.github.io/Logging_0760/tillsyn/A 63735-2019 tillsynsbegäran.docx", "A 63735-2019")</f>
        <v/>
      </c>
      <c r="Y154">
        <f>HYPERLINK("https://klasma.github.io/Logging_0760/tillsynsmail/A 63735-2019 tillsynsbegäran mail.docx", "A 63735-2019")</f>
        <v/>
      </c>
    </row>
    <row r="155" ht="15" customHeight="1">
      <c r="A155" t="inlineStr">
        <is>
          <t>A 65143-2019</t>
        </is>
      </c>
      <c r="B155" s="1" t="n">
        <v>43802</v>
      </c>
      <c r="C155" s="1" t="n">
        <v>45832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Kopparödla</t>
        </is>
      </c>
      <c r="S155">
        <f>HYPERLINK("https://klasma.github.io/Logging_0761/artfynd/A 65143-2019 artfynd.xlsx", "A 65143-2019")</f>
        <v/>
      </c>
      <c r="T155">
        <f>HYPERLINK("https://klasma.github.io/Logging_0761/kartor/A 65143-2019 karta.png", "A 65143-2019")</f>
        <v/>
      </c>
      <c r="V155">
        <f>HYPERLINK("https://klasma.github.io/Logging_0761/klagomål/A 65143-2019 FSC-klagomål.docx", "A 65143-2019")</f>
        <v/>
      </c>
      <c r="W155">
        <f>HYPERLINK("https://klasma.github.io/Logging_0761/klagomålsmail/A 65143-2019 FSC-klagomål mail.docx", "A 65143-2019")</f>
        <v/>
      </c>
      <c r="X155">
        <f>HYPERLINK("https://klasma.github.io/Logging_0761/tillsyn/A 65143-2019 tillsynsbegäran.docx", "A 65143-2019")</f>
        <v/>
      </c>
      <c r="Y155">
        <f>HYPERLINK("https://klasma.github.io/Logging_0761/tillsynsmail/A 65143-2019 tillsynsbegäran mail.docx", "A 65143-2019")</f>
        <v/>
      </c>
    </row>
    <row r="156" ht="15" customHeight="1">
      <c r="A156" t="inlineStr">
        <is>
          <t>A 4757-2020</t>
        </is>
      </c>
      <c r="B156" s="1" t="n">
        <v>43850</v>
      </c>
      <c r="C156" s="1" t="n">
        <v>45832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4757-2020 artfynd.xlsx", "A 4757-2020")</f>
        <v/>
      </c>
      <c r="T156">
        <f>HYPERLINK("https://klasma.github.io/Logging_0760/kartor/A 4757-2020 karta.png", "A 4757-2020")</f>
        <v/>
      </c>
      <c r="V156">
        <f>HYPERLINK("https://klasma.github.io/Logging_0760/klagomål/A 4757-2020 FSC-klagomål.docx", "A 4757-2020")</f>
        <v/>
      </c>
      <c r="W156">
        <f>HYPERLINK("https://klasma.github.io/Logging_0760/klagomålsmail/A 4757-2020 FSC-klagomål mail.docx", "A 4757-2020")</f>
        <v/>
      </c>
      <c r="X156">
        <f>HYPERLINK("https://klasma.github.io/Logging_0760/tillsyn/A 4757-2020 tillsynsbegäran.docx", "A 4757-2020")</f>
        <v/>
      </c>
      <c r="Y156">
        <f>HYPERLINK("https://klasma.github.io/Logging_0760/tillsynsmail/A 4757-2020 tillsynsbegäran mail.docx", "A 4757-2020")</f>
        <v/>
      </c>
    </row>
    <row r="157" ht="15" customHeight="1">
      <c r="A157" t="inlineStr">
        <is>
          <t>A 4022-2020</t>
        </is>
      </c>
      <c r="B157" s="1" t="n">
        <v>43857</v>
      </c>
      <c r="C157" s="1" t="n">
        <v>45832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HYPERLINK("https://klasma.github.io/Logging_0763/artfynd/A 4022-2020 artfynd.xlsx", "A 4022-2020")</f>
        <v/>
      </c>
      <c r="T157">
        <f>HYPERLINK("https://klasma.github.io/Logging_0763/kartor/A 4022-2020 karta.png", "A 4022-2020")</f>
        <v/>
      </c>
      <c r="V157">
        <f>HYPERLINK("https://klasma.github.io/Logging_0763/klagomål/A 4022-2020 FSC-klagomål.docx", "A 4022-2020")</f>
        <v/>
      </c>
      <c r="W157">
        <f>HYPERLINK("https://klasma.github.io/Logging_0763/klagomålsmail/A 4022-2020 FSC-klagomål mail.docx", "A 4022-2020")</f>
        <v/>
      </c>
      <c r="X157">
        <f>HYPERLINK("https://klasma.github.io/Logging_0763/tillsyn/A 4022-2020 tillsynsbegäran.docx", "A 4022-2020")</f>
        <v/>
      </c>
      <c r="Y157">
        <f>HYPERLINK("https://klasma.github.io/Logging_0763/tillsynsmail/A 4022-2020 tillsynsbegäran mail.docx", "A 4022-2020")</f>
        <v/>
      </c>
    </row>
    <row r="158" ht="15" customHeight="1">
      <c r="A158" t="inlineStr">
        <is>
          <t>A 5701-2020</t>
        </is>
      </c>
      <c r="B158" s="1" t="n">
        <v>43861</v>
      </c>
      <c r="C158" s="1" t="n">
        <v>45832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5701-2020 artfynd.xlsx", "A 5701-2020")</f>
        <v/>
      </c>
      <c r="T158">
        <f>HYPERLINK("https://klasma.github.io/Logging_0760/kartor/A 5701-2020 karta.png", "A 5701-2020")</f>
        <v/>
      </c>
      <c r="U158">
        <f>HYPERLINK("https://klasma.github.io/Logging_0760/knärot/A 5701-2020 karta knärot.png", "A 5701-2020")</f>
        <v/>
      </c>
      <c r="V158">
        <f>HYPERLINK("https://klasma.github.io/Logging_0760/klagomål/A 5701-2020 FSC-klagomål.docx", "A 5701-2020")</f>
        <v/>
      </c>
      <c r="W158">
        <f>HYPERLINK("https://klasma.github.io/Logging_0760/klagomålsmail/A 5701-2020 FSC-klagomål mail.docx", "A 5701-2020")</f>
        <v/>
      </c>
      <c r="X158">
        <f>HYPERLINK("https://klasma.github.io/Logging_0760/tillsyn/A 5701-2020 tillsynsbegäran.docx", "A 5701-2020")</f>
        <v/>
      </c>
      <c r="Y158">
        <f>HYPERLINK("https://klasma.github.io/Logging_0760/tillsynsmail/A 5701-2020 tillsynsbegäran mail.docx", "A 5701-2020")</f>
        <v/>
      </c>
    </row>
    <row r="159" ht="15" customHeight="1">
      <c r="A159" t="inlineStr">
        <is>
          <t>A 12403-2020</t>
        </is>
      </c>
      <c r="B159" s="1" t="n">
        <v>43896</v>
      </c>
      <c r="C159" s="1" t="n">
        <v>45832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HYPERLINK("https://klasma.github.io/Logging_0765/artfynd/A 12403-2020 artfynd.xlsx", "A 12403-2020")</f>
        <v/>
      </c>
      <c r="T159">
        <f>HYPERLINK("https://klasma.github.io/Logging_0765/kartor/A 12403-2020 karta.png", "A 12403-2020")</f>
        <v/>
      </c>
      <c r="V159">
        <f>HYPERLINK("https://klasma.github.io/Logging_0765/klagomål/A 12403-2020 FSC-klagomål.docx", "A 12403-2020")</f>
        <v/>
      </c>
      <c r="W159">
        <f>HYPERLINK("https://klasma.github.io/Logging_0765/klagomålsmail/A 12403-2020 FSC-klagomål mail.docx", "A 12403-2020")</f>
        <v/>
      </c>
      <c r="X159">
        <f>HYPERLINK("https://klasma.github.io/Logging_0765/tillsyn/A 12403-2020 tillsynsbegäran.docx", "A 12403-2020")</f>
        <v/>
      </c>
      <c r="Y159">
        <f>HYPERLINK("https://klasma.github.io/Logging_0765/tillsynsmail/A 12403-2020 tillsynsbegäran mail.docx", "A 12403-2020")</f>
        <v/>
      </c>
    </row>
    <row r="160" ht="15" customHeight="1">
      <c r="A160" t="inlineStr">
        <is>
          <t>A 13774-2020</t>
        </is>
      </c>
      <c r="B160" s="1" t="n">
        <v>43903</v>
      </c>
      <c r="C160" s="1" t="n">
        <v>45832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HYPERLINK("https://klasma.github.io/Logging_0763/artfynd/A 13774-2020 artfynd.xlsx", "A 13774-2020")</f>
        <v/>
      </c>
      <c r="T160">
        <f>HYPERLINK("https://klasma.github.io/Logging_0763/kartor/A 13774-2020 karta.png", "A 13774-2020")</f>
        <v/>
      </c>
      <c r="V160">
        <f>HYPERLINK("https://klasma.github.io/Logging_0763/klagomål/A 13774-2020 FSC-klagomål.docx", "A 13774-2020")</f>
        <v/>
      </c>
      <c r="W160">
        <f>HYPERLINK("https://klasma.github.io/Logging_0763/klagomålsmail/A 13774-2020 FSC-klagomål mail.docx", "A 13774-2020")</f>
        <v/>
      </c>
      <c r="X160">
        <f>HYPERLINK("https://klasma.github.io/Logging_0763/tillsyn/A 13774-2020 tillsynsbegäran.docx", "A 13774-2020")</f>
        <v/>
      </c>
      <c r="Y160">
        <f>HYPERLINK("https://klasma.github.io/Logging_0763/tillsynsmail/A 13774-2020 tillsynsbegäran mail.docx", "A 13774-2020")</f>
        <v/>
      </c>
    </row>
    <row r="161" ht="15" customHeight="1">
      <c r="A161" t="inlineStr">
        <is>
          <t>A 16615-2020</t>
        </is>
      </c>
      <c r="B161" s="1" t="n">
        <v>43909</v>
      </c>
      <c r="C161" s="1" t="n">
        <v>45832</v>
      </c>
      <c r="D161" t="inlineStr">
        <is>
          <t>KRONOBERGS LÄN</t>
        </is>
      </c>
      <c r="E161" t="inlineStr">
        <is>
          <t>VÄXJÖ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Nordfladdermus</t>
        </is>
      </c>
      <c r="S161">
        <f>HYPERLINK("https://klasma.github.io/Logging_0780/artfynd/A 16615-2020 artfynd.xlsx", "A 16615-2020")</f>
        <v/>
      </c>
      <c r="T161">
        <f>HYPERLINK("https://klasma.github.io/Logging_0780/kartor/A 16615-2020 karta.png", "A 16615-2020")</f>
        <v/>
      </c>
      <c r="V161">
        <f>HYPERLINK("https://klasma.github.io/Logging_0780/klagomål/A 16615-2020 FSC-klagomål.docx", "A 16615-2020")</f>
        <v/>
      </c>
      <c r="W161">
        <f>HYPERLINK("https://klasma.github.io/Logging_0780/klagomålsmail/A 16615-2020 FSC-klagomål mail.docx", "A 16615-2020")</f>
        <v/>
      </c>
      <c r="X161">
        <f>HYPERLINK("https://klasma.github.io/Logging_0780/tillsyn/A 16615-2020 tillsynsbegäran.docx", "A 16615-2020")</f>
        <v/>
      </c>
      <c r="Y161">
        <f>HYPERLINK("https://klasma.github.io/Logging_0780/tillsynsmail/A 16615-2020 tillsynsbegäran mail.docx", "A 16615-2020")</f>
        <v/>
      </c>
    </row>
    <row r="162" ht="15" customHeight="1">
      <c r="A162" t="inlineStr">
        <is>
          <t>A 24609-2020</t>
        </is>
      </c>
      <c r="B162" s="1" t="n">
        <v>43977</v>
      </c>
      <c r="C162" s="1" t="n">
        <v>45832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Hårklomossa</t>
        </is>
      </c>
      <c r="S162">
        <f>HYPERLINK("https://klasma.github.io/Logging_0765/artfynd/A 24609-2020 artfynd.xlsx", "A 24609-2020")</f>
        <v/>
      </c>
      <c r="T162">
        <f>HYPERLINK("https://klasma.github.io/Logging_0765/kartor/A 24609-2020 karta.png", "A 24609-2020")</f>
        <v/>
      </c>
      <c r="V162">
        <f>HYPERLINK("https://klasma.github.io/Logging_0765/klagomål/A 24609-2020 FSC-klagomål.docx", "A 24609-2020")</f>
        <v/>
      </c>
      <c r="W162">
        <f>HYPERLINK("https://klasma.github.io/Logging_0765/klagomålsmail/A 24609-2020 FSC-klagomål mail.docx", "A 24609-2020")</f>
        <v/>
      </c>
      <c r="X162">
        <f>HYPERLINK("https://klasma.github.io/Logging_0765/tillsyn/A 24609-2020 tillsynsbegäran.docx", "A 24609-2020")</f>
        <v/>
      </c>
      <c r="Y162">
        <f>HYPERLINK("https://klasma.github.io/Logging_0765/tillsynsmail/A 24609-2020 tillsynsbegäran mail.docx", "A 24609-2020")</f>
        <v/>
      </c>
    </row>
    <row r="163" ht="15" customHeight="1">
      <c r="A163" t="inlineStr">
        <is>
          <t>A 33646-2020</t>
        </is>
      </c>
      <c r="B163" s="1" t="n">
        <v>44022</v>
      </c>
      <c r="C163" s="1" t="n">
        <v>45832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33646-2020 artfynd.xlsx", "A 33646-2020")</f>
        <v/>
      </c>
      <c r="T163">
        <f>HYPERLINK("https://klasma.github.io/Logging_0760/kartor/A 33646-2020 karta.png", "A 33646-2020")</f>
        <v/>
      </c>
      <c r="V163">
        <f>HYPERLINK("https://klasma.github.io/Logging_0760/klagomål/A 33646-2020 FSC-klagomål.docx", "A 33646-2020")</f>
        <v/>
      </c>
      <c r="W163">
        <f>HYPERLINK("https://klasma.github.io/Logging_0760/klagomålsmail/A 33646-2020 FSC-klagomål mail.docx", "A 33646-2020")</f>
        <v/>
      </c>
      <c r="X163">
        <f>HYPERLINK("https://klasma.github.io/Logging_0760/tillsyn/A 33646-2020 tillsynsbegäran.docx", "A 33646-2020")</f>
        <v/>
      </c>
      <c r="Y163">
        <f>HYPERLINK("https://klasma.github.io/Logging_0760/tillsynsmail/A 33646-2020 tillsynsbegäran mail.docx", "A 33646-2020")</f>
        <v/>
      </c>
    </row>
    <row r="164" ht="15" customHeight="1">
      <c r="A164" t="inlineStr">
        <is>
          <t>A 34610-2020</t>
        </is>
      </c>
      <c r="B164" s="1" t="n">
        <v>44034</v>
      </c>
      <c r="C164" s="1" t="n">
        <v>45832</v>
      </c>
      <c r="D164" t="inlineStr">
        <is>
          <t>KRONOBERGS LÄN</t>
        </is>
      </c>
      <c r="E164" t="inlineStr">
        <is>
          <t>UPPVIDINGE</t>
        </is>
      </c>
      <c r="G164" t="n">
        <v>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HYPERLINK("https://klasma.github.io/Logging_0760/artfynd/A 34610-2020 artfynd.xlsx", "A 34610-2020")</f>
        <v/>
      </c>
      <c r="T164">
        <f>HYPERLINK("https://klasma.github.io/Logging_0760/kartor/A 34610-2020 karta.png", "A 34610-2020")</f>
        <v/>
      </c>
      <c r="V164">
        <f>HYPERLINK("https://klasma.github.io/Logging_0760/klagomål/A 34610-2020 FSC-klagomål.docx", "A 34610-2020")</f>
        <v/>
      </c>
      <c r="W164">
        <f>HYPERLINK("https://klasma.github.io/Logging_0760/klagomålsmail/A 34610-2020 FSC-klagomål mail.docx", "A 34610-2020")</f>
        <v/>
      </c>
      <c r="X164">
        <f>HYPERLINK("https://klasma.github.io/Logging_0760/tillsyn/A 34610-2020 tillsynsbegäran.docx", "A 34610-2020")</f>
        <v/>
      </c>
      <c r="Y164">
        <f>HYPERLINK("https://klasma.github.io/Logging_0760/tillsynsmail/A 34610-2020 tillsynsbegäran mail.docx", "A 34610-2020")</f>
        <v/>
      </c>
    </row>
    <row r="165" ht="15" customHeight="1">
      <c r="A165" t="inlineStr">
        <is>
          <t>A 36311-2020</t>
        </is>
      </c>
      <c r="B165" s="1" t="n">
        <v>44049</v>
      </c>
      <c r="C165" s="1" t="n">
        <v>45832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Blåsfliksmossa</t>
        </is>
      </c>
      <c r="S165">
        <f>HYPERLINK("https://klasma.github.io/Logging_0765/artfynd/A 36311-2020 artfynd.xlsx", "A 36311-2020")</f>
        <v/>
      </c>
      <c r="T165">
        <f>HYPERLINK("https://klasma.github.io/Logging_0765/kartor/A 36311-2020 karta.png", "A 36311-2020")</f>
        <v/>
      </c>
      <c r="V165">
        <f>HYPERLINK("https://klasma.github.io/Logging_0765/klagomål/A 36311-2020 FSC-klagomål.docx", "A 36311-2020")</f>
        <v/>
      </c>
      <c r="W165">
        <f>HYPERLINK("https://klasma.github.io/Logging_0765/klagomålsmail/A 36311-2020 FSC-klagomål mail.docx", "A 36311-2020")</f>
        <v/>
      </c>
      <c r="X165">
        <f>HYPERLINK("https://klasma.github.io/Logging_0765/tillsyn/A 36311-2020 tillsynsbegäran.docx", "A 36311-2020")</f>
        <v/>
      </c>
      <c r="Y165">
        <f>HYPERLINK("https://klasma.github.io/Logging_0765/tillsynsmail/A 36311-2020 tillsynsbegäran mail.docx", "A 36311-2020")</f>
        <v/>
      </c>
    </row>
    <row r="166" ht="15" customHeight="1">
      <c r="A166" t="inlineStr">
        <is>
          <t>A 37018-2020</t>
        </is>
      </c>
      <c r="B166" s="1" t="n">
        <v>44054</v>
      </c>
      <c r="C166" s="1" t="n">
        <v>45832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HYPERLINK("https://klasma.github.io/Logging_0760/artfynd/A 37018-2020 artfynd.xlsx", "A 37018-2020")</f>
        <v/>
      </c>
      <c r="T166">
        <f>HYPERLINK("https://klasma.github.io/Logging_0760/kartor/A 37018-2020 karta.png", "A 37018-2020")</f>
        <v/>
      </c>
      <c r="V166">
        <f>HYPERLINK("https://klasma.github.io/Logging_0760/klagomål/A 37018-2020 FSC-klagomål.docx", "A 37018-2020")</f>
        <v/>
      </c>
      <c r="W166">
        <f>HYPERLINK("https://klasma.github.io/Logging_0760/klagomålsmail/A 37018-2020 FSC-klagomål mail.docx", "A 37018-2020")</f>
        <v/>
      </c>
      <c r="X166">
        <f>HYPERLINK("https://klasma.github.io/Logging_0760/tillsyn/A 37018-2020 tillsynsbegäran.docx", "A 37018-2020")</f>
        <v/>
      </c>
      <c r="Y166">
        <f>HYPERLINK("https://klasma.github.io/Logging_0760/tillsynsmail/A 37018-2020 tillsynsbegäran mail.docx", "A 37018-2020")</f>
        <v/>
      </c>
    </row>
    <row r="167" ht="15" customHeight="1">
      <c r="A167" t="inlineStr">
        <is>
          <t>A 41394-2020</t>
        </is>
      </c>
      <c r="B167" s="1" t="n">
        <v>44073</v>
      </c>
      <c r="C167" s="1" t="n">
        <v>45832</v>
      </c>
      <c r="D167" t="inlineStr">
        <is>
          <t>KRONOBERGS LÄN</t>
        </is>
      </c>
      <c r="E167" t="inlineStr">
        <is>
          <t>UPPVIDINGE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Nattviol</t>
        </is>
      </c>
      <c r="S167">
        <f>HYPERLINK("https://klasma.github.io/Logging_0760/artfynd/A 41394-2020 artfynd.xlsx", "A 41394-2020")</f>
        <v/>
      </c>
      <c r="T167">
        <f>HYPERLINK("https://klasma.github.io/Logging_0760/kartor/A 41394-2020 karta.png", "A 41394-2020")</f>
        <v/>
      </c>
      <c r="V167">
        <f>HYPERLINK("https://klasma.github.io/Logging_0760/klagomål/A 41394-2020 FSC-klagomål.docx", "A 41394-2020")</f>
        <v/>
      </c>
      <c r="W167">
        <f>HYPERLINK("https://klasma.github.io/Logging_0760/klagomålsmail/A 41394-2020 FSC-klagomål mail.docx", "A 41394-2020")</f>
        <v/>
      </c>
      <c r="X167">
        <f>HYPERLINK("https://klasma.github.io/Logging_0760/tillsyn/A 41394-2020 tillsynsbegäran.docx", "A 41394-2020")</f>
        <v/>
      </c>
      <c r="Y167">
        <f>HYPERLINK("https://klasma.github.io/Logging_0760/tillsynsmail/A 41394-2020 tillsynsbegäran mail.docx", "A 41394-2020")</f>
        <v/>
      </c>
    </row>
    <row r="168" ht="15" customHeight="1">
      <c r="A168" t="inlineStr">
        <is>
          <t>A 45420-2020</t>
        </is>
      </c>
      <c r="B168" s="1" t="n">
        <v>44089</v>
      </c>
      <c r="C168" s="1" t="n">
        <v>45832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Ljungögontröst</t>
        </is>
      </c>
      <c r="S168">
        <f>HYPERLINK("https://klasma.github.io/Logging_0760/artfynd/A 45420-2020 artfynd.xlsx", "A 45420-2020")</f>
        <v/>
      </c>
      <c r="T168">
        <f>HYPERLINK("https://klasma.github.io/Logging_0760/kartor/A 45420-2020 karta.png", "A 45420-2020")</f>
        <v/>
      </c>
      <c r="V168">
        <f>HYPERLINK("https://klasma.github.io/Logging_0760/klagomål/A 45420-2020 FSC-klagomål.docx", "A 45420-2020")</f>
        <v/>
      </c>
      <c r="W168">
        <f>HYPERLINK("https://klasma.github.io/Logging_0760/klagomålsmail/A 45420-2020 FSC-klagomål mail.docx", "A 45420-2020")</f>
        <v/>
      </c>
      <c r="X168">
        <f>HYPERLINK("https://klasma.github.io/Logging_0760/tillsyn/A 45420-2020 tillsynsbegäran.docx", "A 45420-2020")</f>
        <v/>
      </c>
      <c r="Y168">
        <f>HYPERLINK("https://klasma.github.io/Logging_0760/tillsynsmail/A 45420-2020 tillsynsbegäran mail.docx", "A 45420-2020")</f>
        <v/>
      </c>
    </row>
    <row r="169" ht="15" customHeight="1">
      <c r="A169" t="inlineStr">
        <is>
          <t>A 45886-2020</t>
        </is>
      </c>
      <c r="B169" s="1" t="n">
        <v>44091</v>
      </c>
      <c r="C169" s="1" t="n">
        <v>45832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Hagfingersvamp</t>
        </is>
      </c>
      <c r="S169">
        <f>HYPERLINK("https://klasma.github.io/Logging_0760/artfynd/A 45886-2020 artfynd.xlsx", "A 45886-2020")</f>
        <v/>
      </c>
      <c r="T169">
        <f>HYPERLINK("https://klasma.github.io/Logging_0760/kartor/A 45886-2020 karta.png", "A 45886-2020")</f>
        <v/>
      </c>
      <c r="V169">
        <f>HYPERLINK("https://klasma.github.io/Logging_0760/klagomål/A 45886-2020 FSC-klagomål.docx", "A 45886-2020")</f>
        <v/>
      </c>
      <c r="W169">
        <f>HYPERLINK("https://klasma.github.io/Logging_0760/klagomålsmail/A 45886-2020 FSC-klagomål mail.docx", "A 45886-2020")</f>
        <v/>
      </c>
      <c r="X169">
        <f>HYPERLINK("https://klasma.github.io/Logging_0760/tillsyn/A 45886-2020 tillsynsbegäran.docx", "A 45886-2020")</f>
        <v/>
      </c>
      <c r="Y169">
        <f>HYPERLINK("https://klasma.github.io/Logging_0760/tillsynsmail/A 45886-2020 tillsynsbegäran mail.docx", "A 45886-2020")</f>
        <v/>
      </c>
    </row>
    <row r="170" ht="15" customHeight="1">
      <c r="A170" t="inlineStr">
        <is>
          <t>A 47090-2020</t>
        </is>
      </c>
      <c r="B170" s="1" t="n">
        <v>44096</v>
      </c>
      <c r="C170" s="1" t="n">
        <v>45832</v>
      </c>
      <c r="D170" t="inlineStr">
        <is>
          <t>KRONOBERGS LÄN</t>
        </is>
      </c>
      <c r="E170" t="inlineStr">
        <is>
          <t>TINGSRYD</t>
        </is>
      </c>
      <c r="G170" t="n">
        <v>3.9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HYPERLINK("https://klasma.github.io/Logging_0763/artfynd/A 47090-2020 artfynd.xlsx", "A 47090-2020")</f>
        <v/>
      </c>
      <c r="T170">
        <f>HYPERLINK("https://klasma.github.io/Logging_0763/kartor/A 47090-2020 karta.png", "A 47090-2020")</f>
        <v/>
      </c>
      <c r="V170">
        <f>HYPERLINK("https://klasma.github.io/Logging_0763/klagomål/A 47090-2020 FSC-klagomål.docx", "A 47090-2020")</f>
        <v/>
      </c>
      <c r="W170">
        <f>HYPERLINK("https://klasma.github.io/Logging_0763/klagomålsmail/A 47090-2020 FSC-klagomål mail.docx", "A 47090-2020")</f>
        <v/>
      </c>
      <c r="X170">
        <f>HYPERLINK("https://klasma.github.io/Logging_0763/tillsyn/A 47090-2020 tillsynsbegäran.docx", "A 47090-2020")</f>
        <v/>
      </c>
      <c r="Y170">
        <f>HYPERLINK("https://klasma.github.io/Logging_0763/tillsynsmail/A 47090-2020 tillsynsbegäran mail.docx", "A 47090-2020")</f>
        <v/>
      </c>
    </row>
    <row r="171" ht="15" customHeight="1">
      <c r="A171" t="inlineStr">
        <is>
          <t>A 52984-2020</t>
        </is>
      </c>
      <c r="B171" s="1" t="n">
        <v>44119</v>
      </c>
      <c r="C171" s="1" t="n">
        <v>45832</v>
      </c>
      <c r="D171" t="inlineStr">
        <is>
          <t>KRONOBERGS LÄN</t>
        </is>
      </c>
      <c r="E171" t="inlineStr">
        <is>
          <t>UPPVIDINGE</t>
        </is>
      </c>
      <c r="G171" t="n">
        <v>3.3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HYPERLINK("https://klasma.github.io/Logging_0760/artfynd/A 52984-2020 artfynd.xlsx", "A 52984-2020")</f>
        <v/>
      </c>
      <c r="T171">
        <f>HYPERLINK("https://klasma.github.io/Logging_0760/kartor/A 52984-2020 karta.png", "A 52984-2020")</f>
        <v/>
      </c>
      <c r="U171">
        <f>HYPERLINK("https://klasma.github.io/Logging_0760/knärot/A 52984-2020 karta knärot.png", "A 52984-2020")</f>
        <v/>
      </c>
      <c r="V171">
        <f>HYPERLINK("https://klasma.github.io/Logging_0760/klagomål/A 52984-2020 FSC-klagomål.docx", "A 52984-2020")</f>
        <v/>
      </c>
      <c r="W171">
        <f>HYPERLINK("https://klasma.github.io/Logging_0760/klagomålsmail/A 52984-2020 FSC-klagomål mail.docx", "A 52984-2020")</f>
        <v/>
      </c>
      <c r="X171">
        <f>HYPERLINK("https://klasma.github.io/Logging_0760/tillsyn/A 52984-2020 tillsynsbegäran.docx", "A 52984-2020")</f>
        <v/>
      </c>
      <c r="Y171">
        <f>HYPERLINK("https://klasma.github.io/Logging_0760/tillsynsmail/A 52984-2020 tillsynsbegäran mail.docx", "A 52984-2020")</f>
        <v/>
      </c>
    </row>
    <row r="172" ht="15" customHeight="1">
      <c r="A172" t="inlineStr">
        <is>
          <t>A 55123-2020</t>
        </is>
      </c>
      <c r="B172" s="1" t="n">
        <v>44130</v>
      </c>
      <c r="C172" s="1" t="n">
        <v>45832</v>
      </c>
      <c r="D172" t="inlineStr">
        <is>
          <t>KRONOBERGS LÄN</t>
        </is>
      </c>
      <c r="E172" t="inlineStr">
        <is>
          <t>ALVESTA</t>
        </is>
      </c>
      <c r="G172" t="n">
        <v>15.4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HYPERLINK("https://klasma.github.io/Logging_0764/artfynd/A 55123-2020 artfynd.xlsx", "A 55123-2020")</f>
        <v/>
      </c>
      <c r="T172">
        <f>HYPERLINK("https://klasma.github.io/Logging_0764/kartor/A 55123-2020 karta.png", "A 55123-2020")</f>
        <v/>
      </c>
      <c r="V172">
        <f>HYPERLINK("https://klasma.github.io/Logging_0764/klagomål/A 55123-2020 FSC-klagomål.docx", "A 55123-2020")</f>
        <v/>
      </c>
      <c r="W172">
        <f>HYPERLINK("https://klasma.github.io/Logging_0764/klagomålsmail/A 55123-2020 FSC-klagomål mail.docx", "A 55123-2020")</f>
        <v/>
      </c>
      <c r="X172">
        <f>HYPERLINK("https://klasma.github.io/Logging_0764/tillsyn/A 55123-2020 tillsynsbegäran.docx", "A 55123-2020")</f>
        <v/>
      </c>
      <c r="Y172">
        <f>HYPERLINK("https://klasma.github.io/Logging_0764/tillsynsmail/A 55123-2020 tillsynsbegäran mail.docx", "A 55123-2020")</f>
        <v/>
      </c>
      <c r="Z172">
        <f>HYPERLINK("https://klasma.github.io/Logging_0764/fåglar/A 55123-2020 prioriterade fågelarter.docx", "A 55123-2020")</f>
        <v/>
      </c>
    </row>
    <row r="173" ht="15" customHeight="1">
      <c r="A173" t="inlineStr">
        <is>
          <t>A 55805-2020</t>
        </is>
      </c>
      <c r="B173" s="1" t="n">
        <v>44132</v>
      </c>
      <c r="C173" s="1" t="n">
        <v>45832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55805-2020 artfynd.xlsx", "A 55805-2020")</f>
        <v/>
      </c>
      <c r="T173">
        <f>HYPERLINK("https://klasma.github.io/Logging_0760/kartor/A 55805-2020 karta.png", "A 55805-2020")</f>
        <v/>
      </c>
      <c r="U173">
        <f>HYPERLINK("https://klasma.github.io/Logging_0760/knärot/A 55805-2020 karta knärot.png", "A 55805-2020")</f>
        <v/>
      </c>
      <c r="V173">
        <f>HYPERLINK("https://klasma.github.io/Logging_0760/klagomål/A 55805-2020 FSC-klagomål.docx", "A 55805-2020")</f>
        <v/>
      </c>
      <c r="W173">
        <f>HYPERLINK("https://klasma.github.io/Logging_0760/klagomålsmail/A 55805-2020 FSC-klagomål mail.docx", "A 55805-2020")</f>
        <v/>
      </c>
      <c r="X173">
        <f>HYPERLINK("https://klasma.github.io/Logging_0760/tillsyn/A 55805-2020 tillsynsbegäran.docx", "A 55805-2020")</f>
        <v/>
      </c>
      <c r="Y173">
        <f>HYPERLINK("https://klasma.github.io/Logging_0760/tillsynsmail/A 55805-2020 tillsynsbegäran mail.docx", "A 55805-2020")</f>
        <v/>
      </c>
    </row>
    <row r="174" ht="15" customHeight="1">
      <c r="A174" t="inlineStr">
        <is>
          <t>A 59685-2020</t>
        </is>
      </c>
      <c r="B174" s="1" t="n">
        <v>44151</v>
      </c>
      <c r="C174" s="1" t="n">
        <v>45832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HYPERLINK("https://klasma.github.io/Logging_0781/artfynd/A 59685-2020 artfynd.xlsx", "A 59685-2020")</f>
        <v/>
      </c>
      <c r="T174">
        <f>HYPERLINK("https://klasma.github.io/Logging_0781/kartor/A 59685-2020 karta.png", "A 59685-2020")</f>
        <v/>
      </c>
      <c r="V174">
        <f>HYPERLINK("https://klasma.github.io/Logging_0781/klagomål/A 59685-2020 FSC-klagomål.docx", "A 59685-2020")</f>
        <v/>
      </c>
      <c r="W174">
        <f>HYPERLINK("https://klasma.github.io/Logging_0781/klagomålsmail/A 59685-2020 FSC-klagomål mail.docx", "A 59685-2020")</f>
        <v/>
      </c>
      <c r="X174">
        <f>HYPERLINK("https://klasma.github.io/Logging_0781/tillsyn/A 59685-2020 tillsynsbegäran.docx", "A 59685-2020")</f>
        <v/>
      </c>
      <c r="Y174">
        <f>HYPERLINK("https://klasma.github.io/Logging_0781/tillsynsmail/A 59685-2020 tillsynsbegäran mail.docx", "A 59685-2020")</f>
        <v/>
      </c>
    </row>
    <row r="175" ht="15" customHeight="1">
      <c r="A175" t="inlineStr">
        <is>
          <t>A 63385-2020</t>
        </is>
      </c>
      <c r="B175" s="1" t="n">
        <v>44160</v>
      </c>
      <c r="C175" s="1" t="n">
        <v>45832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Blodvaxing</t>
        </is>
      </c>
      <c r="S175">
        <f>HYPERLINK("https://klasma.github.io/Logging_0760/artfynd/A 63385-2020 artfynd.xlsx", "A 63385-2020")</f>
        <v/>
      </c>
      <c r="T175">
        <f>HYPERLINK("https://klasma.github.io/Logging_0760/kartor/A 63385-2020 karta.png", "A 63385-2020")</f>
        <v/>
      </c>
      <c r="V175">
        <f>HYPERLINK("https://klasma.github.io/Logging_0760/klagomål/A 63385-2020 FSC-klagomål.docx", "A 63385-2020")</f>
        <v/>
      </c>
      <c r="W175">
        <f>HYPERLINK("https://klasma.github.io/Logging_0760/klagomålsmail/A 63385-2020 FSC-klagomål mail.docx", "A 63385-2020")</f>
        <v/>
      </c>
      <c r="X175">
        <f>HYPERLINK("https://klasma.github.io/Logging_0760/tillsyn/A 63385-2020 tillsynsbegäran.docx", "A 63385-2020")</f>
        <v/>
      </c>
      <c r="Y175">
        <f>HYPERLINK("https://klasma.github.io/Logging_0760/tillsynsmail/A 63385-2020 tillsynsbegäran mail.docx", "A 63385-2020")</f>
        <v/>
      </c>
    </row>
    <row r="176" ht="15" customHeight="1">
      <c r="A176" t="inlineStr">
        <is>
          <t>A 62695-2020</t>
        </is>
      </c>
      <c r="B176" s="1" t="n">
        <v>44161</v>
      </c>
      <c r="C176" s="1" t="n">
        <v>45832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bastardsvärmare</t>
        </is>
      </c>
      <c r="S176">
        <f>HYPERLINK("https://klasma.github.io/Logging_0780/artfynd/A 62695-2020 artfynd.xlsx", "A 62695-2020")</f>
        <v/>
      </c>
      <c r="T176">
        <f>HYPERLINK("https://klasma.github.io/Logging_0780/kartor/A 62695-2020 karta.png", "A 62695-2020")</f>
        <v/>
      </c>
      <c r="V176">
        <f>HYPERLINK("https://klasma.github.io/Logging_0780/klagomål/A 62695-2020 FSC-klagomål.docx", "A 62695-2020")</f>
        <v/>
      </c>
      <c r="W176">
        <f>HYPERLINK("https://klasma.github.io/Logging_0780/klagomålsmail/A 62695-2020 FSC-klagomål mail.docx", "A 62695-2020")</f>
        <v/>
      </c>
      <c r="X176">
        <f>HYPERLINK("https://klasma.github.io/Logging_0780/tillsyn/A 62695-2020 tillsynsbegäran.docx", "A 62695-2020")</f>
        <v/>
      </c>
      <c r="Y176">
        <f>HYPERLINK("https://klasma.github.io/Logging_0780/tillsynsmail/A 62695-2020 tillsynsbegäran mail.docx", "A 62695-2020")</f>
        <v/>
      </c>
    </row>
    <row r="177" ht="15" customHeight="1">
      <c r="A177" t="inlineStr">
        <is>
          <t>A 66166-2020</t>
        </is>
      </c>
      <c r="B177" s="1" t="n">
        <v>44175</v>
      </c>
      <c r="C177" s="1" t="n">
        <v>45832</v>
      </c>
      <c r="D177" t="inlineStr">
        <is>
          <t>KRONOBERGS LÄN</t>
        </is>
      </c>
      <c r="E177" t="inlineStr">
        <is>
          <t>ALVESTA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66166-2020 artfynd.xlsx", "A 66166-2020")</f>
        <v/>
      </c>
      <c r="T177">
        <f>HYPERLINK("https://klasma.github.io/Logging_0764/kartor/A 66166-2020 karta.png", "A 66166-2020")</f>
        <v/>
      </c>
      <c r="V177">
        <f>HYPERLINK("https://klasma.github.io/Logging_0764/klagomål/A 66166-2020 FSC-klagomål.docx", "A 66166-2020")</f>
        <v/>
      </c>
      <c r="W177">
        <f>HYPERLINK("https://klasma.github.io/Logging_0764/klagomålsmail/A 66166-2020 FSC-klagomål mail.docx", "A 66166-2020")</f>
        <v/>
      </c>
      <c r="X177">
        <f>HYPERLINK("https://klasma.github.io/Logging_0764/tillsyn/A 66166-2020 tillsynsbegäran.docx", "A 66166-2020")</f>
        <v/>
      </c>
      <c r="Y177">
        <f>HYPERLINK("https://klasma.github.io/Logging_0764/tillsynsmail/A 66166-2020 tillsynsbegäran mail.docx", "A 66166-2020")</f>
        <v/>
      </c>
    </row>
    <row r="178" ht="15" customHeight="1">
      <c r="A178" t="inlineStr">
        <is>
          <t>A 69178-2020</t>
        </is>
      </c>
      <c r="B178" s="1" t="n">
        <v>44189</v>
      </c>
      <c r="C178" s="1" t="n">
        <v>45832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Sävsparv</t>
        </is>
      </c>
      <c r="S178">
        <f>HYPERLINK("https://klasma.github.io/Logging_0780/artfynd/A 69178-2020 artfynd.xlsx", "A 69178-2020")</f>
        <v/>
      </c>
      <c r="T178">
        <f>HYPERLINK("https://klasma.github.io/Logging_0780/kartor/A 69178-2020 karta.png", "A 69178-2020")</f>
        <v/>
      </c>
      <c r="V178">
        <f>HYPERLINK("https://klasma.github.io/Logging_0780/klagomål/A 69178-2020 FSC-klagomål.docx", "A 69178-2020")</f>
        <v/>
      </c>
      <c r="W178">
        <f>HYPERLINK("https://klasma.github.io/Logging_0780/klagomålsmail/A 69178-2020 FSC-klagomål mail.docx", "A 69178-2020")</f>
        <v/>
      </c>
      <c r="X178">
        <f>HYPERLINK("https://klasma.github.io/Logging_0780/tillsyn/A 69178-2020 tillsynsbegäran.docx", "A 69178-2020")</f>
        <v/>
      </c>
      <c r="Y178">
        <f>HYPERLINK("https://klasma.github.io/Logging_0780/tillsynsmail/A 69178-2020 tillsynsbegäran mail.docx", "A 69178-2020")</f>
        <v/>
      </c>
      <c r="Z178">
        <f>HYPERLINK("https://klasma.github.io/Logging_0780/fåglar/A 69178-2020 prioriterade fågelarter.docx", "A 69178-2020")</f>
        <v/>
      </c>
    </row>
    <row r="179" ht="15" customHeight="1">
      <c r="A179" t="inlineStr">
        <is>
          <t>A 927-2021</t>
        </is>
      </c>
      <c r="B179" s="1" t="n">
        <v>44207</v>
      </c>
      <c r="C179" s="1" t="n">
        <v>45832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HYPERLINK("https://klasma.github.io/Logging_0760/artfynd/A 927-2021 artfynd.xlsx", "A 927-2021")</f>
        <v/>
      </c>
      <c r="T179">
        <f>HYPERLINK("https://klasma.github.io/Logging_0760/kartor/A 927-2021 karta.png", "A 927-2021")</f>
        <v/>
      </c>
      <c r="V179">
        <f>HYPERLINK("https://klasma.github.io/Logging_0760/klagomål/A 927-2021 FSC-klagomål.docx", "A 927-2021")</f>
        <v/>
      </c>
      <c r="W179">
        <f>HYPERLINK("https://klasma.github.io/Logging_0760/klagomålsmail/A 927-2021 FSC-klagomål mail.docx", "A 927-2021")</f>
        <v/>
      </c>
      <c r="X179">
        <f>HYPERLINK("https://klasma.github.io/Logging_0760/tillsyn/A 927-2021 tillsynsbegäran.docx", "A 927-2021")</f>
        <v/>
      </c>
      <c r="Y179">
        <f>HYPERLINK("https://klasma.github.io/Logging_0760/tillsynsmail/A 927-2021 tillsynsbegäran mail.docx", "A 927-2021")</f>
        <v/>
      </c>
    </row>
    <row r="180" ht="15" customHeight="1">
      <c r="A180" t="inlineStr">
        <is>
          <t>A 4515-2021</t>
        </is>
      </c>
      <c r="B180" s="1" t="n">
        <v>44224</v>
      </c>
      <c r="C180" s="1" t="n">
        <v>45832</v>
      </c>
      <c r="D180" t="inlineStr">
        <is>
          <t>KRONOBERGS LÄN</t>
        </is>
      </c>
      <c r="E180" t="inlineStr">
        <is>
          <t>VÄXJÖ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4515-2021 artfynd.xlsx", "A 4515-2021")</f>
        <v/>
      </c>
      <c r="T180">
        <f>HYPERLINK("https://klasma.github.io/Logging_0780/kartor/A 4515-2021 karta.png", "A 4515-2021")</f>
        <v/>
      </c>
      <c r="V180">
        <f>HYPERLINK("https://klasma.github.io/Logging_0780/klagomål/A 4515-2021 FSC-klagomål.docx", "A 4515-2021")</f>
        <v/>
      </c>
      <c r="W180">
        <f>HYPERLINK("https://klasma.github.io/Logging_0780/klagomålsmail/A 4515-2021 FSC-klagomål mail.docx", "A 4515-2021")</f>
        <v/>
      </c>
      <c r="X180">
        <f>HYPERLINK("https://klasma.github.io/Logging_0780/tillsyn/A 4515-2021 tillsynsbegäran.docx", "A 4515-2021")</f>
        <v/>
      </c>
      <c r="Y180">
        <f>HYPERLINK("https://klasma.github.io/Logging_0780/tillsynsmail/A 4515-2021 tillsynsbegäran mail.docx", "A 4515-2021")</f>
        <v/>
      </c>
    </row>
    <row r="181" ht="15" customHeight="1">
      <c r="A181" t="inlineStr">
        <is>
          <t>A 4737-2021</t>
        </is>
      </c>
      <c r="B181" s="1" t="n">
        <v>44225</v>
      </c>
      <c r="C181" s="1" t="n">
        <v>45832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5.4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HYPERLINK("https://klasma.github.io/Logging_0760/artfynd/A 4737-2021 artfynd.xlsx", "A 4737-2021")</f>
        <v/>
      </c>
      <c r="T181">
        <f>HYPERLINK("https://klasma.github.io/Logging_0760/kartor/A 4737-2021 karta.png", "A 4737-2021")</f>
        <v/>
      </c>
      <c r="V181">
        <f>HYPERLINK("https://klasma.github.io/Logging_0760/klagomål/A 4737-2021 FSC-klagomål.docx", "A 4737-2021")</f>
        <v/>
      </c>
      <c r="W181">
        <f>HYPERLINK("https://klasma.github.io/Logging_0760/klagomålsmail/A 4737-2021 FSC-klagomål mail.docx", "A 4737-2021")</f>
        <v/>
      </c>
      <c r="X181">
        <f>HYPERLINK("https://klasma.github.io/Logging_0760/tillsyn/A 4737-2021 tillsynsbegäran.docx", "A 4737-2021")</f>
        <v/>
      </c>
      <c r="Y181">
        <f>HYPERLINK("https://klasma.github.io/Logging_0760/tillsynsmail/A 4737-2021 tillsynsbegäran mail.docx", "A 4737-2021")</f>
        <v/>
      </c>
    </row>
    <row r="182" ht="15" customHeight="1">
      <c r="A182" t="inlineStr">
        <is>
          <t>A 5364-2021</t>
        </is>
      </c>
      <c r="B182" s="1" t="n">
        <v>44229</v>
      </c>
      <c r="C182" s="1" t="n">
        <v>45832</v>
      </c>
      <c r="D182" t="inlineStr">
        <is>
          <t>KRONOBERGS LÄN</t>
        </is>
      </c>
      <c r="E182" t="inlineStr">
        <is>
          <t>VÄXJÖ</t>
        </is>
      </c>
      <c r="G182" t="n">
        <v>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HYPERLINK("https://klasma.github.io/Logging_0780/artfynd/A 5364-2021 artfynd.xlsx", "A 5364-2021")</f>
        <v/>
      </c>
      <c r="T182">
        <f>HYPERLINK("https://klasma.github.io/Logging_0780/kartor/A 5364-2021 karta.png", "A 5364-2021")</f>
        <v/>
      </c>
      <c r="V182">
        <f>HYPERLINK("https://klasma.github.io/Logging_0780/klagomål/A 5364-2021 FSC-klagomål.docx", "A 5364-2021")</f>
        <v/>
      </c>
      <c r="W182">
        <f>HYPERLINK("https://klasma.github.io/Logging_0780/klagomålsmail/A 5364-2021 FSC-klagomål mail.docx", "A 5364-2021")</f>
        <v/>
      </c>
      <c r="X182">
        <f>HYPERLINK("https://klasma.github.io/Logging_0780/tillsyn/A 5364-2021 tillsynsbegäran.docx", "A 5364-2021")</f>
        <v/>
      </c>
      <c r="Y182">
        <f>HYPERLINK("https://klasma.github.io/Logging_0780/tillsynsmail/A 5364-2021 tillsynsbegäran mail.docx", "A 5364-2021")</f>
        <v/>
      </c>
    </row>
    <row r="183" ht="15" customHeight="1">
      <c r="A183" t="inlineStr">
        <is>
          <t>A 6165-2021</t>
        </is>
      </c>
      <c r="B183" s="1" t="n">
        <v>44232</v>
      </c>
      <c r="C183" s="1" t="n">
        <v>45832</v>
      </c>
      <c r="D183" t="inlineStr">
        <is>
          <t>KRONOBERGS LÄN</t>
        </is>
      </c>
      <c r="E183" t="inlineStr">
        <is>
          <t>LJUNGBY</t>
        </is>
      </c>
      <c r="G183" t="n">
        <v>4.2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6165-2021 artfynd.xlsx", "A 6165-2021")</f>
        <v/>
      </c>
      <c r="T183">
        <f>HYPERLINK("https://klasma.github.io/Logging_0781/kartor/A 6165-2021 karta.png", "A 6165-2021")</f>
        <v/>
      </c>
      <c r="V183">
        <f>HYPERLINK("https://klasma.github.io/Logging_0781/klagomål/A 6165-2021 FSC-klagomål.docx", "A 6165-2021")</f>
        <v/>
      </c>
      <c r="W183">
        <f>HYPERLINK("https://klasma.github.io/Logging_0781/klagomålsmail/A 6165-2021 FSC-klagomål mail.docx", "A 6165-2021")</f>
        <v/>
      </c>
      <c r="X183">
        <f>HYPERLINK("https://klasma.github.io/Logging_0781/tillsyn/A 6165-2021 tillsynsbegäran.docx", "A 6165-2021")</f>
        <v/>
      </c>
      <c r="Y183">
        <f>HYPERLINK("https://klasma.github.io/Logging_0781/tillsynsmail/A 6165-2021 tillsynsbegäran mail.docx", "A 6165-2021")</f>
        <v/>
      </c>
      <c r="Z183">
        <f>HYPERLINK("https://klasma.github.io/Logging_0781/fåglar/A 6165-2021 prioriterade fågelarter.docx", "A 6165-2021")</f>
        <v/>
      </c>
    </row>
    <row r="184" ht="15" customHeight="1">
      <c r="A184" t="inlineStr">
        <is>
          <t>A 7040-2021</t>
        </is>
      </c>
      <c r="B184" s="1" t="n">
        <v>44237</v>
      </c>
      <c r="C184" s="1" t="n">
        <v>45832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3.2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HYPERLINK("https://klasma.github.io/Logging_0781/artfynd/A 7040-2021 artfynd.xlsx", "A 7040-2021")</f>
        <v/>
      </c>
      <c r="T184">
        <f>HYPERLINK("https://klasma.github.io/Logging_0781/kartor/A 7040-2021 karta.png", "A 7040-2021")</f>
        <v/>
      </c>
      <c r="V184">
        <f>HYPERLINK("https://klasma.github.io/Logging_0781/klagomål/A 7040-2021 FSC-klagomål.docx", "A 7040-2021")</f>
        <v/>
      </c>
      <c r="W184">
        <f>HYPERLINK("https://klasma.github.io/Logging_0781/klagomålsmail/A 7040-2021 FSC-klagomål mail.docx", "A 7040-2021")</f>
        <v/>
      </c>
      <c r="X184">
        <f>HYPERLINK("https://klasma.github.io/Logging_0781/tillsyn/A 7040-2021 tillsynsbegäran.docx", "A 7040-2021")</f>
        <v/>
      </c>
      <c r="Y184">
        <f>HYPERLINK("https://klasma.github.io/Logging_0781/tillsynsmail/A 7040-2021 tillsynsbegäran mail.docx", "A 7040-2021")</f>
        <v/>
      </c>
    </row>
    <row r="185" ht="15" customHeight="1">
      <c r="A185" t="inlineStr">
        <is>
          <t>A 8280-2021</t>
        </is>
      </c>
      <c r="B185" s="1" t="n">
        <v>44244</v>
      </c>
      <c r="C185" s="1" t="n">
        <v>45832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8280-2021 artfynd.xlsx", "A 8280-2021")</f>
        <v/>
      </c>
      <c r="T185">
        <f>HYPERLINK("https://klasma.github.io/Logging_0780/kartor/A 8280-2021 karta.png", "A 8280-2021")</f>
        <v/>
      </c>
      <c r="V185">
        <f>HYPERLINK("https://klasma.github.io/Logging_0780/klagomål/A 8280-2021 FSC-klagomål.docx", "A 8280-2021")</f>
        <v/>
      </c>
      <c r="W185">
        <f>HYPERLINK("https://klasma.github.io/Logging_0780/klagomålsmail/A 8280-2021 FSC-klagomål mail.docx", "A 8280-2021")</f>
        <v/>
      </c>
      <c r="X185">
        <f>HYPERLINK("https://klasma.github.io/Logging_0780/tillsyn/A 8280-2021 tillsynsbegäran.docx", "A 8280-2021")</f>
        <v/>
      </c>
      <c r="Y185">
        <f>HYPERLINK("https://klasma.github.io/Logging_0780/tillsynsmail/A 8280-2021 tillsynsbegäran mail.docx", "A 8280-2021")</f>
        <v/>
      </c>
    </row>
    <row r="186" ht="15" customHeight="1">
      <c r="A186" t="inlineStr">
        <is>
          <t>A 13014-2021</t>
        </is>
      </c>
      <c r="B186" s="1" t="n">
        <v>44271</v>
      </c>
      <c r="C186" s="1" t="n">
        <v>45832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HYPERLINK("https://klasma.github.io/Logging_0781/artfynd/A 13014-2021 artfynd.xlsx", "A 13014-2021")</f>
        <v/>
      </c>
      <c r="T186">
        <f>HYPERLINK("https://klasma.github.io/Logging_0781/kartor/A 13014-2021 karta.png", "A 13014-2021")</f>
        <v/>
      </c>
      <c r="V186">
        <f>HYPERLINK("https://klasma.github.io/Logging_0781/klagomål/A 13014-2021 FSC-klagomål.docx", "A 13014-2021")</f>
        <v/>
      </c>
      <c r="W186">
        <f>HYPERLINK("https://klasma.github.io/Logging_0781/klagomålsmail/A 13014-2021 FSC-klagomål mail.docx", "A 13014-2021")</f>
        <v/>
      </c>
      <c r="X186">
        <f>HYPERLINK("https://klasma.github.io/Logging_0781/tillsyn/A 13014-2021 tillsynsbegäran.docx", "A 13014-2021")</f>
        <v/>
      </c>
      <c r="Y186">
        <f>HYPERLINK("https://klasma.github.io/Logging_0781/tillsynsmail/A 13014-2021 tillsynsbegäran mail.docx", "A 13014-2021")</f>
        <v/>
      </c>
    </row>
    <row r="187" ht="15" customHeight="1">
      <c r="A187" t="inlineStr">
        <is>
          <t>A 16358-2021</t>
        </is>
      </c>
      <c r="B187" s="1" t="n">
        <v>44292</v>
      </c>
      <c r="C187" s="1" t="n">
        <v>45832</v>
      </c>
      <c r="D187" t="inlineStr">
        <is>
          <t>KRONOBERGS LÄN</t>
        </is>
      </c>
      <c r="E187" t="inlineStr">
        <is>
          <t>LJUNGBY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HYPERLINK("https://klasma.github.io/Logging_0781/artfynd/A 16358-2021 artfynd.xlsx", "A 16358-2021")</f>
        <v/>
      </c>
      <c r="T187">
        <f>HYPERLINK("https://klasma.github.io/Logging_0781/kartor/A 16358-2021 karta.png", "A 16358-2021")</f>
        <v/>
      </c>
      <c r="V187">
        <f>HYPERLINK("https://klasma.github.io/Logging_0781/klagomål/A 16358-2021 FSC-klagomål.docx", "A 16358-2021")</f>
        <v/>
      </c>
      <c r="W187">
        <f>HYPERLINK("https://klasma.github.io/Logging_0781/klagomålsmail/A 16358-2021 FSC-klagomål mail.docx", "A 16358-2021")</f>
        <v/>
      </c>
      <c r="X187">
        <f>HYPERLINK("https://klasma.github.io/Logging_0781/tillsyn/A 16358-2021 tillsynsbegäran.docx", "A 16358-2021")</f>
        <v/>
      </c>
      <c r="Y187">
        <f>HYPERLINK("https://klasma.github.io/Logging_0781/tillsynsmail/A 16358-2021 tillsynsbegäran mail.docx", "A 16358-2021")</f>
        <v/>
      </c>
    </row>
    <row r="188" ht="15" customHeight="1">
      <c r="A188" t="inlineStr">
        <is>
          <t>A 16871-2021</t>
        </is>
      </c>
      <c r="B188" s="1" t="n">
        <v>44295</v>
      </c>
      <c r="C188" s="1" t="n">
        <v>45832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Brunpudrad nållav</t>
        </is>
      </c>
      <c r="S188">
        <f>HYPERLINK("https://klasma.github.io/Logging_0760/artfynd/A 16871-2021 artfynd.xlsx", "A 16871-2021")</f>
        <v/>
      </c>
      <c r="T188">
        <f>HYPERLINK("https://klasma.github.io/Logging_0760/kartor/A 16871-2021 karta.png", "A 16871-2021")</f>
        <v/>
      </c>
      <c r="V188">
        <f>HYPERLINK("https://klasma.github.io/Logging_0760/klagomål/A 16871-2021 FSC-klagomål.docx", "A 16871-2021")</f>
        <v/>
      </c>
      <c r="W188">
        <f>HYPERLINK("https://klasma.github.io/Logging_0760/klagomålsmail/A 16871-2021 FSC-klagomål mail.docx", "A 16871-2021")</f>
        <v/>
      </c>
      <c r="X188">
        <f>HYPERLINK("https://klasma.github.io/Logging_0760/tillsyn/A 16871-2021 tillsynsbegäran.docx", "A 16871-2021")</f>
        <v/>
      </c>
      <c r="Y188">
        <f>HYPERLINK("https://klasma.github.io/Logging_0760/tillsynsmail/A 16871-2021 tillsynsbegäran mail.docx", "A 16871-2021")</f>
        <v/>
      </c>
    </row>
    <row r="189" ht="15" customHeight="1">
      <c r="A189" t="inlineStr">
        <is>
          <t>A 21191-2021</t>
        </is>
      </c>
      <c r="B189" s="1" t="n">
        <v>44320</v>
      </c>
      <c r="C189" s="1" t="n">
        <v>45832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HYPERLINK("https://klasma.github.io/Logging_0780/artfynd/A 21191-2021 artfynd.xlsx", "A 21191-2021")</f>
        <v/>
      </c>
      <c r="T189">
        <f>HYPERLINK("https://klasma.github.io/Logging_0780/kartor/A 21191-2021 karta.png", "A 21191-2021")</f>
        <v/>
      </c>
      <c r="U189">
        <f>HYPERLINK("https://klasma.github.io/Logging_0780/knärot/A 21191-2021 karta knärot.png", "A 21191-2021")</f>
        <v/>
      </c>
      <c r="V189">
        <f>HYPERLINK("https://klasma.github.io/Logging_0780/klagomål/A 21191-2021 FSC-klagomål.docx", "A 21191-2021")</f>
        <v/>
      </c>
      <c r="W189">
        <f>HYPERLINK("https://klasma.github.io/Logging_0780/klagomålsmail/A 21191-2021 FSC-klagomål mail.docx", "A 21191-2021")</f>
        <v/>
      </c>
      <c r="X189">
        <f>HYPERLINK("https://klasma.github.io/Logging_0780/tillsyn/A 21191-2021 tillsynsbegäran.docx", "A 21191-2021")</f>
        <v/>
      </c>
      <c r="Y189">
        <f>HYPERLINK("https://klasma.github.io/Logging_0780/tillsynsmail/A 21191-2021 tillsynsbegäran mail.docx", "A 21191-2021")</f>
        <v/>
      </c>
    </row>
    <row r="190" ht="15" customHeight="1">
      <c r="A190" t="inlineStr">
        <is>
          <t>A 24090-2021</t>
        </is>
      </c>
      <c r="B190" s="1" t="n">
        <v>44336</v>
      </c>
      <c r="C190" s="1" t="n">
        <v>45832</v>
      </c>
      <c r="D190" t="inlineStr">
        <is>
          <t>KRONOBERGS LÄN</t>
        </is>
      </c>
      <c r="E190" t="inlineStr">
        <is>
          <t>ALVESTA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HYPERLINK("https://klasma.github.io/Logging_0764/artfynd/A 24090-2021 artfynd.xlsx", "A 24090-2021")</f>
        <v/>
      </c>
      <c r="T190">
        <f>HYPERLINK("https://klasma.github.io/Logging_0764/kartor/A 24090-2021 karta.png", "A 24090-2021")</f>
        <v/>
      </c>
      <c r="V190">
        <f>HYPERLINK("https://klasma.github.io/Logging_0764/klagomål/A 24090-2021 FSC-klagomål.docx", "A 24090-2021")</f>
        <v/>
      </c>
      <c r="W190">
        <f>HYPERLINK("https://klasma.github.io/Logging_0764/klagomålsmail/A 24090-2021 FSC-klagomål mail.docx", "A 24090-2021")</f>
        <v/>
      </c>
      <c r="X190">
        <f>HYPERLINK("https://klasma.github.io/Logging_0764/tillsyn/A 24090-2021 tillsynsbegäran.docx", "A 24090-2021")</f>
        <v/>
      </c>
      <c r="Y190">
        <f>HYPERLINK("https://klasma.github.io/Logging_0764/tillsynsmail/A 24090-2021 tillsynsbegäran mail.docx", "A 24090-2021")</f>
        <v/>
      </c>
    </row>
    <row r="191" ht="15" customHeight="1">
      <c r="A191" t="inlineStr">
        <is>
          <t>A 26440-2021</t>
        </is>
      </c>
      <c r="B191" s="1" t="n">
        <v>44348</v>
      </c>
      <c r="C191" s="1" t="n">
        <v>45832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Mjukdån</t>
        </is>
      </c>
      <c r="S191">
        <f>HYPERLINK("https://klasma.github.io/Logging_0763/artfynd/A 26440-2021 artfynd.xlsx", "A 26440-2021")</f>
        <v/>
      </c>
      <c r="T191">
        <f>HYPERLINK("https://klasma.github.io/Logging_0763/kartor/A 26440-2021 karta.png", "A 26440-2021")</f>
        <v/>
      </c>
      <c r="V191">
        <f>HYPERLINK("https://klasma.github.io/Logging_0763/klagomål/A 26440-2021 FSC-klagomål.docx", "A 26440-2021")</f>
        <v/>
      </c>
      <c r="W191">
        <f>HYPERLINK("https://klasma.github.io/Logging_0763/klagomålsmail/A 26440-2021 FSC-klagomål mail.docx", "A 26440-2021")</f>
        <v/>
      </c>
      <c r="X191">
        <f>HYPERLINK("https://klasma.github.io/Logging_0763/tillsyn/A 26440-2021 tillsynsbegäran.docx", "A 26440-2021")</f>
        <v/>
      </c>
      <c r="Y191">
        <f>HYPERLINK("https://klasma.github.io/Logging_0763/tillsynsmail/A 26440-2021 tillsynsbegäran mail.docx", "A 26440-2021")</f>
        <v/>
      </c>
    </row>
    <row r="192" ht="15" customHeight="1">
      <c r="A192" t="inlineStr">
        <is>
          <t>A 29179-2021</t>
        </is>
      </c>
      <c r="B192" s="1" t="n">
        <v>44358</v>
      </c>
      <c r="C192" s="1" t="n">
        <v>45832</v>
      </c>
      <c r="D192" t="inlineStr">
        <is>
          <t>KRONOBERGS LÄN</t>
        </is>
      </c>
      <c r="E192" t="inlineStr">
        <is>
          <t>VÄXJÖ</t>
        </is>
      </c>
      <c r="F192" t="inlineStr">
        <is>
          <t>Kyrkan</t>
        </is>
      </c>
      <c r="G192" t="n">
        <v>5.1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HYPERLINK("https://klasma.github.io/Logging_0780/artfynd/A 29179-2021 artfynd.xlsx", "A 29179-2021")</f>
        <v/>
      </c>
      <c r="T192">
        <f>HYPERLINK("https://klasma.github.io/Logging_0780/kartor/A 29179-2021 karta.png", "A 29179-2021")</f>
        <v/>
      </c>
      <c r="V192">
        <f>HYPERLINK("https://klasma.github.io/Logging_0780/klagomål/A 29179-2021 FSC-klagomål.docx", "A 29179-2021")</f>
        <v/>
      </c>
      <c r="W192">
        <f>HYPERLINK("https://klasma.github.io/Logging_0780/klagomålsmail/A 29179-2021 FSC-klagomål mail.docx", "A 29179-2021")</f>
        <v/>
      </c>
      <c r="X192">
        <f>HYPERLINK("https://klasma.github.io/Logging_0780/tillsyn/A 29179-2021 tillsynsbegäran.docx", "A 29179-2021")</f>
        <v/>
      </c>
      <c r="Y192">
        <f>HYPERLINK("https://klasma.github.io/Logging_0780/tillsynsmail/A 29179-2021 tillsynsbegäran mail.docx", "A 29179-2021")</f>
        <v/>
      </c>
      <c r="Z192">
        <f>HYPERLINK("https://klasma.github.io/Logging_0780/fåglar/A 29179-2021 prioriterade fågelarter.docx", "A 29179-2021")</f>
        <v/>
      </c>
    </row>
    <row r="193" ht="15" customHeight="1">
      <c r="A193" t="inlineStr">
        <is>
          <t>A 32873-2021</t>
        </is>
      </c>
      <c r="B193" s="1" t="n">
        <v>44375</v>
      </c>
      <c r="C193" s="1" t="n">
        <v>45832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32873-2021 artfynd.xlsx", "A 32873-2021")</f>
        <v/>
      </c>
      <c r="T193">
        <f>HYPERLINK("https://klasma.github.io/Logging_0760/kartor/A 32873-2021 karta.png", "A 32873-2021")</f>
        <v/>
      </c>
      <c r="V193">
        <f>HYPERLINK("https://klasma.github.io/Logging_0760/klagomål/A 32873-2021 FSC-klagomål.docx", "A 32873-2021")</f>
        <v/>
      </c>
      <c r="W193">
        <f>HYPERLINK("https://klasma.github.io/Logging_0760/klagomålsmail/A 32873-2021 FSC-klagomål mail.docx", "A 32873-2021")</f>
        <v/>
      </c>
      <c r="X193">
        <f>HYPERLINK("https://klasma.github.io/Logging_0760/tillsyn/A 32873-2021 tillsynsbegäran.docx", "A 32873-2021")</f>
        <v/>
      </c>
      <c r="Y193">
        <f>HYPERLINK("https://klasma.github.io/Logging_0760/tillsynsmail/A 32873-2021 tillsynsbegäran mail.docx", "A 32873-2021")</f>
        <v/>
      </c>
    </row>
    <row r="194" ht="15" customHeight="1">
      <c r="A194" t="inlineStr">
        <is>
          <t>A 35200-2021</t>
        </is>
      </c>
      <c r="B194" s="1" t="n">
        <v>44384</v>
      </c>
      <c r="C194" s="1" t="n">
        <v>45832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flatbagge</t>
        </is>
      </c>
      <c r="S194">
        <f>HYPERLINK("https://klasma.github.io/Logging_0760/artfynd/A 35200-2021 artfynd.xlsx", "A 35200-2021")</f>
        <v/>
      </c>
      <c r="T194">
        <f>HYPERLINK("https://klasma.github.io/Logging_0760/kartor/A 35200-2021 karta.png", "A 35200-2021")</f>
        <v/>
      </c>
      <c r="V194">
        <f>HYPERLINK("https://klasma.github.io/Logging_0760/klagomål/A 35200-2021 FSC-klagomål.docx", "A 35200-2021")</f>
        <v/>
      </c>
      <c r="W194">
        <f>HYPERLINK("https://klasma.github.io/Logging_0760/klagomålsmail/A 35200-2021 FSC-klagomål mail.docx", "A 35200-2021")</f>
        <v/>
      </c>
      <c r="X194">
        <f>HYPERLINK("https://klasma.github.io/Logging_0760/tillsyn/A 35200-2021 tillsynsbegäran.docx", "A 35200-2021")</f>
        <v/>
      </c>
      <c r="Y194">
        <f>HYPERLINK("https://klasma.github.io/Logging_0760/tillsynsmail/A 35200-2021 tillsynsbegäran mail.docx", "A 35200-2021")</f>
        <v/>
      </c>
    </row>
    <row r="195" ht="15" customHeight="1">
      <c r="A195" t="inlineStr">
        <is>
          <t>A 35815-2021</t>
        </is>
      </c>
      <c r="B195" s="1" t="n">
        <v>44386</v>
      </c>
      <c r="C195" s="1" t="n">
        <v>45832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HYPERLINK("https://klasma.github.io/Logging_0780/artfynd/A 35815-2021 artfynd.xlsx", "A 35815-2021")</f>
        <v/>
      </c>
      <c r="T195">
        <f>HYPERLINK("https://klasma.github.io/Logging_0780/kartor/A 35815-2021 karta.png", "A 35815-2021")</f>
        <v/>
      </c>
      <c r="V195">
        <f>HYPERLINK("https://klasma.github.io/Logging_0780/klagomål/A 35815-2021 FSC-klagomål.docx", "A 35815-2021")</f>
        <v/>
      </c>
      <c r="W195">
        <f>HYPERLINK("https://klasma.github.io/Logging_0780/klagomålsmail/A 35815-2021 FSC-klagomål mail.docx", "A 35815-2021")</f>
        <v/>
      </c>
      <c r="X195">
        <f>HYPERLINK("https://klasma.github.io/Logging_0780/tillsyn/A 35815-2021 tillsynsbegäran.docx", "A 35815-2021")</f>
        <v/>
      </c>
      <c r="Y195">
        <f>HYPERLINK("https://klasma.github.io/Logging_0780/tillsynsmail/A 35815-2021 tillsynsbegäran mail.docx", "A 35815-2021")</f>
        <v/>
      </c>
    </row>
    <row r="196" ht="15" customHeight="1">
      <c r="A196" t="inlineStr">
        <is>
          <t>A 37936-2021</t>
        </is>
      </c>
      <c r="B196" s="1" t="n">
        <v>44403</v>
      </c>
      <c r="C196" s="1" t="n">
        <v>45832</v>
      </c>
      <c r="D196" t="inlineStr">
        <is>
          <t>KRONOBERGS LÄN</t>
        </is>
      </c>
      <c r="E196" t="inlineStr">
        <is>
          <t>LESSEBO</t>
        </is>
      </c>
      <c r="G196" t="n">
        <v>6.2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37936-2021 artfynd.xlsx", "A 37936-2021")</f>
        <v/>
      </c>
      <c r="T196">
        <f>HYPERLINK("https://klasma.github.io/Logging_0761/kartor/A 37936-2021 karta.png", "A 37936-2021")</f>
        <v/>
      </c>
      <c r="U196">
        <f>HYPERLINK("https://klasma.github.io/Logging_0761/knärot/A 37936-2021 karta knärot.png", "A 37936-2021")</f>
        <v/>
      </c>
      <c r="V196">
        <f>HYPERLINK("https://klasma.github.io/Logging_0761/klagomål/A 37936-2021 FSC-klagomål.docx", "A 37936-2021")</f>
        <v/>
      </c>
      <c r="W196">
        <f>HYPERLINK("https://klasma.github.io/Logging_0761/klagomålsmail/A 37936-2021 FSC-klagomål mail.docx", "A 37936-2021")</f>
        <v/>
      </c>
      <c r="X196">
        <f>HYPERLINK("https://klasma.github.io/Logging_0761/tillsyn/A 37936-2021 tillsynsbegäran.docx", "A 37936-2021")</f>
        <v/>
      </c>
      <c r="Y196">
        <f>HYPERLINK("https://klasma.github.io/Logging_0761/tillsynsmail/A 37936-2021 tillsynsbegäran mail.docx", "A 37936-2021")</f>
        <v/>
      </c>
    </row>
    <row r="197" ht="15" customHeight="1">
      <c r="A197" t="inlineStr">
        <is>
          <t>A 41419-2021</t>
        </is>
      </c>
      <c r="B197" s="1" t="n">
        <v>44424</v>
      </c>
      <c r="C197" s="1" t="n">
        <v>45832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Sommarfibbla</t>
        </is>
      </c>
      <c r="S197">
        <f>HYPERLINK("https://klasma.github.io/Logging_0765/artfynd/A 41419-2021 artfynd.xlsx", "A 41419-2021")</f>
        <v/>
      </c>
      <c r="T197">
        <f>HYPERLINK("https://klasma.github.io/Logging_0765/kartor/A 41419-2021 karta.png", "A 41419-2021")</f>
        <v/>
      </c>
      <c r="V197">
        <f>HYPERLINK("https://klasma.github.io/Logging_0765/klagomål/A 41419-2021 FSC-klagomål.docx", "A 41419-2021")</f>
        <v/>
      </c>
      <c r="W197">
        <f>HYPERLINK("https://klasma.github.io/Logging_0765/klagomålsmail/A 41419-2021 FSC-klagomål mail.docx", "A 41419-2021")</f>
        <v/>
      </c>
      <c r="X197">
        <f>HYPERLINK("https://klasma.github.io/Logging_0765/tillsyn/A 41419-2021 tillsynsbegäran.docx", "A 41419-2021")</f>
        <v/>
      </c>
      <c r="Y197">
        <f>HYPERLINK("https://klasma.github.io/Logging_0765/tillsynsmail/A 41419-2021 tillsynsbegäran mail.docx", "A 41419-2021")</f>
        <v/>
      </c>
    </row>
    <row r="198" ht="15" customHeight="1">
      <c r="A198" t="inlineStr">
        <is>
          <t>A 43912-2021</t>
        </is>
      </c>
      <c r="B198" s="1" t="n">
        <v>44434</v>
      </c>
      <c r="C198" s="1" t="n">
        <v>45832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HYPERLINK("https://klasma.github.io/Logging_0780/artfynd/A 43912-2021 artfynd.xlsx", "A 43912-2021")</f>
        <v/>
      </c>
      <c r="T198">
        <f>HYPERLINK("https://klasma.github.io/Logging_0780/kartor/A 43912-2021 karta.png", "A 43912-2021")</f>
        <v/>
      </c>
      <c r="V198">
        <f>HYPERLINK("https://klasma.github.io/Logging_0780/klagomål/A 43912-2021 FSC-klagomål.docx", "A 43912-2021")</f>
        <v/>
      </c>
      <c r="W198">
        <f>HYPERLINK("https://klasma.github.io/Logging_0780/klagomålsmail/A 43912-2021 FSC-klagomål mail.docx", "A 43912-2021")</f>
        <v/>
      </c>
      <c r="X198">
        <f>HYPERLINK("https://klasma.github.io/Logging_0780/tillsyn/A 43912-2021 tillsynsbegäran.docx", "A 43912-2021")</f>
        <v/>
      </c>
      <c r="Y198">
        <f>HYPERLINK("https://klasma.github.io/Logging_0780/tillsynsmail/A 43912-2021 tillsynsbegäran mail.docx", "A 43912-2021")</f>
        <v/>
      </c>
    </row>
    <row r="199" ht="15" customHeight="1">
      <c r="A199" t="inlineStr">
        <is>
          <t>A 47908-2021</t>
        </is>
      </c>
      <c r="B199" s="1" t="n">
        <v>44448</v>
      </c>
      <c r="C199" s="1" t="n">
        <v>45832</v>
      </c>
      <c r="D199" t="inlineStr">
        <is>
          <t>KRONOBERGS LÄN</t>
        </is>
      </c>
      <c r="E199" t="inlineStr">
        <is>
          <t>LJUNGBY</t>
        </is>
      </c>
      <c r="G199" t="n">
        <v>4.4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HYPERLINK("https://klasma.github.io/Logging_0781/artfynd/A 47908-2021 artfynd.xlsx", "A 47908-2021")</f>
        <v/>
      </c>
      <c r="T199">
        <f>HYPERLINK("https://klasma.github.io/Logging_0781/kartor/A 47908-2021 karta.png", "A 47908-2021")</f>
        <v/>
      </c>
      <c r="U199">
        <f>HYPERLINK("https://klasma.github.io/Logging_0781/knärot/A 47908-2021 karta knärot.png", "A 47908-2021")</f>
        <v/>
      </c>
      <c r="V199">
        <f>HYPERLINK("https://klasma.github.io/Logging_0781/klagomål/A 47908-2021 FSC-klagomål.docx", "A 47908-2021")</f>
        <v/>
      </c>
      <c r="W199">
        <f>HYPERLINK("https://klasma.github.io/Logging_0781/klagomålsmail/A 47908-2021 FSC-klagomål mail.docx", "A 47908-2021")</f>
        <v/>
      </c>
      <c r="X199">
        <f>HYPERLINK("https://klasma.github.io/Logging_0781/tillsyn/A 47908-2021 tillsynsbegäran.docx", "A 47908-2021")</f>
        <v/>
      </c>
      <c r="Y199">
        <f>HYPERLINK("https://klasma.github.io/Logging_0781/tillsynsmail/A 47908-2021 tillsynsbegäran mail.docx", "A 47908-2021")</f>
        <v/>
      </c>
    </row>
    <row r="200" ht="15" customHeight="1">
      <c r="A200" t="inlineStr">
        <is>
          <t>A 47909-2021</t>
        </is>
      </c>
      <c r="B200" s="1" t="n">
        <v>44448</v>
      </c>
      <c r="C200" s="1" t="n">
        <v>45832</v>
      </c>
      <c r="D200" t="inlineStr">
        <is>
          <t>KRONOBERGS LÄN</t>
        </is>
      </c>
      <c r="E200" t="inlineStr">
        <is>
          <t>LJUNGBY</t>
        </is>
      </c>
      <c r="G200" t="n">
        <v>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Klippfrullania</t>
        </is>
      </c>
      <c r="S200">
        <f>HYPERLINK("https://klasma.github.io/Logging_0781/artfynd/A 47909-2021 artfynd.xlsx", "A 47909-2021")</f>
        <v/>
      </c>
      <c r="T200">
        <f>HYPERLINK("https://klasma.github.io/Logging_0781/kartor/A 47909-2021 karta.png", "A 47909-2021")</f>
        <v/>
      </c>
      <c r="V200">
        <f>HYPERLINK("https://klasma.github.io/Logging_0781/klagomål/A 47909-2021 FSC-klagomål.docx", "A 47909-2021")</f>
        <v/>
      </c>
      <c r="W200">
        <f>HYPERLINK("https://klasma.github.io/Logging_0781/klagomålsmail/A 47909-2021 FSC-klagomål mail.docx", "A 47909-2021")</f>
        <v/>
      </c>
      <c r="X200">
        <f>HYPERLINK("https://klasma.github.io/Logging_0781/tillsyn/A 47909-2021 tillsynsbegäran.docx", "A 47909-2021")</f>
        <v/>
      </c>
      <c r="Y200">
        <f>HYPERLINK("https://klasma.github.io/Logging_0781/tillsynsmail/A 47909-2021 tillsynsbegäran mail.docx", "A 47909-2021")</f>
        <v/>
      </c>
    </row>
    <row r="201" ht="15" customHeight="1">
      <c r="A201" t="inlineStr">
        <is>
          <t>A 50486-2021</t>
        </is>
      </c>
      <c r="B201" s="1" t="n">
        <v>44459</v>
      </c>
      <c r="C201" s="1" t="n">
        <v>45832</v>
      </c>
      <c r="D201" t="inlineStr">
        <is>
          <t>KRONOBERGS LÄN</t>
        </is>
      </c>
      <c r="E201" t="inlineStr">
        <is>
          <t>ALVESTA</t>
        </is>
      </c>
      <c r="G201" t="n">
        <v>9.1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HYPERLINK("https://klasma.github.io/Logging_0764/artfynd/A 50486-2021 artfynd.xlsx", "A 50486-2021")</f>
        <v/>
      </c>
      <c r="T201">
        <f>HYPERLINK("https://klasma.github.io/Logging_0764/kartor/A 50486-2021 karta.png", "A 50486-2021")</f>
        <v/>
      </c>
      <c r="V201">
        <f>HYPERLINK("https://klasma.github.io/Logging_0764/klagomål/A 50486-2021 FSC-klagomål.docx", "A 50486-2021")</f>
        <v/>
      </c>
      <c r="W201">
        <f>HYPERLINK("https://klasma.github.io/Logging_0764/klagomålsmail/A 50486-2021 FSC-klagomål mail.docx", "A 50486-2021")</f>
        <v/>
      </c>
      <c r="X201">
        <f>HYPERLINK("https://klasma.github.io/Logging_0764/tillsyn/A 50486-2021 tillsynsbegäran.docx", "A 50486-2021")</f>
        <v/>
      </c>
      <c r="Y201">
        <f>HYPERLINK("https://klasma.github.io/Logging_0764/tillsynsmail/A 50486-2021 tillsynsbegäran mail.docx", "A 50486-2021")</f>
        <v/>
      </c>
    </row>
    <row r="202" ht="15" customHeight="1">
      <c r="A202" t="inlineStr">
        <is>
          <t>A 51284-2021</t>
        </is>
      </c>
      <c r="B202" s="1" t="n">
        <v>44461</v>
      </c>
      <c r="C202" s="1" t="n">
        <v>45832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HYPERLINK("https://klasma.github.io/Logging_0781/artfynd/A 51284-2021 artfynd.xlsx", "A 51284-2021")</f>
        <v/>
      </c>
      <c r="T202">
        <f>HYPERLINK("https://klasma.github.io/Logging_0781/kartor/A 51284-2021 karta.png", "A 51284-2021")</f>
        <v/>
      </c>
      <c r="V202">
        <f>HYPERLINK("https://klasma.github.io/Logging_0781/klagomål/A 51284-2021 FSC-klagomål.docx", "A 51284-2021")</f>
        <v/>
      </c>
      <c r="W202">
        <f>HYPERLINK("https://klasma.github.io/Logging_0781/klagomålsmail/A 51284-2021 FSC-klagomål mail.docx", "A 51284-2021")</f>
        <v/>
      </c>
      <c r="X202">
        <f>HYPERLINK("https://klasma.github.io/Logging_0781/tillsyn/A 51284-2021 tillsynsbegäran.docx", "A 51284-2021")</f>
        <v/>
      </c>
      <c r="Y202">
        <f>HYPERLINK("https://klasma.github.io/Logging_0781/tillsynsmail/A 51284-2021 tillsynsbegäran mail.docx", "A 51284-2021")</f>
        <v/>
      </c>
      <c r="Z202">
        <f>HYPERLINK("https://klasma.github.io/Logging_0781/fåglar/A 51284-2021 prioriterade fågelarter.docx", "A 51284-2021")</f>
        <v/>
      </c>
    </row>
    <row r="203" ht="15" customHeight="1">
      <c r="A203" t="inlineStr">
        <is>
          <t>A 58629-2021</t>
        </is>
      </c>
      <c r="B203" s="1" t="n">
        <v>44489</v>
      </c>
      <c r="C203" s="1" t="n">
        <v>45832</v>
      </c>
      <c r="D203" t="inlineStr">
        <is>
          <t>KRONOBERGS LÄN</t>
        </is>
      </c>
      <c r="E203" t="inlineStr">
        <is>
          <t>TINGSRYD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Kavelhirs</t>
        </is>
      </c>
      <c r="S203">
        <f>HYPERLINK("https://klasma.github.io/Logging_0763/artfynd/A 58629-2021 artfynd.xlsx", "A 58629-2021")</f>
        <v/>
      </c>
      <c r="T203">
        <f>HYPERLINK("https://klasma.github.io/Logging_0763/kartor/A 58629-2021 karta.png", "A 58629-2021")</f>
        <v/>
      </c>
      <c r="V203">
        <f>HYPERLINK("https://klasma.github.io/Logging_0763/klagomål/A 58629-2021 FSC-klagomål.docx", "A 58629-2021")</f>
        <v/>
      </c>
      <c r="W203">
        <f>HYPERLINK("https://klasma.github.io/Logging_0763/klagomålsmail/A 58629-2021 FSC-klagomål mail.docx", "A 58629-2021")</f>
        <v/>
      </c>
      <c r="X203">
        <f>HYPERLINK("https://klasma.github.io/Logging_0763/tillsyn/A 58629-2021 tillsynsbegäran.docx", "A 58629-2021")</f>
        <v/>
      </c>
      <c r="Y203">
        <f>HYPERLINK("https://klasma.github.io/Logging_0763/tillsynsmail/A 58629-2021 tillsynsbegäran mail.docx", "A 58629-2021")</f>
        <v/>
      </c>
    </row>
    <row r="204" ht="15" customHeight="1">
      <c r="A204" t="inlineStr">
        <is>
          <t>A 60235-2021</t>
        </is>
      </c>
      <c r="B204" s="1" t="n">
        <v>44495</v>
      </c>
      <c r="C204" s="1" t="n">
        <v>45832</v>
      </c>
      <c r="D204" t="inlineStr">
        <is>
          <t>KRONOBERGS LÄN</t>
        </is>
      </c>
      <c r="E204" t="inlineStr">
        <is>
          <t>LJUNGBY</t>
        </is>
      </c>
      <c r="G204" t="n">
        <v>9.4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HYPERLINK("https://klasma.github.io/Logging_0781/artfynd/A 60235-2021 artfynd.xlsx", "A 60235-2021")</f>
        <v/>
      </c>
      <c r="T204">
        <f>HYPERLINK("https://klasma.github.io/Logging_0781/kartor/A 60235-2021 karta.png", "A 60235-2021")</f>
        <v/>
      </c>
      <c r="U204">
        <f>HYPERLINK("https://klasma.github.io/Logging_0781/knärot/A 60235-2021 karta knärot.png", "A 60235-2021")</f>
        <v/>
      </c>
      <c r="V204">
        <f>HYPERLINK("https://klasma.github.io/Logging_0781/klagomål/A 60235-2021 FSC-klagomål.docx", "A 60235-2021")</f>
        <v/>
      </c>
      <c r="W204">
        <f>HYPERLINK("https://klasma.github.io/Logging_0781/klagomålsmail/A 60235-2021 FSC-klagomål mail.docx", "A 60235-2021")</f>
        <v/>
      </c>
      <c r="X204">
        <f>HYPERLINK("https://klasma.github.io/Logging_0781/tillsyn/A 60235-2021 tillsynsbegäran.docx", "A 60235-2021")</f>
        <v/>
      </c>
      <c r="Y204">
        <f>HYPERLINK("https://klasma.github.io/Logging_0781/tillsynsmail/A 60235-2021 tillsynsbegäran mail.docx", "A 60235-2021")</f>
        <v/>
      </c>
    </row>
    <row r="205" ht="15" customHeight="1">
      <c r="A205" t="inlineStr">
        <is>
          <t>A 67665-2021</t>
        </is>
      </c>
      <c r="B205" s="1" t="n">
        <v>44524</v>
      </c>
      <c r="C205" s="1" t="n">
        <v>45832</v>
      </c>
      <c r="D205" t="inlineStr">
        <is>
          <t>KRONOBERGS LÄN</t>
        </is>
      </c>
      <c r="E205" t="inlineStr">
        <is>
          <t>LJUNGBY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Sjötåtel</t>
        </is>
      </c>
      <c r="S205">
        <f>HYPERLINK("https://klasma.github.io/Logging_0781/artfynd/A 67665-2021 artfynd.xlsx", "A 67665-2021")</f>
        <v/>
      </c>
      <c r="T205">
        <f>HYPERLINK("https://klasma.github.io/Logging_0781/kartor/A 67665-2021 karta.png", "A 67665-2021")</f>
        <v/>
      </c>
      <c r="V205">
        <f>HYPERLINK("https://klasma.github.io/Logging_0781/klagomål/A 67665-2021 FSC-klagomål.docx", "A 67665-2021")</f>
        <v/>
      </c>
      <c r="W205">
        <f>HYPERLINK("https://klasma.github.io/Logging_0781/klagomålsmail/A 67665-2021 FSC-klagomål mail.docx", "A 67665-2021")</f>
        <v/>
      </c>
      <c r="X205">
        <f>HYPERLINK("https://klasma.github.io/Logging_0781/tillsyn/A 67665-2021 tillsynsbegäran.docx", "A 67665-2021")</f>
        <v/>
      </c>
      <c r="Y205">
        <f>HYPERLINK("https://klasma.github.io/Logging_0781/tillsynsmail/A 67665-2021 tillsynsbegäran mail.docx", "A 67665-2021")</f>
        <v/>
      </c>
    </row>
    <row r="206" ht="15" customHeight="1">
      <c r="A206" t="inlineStr">
        <is>
          <t>A 73118-2021</t>
        </is>
      </c>
      <c r="B206" s="1" t="n">
        <v>44550</v>
      </c>
      <c r="C206" s="1" t="n">
        <v>45832</v>
      </c>
      <c r="D206" t="inlineStr">
        <is>
          <t>KRONOBERGS LÄN</t>
        </is>
      </c>
      <c r="E206" t="inlineStr">
        <is>
          <t>UPPVIDINGE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73118-2021 artfynd.xlsx", "A 73118-2021")</f>
        <v/>
      </c>
      <c r="T206">
        <f>HYPERLINK("https://klasma.github.io/Logging_0760/kartor/A 73118-2021 karta.png", "A 73118-2021")</f>
        <v/>
      </c>
      <c r="V206">
        <f>HYPERLINK("https://klasma.github.io/Logging_0760/klagomål/A 73118-2021 FSC-klagomål.docx", "A 73118-2021")</f>
        <v/>
      </c>
      <c r="W206">
        <f>HYPERLINK("https://klasma.github.io/Logging_0760/klagomålsmail/A 73118-2021 FSC-klagomål mail.docx", "A 73118-2021")</f>
        <v/>
      </c>
      <c r="X206">
        <f>HYPERLINK("https://klasma.github.io/Logging_0760/tillsyn/A 73118-2021 tillsynsbegäran.docx", "A 73118-2021")</f>
        <v/>
      </c>
      <c r="Y206">
        <f>HYPERLINK("https://klasma.github.io/Logging_0760/tillsynsmail/A 73118-2021 tillsynsbegäran mail.docx", "A 73118-2021")</f>
        <v/>
      </c>
    </row>
    <row r="207" ht="15" customHeight="1">
      <c r="A207" t="inlineStr">
        <is>
          <t>A 3220-2022</t>
        </is>
      </c>
      <c r="B207" s="1" t="n">
        <v>44582</v>
      </c>
      <c r="C207" s="1" t="n">
        <v>45832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3220-2022 artfynd.xlsx", "A 3220-2022")</f>
        <v/>
      </c>
      <c r="T207">
        <f>HYPERLINK("https://klasma.github.io/Logging_0781/kartor/A 3220-2022 karta.png", "A 3220-2022")</f>
        <v/>
      </c>
      <c r="V207">
        <f>HYPERLINK("https://klasma.github.io/Logging_0781/klagomål/A 3220-2022 FSC-klagomål.docx", "A 3220-2022")</f>
        <v/>
      </c>
      <c r="W207">
        <f>HYPERLINK("https://klasma.github.io/Logging_0781/klagomålsmail/A 3220-2022 FSC-klagomål mail.docx", "A 3220-2022")</f>
        <v/>
      </c>
      <c r="X207">
        <f>HYPERLINK("https://klasma.github.io/Logging_0781/tillsyn/A 3220-2022 tillsynsbegäran.docx", "A 3220-2022")</f>
        <v/>
      </c>
      <c r="Y207">
        <f>HYPERLINK("https://klasma.github.io/Logging_0781/tillsynsmail/A 3220-2022 tillsynsbegäran mail.docx", "A 3220-2022")</f>
        <v/>
      </c>
      <c r="Z207">
        <f>HYPERLINK("https://klasma.github.io/Logging_0781/fåglar/A 3220-2022 prioriterade fågelarter.docx", "A 3220-2022")</f>
        <v/>
      </c>
    </row>
    <row r="208" ht="15" customHeight="1">
      <c r="A208" t="inlineStr">
        <is>
          <t>A 6134-2022</t>
        </is>
      </c>
      <c r="B208" s="1" t="n">
        <v>44599</v>
      </c>
      <c r="C208" s="1" t="n">
        <v>45832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HYPERLINK("https://klasma.github.io/Logging_0763/artfynd/A 6134-2022 artfynd.xlsx", "A 6134-2022")</f>
        <v/>
      </c>
      <c r="T208">
        <f>HYPERLINK("https://klasma.github.io/Logging_0763/kartor/A 6134-2022 karta.png", "A 6134-2022")</f>
        <v/>
      </c>
      <c r="U208">
        <f>HYPERLINK("https://klasma.github.io/Logging_0763/knärot/A 6134-2022 karta knärot.png", "A 6134-2022")</f>
        <v/>
      </c>
      <c r="V208">
        <f>HYPERLINK("https://klasma.github.io/Logging_0763/klagomål/A 6134-2022 FSC-klagomål.docx", "A 6134-2022")</f>
        <v/>
      </c>
      <c r="W208">
        <f>HYPERLINK("https://klasma.github.io/Logging_0763/klagomålsmail/A 6134-2022 FSC-klagomål mail.docx", "A 6134-2022")</f>
        <v/>
      </c>
      <c r="X208">
        <f>HYPERLINK("https://klasma.github.io/Logging_0763/tillsyn/A 6134-2022 tillsynsbegäran.docx", "A 6134-2022")</f>
        <v/>
      </c>
      <c r="Y208">
        <f>HYPERLINK("https://klasma.github.io/Logging_0763/tillsynsmail/A 6134-2022 tillsynsbegäran mail.docx", "A 6134-2022")</f>
        <v/>
      </c>
    </row>
    <row r="209" ht="15" customHeight="1">
      <c r="A209" t="inlineStr">
        <is>
          <t>A 13387-2022</t>
        </is>
      </c>
      <c r="B209" s="1" t="n">
        <v>44645</v>
      </c>
      <c r="C209" s="1" t="n">
        <v>45832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13387-2022 artfynd.xlsx", "A 13387-2022")</f>
        <v/>
      </c>
      <c r="T209">
        <f>HYPERLINK("https://klasma.github.io/Logging_0781/kartor/A 13387-2022 karta.png", "A 13387-2022")</f>
        <v/>
      </c>
      <c r="V209">
        <f>HYPERLINK("https://klasma.github.io/Logging_0781/klagomål/A 13387-2022 FSC-klagomål.docx", "A 13387-2022")</f>
        <v/>
      </c>
      <c r="W209">
        <f>HYPERLINK("https://klasma.github.io/Logging_0781/klagomålsmail/A 13387-2022 FSC-klagomål mail.docx", "A 13387-2022")</f>
        <v/>
      </c>
      <c r="X209">
        <f>HYPERLINK("https://klasma.github.io/Logging_0781/tillsyn/A 13387-2022 tillsynsbegäran.docx", "A 13387-2022")</f>
        <v/>
      </c>
      <c r="Y209">
        <f>HYPERLINK("https://klasma.github.io/Logging_0781/tillsynsmail/A 13387-2022 tillsynsbegäran mail.docx", "A 13387-2022")</f>
        <v/>
      </c>
    </row>
    <row r="210" ht="15" customHeight="1">
      <c r="A210" t="inlineStr">
        <is>
          <t>A 15756-2022</t>
        </is>
      </c>
      <c r="B210" s="1" t="n">
        <v>44663</v>
      </c>
      <c r="C210" s="1" t="n">
        <v>45832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Slåtterfibbla</t>
        </is>
      </c>
      <c r="S210">
        <f>HYPERLINK("https://klasma.github.io/Logging_0765/artfynd/A 15756-2022 artfynd.xlsx", "A 15756-2022")</f>
        <v/>
      </c>
      <c r="T210">
        <f>HYPERLINK("https://klasma.github.io/Logging_0765/kartor/A 15756-2022 karta.png", "A 15756-2022")</f>
        <v/>
      </c>
      <c r="V210">
        <f>HYPERLINK("https://klasma.github.io/Logging_0765/klagomål/A 15756-2022 FSC-klagomål.docx", "A 15756-2022")</f>
        <v/>
      </c>
      <c r="W210">
        <f>HYPERLINK("https://klasma.github.io/Logging_0765/klagomålsmail/A 15756-2022 FSC-klagomål mail.docx", "A 15756-2022")</f>
        <v/>
      </c>
      <c r="X210">
        <f>HYPERLINK("https://klasma.github.io/Logging_0765/tillsyn/A 15756-2022 tillsynsbegäran.docx", "A 15756-2022")</f>
        <v/>
      </c>
      <c r="Y210">
        <f>HYPERLINK("https://klasma.github.io/Logging_0765/tillsynsmail/A 15756-2022 tillsynsbegäran mail.docx", "A 15756-2022")</f>
        <v/>
      </c>
    </row>
    <row r="211" ht="15" customHeight="1">
      <c r="A211" t="inlineStr">
        <is>
          <t>A 15676-2022</t>
        </is>
      </c>
      <c r="B211" s="1" t="n">
        <v>44663</v>
      </c>
      <c r="C211" s="1" t="n">
        <v>45832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HYPERLINK("https://klasma.github.io/Logging_0760/artfynd/A 15676-2022 artfynd.xlsx", "A 15676-2022")</f>
        <v/>
      </c>
      <c r="T211">
        <f>HYPERLINK("https://klasma.github.io/Logging_0760/kartor/A 15676-2022 karta.png", "A 15676-2022")</f>
        <v/>
      </c>
      <c r="U211">
        <f>HYPERLINK("https://klasma.github.io/Logging_0760/knärot/A 15676-2022 karta knärot.png", "A 15676-2022")</f>
        <v/>
      </c>
      <c r="V211">
        <f>HYPERLINK("https://klasma.github.io/Logging_0760/klagomål/A 15676-2022 FSC-klagomål.docx", "A 15676-2022")</f>
        <v/>
      </c>
      <c r="W211">
        <f>HYPERLINK("https://klasma.github.io/Logging_0760/klagomålsmail/A 15676-2022 FSC-klagomål mail.docx", "A 15676-2022")</f>
        <v/>
      </c>
      <c r="X211">
        <f>HYPERLINK("https://klasma.github.io/Logging_0760/tillsyn/A 15676-2022 tillsynsbegäran.docx", "A 15676-2022")</f>
        <v/>
      </c>
      <c r="Y211">
        <f>HYPERLINK("https://klasma.github.io/Logging_0760/tillsynsmail/A 15676-2022 tillsynsbegäran mail.docx", "A 15676-2022")</f>
        <v/>
      </c>
    </row>
    <row r="212" ht="15" customHeight="1">
      <c r="A212" t="inlineStr">
        <is>
          <t>A 16796-2022</t>
        </is>
      </c>
      <c r="B212" s="1" t="n">
        <v>44673</v>
      </c>
      <c r="C212" s="1" t="n">
        <v>45832</v>
      </c>
      <c r="D212" t="inlineStr">
        <is>
          <t>KRONOBERGS LÄN</t>
        </is>
      </c>
      <c r="E212" t="inlineStr">
        <is>
          <t>VÄXJÖ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HYPERLINK("https://klasma.github.io/Logging_0780/artfynd/A 16796-2022 artfynd.xlsx", "A 16796-2022")</f>
        <v/>
      </c>
      <c r="T212">
        <f>HYPERLINK("https://klasma.github.io/Logging_0780/kartor/A 16796-2022 karta.png", "A 16796-2022")</f>
        <v/>
      </c>
      <c r="V212">
        <f>HYPERLINK("https://klasma.github.io/Logging_0780/klagomål/A 16796-2022 FSC-klagomål.docx", "A 16796-2022")</f>
        <v/>
      </c>
      <c r="W212">
        <f>HYPERLINK("https://klasma.github.io/Logging_0780/klagomålsmail/A 16796-2022 FSC-klagomål mail.docx", "A 16796-2022")</f>
        <v/>
      </c>
      <c r="X212">
        <f>HYPERLINK("https://klasma.github.io/Logging_0780/tillsyn/A 16796-2022 tillsynsbegäran.docx", "A 16796-2022")</f>
        <v/>
      </c>
      <c r="Y212">
        <f>HYPERLINK("https://klasma.github.io/Logging_0780/tillsynsmail/A 16796-2022 tillsynsbegäran mail.docx", "A 16796-2022")</f>
        <v/>
      </c>
    </row>
    <row r="213" ht="15" customHeight="1">
      <c r="A213" t="inlineStr">
        <is>
          <t>A 16882-2022</t>
        </is>
      </c>
      <c r="B213" s="1" t="n">
        <v>44676</v>
      </c>
      <c r="C213" s="1" t="n">
        <v>45832</v>
      </c>
      <c r="D213" t="inlineStr">
        <is>
          <t>KRONOBERGS LÄN</t>
        </is>
      </c>
      <c r="E213" t="inlineStr">
        <is>
          <t>UPPVIDINGE</t>
        </is>
      </c>
      <c r="G213" t="n">
        <v>13.5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Sommarfibbla</t>
        </is>
      </c>
      <c r="S213">
        <f>HYPERLINK("https://klasma.github.io/Logging_0760/artfynd/A 16882-2022 artfynd.xlsx", "A 16882-2022")</f>
        <v/>
      </c>
      <c r="T213">
        <f>HYPERLINK("https://klasma.github.io/Logging_0760/kartor/A 16882-2022 karta.png", "A 16882-2022")</f>
        <v/>
      </c>
      <c r="V213">
        <f>HYPERLINK("https://klasma.github.io/Logging_0760/klagomål/A 16882-2022 FSC-klagomål.docx", "A 16882-2022")</f>
        <v/>
      </c>
      <c r="W213">
        <f>HYPERLINK("https://klasma.github.io/Logging_0760/klagomålsmail/A 16882-2022 FSC-klagomål mail.docx", "A 16882-2022")</f>
        <v/>
      </c>
      <c r="X213">
        <f>HYPERLINK("https://klasma.github.io/Logging_0760/tillsyn/A 16882-2022 tillsynsbegäran.docx", "A 16882-2022")</f>
        <v/>
      </c>
      <c r="Y213">
        <f>HYPERLINK("https://klasma.github.io/Logging_0760/tillsynsmail/A 16882-2022 tillsynsbegäran mail.docx", "A 16882-2022")</f>
        <v/>
      </c>
    </row>
    <row r="214" ht="15" customHeight="1">
      <c r="A214" t="inlineStr">
        <is>
          <t>A 17570-2022</t>
        </is>
      </c>
      <c r="B214" s="1" t="n">
        <v>44679</v>
      </c>
      <c r="C214" s="1" t="n">
        <v>45832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HYPERLINK("https://klasma.github.io/Logging_0781/artfynd/A 17570-2022 artfynd.xlsx", "A 17570-2022")</f>
        <v/>
      </c>
      <c r="T214">
        <f>HYPERLINK("https://klasma.github.io/Logging_0781/kartor/A 17570-2022 karta.png", "A 17570-2022")</f>
        <v/>
      </c>
      <c r="V214">
        <f>HYPERLINK("https://klasma.github.io/Logging_0781/klagomål/A 17570-2022 FSC-klagomål.docx", "A 17570-2022")</f>
        <v/>
      </c>
      <c r="W214">
        <f>HYPERLINK("https://klasma.github.io/Logging_0781/klagomålsmail/A 17570-2022 FSC-klagomål mail.docx", "A 17570-2022")</f>
        <v/>
      </c>
      <c r="X214">
        <f>HYPERLINK("https://klasma.github.io/Logging_0781/tillsyn/A 17570-2022 tillsynsbegäran.docx", "A 17570-2022")</f>
        <v/>
      </c>
      <c r="Y214">
        <f>HYPERLINK("https://klasma.github.io/Logging_0781/tillsynsmail/A 17570-2022 tillsynsbegäran mail.docx", "A 17570-2022")</f>
        <v/>
      </c>
    </row>
    <row r="215" ht="15" customHeight="1">
      <c r="A215" t="inlineStr">
        <is>
          <t>A 33935-2022</t>
        </is>
      </c>
      <c r="B215" s="1" t="n">
        <v>44790</v>
      </c>
      <c r="C215" s="1" t="n">
        <v>45832</v>
      </c>
      <c r="D215" t="inlineStr">
        <is>
          <t>KRONOBERGS LÄN</t>
        </is>
      </c>
      <c r="E215" t="inlineStr">
        <is>
          <t>LJUNGBY</t>
        </is>
      </c>
      <c r="G215" t="n">
        <v>10.5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Äkta lopplummer</t>
        </is>
      </c>
      <c r="S215">
        <f>HYPERLINK("https://klasma.github.io/Logging_0781/artfynd/A 33935-2022 artfynd.xlsx", "A 33935-2022")</f>
        <v/>
      </c>
      <c r="T215">
        <f>HYPERLINK("https://klasma.github.io/Logging_0781/kartor/A 33935-2022 karta.png", "A 33935-2022")</f>
        <v/>
      </c>
      <c r="V215">
        <f>HYPERLINK("https://klasma.github.io/Logging_0781/klagomål/A 33935-2022 FSC-klagomål.docx", "A 33935-2022")</f>
        <v/>
      </c>
      <c r="W215">
        <f>HYPERLINK("https://klasma.github.io/Logging_0781/klagomålsmail/A 33935-2022 FSC-klagomål mail.docx", "A 33935-2022")</f>
        <v/>
      </c>
      <c r="X215">
        <f>HYPERLINK("https://klasma.github.io/Logging_0781/tillsyn/A 33935-2022 tillsynsbegäran.docx", "A 33935-2022")</f>
        <v/>
      </c>
      <c r="Y215">
        <f>HYPERLINK("https://klasma.github.io/Logging_0781/tillsynsmail/A 33935-2022 tillsynsbegäran mail.docx", "A 33935-2022")</f>
        <v/>
      </c>
    </row>
    <row r="216" ht="15" customHeight="1">
      <c r="A216" t="inlineStr">
        <is>
          <t>A 37378-2022</t>
        </is>
      </c>
      <c r="B216" s="1" t="n">
        <v>44809</v>
      </c>
      <c r="C216" s="1" t="n">
        <v>45832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HYPERLINK("https://klasma.github.io/Logging_0781/artfynd/A 37378-2022 artfynd.xlsx", "A 37378-2022")</f>
        <v/>
      </c>
      <c r="T216">
        <f>HYPERLINK("https://klasma.github.io/Logging_0781/kartor/A 37378-2022 karta.png", "A 37378-2022")</f>
        <v/>
      </c>
      <c r="V216">
        <f>HYPERLINK("https://klasma.github.io/Logging_0781/klagomål/A 37378-2022 FSC-klagomål.docx", "A 37378-2022")</f>
        <v/>
      </c>
      <c r="W216">
        <f>HYPERLINK("https://klasma.github.io/Logging_0781/klagomålsmail/A 37378-2022 FSC-klagomål mail.docx", "A 37378-2022")</f>
        <v/>
      </c>
      <c r="X216">
        <f>HYPERLINK("https://klasma.github.io/Logging_0781/tillsyn/A 37378-2022 tillsynsbegäran.docx", "A 37378-2022")</f>
        <v/>
      </c>
      <c r="Y216">
        <f>HYPERLINK("https://klasma.github.io/Logging_0781/tillsynsmail/A 37378-2022 tillsynsbegäran mail.docx", "A 37378-2022")</f>
        <v/>
      </c>
      <c r="Z216">
        <f>HYPERLINK("https://klasma.github.io/Logging_0781/fåglar/A 37378-2022 prioriterade fågelarter.docx", "A 37378-2022")</f>
        <v/>
      </c>
    </row>
    <row r="217" ht="15" customHeight="1">
      <c r="A217" t="inlineStr">
        <is>
          <t>A 37608-2022</t>
        </is>
      </c>
      <c r="B217" s="1" t="n">
        <v>44810</v>
      </c>
      <c r="C217" s="1" t="n">
        <v>45832</v>
      </c>
      <c r="D217" t="inlineStr">
        <is>
          <t>KRONOBERGS LÄN</t>
        </is>
      </c>
      <c r="E217" t="inlineStr">
        <is>
          <t>ALVESTA</t>
        </is>
      </c>
      <c r="G217" t="n">
        <v>5.3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Gropticka</t>
        </is>
      </c>
      <c r="S217">
        <f>HYPERLINK("https://klasma.github.io/Logging_0764/artfynd/A 37608-2022 artfynd.xlsx", "A 37608-2022")</f>
        <v/>
      </c>
      <c r="T217">
        <f>HYPERLINK("https://klasma.github.io/Logging_0764/kartor/A 37608-2022 karta.png", "A 37608-2022")</f>
        <v/>
      </c>
      <c r="V217">
        <f>HYPERLINK("https://klasma.github.io/Logging_0764/klagomål/A 37608-2022 FSC-klagomål.docx", "A 37608-2022")</f>
        <v/>
      </c>
      <c r="W217">
        <f>HYPERLINK("https://klasma.github.io/Logging_0764/klagomålsmail/A 37608-2022 FSC-klagomål mail.docx", "A 37608-2022")</f>
        <v/>
      </c>
      <c r="X217">
        <f>HYPERLINK("https://klasma.github.io/Logging_0764/tillsyn/A 37608-2022 tillsynsbegäran.docx", "A 37608-2022")</f>
        <v/>
      </c>
      <c r="Y217">
        <f>HYPERLINK("https://klasma.github.io/Logging_0764/tillsynsmail/A 37608-2022 tillsynsbegäran mail.docx", "A 37608-2022")</f>
        <v/>
      </c>
    </row>
    <row r="218" ht="15" customHeight="1">
      <c r="A218" t="inlineStr">
        <is>
          <t>A 39508-2022</t>
        </is>
      </c>
      <c r="B218" s="1" t="n">
        <v>44818</v>
      </c>
      <c r="C218" s="1" t="n">
        <v>45832</v>
      </c>
      <c r="D218" t="inlineStr">
        <is>
          <t>KRONOBERGS LÄN</t>
        </is>
      </c>
      <c r="E218" t="inlineStr">
        <is>
          <t>MARKARYD</t>
        </is>
      </c>
      <c r="F218" t="inlineStr">
        <is>
          <t>Kommuner</t>
        </is>
      </c>
      <c r="G218" t="n">
        <v>45.6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Gråkråka</t>
        </is>
      </c>
      <c r="S218">
        <f>HYPERLINK("https://klasma.github.io/Logging_0767/artfynd/A 39508-2022 artfynd.xlsx", "A 39508-2022")</f>
        <v/>
      </c>
      <c r="T218">
        <f>HYPERLINK("https://klasma.github.io/Logging_0767/kartor/A 39508-2022 karta.png", "A 39508-2022")</f>
        <v/>
      </c>
      <c r="V218">
        <f>HYPERLINK("https://klasma.github.io/Logging_0767/klagomål/A 39508-2022 FSC-klagomål.docx", "A 39508-2022")</f>
        <v/>
      </c>
      <c r="W218">
        <f>HYPERLINK("https://klasma.github.io/Logging_0767/klagomålsmail/A 39508-2022 FSC-klagomål mail.docx", "A 39508-2022")</f>
        <v/>
      </c>
      <c r="X218">
        <f>HYPERLINK("https://klasma.github.io/Logging_0767/tillsyn/A 39508-2022 tillsynsbegäran.docx", "A 39508-2022")</f>
        <v/>
      </c>
      <c r="Y218">
        <f>HYPERLINK("https://klasma.github.io/Logging_0767/tillsynsmail/A 39508-2022 tillsynsbegäran mail.docx", "A 39508-2022")</f>
        <v/>
      </c>
    </row>
    <row r="219" ht="15" customHeight="1">
      <c r="A219" t="inlineStr">
        <is>
          <t>A 39766-2022</t>
        </is>
      </c>
      <c r="B219" s="1" t="n">
        <v>44819</v>
      </c>
      <c r="C219" s="1" t="n">
        <v>45832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39766-2022 artfynd.xlsx", "A 39766-2022")</f>
        <v/>
      </c>
      <c r="T219">
        <f>HYPERLINK("https://klasma.github.io/Logging_0764/kartor/A 39766-2022 karta.png", "A 39766-2022")</f>
        <v/>
      </c>
      <c r="V219">
        <f>HYPERLINK("https://klasma.github.io/Logging_0764/klagomål/A 39766-2022 FSC-klagomål.docx", "A 39766-2022")</f>
        <v/>
      </c>
      <c r="W219">
        <f>HYPERLINK("https://klasma.github.io/Logging_0764/klagomålsmail/A 39766-2022 FSC-klagomål mail.docx", "A 39766-2022")</f>
        <v/>
      </c>
      <c r="X219">
        <f>HYPERLINK("https://klasma.github.io/Logging_0764/tillsyn/A 39766-2022 tillsynsbegäran.docx", "A 39766-2022")</f>
        <v/>
      </c>
      <c r="Y219">
        <f>HYPERLINK("https://klasma.github.io/Logging_0764/tillsynsmail/A 39766-2022 tillsynsbegäran mail.docx", "A 39766-2022")</f>
        <v/>
      </c>
    </row>
    <row r="220" ht="15" customHeight="1">
      <c r="A220" t="inlineStr">
        <is>
          <t>A 40568-2022</t>
        </is>
      </c>
      <c r="B220" s="1" t="n">
        <v>44823</v>
      </c>
      <c r="C220" s="1" t="n">
        <v>45832</v>
      </c>
      <c r="D220" t="inlineStr">
        <is>
          <t>KRONOBERGS LÄN</t>
        </is>
      </c>
      <c r="E220" t="inlineStr">
        <is>
          <t>ALVESTA</t>
        </is>
      </c>
      <c r="G220" t="n">
        <v>1.7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Göktyta</t>
        </is>
      </c>
      <c r="S220">
        <f>HYPERLINK("https://klasma.github.io/Logging_0764/artfynd/A 40568-2022 artfynd.xlsx", "A 40568-2022")</f>
        <v/>
      </c>
      <c r="T220">
        <f>HYPERLINK("https://klasma.github.io/Logging_0764/kartor/A 40568-2022 karta.png", "A 40568-2022")</f>
        <v/>
      </c>
      <c r="V220">
        <f>HYPERLINK("https://klasma.github.io/Logging_0764/klagomål/A 40568-2022 FSC-klagomål.docx", "A 40568-2022")</f>
        <v/>
      </c>
      <c r="W220">
        <f>HYPERLINK("https://klasma.github.io/Logging_0764/klagomålsmail/A 40568-2022 FSC-klagomål mail.docx", "A 40568-2022")</f>
        <v/>
      </c>
      <c r="X220">
        <f>HYPERLINK("https://klasma.github.io/Logging_0764/tillsyn/A 40568-2022 tillsynsbegäran.docx", "A 40568-2022")</f>
        <v/>
      </c>
      <c r="Y220">
        <f>HYPERLINK("https://klasma.github.io/Logging_0764/tillsynsmail/A 40568-2022 tillsynsbegäran mail.docx", "A 40568-2022")</f>
        <v/>
      </c>
      <c r="Z220">
        <f>HYPERLINK("https://klasma.github.io/Logging_0764/fåglar/A 40568-2022 prioriterade fågelarter.docx", "A 40568-2022")</f>
        <v/>
      </c>
    </row>
    <row r="221" ht="15" customHeight="1">
      <c r="A221" t="inlineStr">
        <is>
          <t>A 41124-2022</t>
        </is>
      </c>
      <c r="B221" s="1" t="n">
        <v>44825</v>
      </c>
      <c r="C221" s="1" t="n">
        <v>45832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Göktyta</t>
        </is>
      </c>
      <c r="S221">
        <f>HYPERLINK("https://klasma.github.io/Logging_0781/artfynd/A 41124-2022 artfynd.xlsx", "A 41124-2022")</f>
        <v/>
      </c>
      <c r="T221">
        <f>HYPERLINK("https://klasma.github.io/Logging_0781/kartor/A 41124-2022 karta.png", "A 41124-2022")</f>
        <v/>
      </c>
      <c r="V221">
        <f>HYPERLINK("https://klasma.github.io/Logging_0781/klagomål/A 41124-2022 FSC-klagomål.docx", "A 41124-2022")</f>
        <v/>
      </c>
      <c r="W221">
        <f>HYPERLINK("https://klasma.github.io/Logging_0781/klagomålsmail/A 41124-2022 FSC-klagomål mail.docx", "A 41124-2022")</f>
        <v/>
      </c>
      <c r="X221">
        <f>HYPERLINK("https://klasma.github.io/Logging_0781/tillsyn/A 41124-2022 tillsynsbegäran.docx", "A 41124-2022")</f>
        <v/>
      </c>
      <c r="Y221">
        <f>HYPERLINK("https://klasma.github.io/Logging_0781/tillsynsmail/A 41124-2022 tillsynsbegäran mail.docx", "A 41124-2022")</f>
        <v/>
      </c>
      <c r="Z221">
        <f>HYPERLINK("https://klasma.github.io/Logging_0781/fåglar/A 41124-2022 prioriterade fågelarter.docx", "A 41124-2022")</f>
        <v/>
      </c>
    </row>
    <row r="222" ht="15" customHeight="1">
      <c r="A222" t="inlineStr">
        <is>
          <t>A 41652-2022</t>
        </is>
      </c>
      <c r="B222" s="1" t="n">
        <v>44827</v>
      </c>
      <c r="C222" s="1" t="n">
        <v>45832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Sankt pers nycklar</t>
        </is>
      </c>
      <c r="S222">
        <f>HYPERLINK("https://klasma.github.io/Logging_0760/artfynd/A 41652-2022 artfynd.xlsx", "A 41652-2022")</f>
        <v/>
      </c>
      <c r="T222">
        <f>HYPERLINK("https://klasma.github.io/Logging_0760/kartor/A 41652-2022 karta.png", "A 41652-2022")</f>
        <v/>
      </c>
      <c r="V222">
        <f>HYPERLINK("https://klasma.github.io/Logging_0760/klagomål/A 41652-2022 FSC-klagomål.docx", "A 41652-2022")</f>
        <v/>
      </c>
      <c r="W222">
        <f>HYPERLINK("https://klasma.github.io/Logging_0760/klagomålsmail/A 41652-2022 FSC-klagomål mail.docx", "A 41652-2022")</f>
        <v/>
      </c>
      <c r="X222">
        <f>HYPERLINK("https://klasma.github.io/Logging_0760/tillsyn/A 41652-2022 tillsynsbegäran.docx", "A 41652-2022")</f>
        <v/>
      </c>
      <c r="Y222">
        <f>HYPERLINK("https://klasma.github.io/Logging_0760/tillsynsmail/A 41652-2022 tillsynsbegäran mail.docx", "A 41652-2022")</f>
        <v/>
      </c>
    </row>
    <row r="223" ht="15" customHeight="1">
      <c r="A223" t="inlineStr">
        <is>
          <t>A 43291-2022</t>
        </is>
      </c>
      <c r="B223" s="1" t="n">
        <v>44834</v>
      </c>
      <c r="C223" s="1" t="n">
        <v>45832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HYPERLINK("https://klasma.github.io/Logging_0763/artfynd/A 43291-2022 artfynd.xlsx", "A 43291-2022")</f>
        <v/>
      </c>
      <c r="T223">
        <f>HYPERLINK("https://klasma.github.io/Logging_0763/kartor/A 43291-2022 karta.png", "A 43291-2022")</f>
        <v/>
      </c>
      <c r="V223">
        <f>HYPERLINK("https://klasma.github.io/Logging_0763/klagomål/A 43291-2022 FSC-klagomål.docx", "A 43291-2022")</f>
        <v/>
      </c>
      <c r="W223">
        <f>HYPERLINK("https://klasma.github.io/Logging_0763/klagomålsmail/A 43291-2022 FSC-klagomål mail.docx", "A 43291-2022")</f>
        <v/>
      </c>
      <c r="X223">
        <f>HYPERLINK("https://klasma.github.io/Logging_0763/tillsyn/A 43291-2022 tillsynsbegäran.docx", "A 43291-2022")</f>
        <v/>
      </c>
      <c r="Y223">
        <f>HYPERLINK("https://klasma.github.io/Logging_0763/tillsynsmail/A 43291-2022 tillsynsbegäran mail.docx", "A 43291-2022")</f>
        <v/>
      </c>
    </row>
    <row r="224" ht="15" customHeight="1">
      <c r="A224" t="inlineStr">
        <is>
          <t>A 45975-2022</t>
        </is>
      </c>
      <c r="B224" s="1" t="n">
        <v>44846</v>
      </c>
      <c r="C224" s="1" t="n">
        <v>45832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HYPERLINK("https://klasma.github.io/Logging_0761/artfynd/A 45975-2022 artfynd.xlsx", "A 45975-2022")</f>
        <v/>
      </c>
      <c r="T224">
        <f>HYPERLINK("https://klasma.github.io/Logging_0761/kartor/A 45975-2022 karta.png", "A 45975-2022")</f>
        <v/>
      </c>
      <c r="U224">
        <f>HYPERLINK("https://klasma.github.io/Logging_0761/knärot/A 45975-2022 karta knärot.png", "A 45975-2022")</f>
        <v/>
      </c>
      <c r="V224">
        <f>HYPERLINK("https://klasma.github.io/Logging_0761/klagomål/A 45975-2022 FSC-klagomål.docx", "A 45975-2022")</f>
        <v/>
      </c>
      <c r="W224">
        <f>HYPERLINK("https://klasma.github.io/Logging_0761/klagomålsmail/A 45975-2022 FSC-klagomål mail.docx", "A 45975-2022")</f>
        <v/>
      </c>
      <c r="X224">
        <f>HYPERLINK("https://klasma.github.io/Logging_0761/tillsyn/A 45975-2022 tillsynsbegäran.docx", "A 45975-2022")</f>
        <v/>
      </c>
      <c r="Y224">
        <f>HYPERLINK("https://klasma.github.io/Logging_0761/tillsynsmail/A 45975-2022 tillsynsbegäran mail.docx", "A 45975-2022")</f>
        <v/>
      </c>
    </row>
    <row r="225" ht="15" customHeight="1">
      <c r="A225" t="inlineStr">
        <is>
          <t>A 49123-2022</t>
        </is>
      </c>
      <c r="B225" s="1" t="n">
        <v>44858</v>
      </c>
      <c r="C225" s="1" t="n">
        <v>45832</v>
      </c>
      <c r="D225" t="inlineStr">
        <is>
          <t>KRONOBERGS LÄN</t>
        </is>
      </c>
      <c r="E225" t="inlineStr">
        <is>
          <t>UPPVIDINGE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HYPERLINK("https://klasma.github.io/Logging_0760/artfynd/A 49123-2022 artfynd.xlsx", "A 49123-2022")</f>
        <v/>
      </c>
      <c r="T225">
        <f>HYPERLINK("https://klasma.github.io/Logging_0760/kartor/A 49123-2022 karta.png", "A 49123-2022")</f>
        <v/>
      </c>
      <c r="V225">
        <f>HYPERLINK("https://klasma.github.io/Logging_0760/klagomål/A 49123-2022 FSC-klagomål.docx", "A 49123-2022")</f>
        <v/>
      </c>
      <c r="W225">
        <f>HYPERLINK("https://klasma.github.io/Logging_0760/klagomålsmail/A 49123-2022 FSC-klagomål mail.docx", "A 49123-2022")</f>
        <v/>
      </c>
      <c r="X225">
        <f>HYPERLINK("https://klasma.github.io/Logging_0760/tillsyn/A 49123-2022 tillsynsbegäran.docx", "A 49123-2022")</f>
        <v/>
      </c>
      <c r="Y225">
        <f>HYPERLINK("https://klasma.github.io/Logging_0760/tillsynsmail/A 49123-2022 tillsynsbegäran mail.docx", "A 49123-2022")</f>
        <v/>
      </c>
    </row>
    <row r="226" ht="15" customHeight="1">
      <c r="A226" t="inlineStr">
        <is>
          <t>A 54470-2022</t>
        </is>
      </c>
      <c r="B226" s="1" t="n">
        <v>44882</v>
      </c>
      <c r="C226" s="1" t="n">
        <v>45832</v>
      </c>
      <c r="D226" t="inlineStr">
        <is>
          <t>KRONOBERGS LÄN</t>
        </is>
      </c>
      <c r="E226" t="inlineStr">
        <is>
          <t>ÄLMHULT</t>
        </is>
      </c>
      <c r="G226" t="n">
        <v>2.3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HYPERLINK("https://klasma.github.io/Logging_0765/artfynd/A 54470-2022 artfynd.xlsx", "A 54470-2022")</f>
        <v/>
      </c>
      <c r="T226">
        <f>HYPERLINK("https://klasma.github.io/Logging_0765/kartor/A 54470-2022 karta.png", "A 54470-2022")</f>
        <v/>
      </c>
      <c r="V226">
        <f>HYPERLINK("https://klasma.github.io/Logging_0765/klagomål/A 54470-2022 FSC-klagomål.docx", "A 54470-2022")</f>
        <v/>
      </c>
      <c r="W226">
        <f>HYPERLINK("https://klasma.github.io/Logging_0765/klagomålsmail/A 54470-2022 FSC-klagomål mail.docx", "A 54470-2022")</f>
        <v/>
      </c>
      <c r="X226">
        <f>HYPERLINK("https://klasma.github.io/Logging_0765/tillsyn/A 54470-2022 tillsynsbegäran.docx", "A 54470-2022")</f>
        <v/>
      </c>
      <c r="Y226">
        <f>HYPERLINK("https://klasma.github.io/Logging_0765/tillsynsmail/A 54470-2022 tillsynsbegäran mail.docx", "A 54470-2022")</f>
        <v/>
      </c>
    </row>
    <row r="227" ht="15" customHeight="1">
      <c r="A227" t="inlineStr">
        <is>
          <t>A 55924-2022</t>
        </is>
      </c>
      <c r="B227" s="1" t="n">
        <v>44886</v>
      </c>
      <c r="C227" s="1" t="n">
        <v>45832</v>
      </c>
      <c r="D227" t="inlineStr">
        <is>
          <t>KRONOBERGS LÄN</t>
        </is>
      </c>
      <c r="E227" t="inlineStr">
        <is>
          <t>TINGSRYD</t>
        </is>
      </c>
      <c r="F227" t="inlineStr">
        <is>
          <t>Kyrkan</t>
        </is>
      </c>
      <c r="G227" t="n">
        <v>1.1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HYPERLINK("https://klasma.github.io/Logging_0763/artfynd/A 55924-2022 artfynd.xlsx", "A 55924-2022")</f>
        <v/>
      </c>
      <c r="T227">
        <f>HYPERLINK("https://klasma.github.io/Logging_0763/kartor/A 55924-2022 karta.png", "A 55924-2022")</f>
        <v/>
      </c>
      <c r="V227">
        <f>HYPERLINK("https://klasma.github.io/Logging_0763/klagomål/A 55924-2022 FSC-klagomål.docx", "A 55924-2022")</f>
        <v/>
      </c>
      <c r="W227">
        <f>HYPERLINK("https://klasma.github.io/Logging_0763/klagomålsmail/A 55924-2022 FSC-klagomål mail.docx", "A 55924-2022")</f>
        <v/>
      </c>
      <c r="X227">
        <f>HYPERLINK("https://klasma.github.io/Logging_0763/tillsyn/A 55924-2022 tillsynsbegäran.docx", "A 55924-2022")</f>
        <v/>
      </c>
      <c r="Y227">
        <f>HYPERLINK("https://klasma.github.io/Logging_0763/tillsynsmail/A 55924-2022 tillsynsbegäran mail.docx", "A 55924-2022")</f>
        <v/>
      </c>
    </row>
    <row r="228" ht="15" customHeight="1">
      <c r="A228" t="inlineStr">
        <is>
          <t>A 57999-2022</t>
        </is>
      </c>
      <c r="B228" s="1" t="n">
        <v>44900</v>
      </c>
      <c r="C228" s="1" t="n">
        <v>45832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Svinrot</t>
        </is>
      </c>
      <c r="S228">
        <f>HYPERLINK("https://klasma.github.io/Logging_0760/artfynd/A 57999-2022 artfynd.xlsx", "A 57999-2022")</f>
        <v/>
      </c>
      <c r="T228">
        <f>HYPERLINK("https://klasma.github.io/Logging_0760/kartor/A 57999-2022 karta.png", "A 57999-2022")</f>
        <v/>
      </c>
      <c r="V228">
        <f>HYPERLINK("https://klasma.github.io/Logging_0760/klagomål/A 57999-2022 FSC-klagomål.docx", "A 57999-2022")</f>
        <v/>
      </c>
      <c r="W228">
        <f>HYPERLINK("https://klasma.github.io/Logging_0760/klagomålsmail/A 57999-2022 FSC-klagomål mail.docx", "A 57999-2022")</f>
        <v/>
      </c>
      <c r="X228">
        <f>HYPERLINK("https://klasma.github.io/Logging_0760/tillsyn/A 57999-2022 tillsynsbegäran.docx", "A 57999-2022")</f>
        <v/>
      </c>
      <c r="Y228">
        <f>HYPERLINK("https://klasma.github.io/Logging_0760/tillsynsmail/A 57999-2022 tillsynsbegäran mail.docx", "A 57999-2022")</f>
        <v/>
      </c>
    </row>
    <row r="229" ht="15" customHeight="1">
      <c r="A229" t="inlineStr">
        <is>
          <t>A 60820-2022</t>
        </is>
      </c>
      <c r="B229" s="1" t="n">
        <v>44914</v>
      </c>
      <c r="C229" s="1" t="n">
        <v>45832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Gulsparv</t>
        </is>
      </c>
      <c r="S229">
        <f>HYPERLINK("https://klasma.github.io/Logging_0780/artfynd/A 60820-2022 artfynd.xlsx", "A 60820-2022")</f>
        <v/>
      </c>
      <c r="T229">
        <f>HYPERLINK("https://klasma.github.io/Logging_0780/kartor/A 60820-2022 karta.png", "A 60820-2022")</f>
        <v/>
      </c>
      <c r="V229">
        <f>HYPERLINK("https://klasma.github.io/Logging_0780/klagomål/A 60820-2022 FSC-klagomål.docx", "A 60820-2022")</f>
        <v/>
      </c>
      <c r="W229">
        <f>HYPERLINK("https://klasma.github.io/Logging_0780/klagomålsmail/A 60820-2022 FSC-klagomål mail.docx", "A 60820-2022")</f>
        <v/>
      </c>
      <c r="X229">
        <f>HYPERLINK("https://klasma.github.io/Logging_0780/tillsyn/A 60820-2022 tillsynsbegäran.docx", "A 60820-2022")</f>
        <v/>
      </c>
      <c r="Y229">
        <f>HYPERLINK("https://klasma.github.io/Logging_0780/tillsynsmail/A 60820-2022 tillsynsbegäran mail.docx", "A 60820-2022")</f>
        <v/>
      </c>
      <c r="Z229">
        <f>HYPERLINK("https://klasma.github.io/Logging_0780/fåglar/A 60820-2022 prioriterade fågelarter.docx", "A 60820-2022")</f>
        <v/>
      </c>
    </row>
    <row r="230" ht="15" customHeight="1">
      <c r="A230" t="inlineStr">
        <is>
          <t>A 205-2023</t>
        </is>
      </c>
      <c r="B230" s="1" t="n">
        <v>44928</v>
      </c>
      <c r="C230" s="1" t="n">
        <v>45832</v>
      </c>
      <c r="D230" t="inlineStr">
        <is>
          <t>KRONOBERGS LÄN</t>
        </is>
      </c>
      <c r="E230" t="inlineStr">
        <is>
          <t>LJUNGBY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Borsttåg</t>
        </is>
      </c>
      <c r="S230">
        <f>HYPERLINK("https://klasma.github.io/Logging_0781/artfynd/A 205-2023 artfynd.xlsx", "A 205-2023")</f>
        <v/>
      </c>
      <c r="T230">
        <f>HYPERLINK("https://klasma.github.io/Logging_0781/kartor/A 205-2023 karta.png", "A 205-2023")</f>
        <v/>
      </c>
      <c r="V230">
        <f>HYPERLINK("https://klasma.github.io/Logging_0781/klagomål/A 205-2023 FSC-klagomål.docx", "A 205-2023")</f>
        <v/>
      </c>
      <c r="W230">
        <f>HYPERLINK("https://klasma.github.io/Logging_0781/klagomålsmail/A 205-2023 FSC-klagomål mail.docx", "A 205-2023")</f>
        <v/>
      </c>
      <c r="X230">
        <f>HYPERLINK("https://klasma.github.io/Logging_0781/tillsyn/A 205-2023 tillsynsbegäran.docx", "A 205-2023")</f>
        <v/>
      </c>
      <c r="Y230">
        <f>HYPERLINK("https://klasma.github.io/Logging_0781/tillsynsmail/A 205-2023 tillsynsbegäran mail.docx", "A 205-2023")</f>
        <v/>
      </c>
    </row>
    <row r="231" ht="15" customHeight="1">
      <c r="A231" t="inlineStr">
        <is>
          <t>A 3677-2023</t>
        </is>
      </c>
      <c r="B231" s="1" t="n">
        <v>44950</v>
      </c>
      <c r="C231" s="1" t="n">
        <v>45832</v>
      </c>
      <c r="D231" t="inlineStr">
        <is>
          <t>KRONOBERGS LÄN</t>
        </is>
      </c>
      <c r="E231" t="inlineStr">
        <is>
          <t>UPPVIDINGE</t>
        </is>
      </c>
      <c r="G231" t="n">
        <v>13.4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HYPERLINK("https://klasma.github.io/Logging_0760/artfynd/A 3677-2023 artfynd.xlsx", "A 3677-2023")</f>
        <v/>
      </c>
      <c r="T231">
        <f>HYPERLINK("https://klasma.github.io/Logging_0760/kartor/A 3677-2023 karta.png", "A 3677-2023")</f>
        <v/>
      </c>
      <c r="V231">
        <f>HYPERLINK("https://klasma.github.io/Logging_0760/klagomål/A 3677-2023 FSC-klagomål.docx", "A 3677-2023")</f>
        <v/>
      </c>
      <c r="W231">
        <f>HYPERLINK("https://klasma.github.io/Logging_0760/klagomålsmail/A 3677-2023 FSC-klagomål mail.docx", "A 3677-2023")</f>
        <v/>
      </c>
      <c r="X231">
        <f>HYPERLINK("https://klasma.github.io/Logging_0760/tillsyn/A 3677-2023 tillsynsbegäran.docx", "A 3677-2023")</f>
        <v/>
      </c>
      <c r="Y231">
        <f>HYPERLINK("https://klasma.github.io/Logging_0760/tillsynsmail/A 3677-2023 tillsynsbegäran mail.docx", "A 3677-2023")</f>
        <v/>
      </c>
    </row>
    <row r="232" ht="15" customHeight="1">
      <c r="A232" t="inlineStr">
        <is>
          <t>A 9825-2023</t>
        </is>
      </c>
      <c r="B232" s="1" t="n">
        <v>44984</v>
      </c>
      <c r="C232" s="1" t="n">
        <v>45832</v>
      </c>
      <c r="D232" t="inlineStr">
        <is>
          <t>KRONOBERGS LÄN</t>
        </is>
      </c>
      <c r="E232" t="inlineStr">
        <is>
          <t>TINGSRYD</t>
        </is>
      </c>
      <c r="G232" t="n">
        <v>3.5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Huggorm</t>
        </is>
      </c>
      <c r="S232">
        <f>HYPERLINK("https://klasma.github.io/Logging_0763/artfynd/A 9825-2023 artfynd.xlsx", "A 9825-2023")</f>
        <v/>
      </c>
      <c r="T232">
        <f>HYPERLINK("https://klasma.github.io/Logging_0763/kartor/A 9825-2023 karta.png", "A 9825-2023")</f>
        <v/>
      </c>
      <c r="V232">
        <f>HYPERLINK("https://klasma.github.io/Logging_0763/klagomål/A 9825-2023 FSC-klagomål.docx", "A 9825-2023")</f>
        <v/>
      </c>
      <c r="W232">
        <f>HYPERLINK("https://klasma.github.io/Logging_0763/klagomålsmail/A 9825-2023 FSC-klagomål mail.docx", "A 9825-2023")</f>
        <v/>
      </c>
      <c r="X232">
        <f>HYPERLINK("https://klasma.github.io/Logging_0763/tillsyn/A 9825-2023 tillsynsbegäran.docx", "A 9825-2023")</f>
        <v/>
      </c>
      <c r="Y232">
        <f>HYPERLINK("https://klasma.github.io/Logging_0763/tillsynsmail/A 9825-2023 tillsynsbegäran mail.docx", "A 9825-2023")</f>
        <v/>
      </c>
    </row>
    <row r="233" ht="15" customHeight="1">
      <c r="A233" t="inlineStr">
        <is>
          <t>A 9911-2023</t>
        </is>
      </c>
      <c r="B233" s="1" t="n">
        <v>44985</v>
      </c>
      <c r="C233" s="1" t="n">
        <v>45832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HYPERLINK("https://klasma.github.io/Logging_0781/artfynd/A 9911-2023 artfynd.xlsx", "A 9911-2023")</f>
        <v/>
      </c>
      <c r="T233">
        <f>HYPERLINK("https://klasma.github.io/Logging_0781/kartor/A 9911-2023 karta.png", "A 9911-2023")</f>
        <v/>
      </c>
      <c r="V233">
        <f>HYPERLINK("https://klasma.github.io/Logging_0781/klagomål/A 9911-2023 FSC-klagomål.docx", "A 9911-2023")</f>
        <v/>
      </c>
      <c r="W233">
        <f>HYPERLINK("https://klasma.github.io/Logging_0781/klagomålsmail/A 9911-2023 FSC-klagomål mail.docx", "A 9911-2023")</f>
        <v/>
      </c>
      <c r="X233">
        <f>HYPERLINK("https://klasma.github.io/Logging_0781/tillsyn/A 9911-2023 tillsynsbegäran.docx", "A 9911-2023")</f>
        <v/>
      </c>
      <c r="Y233">
        <f>HYPERLINK("https://klasma.github.io/Logging_0781/tillsynsmail/A 9911-2023 tillsynsbegäran mail.docx", "A 9911-2023")</f>
        <v/>
      </c>
    </row>
    <row r="234" ht="15" customHeight="1">
      <c r="A234" t="inlineStr">
        <is>
          <t>A 11270-2023</t>
        </is>
      </c>
      <c r="B234" s="1" t="n">
        <v>44992</v>
      </c>
      <c r="C234" s="1" t="n">
        <v>45832</v>
      </c>
      <c r="D234" t="inlineStr">
        <is>
          <t>KRONOBERGS LÄN</t>
        </is>
      </c>
      <c r="E234" t="inlineStr">
        <is>
          <t>TINGSRYD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Brunag</t>
        </is>
      </c>
      <c r="S234">
        <f>HYPERLINK("https://klasma.github.io/Logging_0763/artfynd/A 11270-2023 artfynd.xlsx", "A 11270-2023")</f>
        <v/>
      </c>
      <c r="T234">
        <f>HYPERLINK("https://klasma.github.io/Logging_0763/kartor/A 11270-2023 karta.png", "A 11270-2023")</f>
        <v/>
      </c>
      <c r="V234">
        <f>HYPERLINK("https://klasma.github.io/Logging_0763/klagomål/A 11270-2023 FSC-klagomål.docx", "A 11270-2023")</f>
        <v/>
      </c>
      <c r="W234">
        <f>HYPERLINK("https://klasma.github.io/Logging_0763/klagomålsmail/A 11270-2023 FSC-klagomål mail.docx", "A 11270-2023")</f>
        <v/>
      </c>
      <c r="X234">
        <f>HYPERLINK("https://klasma.github.io/Logging_0763/tillsyn/A 11270-2023 tillsynsbegäran.docx", "A 11270-2023")</f>
        <v/>
      </c>
      <c r="Y234">
        <f>HYPERLINK("https://klasma.github.io/Logging_0763/tillsynsmail/A 11270-2023 tillsynsbegäran mail.docx", "A 11270-2023")</f>
        <v/>
      </c>
    </row>
    <row r="235" ht="15" customHeight="1">
      <c r="A235" t="inlineStr">
        <is>
          <t>A 12084-2023</t>
        </is>
      </c>
      <c r="B235" s="1" t="n">
        <v>44997</v>
      </c>
      <c r="C235" s="1" t="n">
        <v>45832</v>
      </c>
      <c r="D235" t="inlineStr">
        <is>
          <t>KRONOBERGS LÄN</t>
        </is>
      </c>
      <c r="E235" t="inlineStr">
        <is>
          <t>MARKARYD</t>
        </is>
      </c>
      <c r="G235" t="n">
        <v>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Borsttåg</t>
        </is>
      </c>
      <c r="S235">
        <f>HYPERLINK("https://klasma.github.io/Logging_0767/artfynd/A 12084-2023 artfynd.xlsx", "A 12084-2023")</f>
        <v/>
      </c>
      <c r="T235">
        <f>HYPERLINK("https://klasma.github.io/Logging_0767/kartor/A 12084-2023 karta.png", "A 12084-2023")</f>
        <v/>
      </c>
      <c r="V235">
        <f>HYPERLINK("https://klasma.github.io/Logging_0767/klagomål/A 12084-2023 FSC-klagomål.docx", "A 12084-2023")</f>
        <v/>
      </c>
      <c r="W235">
        <f>HYPERLINK("https://klasma.github.io/Logging_0767/klagomålsmail/A 12084-2023 FSC-klagomål mail.docx", "A 12084-2023")</f>
        <v/>
      </c>
      <c r="X235">
        <f>HYPERLINK("https://klasma.github.io/Logging_0767/tillsyn/A 12084-2023 tillsynsbegäran.docx", "A 12084-2023")</f>
        <v/>
      </c>
      <c r="Y235">
        <f>HYPERLINK("https://klasma.github.io/Logging_0767/tillsynsmail/A 12084-2023 tillsynsbegäran mail.docx", "A 12084-2023")</f>
        <v/>
      </c>
    </row>
    <row r="236" ht="15" customHeight="1">
      <c r="A236" t="inlineStr">
        <is>
          <t>A 12184-2023</t>
        </is>
      </c>
      <c r="B236" s="1" t="n">
        <v>44998</v>
      </c>
      <c r="C236" s="1" t="n">
        <v>45832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Fjällig taggsvamp s.str.</t>
        </is>
      </c>
      <c r="S236">
        <f>HYPERLINK("https://klasma.github.io/Logging_0760/artfynd/A 12184-2023 artfynd.xlsx", "A 12184-2023")</f>
        <v/>
      </c>
      <c r="T236">
        <f>HYPERLINK("https://klasma.github.io/Logging_0760/kartor/A 12184-2023 karta.png", "A 12184-2023")</f>
        <v/>
      </c>
      <c r="V236">
        <f>HYPERLINK("https://klasma.github.io/Logging_0760/klagomål/A 12184-2023 FSC-klagomål.docx", "A 12184-2023")</f>
        <v/>
      </c>
      <c r="W236">
        <f>HYPERLINK("https://klasma.github.io/Logging_0760/klagomålsmail/A 12184-2023 FSC-klagomål mail.docx", "A 12184-2023")</f>
        <v/>
      </c>
      <c r="X236">
        <f>HYPERLINK("https://klasma.github.io/Logging_0760/tillsyn/A 12184-2023 tillsynsbegäran.docx", "A 12184-2023")</f>
        <v/>
      </c>
      <c r="Y236">
        <f>HYPERLINK("https://klasma.github.io/Logging_0760/tillsynsmail/A 12184-2023 tillsynsbegäran mail.docx", "A 12184-2023")</f>
        <v/>
      </c>
    </row>
    <row r="237" ht="15" customHeight="1">
      <c r="A237" t="inlineStr">
        <is>
          <t>A 13460-2023</t>
        </is>
      </c>
      <c r="B237" s="1" t="n">
        <v>45005</v>
      </c>
      <c r="C237" s="1" t="n">
        <v>45832</v>
      </c>
      <c r="D237" t="inlineStr">
        <is>
          <t>KRONOBERGS LÄN</t>
        </is>
      </c>
      <c r="E237" t="inlineStr">
        <is>
          <t>LJUNGBY</t>
        </is>
      </c>
      <c r="G237" t="n">
        <v>5.1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HYPERLINK("https://klasma.github.io/Logging_0781/artfynd/A 13460-2023 artfynd.xlsx", "A 13460-2023")</f>
        <v/>
      </c>
      <c r="T237">
        <f>HYPERLINK("https://klasma.github.io/Logging_0781/kartor/A 13460-2023 karta.png", "A 13460-2023")</f>
        <v/>
      </c>
      <c r="V237">
        <f>HYPERLINK("https://klasma.github.io/Logging_0781/klagomål/A 13460-2023 FSC-klagomål.docx", "A 13460-2023")</f>
        <v/>
      </c>
      <c r="W237">
        <f>HYPERLINK("https://klasma.github.io/Logging_0781/klagomålsmail/A 13460-2023 FSC-klagomål mail.docx", "A 13460-2023")</f>
        <v/>
      </c>
      <c r="X237">
        <f>HYPERLINK("https://klasma.github.io/Logging_0781/tillsyn/A 13460-2023 tillsynsbegäran.docx", "A 13460-2023")</f>
        <v/>
      </c>
      <c r="Y237">
        <f>HYPERLINK("https://klasma.github.io/Logging_0781/tillsynsmail/A 13460-2023 tillsynsbegäran mail.docx", "A 13460-2023")</f>
        <v/>
      </c>
      <c r="Z237">
        <f>HYPERLINK("https://klasma.github.io/Logging_0781/fåglar/A 13460-2023 prioriterade fågelarter.docx", "A 13460-2023")</f>
        <v/>
      </c>
    </row>
    <row r="238" ht="15" customHeight="1">
      <c r="A238" t="inlineStr">
        <is>
          <t>A 18430-2023</t>
        </is>
      </c>
      <c r="B238" s="1" t="n">
        <v>45042</v>
      </c>
      <c r="C238" s="1" t="n">
        <v>45832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HYPERLINK("https://klasma.github.io/Logging_0781/artfynd/A 18430-2023 artfynd.xlsx", "A 18430-2023")</f>
        <v/>
      </c>
      <c r="T238">
        <f>HYPERLINK("https://klasma.github.io/Logging_0781/kartor/A 18430-2023 karta.png", "A 18430-2023")</f>
        <v/>
      </c>
      <c r="U238">
        <f>HYPERLINK("https://klasma.github.io/Logging_0781/knärot/A 18430-2023 karta knärot.png", "A 18430-2023")</f>
        <v/>
      </c>
      <c r="V238">
        <f>HYPERLINK("https://klasma.github.io/Logging_0781/klagomål/A 18430-2023 FSC-klagomål.docx", "A 18430-2023")</f>
        <v/>
      </c>
      <c r="W238">
        <f>HYPERLINK("https://klasma.github.io/Logging_0781/klagomålsmail/A 18430-2023 FSC-klagomål mail.docx", "A 18430-2023")</f>
        <v/>
      </c>
      <c r="X238">
        <f>HYPERLINK("https://klasma.github.io/Logging_0781/tillsyn/A 18430-2023 tillsynsbegäran.docx", "A 18430-2023")</f>
        <v/>
      </c>
      <c r="Y238">
        <f>HYPERLINK("https://klasma.github.io/Logging_0781/tillsynsmail/A 18430-2023 tillsynsbegäran mail.docx", "A 18430-2023")</f>
        <v/>
      </c>
    </row>
    <row r="239" ht="15" customHeight="1">
      <c r="A239" t="inlineStr">
        <is>
          <t>A 18676-2023</t>
        </is>
      </c>
      <c r="B239" s="1" t="n">
        <v>45043</v>
      </c>
      <c r="C239" s="1" t="n">
        <v>45832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HYPERLINK("https://klasma.github.io/Logging_0764/artfynd/A 18676-2023 artfynd.xlsx", "A 18676-2023")</f>
        <v/>
      </c>
      <c r="T239">
        <f>HYPERLINK("https://klasma.github.io/Logging_0764/kartor/A 18676-2023 karta.png", "A 18676-2023")</f>
        <v/>
      </c>
      <c r="V239">
        <f>HYPERLINK("https://klasma.github.io/Logging_0764/klagomål/A 18676-2023 FSC-klagomål.docx", "A 18676-2023")</f>
        <v/>
      </c>
      <c r="W239">
        <f>HYPERLINK("https://klasma.github.io/Logging_0764/klagomålsmail/A 18676-2023 FSC-klagomål mail.docx", "A 18676-2023")</f>
        <v/>
      </c>
      <c r="X239">
        <f>HYPERLINK("https://klasma.github.io/Logging_0764/tillsyn/A 18676-2023 tillsynsbegäran.docx", "A 18676-2023")</f>
        <v/>
      </c>
      <c r="Y239">
        <f>HYPERLINK("https://klasma.github.io/Logging_0764/tillsynsmail/A 18676-2023 tillsynsbegäran mail.docx", "A 18676-2023")</f>
        <v/>
      </c>
    </row>
    <row r="240" ht="15" customHeight="1">
      <c r="A240" t="inlineStr">
        <is>
          <t>A 25295-2023</t>
        </is>
      </c>
      <c r="B240" s="1" t="n">
        <v>45086</v>
      </c>
      <c r="C240" s="1" t="n">
        <v>45832</v>
      </c>
      <c r="D240" t="inlineStr">
        <is>
          <t>KRONOBERGS LÄN</t>
        </is>
      </c>
      <c r="E240" t="inlineStr">
        <is>
          <t>LJUNGBY</t>
        </is>
      </c>
      <c r="G240" t="n">
        <v>1.3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HYPERLINK("https://klasma.github.io/Logging_0781/artfynd/A 25295-2023 artfynd.xlsx", "A 25295-2023")</f>
        <v/>
      </c>
      <c r="T240">
        <f>HYPERLINK("https://klasma.github.io/Logging_0781/kartor/A 25295-2023 karta.png", "A 25295-2023")</f>
        <v/>
      </c>
      <c r="V240">
        <f>HYPERLINK("https://klasma.github.io/Logging_0781/klagomål/A 25295-2023 FSC-klagomål.docx", "A 25295-2023")</f>
        <v/>
      </c>
      <c r="W240">
        <f>HYPERLINK("https://klasma.github.io/Logging_0781/klagomålsmail/A 25295-2023 FSC-klagomål mail.docx", "A 25295-2023")</f>
        <v/>
      </c>
      <c r="X240">
        <f>HYPERLINK("https://klasma.github.io/Logging_0781/tillsyn/A 25295-2023 tillsynsbegäran.docx", "A 25295-2023")</f>
        <v/>
      </c>
      <c r="Y240">
        <f>HYPERLINK("https://klasma.github.io/Logging_0781/tillsynsmail/A 25295-2023 tillsynsbegäran mail.docx", "A 25295-2023")</f>
        <v/>
      </c>
    </row>
    <row r="241" ht="15" customHeight="1">
      <c r="A241" t="inlineStr">
        <is>
          <t>A 25422-2023</t>
        </is>
      </c>
      <c r="B241" s="1" t="n">
        <v>45089</v>
      </c>
      <c r="C241" s="1" t="n">
        <v>45832</v>
      </c>
      <c r="D241" t="inlineStr">
        <is>
          <t>KRONOBERGS LÄN</t>
        </is>
      </c>
      <c r="E241" t="inlineStr">
        <is>
          <t>ÄLMHULT</t>
        </is>
      </c>
      <c r="G241" t="n">
        <v>4.1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25422-2023 artfynd.xlsx", "A 25422-2023")</f>
        <v/>
      </c>
      <c r="T241">
        <f>HYPERLINK("https://klasma.github.io/Logging_0765/kartor/A 25422-2023 karta.png", "A 25422-2023")</f>
        <v/>
      </c>
      <c r="V241">
        <f>HYPERLINK("https://klasma.github.io/Logging_0765/klagomål/A 25422-2023 FSC-klagomål.docx", "A 25422-2023")</f>
        <v/>
      </c>
      <c r="W241">
        <f>HYPERLINK("https://klasma.github.io/Logging_0765/klagomålsmail/A 25422-2023 FSC-klagomål mail.docx", "A 25422-2023")</f>
        <v/>
      </c>
      <c r="X241">
        <f>HYPERLINK("https://klasma.github.io/Logging_0765/tillsyn/A 25422-2023 tillsynsbegäran.docx", "A 25422-2023")</f>
        <v/>
      </c>
      <c r="Y241">
        <f>HYPERLINK("https://klasma.github.io/Logging_0765/tillsynsmail/A 25422-2023 tillsynsbegäran mail.docx", "A 25422-2023")</f>
        <v/>
      </c>
    </row>
    <row r="242" ht="15" customHeight="1">
      <c r="A242" t="inlineStr">
        <is>
          <t>A 25595-2023</t>
        </is>
      </c>
      <c r="B242" s="1" t="n">
        <v>45089</v>
      </c>
      <c r="C242" s="1" t="n">
        <v>45832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Mosippa</t>
        </is>
      </c>
      <c r="S242">
        <f>HYPERLINK("https://klasma.github.io/Logging_0781/artfynd/A 25595-2023 artfynd.xlsx", "A 25595-2023")</f>
        <v/>
      </c>
      <c r="T242">
        <f>HYPERLINK("https://klasma.github.io/Logging_0781/kartor/A 25595-2023 karta.png", "A 25595-2023")</f>
        <v/>
      </c>
      <c r="V242">
        <f>HYPERLINK("https://klasma.github.io/Logging_0781/klagomål/A 25595-2023 FSC-klagomål.docx", "A 25595-2023")</f>
        <v/>
      </c>
      <c r="W242">
        <f>HYPERLINK("https://klasma.github.io/Logging_0781/klagomålsmail/A 25595-2023 FSC-klagomål mail.docx", "A 25595-2023")</f>
        <v/>
      </c>
      <c r="X242">
        <f>HYPERLINK("https://klasma.github.io/Logging_0781/tillsyn/A 25595-2023 tillsynsbegäran.docx", "A 25595-2023")</f>
        <v/>
      </c>
      <c r="Y242">
        <f>HYPERLINK("https://klasma.github.io/Logging_0781/tillsynsmail/A 25595-2023 tillsynsbegäran mail.docx", "A 25595-2023")</f>
        <v/>
      </c>
    </row>
    <row r="243" ht="15" customHeight="1">
      <c r="A243" t="inlineStr">
        <is>
          <t>A 31667-2023</t>
        </is>
      </c>
      <c r="B243" s="1" t="n">
        <v>45098</v>
      </c>
      <c r="C243" s="1" t="n">
        <v>45832</v>
      </c>
      <c r="D243" t="inlineStr">
        <is>
          <t>KRONOBERGS LÄN</t>
        </is>
      </c>
      <c r="E243" t="inlineStr">
        <is>
          <t>VÄXJÖ</t>
        </is>
      </c>
      <c r="G243" t="n">
        <v>1.5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Hårklomossa</t>
        </is>
      </c>
      <c r="S243">
        <f>HYPERLINK("https://klasma.github.io/Logging_0780/artfynd/A 31667-2023 artfynd.xlsx", "A 31667-2023")</f>
        <v/>
      </c>
      <c r="T243">
        <f>HYPERLINK("https://klasma.github.io/Logging_0780/kartor/A 31667-2023 karta.png", "A 31667-2023")</f>
        <v/>
      </c>
      <c r="V243">
        <f>HYPERLINK("https://klasma.github.io/Logging_0780/klagomål/A 31667-2023 FSC-klagomål.docx", "A 31667-2023")</f>
        <v/>
      </c>
      <c r="W243">
        <f>HYPERLINK("https://klasma.github.io/Logging_0780/klagomålsmail/A 31667-2023 FSC-klagomål mail.docx", "A 31667-2023")</f>
        <v/>
      </c>
      <c r="X243">
        <f>HYPERLINK("https://klasma.github.io/Logging_0780/tillsyn/A 31667-2023 tillsynsbegäran.docx", "A 31667-2023")</f>
        <v/>
      </c>
      <c r="Y243">
        <f>HYPERLINK("https://klasma.github.io/Logging_0780/tillsynsmail/A 31667-2023 tillsynsbegäran mail.docx", "A 31667-2023")</f>
        <v/>
      </c>
    </row>
    <row r="244" ht="15" customHeight="1">
      <c r="A244" t="inlineStr">
        <is>
          <t>A 28572-2023</t>
        </is>
      </c>
      <c r="B244" s="1" t="n">
        <v>45103</v>
      </c>
      <c r="C244" s="1" t="n">
        <v>45832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HYPERLINK("https://klasma.github.io/Logging_0780/artfynd/A 28572-2023 artfynd.xlsx", "A 28572-2023")</f>
        <v/>
      </c>
      <c r="T244">
        <f>HYPERLINK("https://klasma.github.io/Logging_0780/kartor/A 28572-2023 karta.png", "A 28572-2023")</f>
        <v/>
      </c>
      <c r="V244">
        <f>HYPERLINK("https://klasma.github.io/Logging_0780/klagomål/A 28572-2023 FSC-klagomål.docx", "A 28572-2023")</f>
        <v/>
      </c>
      <c r="W244">
        <f>HYPERLINK("https://klasma.github.io/Logging_0780/klagomålsmail/A 28572-2023 FSC-klagomål mail.docx", "A 28572-2023")</f>
        <v/>
      </c>
      <c r="X244">
        <f>HYPERLINK("https://klasma.github.io/Logging_0780/tillsyn/A 28572-2023 tillsynsbegäran.docx", "A 28572-2023")</f>
        <v/>
      </c>
      <c r="Y244">
        <f>HYPERLINK("https://klasma.github.io/Logging_0780/tillsynsmail/A 28572-2023 tillsynsbegäran mail.docx", "A 28572-2023")</f>
        <v/>
      </c>
    </row>
    <row r="245" ht="15" customHeight="1">
      <c r="A245" t="inlineStr">
        <is>
          <t>A 31848-2023</t>
        </is>
      </c>
      <c r="B245" s="1" t="n">
        <v>45106</v>
      </c>
      <c r="C245" s="1" t="n">
        <v>45832</v>
      </c>
      <c r="D245" t="inlineStr">
        <is>
          <t>KRONOBERGS LÄN</t>
        </is>
      </c>
      <c r="E245" t="inlineStr">
        <is>
          <t>ALVESTA</t>
        </is>
      </c>
      <c r="G245" t="n">
        <v>3.3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Springkorn</t>
        </is>
      </c>
      <c r="S245">
        <f>HYPERLINK("https://klasma.github.io/Logging_0764/artfynd/A 31848-2023 artfynd.xlsx", "A 31848-2023")</f>
        <v/>
      </c>
      <c r="T245">
        <f>HYPERLINK("https://klasma.github.io/Logging_0764/kartor/A 31848-2023 karta.png", "A 31848-2023")</f>
        <v/>
      </c>
      <c r="V245">
        <f>HYPERLINK("https://klasma.github.io/Logging_0764/klagomål/A 31848-2023 FSC-klagomål.docx", "A 31848-2023")</f>
        <v/>
      </c>
      <c r="W245">
        <f>HYPERLINK("https://klasma.github.io/Logging_0764/klagomålsmail/A 31848-2023 FSC-klagomål mail.docx", "A 31848-2023")</f>
        <v/>
      </c>
      <c r="X245">
        <f>HYPERLINK("https://klasma.github.io/Logging_0764/tillsyn/A 31848-2023 tillsynsbegäran.docx", "A 31848-2023")</f>
        <v/>
      </c>
      <c r="Y245">
        <f>HYPERLINK("https://klasma.github.io/Logging_0764/tillsynsmail/A 31848-2023 tillsynsbegäran mail.docx", "A 31848-2023")</f>
        <v/>
      </c>
    </row>
    <row r="246" ht="15" customHeight="1">
      <c r="A246" t="inlineStr">
        <is>
          <t>A 30359-2023</t>
        </is>
      </c>
      <c r="B246" s="1" t="n">
        <v>45111</v>
      </c>
      <c r="C246" s="1" t="n">
        <v>45832</v>
      </c>
      <c r="D246" t="inlineStr">
        <is>
          <t>KRONOBERGS LÄN</t>
        </is>
      </c>
      <c r="E246" t="inlineStr">
        <is>
          <t>LJUNGBY</t>
        </is>
      </c>
      <c r="G246" t="n">
        <v>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Brunpudrad nållav</t>
        </is>
      </c>
      <c r="S246">
        <f>HYPERLINK("https://klasma.github.io/Logging_0781/artfynd/A 30359-2023 artfynd.xlsx", "A 30359-2023")</f>
        <v/>
      </c>
      <c r="T246">
        <f>HYPERLINK("https://klasma.github.io/Logging_0781/kartor/A 30359-2023 karta.png", "A 30359-2023")</f>
        <v/>
      </c>
      <c r="V246">
        <f>HYPERLINK("https://klasma.github.io/Logging_0781/klagomål/A 30359-2023 FSC-klagomål.docx", "A 30359-2023")</f>
        <v/>
      </c>
      <c r="W246">
        <f>HYPERLINK("https://klasma.github.io/Logging_0781/klagomålsmail/A 30359-2023 FSC-klagomål mail.docx", "A 30359-2023")</f>
        <v/>
      </c>
      <c r="X246">
        <f>HYPERLINK("https://klasma.github.io/Logging_0781/tillsyn/A 30359-2023 tillsynsbegäran.docx", "A 30359-2023")</f>
        <v/>
      </c>
      <c r="Y246">
        <f>HYPERLINK("https://klasma.github.io/Logging_0781/tillsynsmail/A 30359-2023 tillsynsbegäran mail.docx", "A 30359-2023")</f>
        <v/>
      </c>
    </row>
    <row r="247" ht="15" customHeight="1">
      <c r="A247" t="inlineStr">
        <is>
          <t>A 37950-2023</t>
        </is>
      </c>
      <c r="B247" s="1" t="n">
        <v>45160</v>
      </c>
      <c r="C247" s="1" t="n">
        <v>45832</v>
      </c>
      <c r="D247" t="inlineStr">
        <is>
          <t>KRONOBERGS LÄN</t>
        </is>
      </c>
      <c r="E247" t="inlineStr">
        <is>
          <t>ALVESTA</t>
        </is>
      </c>
      <c r="G247" t="n">
        <v>4.8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HYPERLINK("https://klasma.github.io/Logging_0764/artfynd/A 37950-2023 artfynd.xlsx", "A 37950-2023")</f>
        <v/>
      </c>
      <c r="T247">
        <f>HYPERLINK("https://klasma.github.io/Logging_0764/kartor/A 37950-2023 karta.png", "A 37950-2023")</f>
        <v/>
      </c>
      <c r="V247">
        <f>HYPERLINK("https://klasma.github.io/Logging_0764/klagomål/A 37950-2023 FSC-klagomål.docx", "A 37950-2023")</f>
        <v/>
      </c>
      <c r="W247">
        <f>HYPERLINK("https://klasma.github.io/Logging_0764/klagomålsmail/A 37950-2023 FSC-klagomål mail.docx", "A 37950-2023")</f>
        <v/>
      </c>
      <c r="X247">
        <f>HYPERLINK("https://klasma.github.io/Logging_0764/tillsyn/A 37950-2023 tillsynsbegäran.docx", "A 37950-2023")</f>
        <v/>
      </c>
      <c r="Y247">
        <f>HYPERLINK("https://klasma.github.io/Logging_0764/tillsynsmail/A 37950-2023 tillsynsbegäran mail.docx", "A 37950-2023")</f>
        <v/>
      </c>
    </row>
    <row r="248" ht="15" customHeight="1">
      <c r="A248" t="inlineStr">
        <is>
          <t>A 39277-2023</t>
        </is>
      </c>
      <c r="B248" s="1" t="n">
        <v>45166</v>
      </c>
      <c r="C248" s="1" t="n">
        <v>45832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Västlig hakmossa</t>
        </is>
      </c>
      <c r="S248">
        <f>HYPERLINK("https://klasma.github.io/Logging_0764/artfynd/A 39277-2023 artfynd.xlsx", "A 39277-2023")</f>
        <v/>
      </c>
      <c r="T248">
        <f>HYPERLINK("https://klasma.github.io/Logging_0764/kartor/A 39277-2023 karta.png", "A 39277-2023")</f>
        <v/>
      </c>
      <c r="V248">
        <f>HYPERLINK("https://klasma.github.io/Logging_0764/klagomål/A 39277-2023 FSC-klagomål.docx", "A 39277-2023")</f>
        <v/>
      </c>
      <c r="W248">
        <f>HYPERLINK("https://klasma.github.io/Logging_0764/klagomålsmail/A 39277-2023 FSC-klagomål mail.docx", "A 39277-2023")</f>
        <v/>
      </c>
      <c r="X248">
        <f>HYPERLINK("https://klasma.github.io/Logging_0764/tillsyn/A 39277-2023 tillsynsbegäran.docx", "A 39277-2023")</f>
        <v/>
      </c>
      <c r="Y248">
        <f>HYPERLINK("https://klasma.github.io/Logging_0764/tillsynsmail/A 39277-2023 tillsynsbegäran mail.docx", "A 39277-2023")</f>
        <v/>
      </c>
    </row>
    <row r="249" ht="15" customHeight="1">
      <c r="A249" t="inlineStr">
        <is>
          <t>A 40825-2023</t>
        </is>
      </c>
      <c r="B249" s="1" t="n">
        <v>45171</v>
      </c>
      <c r="C249" s="1" t="n">
        <v>45832</v>
      </c>
      <c r="D249" t="inlineStr">
        <is>
          <t>KRONOBERGS LÄN</t>
        </is>
      </c>
      <c r="E249" t="inlineStr">
        <is>
          <t>ÄLMHULT</t>
        </is>
      </c>
      <c r="G249" t="n">
        <v>5.8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HYPERLINK("https://klasma.github.io/Logging_0765/artfynd/A 40825-2023 artfynd.xlsx", "A 40825-2023")</f>
        <v/>
      </c>
      <c r="T249">
        <f>HYPERLINK("https://klasma.github.io/Logging_0765/kartor/A 40825-2023 karta.png", "A 40825-2023")</f>
        <v/>
      </c>
      <c r="V249">
        <f>HYPERLINK("https://klasma.github.io/Logging_0765/klagomål/A 40825-2023 FSC-klagomål.docx", "A 40825-2023")</f>
        <v/>
      </c>
      <c r="W249">
        <f>HYPERLINK("https://klasma.github.io/Logging_0765/klagomålsmail/A 40825-2023 FSC-klagomål mail.docx", "A 40825-2023")</f>
        <v/>
      </c>
      <c r="X249">
        <f>HYPERLINK("https://klasma.github.io/Logging_0765/tillsyn/A 40825-2023 tillsynsbegäran.docx", "A 40825-2023")</f>
        <v/>
      </c>
      <c r="Y249">
        <f>HYPERLINK("https://klasma.github.io/Logging_0765/tillsynsmail/A 40825-2023 tillsynsbegäran mail.docx", "A 40825-2023")</f>
        <v/>
      </c>
    </row>
    <row r="250" ht="15" customHeight="1">
      <c r="A250" t="inlineStr">
        <is>
          <t>A 42783-2023</t>
        </is>
      </c>
      <c r="B250" s="1" t="n">
        <v>45181</v>
      </c>
      <c r="C250" s="1" t="n">
        <v>45832</v>
      </c>
      <c r="D250" t="inlineStr">
        <is>
          <t>KRONOBERGS LÄN</t>
        </is>
      </c>
      <c r="E250" t="inlineStr">
        <is>
          <t>LJUNGBY</t>
        </is>
      </c>
      <c r="G250" t="n">
        <v>2.4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Hårklomossa</t>
        </is>
      </c>
      <c r="S250">
        <f>HYPERLINK("https://klasma.github.io/Logging_0781/artfynd/A 42783-2023 artfynd.xlsx", "A 42783-2023")</f>
        <v/>
      </c>
      <c r="T250">
        <f>HYPERLINK("https://klasma.github.io/Logging_0781/kartor/A 42783-2023 karta.png", "A 42783-2023")</f>
        <v/>
      </c>
      <c r="V250">
        <f>HYPERLINK("https://klasma.github.io/Logging_0781/klagomål/A 42783-2023 FSC-klagomål.docx", "A 42783-2023")</f>
        <v/>
      </c>
      <c r="W250">
        <f>HYPERLINK("https://klasma.github.io/Logging_0781/klagomålsmail/A 42783-2023 FSC-klagomål mail.docx", "A 42783-2023")</f>
        <v/>
      </c>
      <c r="X250">
        <f>HYPERLINK("https://klasma.github.io/Logging_0781/tillsyn/A 42783-2023 tillsynsbegäran.docx", "A 42783-2023")</f>
        <v/>
      </c>
      <c r="Y250">
        <f>HYPERLINK("https://klasma.github.io/Logging_0781/tillsynsmail/A 42783-2023 tillsynsbegäran mail.docx", "A 42783-2023")</f>
        <v/>
      </c>
    </row>
    <row r="251" ht="15" customHeight="1">
      <c r="A251" t="inlineStr">
        <is>
          <t>A 42987-2023</t>
        </is>
      </c>
      <c r="B251" s="1" t="n">
        <v>45182</v>
      </c>
      <c r="C251" s="1" t="n">
        <v>45832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Skarp dropptaggsvamp</t>
        </is>
      </c>
      <c r="S251">
        <f>HYPERLINK("https://klasma.github.io/Logging_0760/artfynd/A 42987-2023 artfynd.xlsx", "A 42987-2023")</f>
        <v/>
      </c>
      <c r="T251">
        <f>HYPERLINK("https://klasma.github.io/Logging_0760/kartor/A 42987-2023 karta.png", "A 42987-2023")</f>
        <v/>
      </c>
      <c r="V251">
        <f>HYPERLINK("https://klasma.github.io/Logging_0760/klagomål/A 42987-2023 FSC-klagomål.docx", "A 42987-2023")</f>
        <v/>
      </c>
      <c r="W251">
        <f>HYPERLINK("https://klasma.github.io/Logging_0760/klagomålsmail/A 42987-2023 FSC-klagomål mail.docx", "A 42987-2023")</f>
        <v/>
      </c>
      <c r="X251">
        <f>HYPERLINK("https://klasma.github.io/Logging_0760/tillsyn/A 42987-2023 tillsynsbegäran.docx", "A 42987-2023")</f>
        <v/>
      </c>
      <c r="Y251">
        <f>HYPERLINK("https://klasma.github.io/Logging_0760/tillsynsmail/A 42987-2023 tillsynsbegäran mail.docx", "A 42987-2023")</f>
        <v/>
      </c>
    </row>
    <row r="252" ht="15" customHeight="1">
      <c r="A252" t="inlineStr">
        <is>
          <t>A 43004-2023</t>
        </is>
      </c>
      <c r="B252" s="1" t="n">
        <v>45182</v>
      </c>
      <c r="C252" s="1" t="n">
        <v>45832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Hasselmus</t>
        </is>
      </c>
      <c r="S252">
        <f>HYPERLINK("https://klasma.github.io/Logging_0763/artfynd/A 43004-2023 artfynd.xlsx", "A 43004-2023")</f>
        <v/>
      </c>
      <c r="T252">
        <f>HYPERLINK("https://klasma.github.io/Logging_0763/kartor/A 43004-2023 karta.png", "A 43004-2023")</f>
        <v/>
      </c>
      <c r="V252">
        <f>HYPERLINK("https://klasma.github.io/Logging_0763/klagomål/A 43004-2023 FSC-klagomål.docx", "A 43004-2023")</f>
        <v/>
      </c>
      <c r="W252">
        <f>HYPERLINK("https://klasma.github.io/Logging_0763/klagomålsmail/A 43004-2023 FSC-klagomål mail.docx", "A 43004-2023")</f>
        <v/>
      </c>
      <c r="X252">
        <f>HYPERLINK("https://klasma.github.io/Logging_0763/tillsyn/A 43004-2023 tillsynsbegäran.docx", "A 43004-2023")</f>
        <v/>
      </c>
      <c r="Y252">
        <f>HYPERLINK("https://klasma.github.io/Logging_0763/tillsynsmail/A 43004-2023 tillsynsbegäran mail.docx", "A 43004-2023")</f>
        <v/>
      </c>
    </row>
    <row r="253" ht="15" customHeight="1">
      <c r="A253" t="inlineStr">
        <is>
          <t>A 43196-2023</t>
        </is>
      </c>
      <c r="B253" s="1" t="n">
        <v>45183</v>
      </c>
      <c r="C253" s="1" t="n">
        <v>45832</v>
      </c>
      <c r="D253" t="inlineStr">
        <is>
          <t>KRONOBERGS LÄN</t>
        </is>
      </c>
      <c r="E253" t="inlineStr">
        <is>
          <t>ÄLMHULT</t>
        </is>
      </c>
      <c r="G253" t="n">
        <v>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Vedtrappmossa</t>
        </is>
      </c>
      <c r="S253">
        <f>HYPERLINK("https://klasma.github.io/Logging_0765/artfynd/A 43196-2023 artfynd.xlsx", "A 43196-2023")</f>
        <v/>
      </c>
      <c r="T253">
        <f>HYPERLINK("https://klasma.github.io/Logging_0765/kartor/A 43196-2023 karta.png", "A 43196-2023")</f>
        <v/>
      </c>
      <c r="V253">
        <f>HYPERLINK("https://klasma.github.io/Logging_0765/klagomål/A 43196-2023 FSC-klagomål.docx", "A 43196-2023")</f>
        <v/>
      </c>
      <c r="W253">
        <f>HYPERLINK("https://klasma.github.io/Logging_0765/klagomålsmail/A 43196-2023 FSC-klagomål mail.docx", "A 43196-2023")</f>
        <v/>
      </c>
      <c r="X253">
        <f>HYPERLINK("https://klasma.github.io/Logging_0765/tillsyn/A 43196-2023 tillsynsbegäran.docx", "A 43196-2023")</f>
        <v/>
      </c>
      <c r="Y253">
        <f>HYPERLINK("https://klasma.github.io/Logging_0765/tillsynsmail/A 43196-2023 tillsynsbegäran mail.docx", "A 43196-2023")</f>
        <v/>
      </c>
    </row>
    <row r="254" ht="15" customHeight="1">
      <c r="A254" t="inlineStr">
        <is>
          <t>A 43831-2023</t>
        </is>
      </c>
      <c r="B254" s="1" t="n">
        <v>45187</v>
      </c>
      <c r="C254" s="1" t="n">
        <v>45832</v>
      </c>
      <c r="D254" t="inlineStr">
        <is>
          <t>KRONOBERGS LÄN</t>
        </is>
      </c>
      <c r="E254" t="inlineStr">
        <is>
          <t>LJUNGBY</t>
        </is>
      </c>
      <c r="G254" t="n">
        <v>1.3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Cypresslummer</t>
        </is>
      </c>
      <c r="S254">
        <f>HYPERLINK("https://klasma.github.io/Logging_0781/artfynd/A 43831-2023 artfynd.xlsx", "A 43831-2023")</f>
        <v/>
      </c>
      <c r="T254">
        <f>HYPERLINK("https://klasma.github.io/Logging_0781/kartor/A 43831-2023 karta.png", "A 43831-2023")</f>
        <v/>
      </c>
      <c r="V254">
        <f>HYPERLINK("https://klasma.github.io/Logging_0781/klagomål/A 43831-2023 FSC-klagomål.docx", "A 43831-2023")</f>
        <v/>
      </c>
      <c r="W254">
        <f>HYPERLINK("https://klasma.github.io/Logging_0781/klagomålsmail/A 43831-2023 FSC-klagomål mail.docx", "A 43831-2023")</f>
        <v/>
      </c>
      <c r="X254">
        <f>HYPERLINK("https://klasma.github.io/Logging_0781/tillsyn/A 43831-2023 tillsynsbegäran.docx", "A 43831-2023")</f>
        <v/>
      </c>
      <c r="Y254">
        <f>HYPERLINK("https://klasma.github.io/Logging_0781/tillsynsmail/A 43831-2023 tillsynsbegäran mail.docx", "A 43831-2023")</f>
        <v/>
      </c>
    </row>
    <row r="255" ht="15" customHeight="1">
      <c r="A255" t="inlineStr">
        <is>
          <t>A 43766-2023</t>
        </is>
      </c>
      <c r="B255" s="1" t="n">
        <v>45187</v>
      </c>
      <c r="C255" s="1" t="n">
        <v>45832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Åkerkål</t>
        </is>
      </c>
      <c r="S255">
        <f>HYPERLINK("https://klasma.github.io/Logging_0764/artfynd/A 43766-2023 artfynd.xlsx", "A 43766-2023")</f>
        <v/>
      </c>
      <c r="T255">
        <f>HYPERLINK("https://klasma.github.io/Logging_0764/kartor/A 43766-2023 karta.png", "A 43766-2023")</f>
        <v/>
      </c>
      <c r="V255">
        <f>HYPERLINK("https://klasma.github.io/Logging_0764/klagomål/A 43766-2023 FSC-klagomål.docx", "A 43766-2023")</f>
        <v/>
      </c>
      <c r="W255">
        <f>HYPERLINK("https://klasma.github.io/Logging_0764/klagomålsmail/A 43766-2023 FSC-klagomål mail.docx", "A 43766-2023")</f>
        <v/>
      </c>
      <c r="X255">
        <f>HYPERLINK("https://klasma.github.io/Logging_0764/tillsyn/A 43766-2023 tillsynsbegäran.docx", "A 43766-2023")</f>
        <v/>
      </c>
      <c r="Y255">
        <f>HYPERLINK("https://klasma.github.io/Logging_0764/tillsynsmail/A 43766-2023 tillsynsbegäran mail.docx", "A 43766-2023")</f>
        <v/>
      </c>
    </row>
    <row r="256" ht="15" customHeight="1">
      <c r="A256" t="inlineStr">
        <is>
          <t>A 44227-2023</t>
        </is>
      </c>
      <c r="B256" s="1" t="n">
        <v>45188</v>
      </c>
      <c r="C256" s="1" t="n">
        <v>45832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Brunpudrad nållav</t>
        </is>
      </c>
      <c r="S256">
        <f>HYPERLINK("https://klasma.github.io/Logging_0764/artfynd/A 44227-2023 artfynd.xlsx", "A 44227-2023")</f>
        <v/>
      </c>
      <c r="T256">
        <f>HYPERLINK("https://klasma.github.io/Logging_0764/kartor/A 44227-2023 karta.png", "A 44227-2023")</f>
        <v/>
      </c>
      <c r="V256">
        <f>HYPERLINK("https://klasma.github.io/Logging_0764/klagomål/A 44227-2023 FSC-klagomål.docx", "A 44227-2023")</f>
        <v/>
      </c>
      <c r="W256">
        <f>HYPERLINK("https://klasma.github.io/Logging_0764/klagomålsmail/A 44227-2023 FSC-klagomål mail.docx", "A 44227-2023")</f>
        <v/>
      </c>
      <c r="X256">
        <f>HYPERLINK("https://klasma.github.io/Logging_0764/tillsyn/A 44227-2023 tillsynsbegäran.docx", "A 44227-2023")</f>
        <v/>
      </c>
      <c r="Y256">
        <f>HYPERLINK("https://klasma.github.io/Logging_0764/tillsynsmail/A 44227-2023 tillsynsbegäran mail.docx", "A 44227-2023")</f>
        <v/>
      </c>
    </row>
    <row r="257" ht="15" customHeight="1">
      <c r="A257" t="inlineStr">
        <is>
          <t>A 46698-2023</t>
        </is>
      </c>
      <c r="B257" s="1" t="n">
        <v>45198</v>
      </c>
      <c r="C257" s="1" t="n">
        <v>45832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Tjäder</t>
        </is>
      </c>
      <c r="S257">
        <f>HYPERLINK("https://klasma.github.io/Logging_0764/artfynd/A 46698-2023 artfynd.xlsx", "A 46698-2023")</f>
        <v/>
      </c>
      <c r="T257">
        <f>HYPERLINK("https://klasma.github.io/Logging_0764/kartor/A 46698-2023 karta.png", "A 46698-2023")</f>
        <v/>
      </c>
      <c r="V257">
        <f>HYPERLINK("https://klasma.github.io/Logging_0764/klagomål/A 46698-2023 FSC-klagomål.docx", "A 46698-2023")</f>
        <v/>
      </c>
      <c r="W257">
        <f>HYPERLINK("https://klasma.github.io/Logging_0764/klagomålsmail/A 46698-2023 FSC-klagomål mail.docx", "A 46698-2023")</f>
        <v/>
      </c>
      <c r="X257">
        <f>HYPERLINK("https://klasma.github.io/Logging_0764/tillsyn/A 46698-2023 tillsynsbegäran.docx", "A 46698-2023")</f>
        <v/>
      </c>
      <c r="Y257">
        <f>HYPERLINK("https://klasma.github.io/Logging_0764/tillsynsmail/A 46698-2023 tillsynsbegäran mail.docx", "A 46698-2023")</f>
        <v/>
      </c>
      <c r="Z257">
        <f>HYPERLINK("https://klasma.github.io/Logging_0764/fåglar/A 46698-2023 prioriterade fågelarter.docx", "A 46698-2023")</f>
        <v/>
      </c>
    </row>
    <row r="258" ht="15" customHeight="1">
      <c r="A258" t="inlineStr">
        <is>
          <t>A 49557-2023</t>
        </is>
      </c>
      <c r="B258" s="1" t="n">
        <v>45211</v>
      </c>
      <c r="C258" s="1" t="n">
        <v>45832</v>
      </c>
      <c r="D258" t="inlineStr">
        <is>
          <t>KRONOBERGS LÄN</t>
        </is>
      </c>
      <c r="E258" t="inlineStr">
        <is>
          <t>LJUNGBY</t>
        </is>
      </c>
      <c r="G258" t="n">
        <v>1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HYPERLINK("https://klasma.github.io/Logging_0781/artfynd/A 49557-2023 artfynd.xlsx", "A 49557-2023")</f>
        <v/>
      </c>
      <c r="T258">
        <f>HYPERLINK("https://klasma.github.io/Logging_0781/kartor/A 49557-2023 karta.png", "A 49557-2023")</f>
        <v/>
      </c>
      <c r="V258">
        <f>HYPERLINK("https://klasma.github.io/Logging_0781/klagomål/A 49557-2023 FSC-klagomål.docx", "A 49557-2023")</f>
        <v/>
      </c>
      <c r="W258">
        <f>HYPERLINK("https://klasma.github.io/Logging_0781/klagomålsmail/A 49557-2023 FSC-klagomål mail.docx", "A 49557-2023")</f>
        <v/>
      </c>
      <c r="X258">
        <f>HYPERLINK("https://klasma.github.io/Logging_0781/tillsyn/A 49557-2023 tillsynsbegäran.docx", "A 49557-2023")</f>
        <v/>
      </c>
      <c r="Y258">
        <f>HYPERLINK("https://klasma.github.io/Logging_0781/tillsynsmail/A 49557-2023 tillsynsbegäran mail.docx", "A 49557-2023")</f>
        <v/>
      </c>
    </row>
    <row r="259" ht="15" customHeight="1">
      <c r="A259" t="inlineStr">
        <is>
          <t>A 50892-2023</t>
        </is>
      </c>
      <c r="B259" s="1" t="n">
        <v>45218</v>
      </c>
      <c r="C259" s="1" t="n">
        <v>45832</v>
      </c>
      <c r="D259" t="inlineStr">
        <is>
          <t>KRONOBERGS LÄN</t>
        </is>
      </c>
      <c r="E259" t="inlineStr">
        <is>
          <t>ÄLMHULT</t>
        </is>
      </c>
      <c r="G259" t="n">
        <v>83.40000000000001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Mattlummer</t>
        </is>
      </c>
      <c r="S259">
        <f>HYPERLINK("https://klasma.github.io/Logging_0765/artfynd/A 50892-2023 artfynd.xlsx", "A 50892-2023")</f>
        <v/>
      </c>
      <c r="T259">
        <f>HYPERLINK("https://klasma.github.io/Logging_0765/kartor/A 50892-2023 karta.png", "A 50892-2023")</f>
        <v/>
      </c>
      <c r="V259">
        <f>HYPERLINK("https://klasma.github.io/Logging_0765/klagomål/A 50892-2023 FSC-klagomål.docx", "A 50892-2023")</f>
        <v/>
      </c>
      <c r="W259">
        <f>HYPERLINK("https://klasma.github.io/Logging_0765/klagomålsmail/A 50892-2023 FSC-klagomål mail.docx", "A 50892-2023")</f>
        <v/>
      </c>
      <c r="X259">
        <f>HYPERLINK("https://klasma.github.io/Logging_0765/tillsyn/A 50892-2023 tillsynsbegäran.docx", "A 50892-2023")</f>
        <v/>
      </c>
      <c r="Y259">
        <f>HYPERLINK("https://klasma.github.io/Logging_0765/tillsynsmail/A 50892-2023 tillsynsbegäran mail.docx", "A 50892-2023")</f>
        <v/>
      </c>
    </row>
    <row r="260" ht="15" customHeight="1">
      <c r="A260" t="inlineStr">
        <is>
          <t>A 51195-2023</t>
        </is>
      </c>
      <c r="B260" s="1" t="n">
        <v>45219</v>
      </c>
      <c r="C260" s="1" t="n">
        <v>45832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HYPERLINK("https://klasma.github.io/Logging_0767/artfynd/A 51195-2023 artfynd.xlsx", "A 51195-2023")</f>
        <v/>
      </c>
      <c r="T260">
        <f>HYPERLINK("https://klasma.github.io/Logging_0767/kartor/A 51195-2023 karta.png", "A 51195-2023")</f>
        <v/>
      </c>
      <c r="V260">
        <f>HYPERLINK("https://klasma.github.io/Logging_0767/klagomål/A 51195-2023 FSC-klagomål.docx", "A 51195-2023")</f>
        <v/>
      </c>
      <c r="W260">
        <f>HYPERLINK("https://klasma.github.io/Logging_0767/klagomålsmail/A 51195-2023 FSC-klagomål mail.docx", "A 51195-2023")</f>
        <v/>
      </c>
      <c r="X260">
        <f>HYPERLINK("https://klasma.github.io/Logging_0767/tillsyn/A 51195-2023 tillsynsbegäran.docx", "A 51195-2023")</f>
        <v/>
      </c>
      <c r="Y260">
        <f>HYPERLINK("https://klasma.github.io/Logging_0767/tillsynsmail/A 51195-2023 tillsynsbegäran mail.docx", "A 51195-2023")</f>
        <v/>
      </c>
    </row>
    <row r="261" ht="15" customHeight="1">
      <c r="A261" t="inlineStr">
        <is>
          <t>A 53697-2023</t>
        </is>
      </c>
      <c r="B261" s="1" t="n">
        <v>45230</v>
      </c>
      <c r="C261" s="1" t="n">
        <v>45832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Vårärt</t>
        </is>
      </c>
      <c r="S261">
        <f>HYPERLINK("https://klasma.github.io/Logging_0760/artfynd/A 53697-2023 artfynd.xlsx", "A 53697-2023")</f>
        <v/>
      </c>
      <c r="T261">
        <f>HYPERLINK("https://klasma.github.io/Logging_0760/kartor/A 53697-2023 karta.png", "A 53697-2023")</f>
        <v/>
      </c>
      <c r="V261">
        <f>HYPERLINK("https://klasma.github.io/Logging_0760/klagomål/A 53697-2023 FSC-klagomål.docx", "A 53697-2023")</f>
        <v/>
      </c>
      <c r="W261">
        <f>HYPERLINK("https://klasma.github.io/Logging_0760/klagomålsmail/A 53697-2023 FSC-klagomål mail.docx", "A 53697-2023")</f>
        <v/>
      </c>
      <c r="X261">
        <f>HYPERLINK("https://klasma.github.io/Logging_0760/tillsyn/A 53697-2023 tillsynsbegäran.docx", "A 53697-2023")</f>
        <v/>
      </c>
      <c r="Y261">
        <f>HYPERLINK("https://klasma.github.io/Logging_0760/tillsynsmail/A 53697-2023 tillsynsbegäran mail.docx", "A 53697-2023")</f>
        <v/>
      </c>
    </row>
    <row r="262" ht="15" customHeight="1">
      <c r="A262" t="inlineStr">
        <is>
          <t>A 54485-2023</t>
        </is>
      </c>
      <c r="B262" s="1" t="n">
        <v>45233</v>
      </c>
      <c r="C262" s="1" t="n">
        <v>45832</v>
      </c>
      <c r="D262" t="inlineStr">
        <is>
          <t>KRONOBERGS LÄN</t>
        </is>
      </c>
      <c r="E262" t="inlineStr">
        <is>
          <t>MARKARYD</t>
        </is>
      </c>
      <c r="G262" t="n">
        <v>2.2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HYPERLINK("https://klasma.github.io/Logging_0767/artfynd/A 54485-2023 artfynd.xlsx", "A 54485-2023")</f>
        <v/>
      </c>
      <c r="T262">
        <f>HYPERLINK("https://klasma.github.io/Logging_0767/kartor/A 54485-2023 karta.png", "A 54485-2023")</f>
        <v/>
      </c>
      <c r="V262">
        <f>HYPERLINK("https://klasma.github.io/Logging_0767/klagomål/A 54485-2023 FSC-klagomål.docx", "A 54485-2023")</f>
        <v/>
      </c>
      <c r="W262">
        <f>HYPERLINK("https://klasma.github.io/Logging_0767/klagomålsmail/A 54485-2023 FSC-klagomål mail.docx", "A 54485-2023")</f>
        <v/>
      </c>
      <c r="X262">
        <f>HYPERLINK("https://klasma.github.io/Logging_0767/tillsyn/A 54485-2023 tillsynsbegäran.docx", "A 54485-2023")</f>
        <v/>
      </c>
      <c r="Y262">
        <f>HYPERLINK("https://klasma.github.io/Logging_0767/tillsynsmail/A 54485-2023 tillsynsbegäran mail.docx", "A 54485-2023")</f>
        <v/>
      </c>
    </row>
    <row r="263" ht="15" customHeight="1">
      <c r="A263" t="inlineStr">
        <is>
          <t>A 58051-2023</t>
        </is>
      </c>
      <c r="B263" s="1" t="n">
        <v>45247</v>
      </c>
      <c r="C263" s="1" t="n">
        <v>45832</v>
      </c>
      <c r="D263" t="inlineStr">
        <is>
          <t>KRONOBERGS LÄN</t>
        </is>
      </c>
      <c r="E263" t="inlineStr">
        <is>
          <t>VÄXJÖ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Parkhättemossa</t>
        </is>
      </c>
      <c r="S263">
        <f>HYPERLINK("https://klasma.github.io/Logging_0780/artfynd/A 58051-2023 artfynd.xlsx", "A 58051-2023")</f>
        <v/>
      </c>
      <c r="T263">
        <f>HYPERLINK("https://klasma.github.io/Logging_0780/kartor/A 58051-2023 karta.png", "A 58051-2023")</f>
        <v/>
      </c>
      <c r="V263">
        <f>HYPERLINK("https://klasma.github.io/Logging_0780/klagomål/A 58051-2023 FSC-klagomål.docx", "A 58051-2023")</f>
        <v/>
      </c>
      <c r="W263">
        <f>HYPERLINK("https://klasma.github.io/Logging_0780/klagomålsmail/A 58051-2023 FSC-klagomål mail.docx", "A 58051-2023")</f>
        <v/>
      </c>
      <c r="X263">
        <f>HYPERLINK("https://klasma.github.io/Logging_0780/tillsyn/A 58051-2023 tillsynsbegäran.docx", "A 58051-2023")</f>
        <v/>
      </c>
      <c r="Y263">
        <f>HYPERLINK("https://klasma.github.io/Logging_0780/tillsynsmail/A 58051-2023 tillsynsbegäran mail.docx", "A 58051-2023")</f>
        <v/>
      </c>
    </row>
    <row r="264" ht="15" customHeight="1">
      <c r="A264" t="inlineStr">
        <is>
          <t>A 61219-2023</t>
        </is>
      </c>
      <c r="B264" s="1" t="n">
        <v>45264</v>
      </c>
      <c r="C264" s="1" t="n">
        <v>45832</v>
      </c>
      <c r="D264" t="inlineStr">
        <is>
          <t>KRONOBERGS LÄN</t>
        </is>
      </c>
      <c r="E264" t="inlineStr">
        <is>
          <t>UPPVIDINGE</t>
        </is>
      </c>
      <c r="G264" t="n">
        <v>14.7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Gröngöling</t>
        </is>
      </c>
      <c r="S264">
        <f>HYPERLINK("https://klasma.github.io/Logging_0760/artfynd/A 61219-2023 artfynd.xlsx", "A 61219-2023")</f>
        <v/>
      </c>
      <c r="T264">
        <f>HYPERLINK("https://klasma.github.io/Logging_0760/kartor/A 61219-2023 karta.png", "A 61219-2023")</f>
        <v/>
      </c>
      <c r="V264">
        <f>HYPERLINK("https://klasma.github.io/Logging_0760/klagomål/A 61219-2023 FSC-klagomål.docx", "A 61219-2023")</f>
        <v/>
      </c>
      <c r="W264">
        <f>HYPERLINK("https://klasma.github.io/Logging_0760/klagomålsmail/A 61219-2023 FSC-klagomål mail.docx", "A 61219-2023")</f>
        <v/>
      </c>
      <c r="X264">
        <f>HYPERLINK("https://klasma.github.io/Logging_0760/tillsyn/A 61219-2023 tillsynsbegäran.docx", "A 61219-2023")</f>
        <v/>
      </c>
      <c r="Y264">
        <f>HYPERLINK("https://klasma.github.io/Logging_0760/tillsynsmail/A 61219-2023 tillsynsbegäran mail.docx", "A 61219-2023")</f>
        <v/>
      </c>
      <c r="Z264">
        <f>HYPERLINK("https://klasma.github.io/Logging_0760/fåglar/A 61219-2023 prioriterade fågelarter.docx", "A 61219-2023")</f>
        <v/>
      </c>
    </row>
    <row r="265" ht="15" customHeight="1">
      <c r="A265" t="inlineStr">
        <is>
          <t>A 61847-2023</t>
        </is>
      </c>
      <c r="B265" s="1" t="n">
        <v>45266</v>
      </c>
      <c r="C265" s="1" t="n">
        <v>45832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HYPERLINK("https://klasma.github.io/Logging_0763/artfynd/A 61847-2023 artfynd.xlsx", "A 61847-2023")</f>
        <v/>
      </c>
      <c r="T265">
        <f>HYPERLINK("https://klasma.github.io/Logging_0763/kartor/A 61847-2023 karta.png", "A 61847-2023")</f>
        <v/>
      </c>
      <c r="V265">
        <f>HYPERLINK("https://klasma.github.io/Logging_0763/klagomål/A 61847-2023 FSC-klagomål.docx", "A 61847-2023")</f>
        <v/>
      </c>
      <c r="W265">
        <f>HYPERLINK("https://klasma.github.io/Logging_0763/klagomålsmail/A 61847-2023 FSC-klagomål mail.docx", "A 61847-2023")</f>
        <v/>
      </c>
      <c r="X265">
        <f>HYPERLINK("https://klasma.github.io/Logging_0763/tillsyn/A 61847-2023 tillsynsbegäran.docx", "A 61847-2023")</f>
        <v/>
      </c>
      <c r="Y265">
        <f>HYPERLINK("https://klasma.github.io/Logging_0763/tillsynsmail/A 61847-2023 tillsynsbegäran mail.docx", "A 61847-2023")</f>
        <v/>
      </c>
    </row>
    <row r="266" ht="15" customHeight="1">
      <c r="A266" t="inlineStr">
        <is>
          <t>A 63249-2023</t>
        </is>
      </c>
      <c r="B266" s="1" t="n">
        <v>45273</v>
      </c>
      <c r="C266" s="1" t="n">
        <v>45832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HYPERLINK("https://klasma.github.io/Logging_0780/artfynd/A 63249-2023 artfynd.xlsx", "A 63249-2023")</f>
        <v/>
      </c>
      <c r="T266">
        <f>HYPERLINK("https://klasma.github.io/Logging_0780/kartor/A 63249-2023 karta.png", "A 63249-2023")</f>
        <v/>
      </c>
      <c r="V266">
        <f>HYPERLINK("https://klasma.github.io/Logging_0780/klagomål/A 63249-2023 FSC-klagomål.docx", "A 63249-2023")</f>
        <v/>
      </c>
      <c r="W266">
        <f>HYPERLINK("https://klasma.github.io/Logging_0780/klagomålsmail/A 63249-2023 FSC-klagomål mail.docx", "A 63249-2023")</f>
        <v/>
      </c>
      <c r="X266">
        <f>HYPERLINK("https://klasma.github.io/Logging_0780/tillsyn/A 63249-2023 tillsynsbegäran.docx", "A 63249-2023")</f>
        <v/>
      </c>
      <c r="Y266">
        <f>HYPERLINK("https://klasma.github.io/Logging_0780/tillsynsmail/A 63249-2023 tillsynsbegäran mail.docx", "A 63249-2023")</f>
        <v/>
      </c>
    </row>
    <row r="267" ht="15" customHeight="1">
      <c r="A267" t="inlineStr">
        <is>
          <t>A 63304-2023</t>
        </is>
      </c>
      <c r="B267" s="1" t="n">
        <v>45274</v>
      </c>
      <c r="C267" s="1" t="n">
        <v>45832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Borsttåg</t>
        </is>
      </c>
      <c r="S267">
        <f>HYPERLINK("https://klasma.github.io/Logging_0781/artfynd/A 63304-2023 artfynd.xlsx", "A 63304-2023")</f>
        <v/>
      </c>
      <c r="T267">
        <f>HYPERLINK("https://klasma.github.io/Logging_0781/kartor/A 63304-2023 karta.png", "A 63304-2023")</f>
        <v/>
      </c>
      <c r="V267">
        <f>HYPERLINK("https://klasma.github.io/Logging_0781/klagomål/A 63304-2023 FSC-klagomål.docx", "A 63304-2023")</f>
        <v/>
      </c>
      <c r="W267">
        <f>HYPERLINK("https://klasma.github.io/Logging_0781/klagomålsmail/A 63304-2023 FSC-klagomål mail.docx", "A 63304-2023")</f>
        <v/>
      </c>
      <c r="X267">
        <f>HYPERLINK("https://klasma.github.io/Logging_0781/tillsyn/A 63304-2023 tillsynsbegäran.docx", "A 63304-2023")</f>
        <v/>
      </c>
      <c r="Y267">
        <f>HYPERLINK("https://klasma.github.io/Logging_0781/tillsynsmail/A 63304-2023 tillsynsbegäran mail.docx", "A 63304-2023")</f>
        <v/>
      </c>
    </row>
    <row r="268" ht="15" customHeight="1">
      <c r="A268" t="inlineStr">
        <is>
          <t>A 64150-2023</t>
        </is>
      </c>
      <c r="B268" s="1" t="n">
        <v>45279</v>
      </c>
      <c r="C268" s="1" t="n">
        <v>45832</v>
      </c>
      <c r="D268" t="inlineStr">
        <is>
          <t>KRONOBERGS LÄN</t>
        </is>
      </c>
      <c r="E268" t="inlineStr">
        <is>
          <t>VÄXJÖ</t>
        </is>
      </c>
      <c r="G268" t="n">
        <v>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Blåmossa</t>
        </is>
      </c>
      <c r="S268">
        <f>HYPERLINK("https://klasma.github.io/Logging_0780/artfynd/A 64150-2023 artfynd.xlsx", "A 64150-2023")</f>
        <v/>
      </c>
      <c r="T268">
        <f>HYPERLINK("https://klasma.github.io/Logging_0780/kartor/A 64150-2023 karta.png", "A 64150-2023")</f>
        <v/>
      </c>
      <c r="V268">
        <f>HYPERLINK("https://klasma.github.io/Logging_0780/klagomål/A 64150-2023 FSC-klagomål.docx", "A 64150-2023")</f>
        <v/>
      </c>
      <c r="W268">
        <f>HYPERLINK("https://klasma.github.io/Logging_0780/klagomålsmail/A 64150-2023 FSC-klagomål mail.docx", "A 64150-2023")</f>
        <v/>
      </c>
      <c r="X268">
        <f>HYPERLINK("https://klasma.github.io/Logging_0780/tillsyn/A 64150-2023 tillsynsbegäran.docx", "A 64150-2023")</f>
        <v/>
      </c>
      <c r="Y268">
        <f>HYPERLINK("https://klasma.github.io/Logging_0780/tillsynsmail/A 64150-2023 tillsynsbegäran mail.docx", "A 64150-2023")</f>
        <v/>
      </c>
    </row>
    <row r="269" ht="15" customHeight="1">
      <c r="A269" t="inlineStr">
        <is>
          <t>A 64284-2023</t>
        </is>
      </c>
      <c r="B269" s="1" t="n">
        <v>45280</v>
      </c>
      <c r="C269" s="1" t="n">
        <v>45832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HYPERLINK("https://klasma.github.io/Logging_0780/artfynd/A 64284-2023 artfynd.xlsx", "A 64284-2023")</f>
        <v/>
      </c>
      <c r="T269">
        <f>HYPERLINK("https://klasma.github.io/Logging_0780/kartor/A 64284-2023 karta.png", "A 64284-2023")</f>
        <v/>
      </c>
      <c r="V269">
        <f>HYPERLINK("https://klasma.github.io/Logging_0780/klagomål/A 64284-2023 FSC-klagomål.docx", "A 64284-2023")</f>
        <v/>
      </c>
      <c r="W269">
        <f>HYPERLINK("https://klasma.github.io/Logging_0780/klagomålsmail/A 64284-2023 FSC-klagomål mail.docx", "A 64284-2023")</f>
        <v/>
      </c>
      <c r="X269">
        <f>HYPERLINK("https://klasma.github.io/Logging_0780/tillsyn/A 64284-2023 tillsynsbegäran.docx", "A 64284-2023")</f>
        <v/>
      </c>
      <c r="Y269">
        <f>HYPERLINK("https://klasma.github.io/Logging_0780/tillsynsmail/A 64284-2023 tillsynsbegäran mail.docx", "A 64284-2023")</f>
        <v/>
      </c>
    </row>
    <row r="270" ht="15" customHeight="1">
      <c r="A270" t="inlineStr">
        <is>
          <t>A 64830-2023</t>
        </is>
      </c>
      <c r="B270" s="1" t="n">
        <v>45282</v>
      </c>
      <c r="C270" s="1" t="n">
        <v>45832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HYPERLINK("https://klasma.github.io/Logging_0781/artfynd/A 64830-2023 artfynd.xlsx", "A 64830-2023")</f>
        <v/>
      </c>
      <c r="T270">
        <f>HYPERLINK("https://klasma.github.io/Logging_0781/kartor/A 64830-2023 karta.png", "A 64830-2023")</f>
        <v/>
      </c>
      <c r="V270">
        <f>HYPERLINK("https://klasma.github.io/Logging_0781/klagomål/A 64830-2023 FSC-klagomål.docx", "A 64830-2023")</f>
        <v/>
      </c>
      <c r="W270">
        <f>HYPERLINK("https://klasma.github.io/Logging_0781/klagomålsmail/A 64830-2023 FSC-klagomål mail.docx", "A 64830-2023")</f>
        <v/>
      </c>
      <c r="X270">
        <f>HYPERLINK("https://klasma.github.io/Logging_0781/tillsyn/A 64830-2023 tillsynsbegäran.docx", "A 64830-2023")</f>
        <v/>
      </c>
      <c r="Y270">
        <f>HYPERLINK("https://klasma.github.io/Logging_0781/tillsynsmail/A 64830-2023 tillsynsbegäran mail.docx", "A 64830-2023")</f>
        <v/>
      </c>
    </row>
    <row r="271" ht="15" customHeight="1">
      <c r="A271" t="inlineStr">
        <is>
          <t>A 65125-2023</t>
        </is>
      </c>
      <c r="B271" s="1" t="n">
        <v>45287</v>
      </c>
      <c r="C271" s="1" t="n">
        <v>45832</v>
      </c>
      <c r="D271" t="inlineStr">
        <is>
          <t>KRONOBERGS LÄN</t>
        </is>
      </c>
      <c r="E271" t="inlineStr">
        <is>
          <t>UPPVIDINGE</t>
        </is>
      </c>
      <c r="G271" t="n">
        <v>5.1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Korallrot</t>
        </is>
      </c>
      <c r="S271">
        <f>HYPERLINK("https://klasma.github.io/Logging_0760/artfynd/A 65125-2023 artfynd.xlsx", "A 65125-2023")</f>
        <v/>
      </c>
      <c r="T271">
        <f>HYPERLINK("https://klasma.github.io/Logging_0760/kartor/A 65125-2023 karta.png", "A 65125-2023")</f>
        <v/>
      </c>
      <c r="V271">
        <f>HYPERLINK("https://klasma.github.io/Logging_0760/klagomål/A 65125-2023 FSC-klagomål.docx", "A 65125-2023")</f>
        <v/>
      </c>
      <c r="W271">
        <f>HYPERLINK("https://klasma.github.io/Logging_0760/klagomålsmail/A 65125-2023 FSC-klagomål mail.docx", "A 65125-2023")</f>
        <v/>
      </c>
      <c r="X271">
        <f>HYPERLINK("https://klasma.github.io/Logging_0760/tillsyn/A 65125-2023 tillsynsbegäran.docx", "A 65125-2023")</f>
        <v/>
      </c>
      <c r="Y271">
        <f>HYPERLINK("https://klasma.github.io/Logging_0760/tillsynsmail/A 65125-2023 tillsynsbegäran mail.docx", "A 65125-2023")</f>
        <v/>
      </c>
    </row>
    <row r="272" ht="15" customHeight="1">
      <c r="A272" t="inlineStr">
        <is>
          <t>A 1605-2024</t>
        </is>
      </c>
      <c r="B272" s="1" t="n">
        <v>45306</v>
      </c>
      <c r="C272" s="1" t="n">
        <v>45832</v>
      </c>
      <c r="D272" t="inlineStr">
        <is>
          <t>KRONOBERGS LÄN</t>
        </is>
      </c>
      <c r="E272" t="inlineStr">
        <is>
          <t>UPPVIDINGE</t>
        </is>
      </c>
      <c r="F272" t="inlineStr">
        <is>
          <t>Kommuner</t>
        </is>
      </c>
      <c r="G272" t="n">
        <v>10.7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Dvärgpipistrell</t>
        </is>
      </c>
      <c r="S272">
        <f>HYPERLINK("https://klasma.github.io/Logging_0760/artfynd/A 1605-2024 artfynd.xlsx", "A 1605-2024")</f>
        <v/>
      </c>
      <c r="T272">
        <f>HYPERLINK("https://klasma.github.io/Logging_0760/kartor/A 1605-2024 karta.png", "A 1605-2024")</f>
        <v/>
      </c>
      <c r="V272">
        <f>HYPERLINK("https://klasma.github.io/Logging_0760/klagomål/A 1605-2024 FSC-klagomål.docx", "A 1605-2024")</f>
        <v/>
      </c>
      <c r="W272">
        <f>HYPERLINK("https://klasma.github.io/Logging_0760/klagomålsmail/A 1605-2024 FSC-klagomål mail.docx", "A 1605-2024")</f>
        <v/>
      </c>
      <c r="X272">
        <f>HYPERLINK("https://klasma.github.io/Logging_0760/tillsyn/A 1605-2024 tillsynsbegäran.docx", "A 1605-2024")</f>
        <v/>
      </c>
      <c r="Y272">
        <f>HYPERLINK("https://klasma.github.io/Logging_0760/tillsynsmail/A 1605-2024 tillsynsbegäran mail.docx", "A 1605-2024")</f>
        <v/>
      </c>
    </row>
    <row r="273" ht="15" customHeight="1">
      <c r="A273" t="inlineStr">
        <is>
          <t>A 2251-2024</t>
        </is>
      </c>
      <c r="B273" s="1" t="n">
        <v>45310</v>
      </c>
      <c r="C273" s="1" t="n">
        <v>45832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2251-2024 artfynd.xlsx", "A 2251-2024")</f>
        <v/>
      </c>
      <c r="T273">
        <f>HYPERLINK("https://klasma.github.io/Logging_0764/kartor/A 2251-2024 karta.png", "A 2251-2024")</f>
        <v/>
      </c>
      <c r="V273">
        <f>HYPERLINK("https://klasma.github.io/Logging_0764/klagomål/A 2251-2024 FSC-klagomål.docx", "A 2251-2024")</f>
        <v/>
      </c>
      <c r="W273">
        <f>HYPERLINK("https://klasma.github.io/Logging_0764/klagomålsmail/A 2251-2024 FSC-klagomål mail.docx", "A 2251-2024")</f>
        <v/>
      </c>
      <c r="X273">
        <f>HYPERLINK("https://klasma.github.io/Logging_0764/tillsyn/A 2251-2024 tillsynsbegäran.docx", "A 2251-2024")</f>
        <v/>
      </c>
      <c r="Y273">
        <f>HYPERLINK("https://klasma.github.io/Logging_0764/tillsynsmail/A 2251-2024 tillsynsbegäran mail.docx", "A 2251-2024")</f>
        <v/>
      </c>
    </row>
    <row r="274" ht="15" customHeight="1">
      <c r="A274" t="inlineStr">
        <is>
          <t>A 3863-2024</t>
        </is>
      </c>
      <c r="B274" s="1" t="n">
        <v>45322</v>
      </c>
      <c r="C274" s="1" t="n">
        <v>45832</v>
      </c>
      <c r="D274" t="inlineStr">
        <is>
          <t>KRONOBERGS LÄN</t>
        </is>
      </c>
      <c r="E274" t="inlineStr">
        <is>
          <t>TINGSRYD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Safsa</t>
        </is>
      </c>
      <c r="S274">
        <f>HYPERLINK("https://klasma.github.io/Logging_0763/artfynd/A 3863-2024 artfynd.xlsx", "A 3863-2024")</f>
        <v/>
      </c>
      <c r="T274">
        <f>HYPERLINK("https://klasma.github.io/Logging_0763/kartor/A 3863-2024 karta.png", "A 3863-2024")</f>
        <v/>
      </c>
      <c r="V274">
        <f>HYPERLINK("https://klasma.github.io/Logging_0763/klagomål/A 3863-2024 FSC-klagomål.docx", "A 3863-2024")</f>
        <v/>
      </c>
      <c r="W274">
        <f>HYPERLINK("https://klasma.github.io/Logging_0763/klagomålsmail/A 3863-2024 FSC-klagomål mail.docx", "A 3863-2024")</f>
        <v/>
      </c>
      <c r="X274">
        <f>HYPERLINK("https://klasma.github.io/Logging_0763/tillsyn/A 3863-2024 tillsynsbegäran.docx", "A 3863-2024")</f>
        <v/>
      </c>
      <c r="Y274">
        <f>HYPERLINK("https://klasma.github.io/Logging_0763/tillsynsmail/A 3863-2024 tillsynsbegäran mail.docx", "A 3863-2024")</f>
        <v/>
      </c>
    </row>
    <row r="275" ht="15" customHeight="1">
      <c r="A275" t="inlineStr">
        <is>
          <t>A 5856-2024</t>
        </is>
      </c>
      <c r="B275" s="1" t="n">
        <v>45335</v>
      </c>
      <c r="C275" s="1" t="n">
        <v>45832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Vågbandad barkbock</t>
        </is>
      </c>
      <c r="S275">
        <f>HYPERLINK("https://klasma.github.io/Logging_0760/artfynd/A 5856-2024 artfynd.xlsx", "A 5856-2024")</f>
        <v/>
      </c>
      <c r="T275">
        <f>HYPERLINK("https://klasma.github.io/Logging_0760/kartor/A 5856-2024 karta.png", "A 5856-2024")</f>
        <v/>
      </c>
      <c r="V275">
        <f>HYPERLINK("https://klasma.github.io/Logging_0760/klagomål/A 5856-2024 FSC-klagomål.docx", "A 5856-2024")</f>
        <v/>
      </c>
      <c r="W275">
        <f>HYPERLINK("https://klasma.github.io/Logging_0760/klagomålsmail/A 5856-2024 FSC-klagomål mail.docx", "A 5856-2024")</f>
        <v/>
      </c>
      <c r="X275">
        <f>HYPERLINK("https://klasma.github.io/Logging_0760/tillsyn/A 5856-2024 tillsynsbegäran.docx", "A 5856-2024")</f>
        <v/>
      </c>
      <c r="Y275">
        <f>HYPERLINK("https://klasma.github.io/Logging_0760/tillsynsmail/A 5856-2024 tillsynsbegäran mail.docx", "A 5856-2024")</f>
        <v/>
      </c>
    </row>
    <row r="276" ht="15" customHeight="1">
      <c r="A276" t="inlineStr">
        <is>
          <t>A 6548-2024</t>
        </is>
      </c>
      <c r="B276" s="1" t="n">
        <v>45341</v>
      </c>
      <c r="C276" s="1" t="n">
        <v>45832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6548-2024 artfynd.xlsx", "A 6548-2024")</f>
        <v/>
      </c>
      <c r="T276">
        <f>HYPERLINK("https://klasma.github.io/Logging_0763/kartor/A 6548-2024 karta.png", "A 6548-2024")</f>
        <v/>
      </c>
      <c r="V276">
        <f>HYPERLINK("https://klasma.github.io/Logging_0763/klagomål/A 6548-2024 FSC-klagomål.docx", "A 6548-2024")</f>
        <v/>
      </c>
      <c r="W276">
        <f>HYPERLINK("https://klasma.github.io/Logging_0763/klagomålsmail/A 6548-2024 FSC-klagomål mail.docx", "A 6548-2024")</f>
        <v/>
      </c>
      <c r="X276">
        <f>HYPERLINK("https://klasma.github.io/Logging_0763/tillsyn/A 6548-2024 tillsynsbegäran.docx", "A 6548-2024")</f>
        <v/>
      </c>
      <c r="Y276">
        <f>HYPERLINK("https://klasma.github.io/Logging_0763/tillsynsmail/A 6548-2024 tillsynsbegäran mail.docx", "A 6548-2024")</f>
        <v/>
      </c>
    </row>
    <row r="277" ht="15" customHeight="1">
      <c r="A277" t="inlineStr">
        <is>
          <t>A 7011-2024</t>
        </is>
      </c>
      <c r="B277" s="1" t="n">
        <v>45343</v>
      </c>
      <c r="C277" s="1" t="n">
        <v>45832</v>
      </c>
      <c r="D277" t="inlineStr">
        <is>
          <t>KRONOBERGS LÄN</t>
        </is>
      </c>
      <c r="E277" t="inlineStr">
        <is>
          <t>ÄLMHULT</t>
        </is>
      </c>
      <c r="G277" t="n">
        <v>4.2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Kungsfågel</t>
        </is>
      </c>
      <c r="S277">
        <f>HYPERLINK("https://klasma.github.io/Logging_0765/artfynd/A 7011-2024 artfynd.xlsx", "A 7011-2024")</f>
        <v/>
      </c>
      <c r="T277">
        <f>HYPERLINK("https://klasma.github.io/Logging_0765/kartor/A 7011-2024 karta.png", "A 7011-2024")</f>
        <v/>
      </c>
      <c r="V277">
        <f>HYPERLINK("https://klasma.github.io/Logging_0765/klagomål/A 7011-2024 FSC-klagomål.docx", "A 7011-2024")</f>
        <v/>
      </c>
      <c r="W277">
        <f>HYPERLINK("https://klasma.github.io/Logging_0765/klagomålsmail/A 7011-2024 FSC-klagomål mail.docx", "A 7011-2024")</f>
        <v/>
      </c>
      <c r="X277">
        <f>HYPERLINK("https://klasma.github.io/Logging_0765/tillsyn/A 7011-2024 tillsynsbegäran.docx", "A 7011-2024")</f>
        <v/>
      </c>
      <c r="Y277">
        <f>HYPERLINK("https://klasma.github.io/Logging_0765/tillsynsmail/A 7011-2024 tillsynsbegäran mail.docx", "A 7011-2024")</f>
        <v/>
      </c>
      <c r="Z277">
        <f>HYPERLINK("https://klasma.github.io/Logging_0765/fåglar/A 7011-2024 prioriterade fågelarter.docx", "A 7011-2024")</f>
        <v/>
      </c>
    </row>
    <row r="278" ht="15" customHeight="1">
      <c r="A278" t="inlineStr">
        <is>
          <t>A 7984-2024</t>
        </is>
      </c>
      <c r="B278" s="1" t="n">
        <v>45348</v>
      </c>
      <c r="C278" s="1" t="n">
        <v>45832</v>
      </c>
      <c r="D278" t="inlineStr">
        <is>
          <t>KRONOBERGS LÄN</t>
        </is>
      </c>
      <c r="E278" t="inlineStr">
        <is>
          <t>UPPVIDINGE</t>
        </is>
      </c>
      <c r="G278" t="n">
        <v>1.3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Strandlummer</t>
        </is>
      </c>
      <c r="S278">
        <f>HYPERLINK("https://klasma.github.io/Logging_0760/artfynd/A 7984-2024 artfynd.xlsx", "A 7984-2024")</f>
        <v/>
      </c>
      <c r="T278">
        <f>HYPERLINK("https://klasma.github.io/Logging_0760/kartor/A 7984-2024 karta.png", "A 7984-2024")</f>
        <v/>
      </c>
      <c r="V278">
        <f>HYPERLINK("https://klasma.github.io/Logging_0760/klagomål/A 7984-2024 FSC-klagomål.docx", "A 7984-2024")</f>
        <v/>
      </c>
      <c r="W278">
        <f>HYPERLINK("https://klasma.github.io/Logging_0760/klagomålsmail/A 7984-2024 FSC-klagomål mail.docx", "A 7984-2024")</f>
        <v/>
      </c>
      <c r="X278">
        <f>HYPERLINK("https://klasma.github.io/Logging_0760/tillsyn/A 7984-2024 tillsynsbegäran.docx", "A 7984-2024")</f>
        <v/>
      </c>
      <c r="Y278">
        <f>HYPERLINK("https://klasma.github.io/Logging_0760/tillsynsmail/A 7984-2024 tillsynsbegäran mail.docx", "A 7984-2024")</f>
        <v/>
      </c>
    </row>
    <row r="279" ht="15" customHeight="1">
      <c r="A279" t="inlineStr">
        <is>
          <t>A 8482-2024</t>
        </is>
      </c>
      <c r="B279" s="1" t="n">
        <v>45355</v>
      </c>
      <c r="C279" s="1" t="n">
        <v>45832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Blomkålssvamp</t>
        </is>
      </c>
      <c r="S279">
        <f>HYPERLINK("https://klasma.github.io/Logging_0763/artfynd/A 8482-2024 artfynd.xlsx", "A 8482-2024")</f>
        <v/>
      </c>
      <c r="T279">
        <f>HYPERLINK("https://klasma.github.io/Logging_0763/kartor/A 8482-2024 karta.png", "A 8482-2024")</f>
        <v/>
      </c>
      <c r="V279">
        <f>HYPERLINK("https://klasma.github.io/Logging_0763/klagomål/A 8482-2024 FSC-klagomål.docx", "A 8482-2024")</f>
        <v/>
      </c>
      <c r="W279">
        <f>HYPERLINK("https://klasma.github.io/Logging_0763/klagomålsmail/A 8482-2024 FSC-klagomål mail.docx", "A 8482-2024")</f>
        <v/>
      </c>
      <c r="X279">
        <f>HYPERLINK("https://klasma.github.io/Logging_0763/tillsyn/A 8482-2024 tillsynsbegäran.docx", "A 8482-2024")</f>
        <v/>
      </c>
      <c r="Y279">
        <f>HYPERLINK("https://klasma.github.io/Logging_0763/tillsynsmail/A 8482-2024 tillsynsbegäran mail.docx", "A 8482-2024")</f>
        <v/>
      </c>
    </row>
    <row r="280" ht="15" customHeight="1">
      <c r="A280" t="inlineStr">
        <is>
          <t>A 8780-2024</t>
        </is>
      </c>
      <c r="B280" s="1" t="n">
        <v>45356</v>
      </c>
      <c r="C280" s="1" t="n">
        <v>45832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Kornknutmossa</t>
        </is>
      </c>
      <c r="S280">
        <f>HYPERLINK("https://klasma.github.io/Logging_0763/artfynd/A 8780-2024 artfynd.xlsx", "A 8780-2024")</f>
        <v/>
      </c>
      <c r="T280">
        <f>HYPERLINK("https://klasma.github.io/Logging_0763/kartor/A 8780-2024 karta.png", "A 8780-2024")</f>
        <v/>
      </c>
      <c r="V280">
        <f>HYPERLINK("https://klasma.github.io/Logging_0763/klagomål/A 8780-2024 FSC-klagomål.docx", "A 8780-2024")</f>
        <v/>
      </c>
      <c r="W280">
        <f>HYPERLINK("https://klasma.github.io/Logging_0763/klagomålsmail/A 8780-2024 FSC-klagomål mail.docx", "A 8780-2024")</f>
        <v/>
      </c>
      <c r="X280">
        <f>HYPERLINK("https://klasma.github.io/Logging_0763/tillsyn/A 8780-2024 tillsynsbegäran.docx", "A 8780-2024")</f>
        <v/>
      </c>
      <c r="Y280">
        <f>HYPERLINK("https://klasma.github.io/Logging_0763/tillsynsmail/A 8780-2024 tillsynsbegäran mail.docx", "A 8780-2024")</f>
        <v/>
      </c>
    </row>
    <row r="281" ht="15" customHeight="1">
      <c r="A281" t="inlineStr">
        <is>
          <t>A 11508-2024</t>
        </is>
      </c>
      <c r="B281" s="1" t="n">
        <v>45372</v>
      </c>
      <c r="C281" s="1" t="n">
        <v>45832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HYPERLINK("https://klasma.github.io/Logging_0781/artfynd/A 11508-2024 artfynd.xlsx", "A 11508-2024")</f>
        <v/>
      </c>
      <c r="T281">
        <f>HYPERLINK("https://klasma.github.io/Logging_0781/kartor/A 11508-2024 karta.png", "A 11508-2024")</f>
        <v/>
      </c>
      <c r="V281">
        <f>HYPERLINK("https://klasma.github.io/Logging_0781/klagomål/A 11508-2024 FSC-klagomål.docx", "A 11508-2024")</f>
        <v/>
      </c>
      <c r="W281">
        <f>HYPERLINK("https://klasma.github.io/Logging_0781/klagomålsmail/A 11508-2024 FSC-klagomål mail.docx", "A 11508-2024")</f>
        <v/>
      </c>
      <c r="X281">
        <f>HYPERLINK("https://klasma.github.io/Logging_0781/tillsyn/A 11508-2024 tillsynsbegäran.docx", "A 11508-2024")</f>
        <v/>
      </c>
      <c r="Y281">
        <f>HYPERLINK("https://klasma.github.io/Logging_0781/tillsynsmail/A 11508-2024 tillsynsbegäran mail.docx", "A 11508-2024")</f>
        <v/>
      </c>
    </row>
    <row r="282" ht="15" customHeight="1">
      <c r="A282" t="inlineStr">
        <is>
          <t>A 13497-2024</t>
        </is>
      </c>
      <c r="B282" s="1" t="n">
        <v>45387</v>
      </c>
      <c r="C282" s="1" t="n">
        <v>45832</v>
      </c>
      <c r="D282" t="inlineStr">
        <is>
          <t>KRONOBERGS LÄN</t>
        </is>
      </c>
      <c r="E282" t="inlineStr">
        <is>
          <t>TINGSRYD</t>
        </is>
      </c>
      <c r="G282" t="n">
        <v>3.2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HYPERLINK("https://klasma.github.io/Logging_0763/artfynd/A 13497-2024 artfynd.xlsx", "A 13497-2024")</f>
        <v/>
      </c>
      <c r="T282">
        <f>HYPERLINK("https://klasma.github.io/Logging_0763/kartor/A 13497-2024 karta.png", "A 13497-2024")</f>
        <v/>
      </c>
      <c r="U282">
        <f>HYPERLINK("https://klasma.github.io/Logging_0763/knärot/A 13497-2024 karta knärot.png", "A 13497-2024")</f>
        <v/>
      </c>
      <c r="V282">
        <f>HYPERLINK("https://klasma.github.io/Logging_0763/klagomål/A 13497-2024 FSC-klagomål.docx", "A 13497-2024")</f>
        <v/>
      </c>
      <c r="W282">
        <f>HYPERLINK("https://klasma.github.io/Logging_0763/klagomålsmail/A 13497-2024 FSC-klagomål mail.docx", "A 13497-2024")</f>
        <v/>
      </c>
      <c r="X282">
        <f>HYPERLINK("https://klasma.github.io/Logging_0763/tillsyn/A 13497-2024 tillsynsbegäran.docx", "A 13497-2024")</f>
        <v/>
      </c>
      <c r="Y282">
        <f>HYPERLINK("https://klasma.github.io/Logging_0763/tillsynsmail/A 13497-2024 tillsynsbegäran mail.docx", "A 13497-2024")</f>
        <v/>
      </c>
    </row>
    <row r="283" ht="15" customHeight="1">
      <c r="A283" t="inlineStr">
        <is>
          <t>A 14022-2024</t>
        </is>
      </c>
      <c r="B283" s="1" t="n">
        <v>45392</v>
      </c>
      <c r="C283" s="1" t="n">
        <v>45832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Borsttåg</t>
        </is>
      </c>
      <c r="S283">
        <f>HYPERLINK("https://klasma.github.io/Logging_0780/artfynd/A 14022-2024 artfynd.xlsx", "A 14022-2024")</f>
        <v/>
      </c>
      <c r="T283">
        <f>HYPERLINK("https://klasma.github.io/Logging_0780/kartor/A 14022-2024 karta.png", "A 14022-2024")</f>
        <v/>
      </c>
      <c r="V283">
        <f>HYPERLINK("https://klasma.github.io/Logging_0780/klagomål/A 14022-2024 FSC-klagomål.docx", "A 14022-2024")</f>
        <v/>
      </c>
      <c r="W283">
        <f>HYPERLINK("https://klasma.github.io/Logging_0780/klagomålsmail/A 14022-2024 FSC-klagomål mail.docx", "A 14022-2024")</f>
        <v/>
      </c>
      <c r="X283">
        <f>HYPERLINK("https://klasma.github.io/Logging_0780/tillsyn/A 14022-2024 tillsynsbegäran.docx", "A 14022-2024")</f>
        <v/>
      </c>
      <c r="Y283">
        <f>HYPERLINK("https://klasma.github.io/Logging_0780/tillsynsmail/A 14022-2024 tillsynsbegäran mail.docx", "A 14022-2024")</f>
        <v/>
      </c>
    </row>
    <row r="284" ht="15" customHeight="1">
      <c r="A284" t="inlineStr">
        <is>
          <t>A 16141-2024</t>
        </is>
      </c>
      <c r="B284" s="1" t="n">
        <v>45406</v>
      </c>
      <c r="C284" s="1" t="n">
        <v>45832</v>
      </c>
      <c r="D284" t="inlineStr">
        <is>
          <t>KRONOBERGS LÄN</t>
        </is>
      </c>
      <c r="E284" t="inlineStr">
        <is>
          <t>TINGSRYD</t>
        </is>
      </c>
      <c r="G284" t="n">
        <v>2.8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Ekoxe</t>
        </is>
      </c>
      <c r="S284">
        <f>HYPERLINK("https://klasma.github.io/Logging_0763/artfynd/A 16141-2024 artfynd.xlsx", "A 16141-2024")</f>
        <v/>
      </c>
      <c r="T284">
        <f>HYPERLINK("https://klasma.github.io/Logging_0763/kartor/A 16141-2024 karta.png", "A 16141-2024")</f>
        <v/>
      </c>
      <c r="V284">
        <f>HYPERLINK("https://klasma.github.io/Logging_0763/klagomål/A 16141-2024 FSC-klagomål.docx", "A 16141-2024")</f>
        <v/>
      </c>
      <c r="W284">
        <f>HYPERLINK("https://klasma.github.io/Logging_0763/klagomålsmail/A 16141-2024 FSC-klagomål mail.docx", "A 16141-2024")</f>
        <v/>
      </c>
      <c r="X284">
        <f>HYPERLINK("https://klasma.github.io/Logging_0763/tillsyn/A 16141-2024 tillsynsbegäran.docx", "A 16141-2024")</f>
        <v/>
      </c>
      <c r="Y284">
        <f>HYPERLINK("https://klasma.github.io/Logging_0763/tillsynsmail/A 16141-2024 tillsynsbegäran mail.docx", "A 16141-2024")</f>
        <v/>
      </c>
    </row>
    <row r="285" ht="15" customHeight="1">
      <c r="A285" t="inlineStr">
        <is>
          <t>A 17393-2024</t>
        </is>
      </c>
      <c r="B285" s="1" t="n">
        <v>45414</v>
      </c>
      <c r="C285" s="1" t="n">
        <v>45832</v>
      </c>
      <c r="D285" t="inlineStr">
        <is>
          <t>KRONOBERGS LÄN</t>
        </is>
      </c>
      <c r="E285" t="inlineStr">
        <is>
          <t>ALVESTA</t>
        </is>
      </c>
      <c r="G285" t="n">
        <v>1.2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Västlig hakmossa</t>
        </is>
      </c>
      <c r="S285">
        <f>HYPERLINK("https://klasma.github.io/Logging_0764/artfynd/A 17393-2024 artfynd.xlsx", "A 17393-2024")</f>
        <v/>
      </c>
      <c r="T285">
        <f>HYPERLINK("https://klasma.github.io/Logging_0764/kartor/A 17393-2024 karta.png", "A 17393-2024")</f>
        <v/>
      </c>
      <c r="V285">
        <f>HYPERLINK("https://klasma.github.io/Logging_0764/klagomål/A 17393-2024 FSC-klagomål.docx", "A 17393-2024")</f>
        <v/>
      </c>
      <c r="W285">
        <f>HYPERLINK("https://klasma.github.io/Logging_0764/klagomålsmail/A 17393-2024 FSC-klagomål mail.docx", "A 17393-2024")</f>
        <v/>
      </c>
      <c r="X285">
        <f>HYPERLINK("https://klasma.github.io/Logging_0764/tillsyn/A 17393-2024 tillsynsbegäran.docx", "A 17393-2024")</f>
        <v/>
      </c>
      <c r="Y285">
        <f>HYPERLINK("https://klasma.github.io/Logging_0764/tillsynsmail/A 17393-2024 tillsynsbegäran mail.docx", "A 17393-2024")</f>
        <v/>
      </c>
    </row>
    <row r="286" ht="15" customHeight="1">
      <c r="A286" t="inlineStr">
        <is>
          <t>A 18593-2024</t>
        </is>
      </c>
      <c r="B286" s="1" t="n">
        <v>45425</v>
      </c>
      <c r="C286" s="1" t="n">
        <v>45832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HYPERLINK("https://klasma.github.io/Logging_0781/artfynd/A 18593-2024 artfynd.xlsx", "A 18593-2024")</f>
        <v/>
      </c>
      <c r="T286">
        <f>HYPERLINK("https://klasma.github.io/Logging_0781/kartor/A 18593-2024 karta.png", "A 18593-2024")</f>
        <v/>
      </c>
      <c r="U286">
        <f>HYPERLINK("https://klasma.github.io/Logging_0781/knärot/A 18593-2024 karta knärot.png", "A 18593-2024")</f>
        <v/>
      </c>
      <c r="V286">
        <f>HYPERLINK("https://klasma.github.io/Logging_0781/klagomål/A 18593-2024 FSC-klagomål.docx", "A 18593-2024")</f>
        <v/>
      </c>
      <c r="W286">
        <f>HYPERLINK("https://klasma.github.io/Logging_0781/klagomålsmail/A 18593-2024 FSC-klagomål mail.docx", "A 18593-2024")</f>
        <v/>
      </c>
      <c r="X286">
        <f>HYPERLINK("https://klasma.github.io/Logging_0781/tillsyn/A 18593-2024 tillsynsbegäran.docx", "A 18593-2024")</f>
        <v/>
      </c>
      <c r="Y286">
        <f>HYPERLINK("https://klasma.github.io/Logging_0781/tillsynsmail/A 18593-2024 tillsynsbegäran mail.docx", "A 18593-2024")</f>
        <v/>
      </c>
    </row>
    <row r="287" ht="15" customHeight="1">
      <c r="A287" t="inlineStr">
        <is>
          <t>A 18952-2024</t>
        </is>
      </c>
      <c r="B287" s="1" t="n">
        <v>45427</v>
      </c>
      <c r="C287" s="1" t="n">
        <v>45832</v>
      </c>
      <c r="D287" t="inlineStr">
        <is>
          <t>KRONOBERGS LÄN</t>
        </is>
      </c>
      <c r="E287" t="inlineStr">
        <is>
          <t>ÄLMHULT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Rapunkelklocka</t>
        </is>
      </c>
      <c r="S287">
        <f>HYPERLINK("https://klasma.github.io/Logging_0765/artfynd/A 18952-2024 artfynd.xlsx", "A 18952-2024")</f>
        <v/>
      </c>
      <c r="T287">
        <f>HYPERLINK("https://klasma.github.io/Logging_0765/kartor/A 18952-2024 karta.png", "A 18952-2024")</f>
        <v/>
      </c>
      <c r="V287">
        <f>HYPERLINK("https://klasma.github.io/Logging_0765/klagomål/A 18952-2024 FSC-klagomål.docx", "A 18952-2024")</f>
        <v/>
      </c>
      <c r="W287">
        <f>HYPERLINK("https://klasma.github.io/Logging_0765/klagomålsmail/A 18952-2024 FSC-klagomål mail.docx", "A 18952-2024")</f>
        <v/>
      </c>
      <c r="X287">
        <f>HYPERLINK("https://klasma.github.io/Logging_0765/tillsyn/A 18952-2024 tillsynsbegäran.docx", "A 18952-2024")</f>
        <v/>
      </c>
      <c r="Y287">
        <f>HYPERLINK("https://klasma.github.io/Logging_0765/tillsynsmail/A 18952-2024 tillsynsbegäran mail.docx", "A 18952-2024")</f>
        <v/>
      </c>
    </row>
    <row r="288" ht="15" customHeight="1">
      <c r="A288" t="inlineStr">
        <is>
          <t>A 20033-2024</t>
        </is>
      </c>
      <c r="B288" s="1" t="n">
        <v>45434</v>
      </c>
      <c r="C288" s="1" t="n">
        <v>45832</v>
      </c>
      <c r="D288" t="inlineStr">
        <is>
          <t>KRONOBERGS LÄN</t>
        </is>
      </c>
      <c r="E288" t="inlineStr">
        <is>
          <t>TINGSRYD</t>
        </is>
      </c>
      <c r="G288" t="n">
        <v>3.9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HYPERLINK("https://klasma.github.io/Logging_0763/artfynd/A 20033-2024 artfynd.xlsx", "A 20033-2024")</f>
        <v/>
      </c>
      <c r="T288">
        <f>HYPERLINK("https://klasma.github.io/Logging_0763/kartor/A 20033-2024 karta.png", "A 20033-2024")</f>
        <v/>
      </c>
      <c r="V288">
        <f>HYPERLINK("https://klasma.github.io/Logging_0763/klagomål/A 20033-2024 FSC-klagomål.docx", "A 20033-2024")</f>
        <v/>
      </c>
      <c r="W288">
        <f>HYPERLINK("https://klasma.github.io/Logging_0763/klagomålsmail/A 20033-2024 FSC-klagomål mail.docx", "A 20033-2024")</f>
        <v/>
      </c>
      <c r="X288">
        <f>HYPERLINK("https://klasma.github.io/Logging_0763/tillsyn/A 20033-2024 tillsynsbegäran.docx", "A 20033-2024")</f>
        <v/>
      </c>
      <c r="Y288">
        <f>HYPERLINK("https://klasma.github.io/Logging_0763/tillsynsmail/A 20033-2024 tillsynsbegäran mail.docx", "A 20033-2024")</f>
        <v/>
      </c>
    </row>
    <row r="289" ht="15" customHeight="1">
      <c r="A289" t="inlineStr">
        <is>
          <t>A 22238-2024</t>
        </is>
      </c>
      <c r="B289" s="1" t="n">
        <v>45446</v>
      </c>
      <c r="C289" s="1" t="n">
        <v>45832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Klockgentiana</t>
        </is>
      </c>
      <c r="S289">
        <f>HYPERLINK("https://klasma.github.io/Logging_0764/artfynd/A 22238-2024 artfynd.xlsx", "A 22238-2024")</f>
        <v/>
      </c>
      <c r="T289">
        <f>HYPERLINK("https://klasma.github.io/Logging_0764/kartor/A 22238-2024 karta.png", "A 22238-2024")</f>
        <v/>
      </c>
      <c r="V289">
        <f>HYPERLINK("https://klasma.github.io/Logging_0764/klagomål/A 22238-2024 FSC-klagomål.docx", "A 22238-2024")</f>
        <v/>
      </c>
      <c r="W289">
        <f>HYPERLINK("https://klasma.github.io/Logging_0764/klagomålsmail/A 22238-2024 FSC-klagomål mail.docx", "A 22238-2024")</f>
        <v/>
      </c>
      <c r="X289">
        <f>HYPERLINK("https://klasma.github.io/Logging_0764/tillsyn/A 22238-2024 tillsynsbegäran.docx", "A 22238-2024")</f>
        <v/>
      </c>
      <c r="Y289">
        <f>HYPERLINK("https://klasma.github.io/Logging_0764/tillsynsmail/A 22238-2024 tillsynsbegäran mail.docx", "A 22238-2024")</f>
        <v/>
      </c>
    </row>
    <row r="290" ht="15" customHeight="1">
      <c r="A290" t="inlineStr">
        <is>
          <t>A 22576-2024</t>
        </is>
      </c>
      <c r="B290" s="1" t="n">
        <v>45447</v>
      </c>
      <c r="C290" s="1" t="n">
        <v>45832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Loppstarr</t>
        </is>
      </c>
      <c r="S290">
        <f>HYPERLINK("https://klasma.github.io/Logging_0780/artfynd/A 22576-2024 artfynd.xlsx", "A 22576-2024")</f>
        <v/>
      </c>
      <c r="T290">
        <f>HYPERLINK("https://klasma.github.io/Logging_0780/kartor/A 22576-2024 karta.png", "A 22576-2024")</f>
        <v/>
      </c>
      <c r="V290">
        <f>HYPERLINK("https://klasma.github.io/Logging_0780/klagomål/A 22576-2024 FSC-klagomål.docx", "A 22576-2024")</f>
        <v/>
      </c>
      <c r="W290">
        <f>HYPERLINK("https://klasma.github.io/Logging_0780/klagomålsmail/A 22576-2024 FSC-klagomål mail.docx", "A 22576-2024")</f>
        <v/>
      </c>
      <c r="X290">
        <f>HYPERLINK("https://klasma.github.io/Logging_0780/tillsyn/A 22576-2024 tillsynsbegäran.docx", "A 22576-2024")</f>
        <v/>
      </c>
      <c r="Y290">
        <f>HYPERLINK("https://klasma.github.io/Logging_0780/tillsynsmail/A 22576-2024 tillsynsbegäran mail.docx", "A 22576-2024")</f>
        <v/>
      </c>
    </row>
    <row r="291" ht="15" customHeight="1">
      <c r="A291" t="inlineStr">
        <is>
          <t>A 25113-2024</t>
        </is>
      </c>
      <c r="B291" s="1" t="n">
        <v>45462</v>
      </c>
      <c r="C291" s="1" t="n">
        <v>45832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Hårklomossa</t>
        </is>
      </c>
      <c r="S291">
        <f>HYPERLINK("https://klasma.github.io/Logging_0764/artfynd/A 25113-2024 artfynd.xlsx", "A 25113-2024")</f>
        <v/>
      </c>
      <c r="T291">
        <f>HYPERLINK("https://klasma.github.io/Logging_0764/kartor/A 25113-2024 karta.png", "A 25113-2024")</f>
        <v/>
      </c>
      <c r="V291">
        <f>HYPERLINK("https://klasma.github.io/Logging_0764/klagomål/A 25113-2024 FSC-klagomål.docx", "A 25113-2024")</f>
        <v/>
      </c>
      <c r="W291">
        <f>HYPERLINK("https://klasma.github.io/Logging_0764/klagomålsmail/A 25113-2024 FSC-klagomål mail.docx", "A 25113-2024")</f>
        <v/>
      </c>
      <c r="X291">
        <f>HYPERLINK("https://klasma.github.io/Logging_0764/tillsyn/A 25113-2024 tillsynsbegäran.docx", "A 25113-2024")</f>
        <v/>
      </c>
      <c r="Y291">
        <f>HYPERLINK("https://klasma.github.io/Logging_0764/tillsynsmail/A 25113-2024 tillsynsbegäran mail.docx", "A 25113-2024")</f>
        <v/>
      </c>
    </row>
    <row r="292" ht="15" customHeight="1">
      <c r="A292" t="inlineStr">
        <is>
          <t>A 26608-2024</t>
        </is>
      </c>
      <c r="B292" s="1" t="n">
        <v>45469</v>
      </c>
      <c r="C292" s="1" t="n">
        <v>45832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3.2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Havstulpanlav</t>
        </is>
      </c>
      <c r="S292">
        <f>HYPERLINK("https://klasma.github.io/Logging_0765/artfynd/A 26608-2024 artfynd.xlsx", "A 26608-2024")</f>
        <v/>
      </c>
      <c r="T292">
        <f>HYPERLINK("https://klasma.github.io/Logging_0765/kartor/A 26608-2024 karta.png", "A 26608-2024")</f>
        <v/>
      </c>
      <c r="V292">
        <f>HYPERLINK("https://klasma.github.io/Logging_0765/klagomål/A 26608-2024 FSC-klagomål.docx", "A 26608-2024")</f>
        <v/>
      </c>
      <c r="W292">
        <f>HYPERLINK("https://klasma.github.io/Logging_0765/klagomålsmail/A 26608-2024 FSC-klagomål mail.docx", "A 26608-2024")</f>
        <v/>
      </c>
      <c r="X292">
        <f>HYPERLINK("https://klasma.github.io/Logging_0765/tillsyn/A 26608-2024 tillsynsbegäran.docx", "A 26608-2024")</f>
        <v/>
      </c>
      <c r="Y292">
        <f>HYPERLINK("https://klasma.github.io/Logging_0765/tillsynsmail/A 26608-2024 tillsynsbegäran mail.docx", "A 26608-2024")</f>
        <v/>
      </c>
    </row>
    <row r="293" ht="15" customHeight="1">
      <c r="A293" t="inlineStr">
        <is>
          <t>A 26726-2024</t>
        </is>
      </c>
      <c r="B293" s="1" t="n">
        <v>45470</v>
      </c>
      <c r="C293" s="1" t="n">
        <v>45832</v>
      </c>
      <c r="D293" t="inlineStr">
        <is>
          <t>KRONOBERGS LÄN</t>
        </is>
      </c>
      <c r="E293" t="inlineStr">
        <is>
          <t>ALVESTA</t>
        </is>
      </c>
      <c r="G293" t="n">
        <v>4.3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Blåsippa</t>
        </is>
      </c>
      <c r="S293">
        <f>HYPERLINK("https://klasma.github.io/Logging_0764/artfynd/A 26726-2024 artfynd.xlsx", "A 26726-2024")</f>
        <v/>
      </c>
      <c r="T293">
        <f>HYPERLINK("https://klasma.github.io/Logging_0764/kartor/A 26726-2024 karta.png", "A 26726-2024")</f>
        <v/>
      </c>
      <c r="V293">
        <f>HYPERLINK("https://klasma.github.io/Logging_0764/klagomål/A 26726-2024 FSC-klagomål.docx", "A 26726-2024")</f>
        <v/>
      </c>
      <c r="W293">
        <f>HYPERLINK("https://klasma.github.io/Logging_0764/klagomålsmail/A 26726-2024 FSC-klagomål mail.docx", "A 26726-2024")</f>
        <v/>
      </c>
      <c r="X293">
        <f>HYPERLINK("https://klasma.github.io/Logging_0764/tillsyn/A 26726-2024 tillsynsbegäran.docx", "A 26726-2024")</f>
        <v/>
      </c>
      <c r="Y293">
        <f>HYPERLINK("https://klasma.github.io/Logging_0764/tillsynsmail/A 26726-2024 tillsynsbegäran mail.docx", "A 26726-2024")</f>
        <v/>
      </c>
    </row>
    <row r="294" ht="15" customHeight="1">
      <c r="A294" t="inlineStr">
        <is>
          <t>A 27081-2024</t>
        </is>
      </c>
      <c r="B294" s="1" t="n">
        <v>45471</v>
      </c>
      <c r="C294" s="1" t="n">
        <v>45832</v>
      </c>
      <c r="D294" t="inlineStr">
        <is>
          <t>KRONOBERGS LÄN</t>
        </is>
      </c>
      <c r="E294" t="inlineStr">
        <is>
          <t>ALVESTA</t>
        </is>
      </c>
      <c r="G294" t="n">
        <v>1.9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Blåmossa</t>
        </is>
      </c>
      <c r="S294">
        <f>HYPERLINK("https://klasma.github.io/Logging_0764/artfynd/A 27081-2024 artfynd.xlsx", "A 27081-2024")</f>
        <v/>
      </c>
      <c r="T294">
        <f>HYPERLINK("https://klasma.github.io/Logging_0764/kartor/A 27081-2024 karta.png", "A 27081-2024")</f>
        <v/>
      </c>
      <c r="V294">
        <f>HYPERLINK("https://klasma.github.io/Logging_0764/klagomål/A 27081-2024 FSC-klagomål.docx", "A 27081-2024")</f>
        <v/>
      </c>
      <c r="W294">
        <f>HYPERLINK("https://klasma.github.io/Logging_0764/klagomålsmail/A 27081-2024 FSC-klagomål mail.docx", "A 27081-2024")</f>
        <v/>
      </c>
      <c r="X294">
        <f>HYPERLINK("https://klasma.github.io/Logging_0764/tillsyn/A 27081-2024 tillsynsbegäran.docx", "A 27081-2024")</f>
        <v/>
      </c>
      <c r="Y294">
        <f>HYPERLINK("https://klasma.github.io/Logging_0764/tillsynsmail/A 27081-2024 tillsynsbegäran mail.docx", "A 27081-2024")</f>
        <v/>
      </c>
    </row>
    <row r="295" ht="15" customHeight="1">
      <c r="A295" t="inlineStr">
        <is>
          <t>A 28019-2024</t>
        </is>
      </c>
      <c r="B295" s="1" t="n">
        <v>45476</v>
      </c>
      <c r="C295" s="1" t="n">
        <v>45832</v>
      </c>
      <c r="D295" t="inlineStr">
        <is>
          <t>KRONOBERGS LÄN</t>
        </is>
      </c>
      <c r="E295" t="inlineStr">
        <is>
          <t>LJUNGBY</t>
        </is>
      </c>
      <c r="G295" t="n">
        <v>3.5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Spindelblomster</t>
        </is>
      </c>
      <c r="S295">
        <f>HYPERLINK("https://klasma.github.io/Logging_0781/artfynd/A 28019-2024 artfynd.xlsx", "A 28019-2024")</f>
        <v/>
      </c>
      <c r="T295">
        <f>HYPERLINK("https://klasma.github.io/Logging_0781/kartor/A 28019-2024 karta.png", "A 28019-2024")</f>
        <v/>
      </c>
      <c r="V295">
        <f>HYPERLINK("https://klasma.github.io/Logging_0781/klagomål/A 28019-2024 FSC-klagomål.docx", "A 28019-2024")</f>
        <v/>
      </c>
      <c r="W295">
        <f>HYPERLINK("https://klasma.github.io/Logging_0781/klagomålsmail/A 28019-2024 FSC-klagomål mail.docx", "A 28019-2024")</f>
        <v/>
      </c>
      <c r="X295">
        <f>HYPERLINK("https://klasma.github.io/Logging_0781/tillsyn/A 28019-2024 tillsynsbegäran.docx", "A 28019-2024")</f>
        <v/>
      </c>
      <c r="Y295">
        <f>HYPERLINK("https://klasma.github.io/Logging_0781/tillsynsmail/A 28019-2024 tillsynsbegäran mail.docx", "A 28019-2024")</f>
        <v/>
      </c>
    </row>
    <row r="296" ht="15" customHeight="1">
      <c r="A296" t="inlineStr">
        <is>
          <t>A 28041-2024</t>
        </is>
      </c>
      <c r="B296" s="1" t="n">
        <v>45476</v>
      </c>
      <c r="C296" s="1" t="n">
        <v>45832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Mattlummer</t>
        </is>
      </c>
      <c r="S296">
        <f>HYPERLINK("https://klasma.github.io/Logging_0781/artfynd/A 28041-2024 artfynd.xlsx", "A 28041-2024")</f>
        <v/>
      </c>
      <c r="T296">
        <f>HYPERLINK("https://klasma.github.io/Logging_0781/kartor/A 28041-2024 karta.png", "A 28041-2024")</f>
        <v/>
      </c>
      <c r="V296">
        <f>HYPERLINK("https://klasma.github.io/Logging_0781/klagomål/A 28041-2024 FSC-klagomål.docx", "A 28041-2024")</f>
        <v/>
      </c>
      <c r="W296">
        <f>HYPERLINK("https://klasma.github.io/Logging_0781/klagomålsmail/A 28041-2024 FSC-klagomål mail.docx", "A 28041-2024")</f>
        <v/>
      </c>
      <c r="X296">
        <f>HYPERLINK("https://klasma.github.io/Logging_0781/tillsyn/A 28041-2024 tillsynsbegäran.docx", "A 28041-2024")</f>
        <v/>
      </c>
      <c r="Y296">
        <f>HYPERLINK("https://klasma.github.io/Logging_0781/tillsynsmail/A 28041-2024 tillsynsbegäran mail.docx", "A 28041-2024")</f>
        <v/>
      </c>
    </row>
    <row r="297" ht="15" customHeight="1">
      <c r="A297" t="inlineStr">
        <is>
          <t>A 30112-2024</t>
        </is>
      </c>
      <c r="B297" s="1" t="n">
        <v>45489</v>
      </c>
      <c r="C297" s="1" t="n">
        <v>45832</v>
      </c>
      <c r="D297" t="inlineStr">
        <is>
          <t>KRONOBERGS LÄN</t>
        </is>
      </c>
      <c r="E297" t="inlineStr">
        <is>
          <t>UPPVIDINGE</t>
        </is>
      </c>
      <c r="G297" t="n">
        <v>3.4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Etternässla</t>
        </is>
      </c>
      <c r="S297">
        <f>HYPERLINK("https://klasma.github.io/Logging_0760/artfynd/A 30112-2024 artfynd.xlsx", "A 30112-2024")</f>
        <v/>
      </c>
      <c r="T297">
        <f>HYPERLINK("https://klasma.github.io/Logging_0760/kartor/A 30112-2024 karta.png", "A 30112-2024")</f>
        <v/>
      </c>
      <c r="V297">
        <f>HYPERLINK("https://klasma.github.io/Logging_0760/klagomål/A 30112-2024 FSC-klagomål.docx", "A 30112-2024")</f>
        <v/>
      </c>
      <c r="W297">
        <f>HYPERLINK("https://klasma.github.io/Logging_0760/klagomålsmail/A 30112-2024 FSC-klagomål mail.docx", "A 30112-2024")</f>
        <v/>
      </c>
      <c r="X297">
        <f>HYPERLINK("https://klasma.github.io/Logging_0760/tillsyn/A 30112-2024 tillsynsbegäran.docx", "A 30112-2024")</f>
        <v/>
      </c>
      <c r="Y297">
        <f>HYPERLINK("https://klasma.github.io/Logging_0760/tillsynsmail/A 30112-2024 tillsynsbegäran mail.docx", "A 30112-2024")</f>
        <v/>
      </c>
    </row>
    <row r="298" ht="15" customHeight="1">
      <c r="A298" t="inlineStr">
        <is>
          <t>A 30317-2024</t>
        </is>
      </c>
      <c r="B298" s="1" t="n">
        <v>45490</v>
      </c>
      <c r="C298" s="1" t="n">
        <v>45832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2.7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Scharlakansskål</t>
        </is>
      </c>
      <c r="S298">
        <f>HYPERLINK("https://klasma.github.io/Logging_0780/artfynd/A 30317-2024 artfynd.xlsx", "A 30317-2024")</f>
        <v/>
      </c>
      <c r="T298">
        <f>HYPERLINK("https://klasma.github.io/Logging_0780/kartor/A 30317-2024 karta.png", "A 30317-2024")</f>
        <v/>
      </c>
      <c r="V298">
        <f>HYPERLINK("https://klasma.github.io/Logging_0780/klagomål/A 30317-2024 FSC-klagomål.docx", "A 30317-2024")</f>
        <v/>
      </c>
      <c r="W298">
        <f>HYPERLINK("https://klasma.github.io/Logging_0780/klagomålsmail/A 30317-2024 FSC-klagomål mail.docx", "A 30317-2024")</f>
        <v/>
      </c>
      <c r="X298">
        <f>HYPERLINK("https://klasma.github.io/Logging_0780/tillsyn/A 30317-2024 tillsynsbegäran.docx", "A 30317-2024")</f>
        <v/>
      </c>
      <c r="Y298">
        <f>HYPERLINK("https://klasma.github.io/Logging_0780/tillsynsmail/A 30317-2024 tillsynsbegäran mail.docx", "A 30317-2024")</f>
        <v/>
      </c>
    </row>
    <row r="299" ht="15" customHeight="1">
      <c r="A299" t="inlineStr">
        <is>
          <t>A 34935-2024</t>
        </is>
      </c>
      <c r="B299" s="1" t="n">
        <v>45527</v>
      </c>
      <c r="C299" s="1" t="n">
        <v>45832</v>
      </c>
      <c r="D299" t="inlineStr">
        <is>
          <t>KRONOBERGS LÄN</t>
        </is>
      </c>
      <c r="E299" t="inlineStr">
        <is>
          <t>LJUNGBY</t>
        </is>
      </c>
      <c r="G299" t="n">
        <v>0.9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Hårginst</t>
        </is>
      </c>
      <c r="S299">
        <f>HYPERLINK("https://klasma.github.io/Logging_0781/artfynd/A 34935-2024 artfynd.xlsx", "A 34935-2024")</f>
        <v/>
      </c>
      <c r="T299">
        <f>HYPERLINK("https://klasma.github.io/Logging_0781/kartor/A 34935-2024 karta.png", "A 34935-2024")</f>
        <v/>
      </c>
      <c r="V299">
        <f>HYPERLINK("https://klasma.github.io/Logging_0781/klagomål/A 34935-2024 FSC-klagomål.docx", "A 34935-2024")</f>
        <v/>
      </c>
      <c r="W299">
        <f>HYPERLINK("https://klasma.github.io/Logging_0781/klagomålsmail/A 34935-2024 FSC-klagomål mail.docx", "A 34935-2024")</f>
        <v/>
      </c>
      <c r="X299">
        <f>HYPERLINK("https://klasma.github.io/Logging_0781/tillsyn/A 34935-2024 tillsynsbegäran.docx", "A 34935-2024")</f>
        <v/>
      </c>
      <c r="Y299">
        <f>HYPERLINK("https://klasma.github.io/Logging_0781/tillsynsmail/A 34935-2024 tillsynsbegäran mail.docx", "A 34935-2024")</f>
        <v/>
      </c>
    </row>
    <row r="300" ht="15" customHeight="1">
      <c r="A300" t="inlineStr">
        <is>
          <t>A 35901-2024</t>
        </is>
      </c>
      <c r="B300" s="1" t="n">
        <v>45533</v>
      </c>
      <c r="C300" s="1" t="n">
        <v>45832</v>
      </c>
      <c r="D300" t="inlineStr">
        <is>
          <t>KRONOBERGS LÄN</t>
        </is>
      </c>
      <c r="E300" t="inlineStr">
        <is>
          <t>VÄXJÖ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Tjäder</t>
        </is>
      </c>
      <c r="S300">
        <f>HYPERLINK("https://klasma.github.io/Logging_0780/artfynd/A 35901-2024 artfynd.xlsx", "A 35901-2024")</f>
        <v/>
      </c>
      <c r="T300">
        <f>HYPERLINK("https://klasma.github.io/Logging_0780/kartor/A 35901-2024 karta.png", "A 35901-2024")</f>
        <v/>
      </c>
      <c r="V300">
        <f>HYPERLINK("https://klasma.github.io/Logging_0780/klagomål/A 35901-2024 FSC-klagomål.docx", "A 35901-2024")</f>
        <v/>
      </c>
      <c r="W300">
        <f>HYPERLINK("https://klasma.github.io/Logging_0780/klagomålsmail/A 35901-2024 FSC-klagomål mail.docx", "A 35901-2024")</f>
        <v/>
      </c>
      <c r="X300">
        <f>HYPERLINK("https://klasma.github.io/Logging_0780/tillsyn/A 35901-2024 tillsynsbegäran.docx", "A 35901-2024")</f>
        <v/>
      </c>
      <c r="Y300">
        <f>HYPERLINK("https://klasma.github.io/Logging_0780/tillsynsmail/A 35901-2024 tillsynsbegäran mail.docx", "A 35901-2024")</f>
        <v/>
      </c>
      <c r="Z300">
        <f>HYPERLINK("https://klasma.github.io/Logging_0780/fåglar/A 35901-2024 prioriterade fågelarter.docx", "A 35901-2024")</f>
        <v/>
      </c>
    </row>
    <row r="301" ht="15" customHeight="1">
      <c r="A301" t="inlineStr">
        <is>
          <t>A 38036-2024</t>
        </is>
      </c>
      <c r="B301" s="1" t="n">
        <v>45544</v>
      </c>
      <c r="C301" s="1" t="n">
        <v>45832</v>
      </c>
      <c r="D301" t="inlineStr">
        <is>
          <t>KRONOBERGS LÄN</t>
        </is>
      </c>
      <c r="E301" t="inlineStr">
        <is>
          <t>VÄXJÖ</t>
        </is>
      </c>
      <c r="F301" t="inlineStr">
        <is>
          <t>Övriga Aktiebolag</t>
        </is>
      </c>
      <c r="G301" t="n">
        <v>2.2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Nattviol</t>
        </is>
      </c>
      <c r="S301">
        <f>HYPERLINK("https://klasma.github.io/Logging_0780/artfynd/A 38036-2024 artfynd.xlsx", "A 38036-2024")</f>
        <v/>
      </c>
      <c r="T301">
        <f>HYPERLINK("https://klasma.github.io/Logging_0780/kartor/A 38036-2024 karta.png", "A 38036-2024")</f>
        <v/>
      </c>
      <c r="V301">
        <f>HYPERLINK("https://klasma.github.io/Logging_0780/klagomål/A 38036-2024 FSC-klagomål.docx", "A 38036-2024")</f>
        <v/>
      </c>
      <c r="W301">
        <f>HYPERLINK("https://klasma.github.io/Logging_0780/klagomålsmail/A 38036-2024 FSC-klagomål mail.docx", "A 38036-2024")</f>
        <v/>
      </c>
      <c r="X301">
        <f>HYPERLINK("https://klasma.github.io/Logging_0780/tillsyn/A 38036-2024 tillsynsbegäran.docx", "A 38036-2024")</f>
        <v/>
      </c>
      <c r="Y301">
        <f>HYPERLINK("https://klasma.github.io/Logging_0780/tillsynsmail/A 38036-2024 tillsynsbegäran mail.docx", "A 38036-2024")</f>
        <v/>
      </c>
    </row>
    <row r="302" ht="15" customHeight="1">
      <c r="A302" t="inlineStr">
        <is>
          <t>A 38339-2024</t>
        </is>
      </c>
      <c r="B302" s="1" t="n">
        <v>45545</v>
      </c>
      <c r="C302" s="1" t="n">
        <v>45832</v>
      </c>
      <c r="D302" t="inlineStr">
        <is>
          <t>KRONOBERGS LÄN</t>
        </is>
      </c>
      <c r="E302" t="inlineStr">
        <is>
          <t>VÄXJÖ</t>
        </is>
      </c>
      <c r="G302" t="n">
        <v>4.9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Tallriska</t>
        </is>
      </c>
      <c r="S302">
        <f>HYPERLINK("https://klasma.github.io/Logging_0780/artfynd/A 38339-2024 artfynd.xlsx", "A 38339-2024")</f>
        <v/>
      </c>
      <c r="T302">
        <f>HYPERLINK("https://klasma.github.io/Logging_0780/kartor/A 38339-2024 karta.png", "A 38339-2024")</f>
        <v/>
      </c>
      <c r="V302">
        <f>HYPERLINK("https://klasma.github.io/Logging_0780/klagomål/A 38339-2024 FSC-klagomål.docx", "A 38339-2024")</f>
        <v/>
      </c>
      <c r="W302">
        <f>HYPERLINK("https://klasma.github.io/Logging_0780/klagomålsmail/A 38339-2024 FSC-klagomål mail.docx", "A 38339-2024")</f>
        <v/>
      </c>
      <c r="X302">
        <f>HYPERLINK("https://klasma.github.io/Logging_0780/tillsyn/A 38339-2024 tillsynsbegäran.docx", "A 38339-2024")</f>
        <v/>
      </c>
      <c r="Y302">
        <f>HYPERLINK("https://klasma.github.io/Logging_0780/tillsynsmail/A 38339-2024 tillsynsbegäran mail.docx", "A 38339-2024")</f>
        <v/>
      </c>
    </row>
    <row r="303" ht="15" customHeight="1">
      <c r="A303" t="inlineStr">
        <is>
          <t>A 38523-2024</t>
        </is>
      </c>
      <c r="B303" s="1" t="n">
        <v>45546</v>
      </c>
      <c r="C303" s="1" t="n">
        <v>45832</v>
      </c>
      <c r="D303" t="inlineStr">
        <is>
          <t>KRONOBERGS LÄN</t>
        </is>
      </c>
      <c r="E303" t="inlineStr">
        <is>
          <t>TINGSRYD</t>
        </is>
      </c>
      <c r="G303" t="n">
        <v>1.1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HYPERLINK("https://klasma.github.io/Logging_0763/artfynd/A 38523-2024 artfynd.xlsx", "A 38523-2024")</f>
        <v/>
      </c>
      <c r="T303">
        <f>HYPERLINK("https://klasma.github.io/Logging_0763/kartor/A 38523-2024 karta.png", "A 38523-2024")</f>
        <v/>
      </c>
      <c r="V303">
        <f>HYPERLINK("https://klasma.github.io/Logging_0763/klagomål/A 38523-2024 FSC-klagomål.docx", "A 38523-2024")</f>
        <v/>
      </c>
      <c r="W303">
        <f>HYPERLINK("https://klasma.github.io/Logging_0763/klagomålsmail/A 38523-2024 FSC-klagomål mail.docx", "A 38523-2024")</f>
        <v/>
      </c>
      <c r="X303">
        <f>HYPERLINK("https://klasma.github.io/Logging_0763/tillsyn/A 38523-2024 tillsynsbegäran.docx", "A 38523-2024")</f>
        <v/>
      </c>
      <c r="Y303">
        <f>HYPERLINK("https://klasma.github.io/Logging_0763/tillsynsmail/A 38523-2024 tillsynsbegäran mail.docx", "A 38523-2024")</f>
        <v/>
      </c>
    </row>
    <row r="304" ht="15" customHeight="1">
      <c r="A304" t="inlineStr">
        <is>
          <t>A 38890-2024</t>
        </is>
      </c>
      <c r="B304" s="1" t="n">
        <v>45547</v>
      </c>
      <c r="C304" s="1" t="n">
        <v>45832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Hårklomossa</t>
        </is>
      </c>
      <c r="S304">
        <f>HYPERLINK("https://klasma.github.io/Logging_0764/artfynd/A 38890-2024 artfynd.xlsx", "A 38890-2024")</f>
        <v/>
      </c>
      <c r="T304">
        <f>HYPERLINK("https://klasma.github.io/Logging_0764/kartor/A 38890-2024 karta.png", "A 38890-2024")</f>
        <v/>
      </c>
      <c r="V304">
        <f>HYPERLINK("https://klasma.github.io/Logging_0764/klagomål/A 38890-2024 FSC-klagomål.docx", "A 38890-2024")</f>
        <v/>
      </c>
      <c r="W304">
        <f>HYPERLINK("https://klasma.github.io/Logging_0764/klagomålsmail/A 38890-2024 FSC-klagomål mail.docx", "A 38890-2024")</f>
        <v/>
      </c>
      <c r="X304">
        <f>HYPERLINK("https://klasma.github.io/Logging_0764/tillsyn/A 38890-2024 tillsynsbegäran.docx", "A 38890-2024")</f>
        <v/>
      </c>
      <c r="Y304">
        <f>HYPERLINK("https://klasma.github.io/Logging_0764/tillsynsmail/A 38890-2024 tillsynsbegäran mail.docx", "A 38890-2024")</f>
        <v/>
      </c>
    </row>
    <row r="305" ht="15" customHeight="1">
      <c r="A305" t="inlineStr">
        <is>
          <t>A 40266-2024</t>
        </is>
      </c>
      <c r="B305" s="1" t="n">
        <v>45554</v>
      </c>
      <c r="C305" s="1" t="n">
        <v>45832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Mindre bastardsvärmare</t>
        </is>
      </c>
      <c r="S305">
        <f>HYPERLINK("https://klasma.github.io/Logging_0780/artfynd/A 40266-2024 artfynd.xlsx", "A 40266-2024")</f>
        <v/>
      </c>
      <c r="T305">
        <f>HYPERLINK("https://klasma.github.io/Logging_0780/kartor/A 40266-2024 karta.png", "A 40266-2024")</f>
        <v/>
      </c>
      <c r="V305">
        <f>HYPERLINK("https://klasma.github.io/Logging_0780/klagomål/A 40266-2024 FSC-klagomål.docx", "A 40266-2024")</f>
        <v/>
      </c>
      <c r="W305">
        <f>HYPERLINK("https://klasma.github.io/Logging_0780/klagomålsmail/A 40266-2024 FSC-klagomål mail.docx", "A 40266-2024")</f>
        <v/>
      </c>
      <c r="X305">
        <f>HYPERLINK("https://klasma.github.io/Logging_0780/tillsyn/A 40266-2024 tillsynsbegäran.docx", "A 40266-2024")</f>
        <v/>
      </c>
      <c r="Y305">
        <f>HYPERLINK("https://klasma.github.io/Logging_0780/tillsynsmail/A 40266-2024 tillsynsbegäran mail.docx", "A 40266-2024")</f>
        <v/>
      </c>
    </row>
    <row r="306" ht="15" customHeight="1">
      <c r="A306" t="inlineStr">
        <is>
          <t>A 40560-2024</t>
        </is>
      </c>
      <c r="B306" s="1" t="n">
        <v>45555</v>
      </c>
      <c r="C306" s="1" t="n">
        <v>45832</v>
      </c>
      <c r="D306" t="inlineStr">
        <is>
          <t>KRONOBERGS LÄN</t>
        </is>
      </c>
      <c r="E306" t="inlineStr">
        <is>
          <t>LJUNGBY</t>
        </is>
      </c>
      <c r="G306" t="n">
        <v>3.4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HYPERLINK("https://klasma.github.io/Logging_0781/artfynd/A 40560-2024 artfynd.xlsx", "A 40560-2024")</f>
        <v/>
      </c>
      <c r="T306">
        <f>HYPERLINK("https://klasma.github.io/Logging_0781/kartor/A 40560-2024 karta.png", "A 40560-2024")</f>
        <v/>
      </c>
      <c r="V306">
        <f>HYPERLINK("https://klasma.github.io/Logging_0781/klagomål/A 40560-2024 FSC-klagomål.docx", "A 40560-2024")</f>
        <v/>
      </c>
      <c r="W306">
        <f>HYPERLINK("https://klasma.github.io/Logging_0781/klagomålsmail/A 40560-2024 FSC-klagomål mail.docx", "A 40560-2024")</f>
        <v/>
      </c>
      <c r="X306">
        <f>HYPERLINK("https://klasma.github.io/Logging_0781/tillsyn/A 40560-2024 tillsynsbegäran.docx", "A 40560-2024")</f>
        <v/>
      </c>
      <c r="Y306">
        <f>HYPERLINK("https://klasma.github.io/Logging_0781/tillsynsmail/A 40560-2024 tillsynsbegäran mail.docx", "A 40560-2024")</f>
        <v/>
      </c>
      <c r="Z306">
        <f>HYPERLINK("https://klasma.github.io/Logging_0781/fåglar/A 40560-2024 prioriterade fågelarter.docx", "A 40560-2024")</f>
        <v/>
      </c>
    </row>
    <row r="307" ht="15" customHeight="1">
      <c r="A307" t="inlineStr">
        <is>
          <t>A 40911-2024</t>
        </is>
      </c>
      <c r="B307" s="1" t="n">
        <v>45558</v>
      </c>
      <c r="C307" s="1" t="n">
        <v>45832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HYPERLINK("https://klasma.github.io/Logging_0781/artfynd/A 40911-2024 artfynd.xlsx", "A 40911-2024")</f>
        <v/>
      </c>
      <c r="T307">
        <f>HYPERLINK("https://klasma.github.io/Logging_0781/kartor/A 40911-2024 karta.png", "A 40911-2024")</f>
        <v/>
      </c>
      <c r="V307">
        <f>HYPERLINK("https://klasma.github.io/Logging_0781/klagomål/A 40911-2024 FSC-klagomål.docx", "A 40911-2024")</f>
        <v/>
      </c>
      <c r="W307">
        <f>HYPERLINK("https://klasma.github.io/Logging_0781/klagomålsmail/A 40911-2024 FSC-klagomål mail.docx", "A 40911-2024")</f>
        <v/>
      </c>
      <c r="X307">
        <f>HYPERLINK("https://klasma.github.io/Logging_0781/tillsyn/A 40911-2024 tillsynsbegäran.docx", "A 40911-2024")</f>
        <v/>
      </c>
      <c r="Y307">
        <f>HYPERLINK("https://klasma.github.io/Logging_0781/tillsynsmail/A 40911-2024 tillsynsbegäran mail.docx", "A 40911-2024")</f>
        <v/>
      </c>
    </row>
    <row r="308" ht="15" customHeight="1">
      <c r="A308" t="inlineStr">
        <is>
          <t>A 42487-2024</t>
        </is>
      </c>
      <c r="B308" s="1" t="n">
        <v>45565</v>
      </c>
      <c r="C308" s="1" t="n">
        <v>45832</v>
      </c>
      <c r="D308" t="inlineStr">
        <is>
          <t>KRONOBERGS LÄN</t>
        </is>
      </c>
      <c r="E308" t="inlineStr">
        <is>
          <t>TINGSRYD</t>
        </is>
      </c>
      <c r="G308" t="n">
        <v>2.9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Spillkråka</t>
        </is>
      </c>
      <c r="S308">
        <f>HYPERLINK("https://klasma.github.io/Logging_0763/artfynd/A 42487-2024 artfynd.xlsx", "A 42487-2024")</f>
        <v/>
      </c>
      <c r="T308">
        <f>HYPERLINK("https://klasma.github.io/Logging_0763/kartor/A 42487-2024 karta.png", "A 42487-2024")</f>
        <v/>
      </c>
      <c r="V308">
        <f>HYPERLINK("https://klasma.github.io/Logging_0763/klagomål/A 42487-2024 FSC-klagomål.docx", "A 42487-2024")</f>
        <v/>
      </c>
      <c r="W308">
        <f>HYPERLINK("https://klasma.github.io/Logging_0763/klagomålsmail/A 42487-2024 FSC-klagomål mail.docx", "A 42487-2024")</f>
        <v/>
      </c>
      <c r="X308">
        <f>HYPERLINK("https://klasma.github.io/Logging_0763/tillsyn/A 42487-2024 tillsynsbegäran.docx", "A 42487-2024")</f>
        <v/>
      </c>
      <c r="Y308">
        <f>HYPERLINK("https://klasma.github.io/Logging_0763/tillsynsmail/A 42487-2024 tillsynsbegäran mail.docx", "A 42487-2024")</f>
        <v/>
      </c>
      <c r="Z308">
        <f>HYPERLINK("https://klasma.github.io/Logging_0763/fåglar/A 42487-2024 prioriterade fågelarter.docx", "A 42487-2024")</f>
        <v/>
      </c>
    </row>
    <row r="309" ht="15" customHeight="1">
      <c r="A309" t="inlineStr">
        <is>
          <t>A 43653-2024</t>
        </is>
      </c>
      <c r="B309" s="1" t="n">
        <v>45569</v>
      </c>
      <c r="C309" s="1" t="n">
        <v>45832</v>
      </c>
      <c r="D309" t="inlineStr">
        <is>
          <t>KRONOBERGS LÄN</t>
        </is>
      </c>
      <c r="E309" t="inlineStr">
        <is>
          <t>LJUNGBY</t>
        </is>
      </c>
      <c r="G309" t="n">
        <v>11.6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HYPERLINK("https://klasma.github.io/Logging_0781/artfynd/A 43653-2024 artfynd.xlsx", "A 43653-2024")</f>
        <v/>
      </c>
      <c r="T309">
        <f>HYPERLINK("https://klasma.github.io/Logging_0781/kartor/A 43653-2024 karta.png", "A 43653-2024")</f>
        <v/>
      </c>
      <c r="V309">
        <f>HYPERLINK("https://klasma.github.io/Logging_0781/klagomål/A 43653-2024 FSC-klagomål.docx", "A 43653-2024")</f>
        <v/>
      </c>
      <c r="W309">
        <f>HYPERLINK("https://klasma.github.io/Logging_0781/klagomålsmail/A 43653-2024 FSC-klagomål mail.docx", "A 43653-2024")</f>
        <v/>
      </c>
      <c r="X309">
        <f>HYPERLINK("https://klasma.github.io/Logging_0781/tillsyn/A 43653-2024 tillsynsbegäran.docx", "A 43653-2024")</f>
        <v/>
      </c>
      <c r="Y309">
        <f>HYPERLINK("https://klasma.github.io/Logging_0781/tillsynsmail/A 43653-2024 tillsynsbegäran mail.docx", "A 43653-2024")</f>
        <v/>
      </c>
    </row>
    <row r="310" ht="15" customHeight="1">
      <c r="A310" t="inlineStr">
        <is>
          <t>A 44406-2024</t>
        </is>
      </c>
      <c r="B310" s="1" t="n">
        <v>45573</v>
      </c>
      <c r="C310" s="1" t="n">
        <v>45832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HYPERLINK("https://klasma.github.io/Logging_0764/artfynd/A 44406-2024 artfynd.xlsx", "A 44406-2024")</f>
        <v/>
      </c>
      <c r="T310">
        <f>HYPERLINK("https://klasma.github.io/Logging_0764/kartor/A 44406-2024 karta.png", "A 44406-2024")</f>
        <v/>
      </c>
      <c r="V310">
        <f>HYPERLINK("https://klasma.github.io/Logging_0764/klagomål/A 44406-2024 FSC-klagomål.docx", "A 44406-2024")</f>
        <v/>
      </c>
      <c r="W310">
        <f>HYPERLINK("https://klasma.github.io/Logging_0764/klagomålsmail/A 44406-2024 FSC-klagomål mail.docx", "A 44406-2024")</f>
        <v/>
      </c>
      <c r="X310">
        <f>HYPERLINK("https://klasma.github.io/Logging_0764/tillsyn/A 44406-2024 tillsynsbegäran.docx", "A 44406-2024")</f>
        <v/>
      </c>
      <c r="Y310">
        <f>HYPERLINK("https://klasma.github.io/Logging_0764/tillsynsmail/A 44406-2024 tillsynsbegäran mail.docx", "A 44406-2024")</f>
        <v/>
      </c>
    </row>
    <row r="311" ht="15" customHeight="1">
      <c r="A311" t="inlineStr">
        <is>
          <t>A 46344-2024</t>
        </is>
      </c>
      <c r="B311" s="1" t="n">
        <v>45582</v>
      </c>
      <c r="C311" s="1" t="n">
        <v>45832</v>
      </c>
      <c r="D311" t="inlineStr">
        <is>
          <t>KRONOBERGS LÄN</t>
        </is>
      </c>
      <c r="E311" t="inlineStr">
        <is>
          <t>ALVESTA</t>
        </is>
      </c>
      <c r="G311" t="n">
        <v>4.1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HYPERLINK("https://klasma.github.io/Logging_0764/artfynd/A 46344-2024 artfynd.xlsx", "A 46344-2024")</f>
        <v/>
      </c>
      <c r="T311">
        <f>HYPERLINK("https://klasma.github.io/Logging_0764/kartor/A 46344-2024 karta.png", "A 46344-2024")</f>
        <v/>
      </c>
      <c r="V311">
        <f>HYPERLINK("https://klasma.github.io/Logging_0764/klagomål/A 46344-2024 FSC-klagomål.docx", "A 46344-2024")</f>
        <v/>
      </c>
      <c r="W311">
        <f>HYPERLINK("https://klasma.github.io/Logging_0764/klagomålsmail/A 46344-2024 FSC-klagomål mail.docx", "A 46344-2024")</f>
        <v/>
      </c>
      <c r="X311">
        <f>HYPERLINK("https://klasma.github.io/Logging_0764/tillsyn/A 46344-2024 tillsynsbegäran.docx", "A 46344-2024")</f>
        <v/>
      </c>
      <c r="Y311">
        <f>HYPERLINK("https://klasma.github.io/Logging_0764/tillsynsmail/A 46344-2024 tillsynsbegäran mail.docx", "A 46344-2024")</f>
        <v/>
      </c>
    </row>
    <row r="312" ht="15" customHeight="1">
      <c r="A312" t="inlineStr">
        <is>
          <t>A 51647-2024</t>
        </is>
      </c>
      <c r="B312" s="1" t="n">
        <v>45606</v>
      </c>
      <c r="C312" s="1" t="n">
        <v>45832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Granspira</t>
        </is>
      </c>
      <c r="S312">
        <f>HYPERLINK("https://klasma.github.io/Logging_0780/artfynd/A 51647-2024 artfynd.xlsx", "A 51647-2024")</f>
        <v/>
      </c>
      <c r="T312">
        <f>HYPERLINK("https://klasma.github.io/Logging_0780/kartor/A 51647-2024 karta.png", "A 51647-2024")</f>
        <v/>
      </c>
      <c r="V312">
        <f>HYPERLINK("https://klasma.github.io/Logging_0780/klagomål/A 51647-2024 FSC-klagomål.docx", "A 51647-2024")</f>
        <v/>
      </c>
      <c r="W312">
        <f>HYPERLINK("https://klasma.github.io/Logging_0780/klagomålsmail/A 51647-2024 FSC-klagomål mail.docx", "A 51647-2024")</f>
        <v/>
      </c>
      <c r="X312">
        <f>HYPERLINK("https://klasma.github.io/Logging_0780/tillsyn/A 51647-2024 tillsynsbegäran.docx", "A 51647-2024")</f>
        <v/>
      </c>
      <c r="Y312">
        <f>HYPERLINK("https://klasma.github.io/Logging_0780/tillsynsmail/A 51647-2024 tillsynsbegäran mail.docx", "A 51647-2024")</f>
        <v/>
      </c>
    </row>
    <row r="313" ht="15" customHeight="1">
      <c r="A313" t="inlineStr">
        <is>
          <t>A 52628-2024</t>
        </is>
      </c>
      <c r="B313" s="1" t="n">
        <v>45610</v>
      </c>
      <c r="C313" s="1" t="n">
        <v>45832</v>
      </c>
      <c r="D313" t="inlineStr">
        <is>
          <t>KRONOBERGS LÄN</t>
        </is>
      </c>
      <c r="E313" t="inlineStr">
        <is>
          <t>VÄXJÖ</t>
        </is>
      </c>
      <c r="G313" t="n">
        <v>4.2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HYPERLINK("https://klasma.github.io/Logging_0780/artfynd/A 52628-2024 artfynd.xlsx", "A 52628-2024")</f>
        <v/>
      </c>
      <c r="T313">
        <f>HYPERLINK("https://klasma.github.io/Logging_0780/kartor/A 52628-2024 karta.png", "A 52628-2024")</f>
        <v/>
      </c>
      <c r="V313">
        <f>HYPERLINK("https://klasma.github.io/Logging_0780/klagomål/A 52628-2024 FSC-klagomål.docx", "A 52628-2024")</f>
        <v/>
      </c>
      <c r="W313">
        <f>HYPERLINK("https://klasma.github.io/Logging_0780/klagomålsmail/A 52628-2024 FSC-klagomål mail.docx", "A 52628-2024")</f>
        <v/>
      </c>
      <c r="X313">
        <f>HYPERLINK("https://klasma.github.io/Logging_0780/tillsyn/A 52628-2024 tillsynsbegäran.docx", "A 52628-2024")</f>
        <v/>
      </c>
      <c r="Y313">
        <f>HYPERLINK("https://klasma.github.io/Logging_0780/tillsynsmail/A 52628-2024 tillsynsbegäran mail.docx", "A 52628-2024")</f>
        <v/>
      </c>
      <c r="Z313">
        <f>HYPERLINK("https://klasma.github.io/Logging_0780/fåglar/A 52628-2024 prioriterade fågelarter.docx", "A 52628-2024")</f>
        <v/>
      </c>
    </row>
    <row r="314" ht="15" customHeight="1">
      <c r="A314" t="inlineStr">
        <is>
          <t>A 55799-2024</t>
        </is>
      </c>
      <c r="B314" s="1" t="n">
        <v>45623</v>
      </c>
      <c r="C314" s="1" t="n">
        <v>45832</v>
      </c>
      <c r="D314" t="inlineStr">
        <is>
          <t>KRONOBERGS LÄN</t>
        </is>
      </c>
      <c r="E314" t="inlineStr">
        <is>
          <t>UPPVIDINGE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Slåttergubbe</t>
        </is>
      </c>
      <c r="S314">
        <f>HYPERLINK("https://klasma.github.io/Logging_0760/artfynd/A 55799-2024 artfynd.xlsx", "A 55799-2024")</f>
        <v/>
      </c>
      <c r="T314">
        <f>HYPERLINK("https://klasma.github.io/Logging_0760/kartor/A 55799-2024 karta.png", "A 55799-2024")</f>
        <v/>
      </c>
      <c r="V314">
        <f>HYPERLINK("https://klasma.github.io/Logging_0760/klagomål/A 55799-2024 FSC-klagomål.docx", "A 55799-2024")</f>
        <v/>
      </c>
      <c r="W314">
        <f>HYPERLINK("https://klasma.github.io/Logging_0760/klagomålsmail/A 55799-2024 FSC-klagomål mail.docx", "A 55799-2024")</f>
        <v/>
      </c>
      <c r="X314">
        <f>HYPERLINK("https://klasma.github.io/Logging_0760/tillsyn/A 55799-2024 tillsynsbegäran.docx", "A 55799-2024")</f>
        <v/>
      </c>
      <c r="Y314">
        <f>HYPERLINK("https://klasma.github.io/Logging_0760/tillsynsmail/A 55799-2024 tillsynsbegäran mail.docx", "A 55799-2024")</f>
        <v/>
      </c>
    </row>
    <row r="315" ht="15" customHeight="1">
      <c r="A315" t="inlineStr">
        <is>
          <t>A 56472-2024</t>
        </is>
      </c>
      <c r="B315" s="1" t="n">
        <v>45625</v>
      </c>
      <c r="C315" s="1" t="n">
        <v>45832</v>
      </c>
      <c r="D315" t="inlineStr">
        <is>
          <t>KRONOBERGS LÄN</t>
        </is>
      </c>
      <c r="E315" t="inlineStr">
        <is>
          <t>LESSEBO</t>
        </is>
      </c>
      <c r="G315" t="n">
        <v>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HYPERLINK("https://klasma.github.io/Logging_0761/artfynd/A 56472-2024 artfynd.xlsx", "A 56472-2024")</f>
        <v/>
      </c>
      <c r="T315">
        <f>HYPERLINK("https://klasma.github.io/Logging_0761/kartor/A 56472-2024 karta.png", "A 56472-2024")</f>
        <v/>
      </c>
      <c r="V315">
        <f>HYPERLINK("https://klasma.github.io/Logging_0761/klagomål/A 56472-2024 FSC-klagomål.docx", "A 56472-2024")</f>
        <v/>
      </c>
      <c r="W315">
        <f>HYPERLINK("https://klasma.github.io/Logging_0761/klagomålsmail/A 56472-2024 FSC-klagomål mail.docx", "A 56472-2024")</f>
        <v/>
      </c>
      <c r="X315">
        <f>HYPERLINK("https://klasma.github.io/Logging_0761/tillsyn/A 56472-2024 tillsynsbegäran.docx", "A 56472-2024")</f>
        <v/>
      </c>
      <c r="Y315">
        <f>HYPERLINK("https://klasma.github.io/Logging_0761/tillsynsmail/A 56472-2024 tillsynsbegäran mail.docx", "A 56472-2024")</f>
        <v/>
      </c>
    </row>
    <row r="316" ht="15" customHeight="1">
      <c r="A316" t="inlineStr">
        <is>
          <t>A 57204-2024</t>
        </is>
      </c>
      <c r="B316" s="1" t="n">
        <v>45629</v>
      </c>
      <c r="C316" s="1" t="n">
        <v>45832</v>
      </c>
      <c r="D316" t="inlineStr">
        <is>
          <t>KRONOBERGS LÄN</t>
        </is>
      </c>
      <c r="E316" t="inlineStr">
        <is>
          <t>LJUNGBY</t>
        </is>
      </c>
      <c r="G316" t="n">
        <v>23.5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HYPERLINK("https://klasma.github.io/Logging_0781/artfynd/A 57204-2024 artfynd.xlsx", "A 57204-2024")</f>
        <v/>
      </c>
      <c r="T316">
        <f>HYPERLINK("https://klasma.github.io/Logging_0781/kartor/A 57204-2024 karta.png", "A 57204-2024")</f>
        <v/>
      </c>
      <c r="U316">
        <f>HYPERLINK("https://klasma.github.io/Logging_0781/knärot/A 57204-2024 karta knärot.png", "A 57204-2024")</f>
        <v/>
      </c>
      <c r="V316">
        <f>HYPERLINK("https://klasma.github.io/Logging_0781/klagomål/A 57204-2024 FSC-klagomål.docx", "A 57204-2024")</f>
        <v/>
      </c>
      <c r="W316">
        <f>HYPERLINK("https://klasma.github.io/Logging_0781/klagomålsmail/A 57204-2024 FSC-klagomål mail.docx", "A 57204-2024")</f>
        <v/>
      </c>
      <c r="X316">
        <f>HYPERLINK("https://klasma.github.io/Logging_0781/tillsyn/A 57204-2024 tillsynsbegäran.docx", "A 57204-2024")</f>
        <v/>
      </c>
      <c r="Y316">
        <f>HYPERLINK("https://klasma.github.io/Logging_0781/tillsynsmail/A 57204-2024 tillsynsbegäran mail.docx", "A 57204-2024")</f>
        <v/>
      </c>
    </row>
    <row r="317" ht="15" customHeight="1">
      <c r="A317" t="inlineStr">
        <is>
          <t>A 58048-2024</t>
        </is>
      </c>
      <c r="B317" s="1" t="n">
        <v>45631</v>
      </c>
      <c r="C317" s="1" t="n">
        <v>45832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Solvända</t>
        </is>
      </c>
      <c r="S317">
        <f>HYPERLINK("https://klasma.github.io/Logging_0765/artfynd/A 58048-2024 artfynd.xlsx", "A 58048-2024")</f>
        <v/>
      </c>
      <c r="T317">
        <f>HYPERLINK("https://klasma.github.io/Logging_0765/kartor/A 58048-2024 karta.png", "A 58048-2024")</f>
        <v/>
      </c>
      <c r="V317">
        <f>HYPERLINK("https://klasma.github.io/Logging_0765/klagomål/A 58048-2024 FSC-klagomål.docx", "A 58048-2024")</f>
        <v/>
      </c>
      <c r="W317">
        <f>HYPERLINK("https://klasma.github.io/Logging_0765/klagomålsmail/A 58048-2024 FSC-klagomål mail.docx", "A 58048-2024")</f>
        <v/>
      </c>
      <c r="X317">
        <f>HYPERLINK("https://klasma.github.io/Logging_0765/tillsyn/A 58048-2024 tillsynsbegäran.docx", "A 58048-2024")</f>
        <v/>
      </c>
      <c r="Y317">
        <f>HYPERLINK("https://klasma.github.io/Logging_0765/tillsynsmail/A 58048-2024 tillsynsbegäran mail.docx", "A 58048-2024")</f>
        <v/>
      </c>
    </row>
    <row r="318" ht="15" customHeight="1">
      <c r="A318" t="inlineStr">
        <is>
          <t>A 58359-2024</t>
        </is>
      </c>
      <c r="B318" s="1" t="n">
        <v>45632</v>
      </c>
      <c r="C318" s="1" t="n">
        <v>45832</v>
      </c>
      <c r="D318" t="inlineStr">
        <is>
          <t>KRONOBERGS LÄN</t>
        </is>
      </c>
      <c r="E318" t="inlineStr">
        <is>
          <t>ÄLMHULT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Ljungögontröst</t>
        </is>
      </c>
      <c r="S318">
        <f>HYPERLINK("https://klasma.github.io/Logging_0765/artfynd/A 58359-2024 artfynd.xlsx", "A 58359-2024")</f>
        <v/>
      </c>
      <c r="T318">
        <f>HYPERLINK("https://klasma.github.io/Logging_0765/kartor/A 58359-2024 karta.png", "A 58359-2024")</f>
        <v/>
      </c>
      <c r="V318">
        <f>HYPERLINK("https://klasma.github.io/Logging_0765/klagomål/A 58359-2024 FSC-klagomål.docx", "A 58359-2024")</f>
        <v/>
      </c>
      <c r="W318">
        <f>HYPERLINK("https://klasma.github.io/Logging_0765/klagomålsmail/A 58359-2024 FSC-klagomål mail.docx", "A 58359-2024")</f>
        <v/>
      </c>
      <c r="X318">
        <f>HYPERLINK("https://klasma.github.io/Logging_0765/tillsyn/A 58359-2024 tillsynsbegäran.docx", "A 58359-2024")</f>
        <v/>
      </c>
      <c r="Y318">
        <f>HYPERLINK("https://klasma.github.io/Logging_0765/tillsynsmail/A 58359-2024 tillsynsbegäran mail.docx", "A 58359-2024")</f>
        <v/>
      </c>
    </row>
    <row r="319" ht="15" customHeight="1">
      <c r="A319" t="inlineStr">
        <is>
          <t>A 59362-2024</t>
        </is>
      </c>
      <c r="B319" s="1" t="n">
        <v>45638</v>
      </c>
      <c r="C319" s="1" t="n">
        <v>45832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HYPERLINK("https://klasma.github.io/Logging_0764/artfynd/A 59362-2024 artfynd.xlsx", "A 59362-2024")</f>
        <v/>
      </c>
      <c r="T319">
        <f>HYPERLINK("https://klasma.github.io/Logging_0764/kartor/A 59362-2024 karta.png", "A 59362-2024")</f>
        <v/>
      </c>
      <c r="V319">
        <f>HYPERLINK("https://klasma.github.io/Logging_0764/klagomål/A 59362-2024 FSC-klagomål.docx", "A 59362-2024")</f>
        <v/>
      </c>
      <c r="W319">
        <f>HYPERLINK("https://klasma.github.io/Logging_0764/klagomålsmail/A 59362-2024 FSC-klagomål mail.docx", "A 59362-2024")</f>
        <v/>
      </c>
      <c r="X319">
        <f>HYPERLINK("https://klasma.github.io/Logging_0764/tillsyn/A 59362-2024 tillsynsbegäran.docx", "A 59362-2024")</f>
        <v/>
      </c>
      <c r="Y319">
        <f>HYPERLINK("https://klasma.github.io/Logging_0764/tillsynsmail/A 59362-2024 tillsynsbegäran mail.docx", "A 59362-2024")</f>
        <v/>
      </c>
    </row>
    <row r="320" ht="15" customHeight="1">
      <c r="A320" t="inlineStr">
        <is>
          <t>A 60064-2024</t>
        </is>
      </c>
      <c r="B320" s="1" t="n">
        <v>45642</v>
      </c>
      <c r="C320" s="1" t="n">
        <v>45832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HYPERLINK("https://klasma.github.io/Logging_0780/artfynd/A 60064-2024 artfynd.xlsx", "A 60064-2024")</f>
        <v/>
      </c>
      <c r="T320">
        <f>HYPERLINK("https://klasma.github.io/Logging_0780/kartor/A 60064-2024 karta.png", "A 60064-2024")</f>
        <v/>
      </c>
      <c r="V320">
        <f>HYPERLINK("https://klasma.github.io/Logging_0780/klagomål/A 60064-2024 FSC-klagomål.docx", "A 60064-2024")</f>
        <v/>
      </c>
      <c r="W320">
        <f>HYPERLINK("https://klasma.github.io/Logging_0780/klagomålsmail/A 60064-2024 FSC-klagomål mail.docx", "A 60064-2024")</f>
        <v/>
      </c>
      <c r="X320">
        <f>HYPERLINK("https://klasma.github.io/Logging_0780/tillsyn/A 60064-2024 tillsynsbegäran.docx", "A 60064-2024")</f>
        <v/>
      </c>
      <c r="Y320">
        <f>HYPERLINK("https://klasma.github.io/Logging_0780/tillsynsmail/A 60064-2024 tillsynsbegäran mail.docx", "A 60064-2024")</f>
        <v/>
      </c>
    </row>
    <row r="321" ht="15" customHeight="1">
      <c r="A321" t="inlineStr">
        <is>
          <t>A 60139-2024</t>
        </is>
      </c>
      <c r="B321" s="1" t="n">
        <v>45642</v>
      </c>
      <c r="C321" s="1" t="n">
        <v>45832</v>
      </c>
      <c r="D321" t="inlineStr">
        <is>
          <t>KRONOBERGS LÄN</t>
        </is>
      </c>
      <c r="E321" t="inlineStr">
        <is>
          <t>LJUNGBY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Skogsalm</t>
        </is>
      </c>
      <c r="S321">
        <f>HYPERLINK("https://klasma.github.io/Logging_0781/artfynd/A 60139-2024 artfynd.xlsx", "A 60139-2024")</f>
        <v/>
      </c>
      <c r="T321">
        <f>HYPERLINK("https://klasma.github.io/Logging_0781/kartor/A 60139-2024 karta.png", "A 60139-2024")</f>
        <v/>
      </c>
      <c r="V321">
        <f>HYPERLINK("https://klasma.github.io/Logging_0781/klagomål/A 60139-2024 FSC-klagomål.docx", "A 60139-2024")</f>
        <v/>
      </c>
      <c r="W321">
        <f>HYPERLINK("https://klasma.github.io/Logging_0781/klagomålsmail/A 60139-2024 FSC-klagomål mail.docx", "A 60139-2024")</f>
        <v/>
      </c>
      <c r="X321">
        <f>HYPERLINK("https://klasma.github.io/Logging_0781/tillsyn/A 60139-2024 tillsynsbegäran.docx", "A 60139-2024")</f>
        <v/>
      </c>
      <c r="Y321">
        <f>HYPERLINK("https://klasma.github.io/Logging_0781/tillsynsmail/A 60139-2024 tillsynsbegäran mail.docx", "A 60139-2024")</f>
        <v/>
      </c>
    </row>
    <row r="322" ht="15" customHeight="1">
      <c r="A322" t="inlineStr">
        <is>
          <t>A 60370-2024</t>
        </is>
      </c>
      <c r="B322" s="1" t="n">
        <v>45643</v>
      </c>
      <c r="C322" s="1" t="n">
        <v>45832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HYPERLINK("https://klasma.github.io/Logging_0780/artfynd/A 60370-2024 artfynd.xlsx", "A 60370-2024")</f>
        <v/>
      </c>
      <c r="T322">
        <f>HYPERLINK("https://klasma.github.io/Logging_0780/kartor/A 60370-2024 karta.png", "A 60370-2024")</f>
        <v/>
      </c>
      <c r="V322">
        <f>HYPERLINK("https://klasma.github.io/Logging_0780/klagomål/A 60370-2024 FSC-klagomål.docx", "A 60370-2024")</f>
        <v/>
      </c>
      <c r="W322">
        <f>HYPERLINK("https://klasma.github.io/Logging_0780/klagomålsmail/A 60370-2024 FSC-klagomål mail.docx", "A 60370-2024")</f>
        <v/>
      </c>
      <c r="X322">
        <f>HYPERLINK("https://klasma.github.io/Logging_0780/tillsyn/A 60370-2024 tillsynsbegäran.docx", "A 60370-2024")</f>
        <v/>
      </c>
      <c r="Y322">
        <f>HYPERLINK("https://klasma.github.io/Logging_0780/tillsynsmail/A 60370-2024 tillsynsbegäran mail.docx", "A 60370-2024")</f>
        <v/>
      </c>
    </row>
    <row r="323" ht="15" customHeight="1">
      <c r="A323" t="inlineStr">
        <is>
          <t>A 430-2025</t>
        </is>
      </c>
      <c r="B323" s="1" t="n">
        <v>45664</v>
      </c>
      <c r="C323" s="1" t="n">
        <v>45832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Grönsångare</t>
        </is>
      </c>
      <c r="S323">
        <f>HYPERLINK("https://klasma.github.io/Logging_0764/artfynd/A 430-2025 artfynd.xlsx", "A 430-2025")</f>
        <v/>
      </c>
      <c r="T323">
        <f>HYPERLINK("https://klasma.github.io/Logging_0764/kartor/A 430-2025 karta.png", "A 430-2025")</f>
        <v/>
      </c>
      <c r="V323">
        <f>HYPERLINK("https://klasma.github.io/Logging_0764/klagomål/A 430-2025 FSC-klagomål.docx", "A 430-2025")</f>
        <v/>
      </c>
      <c r="W323">
        <f>HYPERLINK("https://klasma.github.io/Logging_0764/klagomålsmail/A 430-2025 FSC-klagomål mail.docx", "A 430-2025")</f>
        <v/>
      </c>
      <c r="X323">
        <f>HYPERLINK("https://klasma.github.io/Logging_0764/tillsyn/A 430-2025 tillsynsbegäran.docx", "A 430-2025")</f>
        <v/>
      </c>
      <c r="Y323">
        <f>HYPERLINK("https://klasma.github.io/Logging_0764/tillsynsmail/A 430-2025 tillsynsbegäran mail.docx", "A 430-2025")</f>
        <v/>
      </c>
      <c r="Z323">
        <f>HYPERLINK("https://klasma.github.io/Logging_0764/fåglar/A 430-2025 prioriterade fågelarter.docx", "A 430-2025")</f>
        <v/>
      </c>
    </row>
    <row r="324" ht="15" customHeight="1">
      <c r="A324" t="inlineStr">
        <is>
          <t>A 792-2025</t>
        </is>
      </c>
      <c r="B324" s="1" t="n">
        <v>45665</v>
      </c>
      <c r="C324" s="1" t="n">
        <v>45832</v>
      </c>
      <c r="D324" t="inlineStr">
        <is>
          <t>KRONOBERGS LÄN</t>
        </is>
      </c>
      <c r="E324" t="inlineStr">
        <is>
          <t>ÄLMHULT</t>
        </is>
      </c>
      <c r="G324" t="n">
        <v>6.1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Brandticka</t>
        </is>
      </c>
      <c r="S324">
        <f>HYPERLINK("https://klasma.github.io/Logging_0765/artfynd/A 792-2025 artfynd.xlsx", "A 792-2025")</f>
        <v/>
      </c>
      <c r="T324">
        <f>HYPERLINK("https://klasma.github.io/Logging_0765/kartor/A 792-2025 karta.png", "A 792-2025")</f>
        <v/>
      </c>
      <c r="V324">
        <f>HYPERLINK("https://klasma.github.io/Logging_0765/klagomål/A 792-2025 FSC-klagomål.docx", "A 792-2025")</f>
        <v/>
      </c>
      <c r="W324">
        <f>HYPERLINK("https://klasma.github.io/Logging_0765/klagomålsmail/A 792-2025 FSC-klagomål mail.docx", "A 792-2025")</f>
        <v/>
      </c>
      <c r="X324">
        <f>HYPERLINK("https://klasma.github.io/Logging_0765/tillsyn/A 792-2025 tillsynsbegäran.docx", "A 792-2025")</f>
        <v/>
      </c>
      <c r="Y324">
        <f>HYPERLINK("https://klasma.github.io/Logging_0765/tillsynsmail/A 792-2025 tillsynsbegäran mail.docx", "A 792-2025")</f>
        <v/>
      </c>
    </row>
    <row r="325" ht="15" customHeight="1">
      <c r="A325" t="inlineStr">
        <is>
          <t>A 1811-2025</t>
        </is>
      </c>
      <c r="B325" s="1" t="n">
        <v>45670</v>
      </c>
      <c r="C325" s="1" t="n">
        <v>45832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2.3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Spillkråka</t>
        </is>
      </c>
      <c r="S325">
        <f>HYPERLINK("https://klasma.github.io/Logging_0764/artfynd/A 1811-2025 artfynd.xlsx", "A 1811-2025")</f>
        <v/>
      </c>
      <c r="T325">
        <f>HYPERLINK("https://klasma.github.io/Logging_0764/kartor/A 1811-2025 karta.png", "A 1811-2025")</f>
        <v/>
      </c>
      <c r="V325">
        <f>HYPERLINK("https://klasma.github.io/Logging_0764/klagomål/A 1811-2025 FSC-klagomål.docx", "A 1811-2025")</f>
        <v/>
      </c>
      <c r="W325">
        <f>HYPERLINK("https://klasma.github.io/Logging_0764/klagomålsmail/A 1811-2025 FSC-klagomål mail.docx", "A 1811-2025")</f>
        <v/>
      </c>
      <c r="X325">
        <f>HYPERLINK("https://klasma.github.io/Logging_0764/tillsyn/A 1811-2025 tillsynsbegäran.docx", "A 1811-2025")</f>
        <v/>
      </c>
      <c r="Y325">
        <f>HYPERLINK("https://klasma.github.io/Logging_0764/tillsynsmail/A 1811-2025 tillsynsbegäran mail.docx", "A 1811-2025")</f>
        <v/>
      </c>
      <c r="Z325">
        <f>HYPERLINK("https://klasma.github.io/Logging_0764/fåglar/A 1811-2025 prioriterade fågelarter.docx", "A 1811-2025")</f>
        <v/>
      </c>
    </row>
    <row r="326" ht="15" customHeight="1">
      <c r="A326" t="inlineStr">
        <is>
          <t>A 4451-2025</t>
        </is>
      </c>
      <c r="B326" s="1" t="n">
        <v>45686</v>
      </c>
      <c r="C326" s="1" t="n">
        <v>45832</v>
      </c>
      <c r="D326" t="inlineStr">
        <is>
          <t>KRONOBERGS LÄN</t>
        </is>
      </c>
      <c r="E326" t="inlineStr">
        <is>
          <t>LJUNGBY</t>
        </is>
      </c>
      <c r="G326" t="n">
        <v>2.5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Duvhök</t>
        </is>
      </c>
      <c r="S326">
        <f>HYPERLINK("https://klasma.github.io/Logging_0781/artfynd/A 4451-2025 artfynd.xlsx", "A 4451-2025")</f>
        <v/>
      </c>
      <c r="T326">
        <f>HYPERLINK("https://klasma.github.io/Logging_0781/kartor/A 4451-2025 karta.png", "A 4451-2025")</f>
        <v/>
      </c>
      <c r="V326">
        <f>HYPERLINK("https://klasma.github.io/Logging_0781/klagomål/A 4451-2025 FSC-klagomål.docx", "A 4451-2025")</f>
        <v/>
      </c>
      <c r="W326">
        <f>HYPERLINK("https://klasma.github.io/Logging_0781/klagomålsmail/A 4451-2025 FSC-klagomål mail.docx", "A 4451-2025")</f>
        <v/>
      </c>
      <c r="X326">
        <f>HYPERLINK("https://klasma.github.io/Logging_0781/tillsyn/A 4451-2025 tillsynsbegäran.docx", "A 4451-2025")</f>
        <v/>
      </c>
      <c r="Y326">
        <f>HYPERLINK("https://klasma.github.io/Logging_0781/tillsynsmail/A 4451-2025 tillsynsbegäran mail.docx", "A 4451-2025")</f>
        <v/>
      </c>
      <c r="Z326">
        <f>HYPERLINK("https://klasma.github.io/Logging_0781/fåglar/A 4451-2025 prioriterade fågelarter.docx", "A 4451-2025")</f>
        <v/>
      </c>
    </row>
    <row r="327" ht="15" customHeight="1">
      <c r="A327" t="inlineStr">
        <is>
          <t>A 4801-2025</t>
        </is>
      </c>
      <c r="B327" s="1" t="n">
        <v>45688</v>
      </c>
      <c r="C327" s="1" t="n">
        <v>45832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HYPERLINK("https://klasma.github.io/Logging_0760/artfynd/A 4801-2025 artfynd.xlsx", "A 4801-2025")</f>
        <v/>
      </c>
      <c r="T327">
        <f>HYPERLINK("https://klasma.github.io/Logging_0760/kartor/A 4801-2025 karta.png", "A 4801-2025")</f>
        <v/>
      </c>
      <c r="V327">
        <f>HYPERLINK("https://klasma.github.io/Logging_0760/klagomål/A 4801-2025 FSC-klagomål.docx", "A 4801-2025")</f>
        <v/>
      </c>
      <c r="W327">
        <f>HYPERLINK("https://klasma.github.io/Logging_0760/klagomålsmail/A 4801-2025 FSC-klagomål mail.docx", "A 4801-2025")</f>
        <v/>
      </c>
      <c r="X327">
        <f>HYPERLINK("https://klasma.github.io/Logging_0760/tillsyn/A 4801-2025 tillsynsbegäran.docx", "A 4801-2025")</f>
        <v/>
      </c>
      <c r="Y327">
        <f>HYPERLINK("https://klasma.github.io/Logging_0760/tillsynsmail/A 4801-2025 tillsynsbegäran mail.docx", "A 4801-2025")</f>
        <v/>
      </c>
    </row>
    <row r="328" ht="15" customHeight="1">
      <c r="A328" t="inlineStr">
        <is>
          <t>A 4720-2025</t>
        </is>
      </c>
      <c r="B328" s="1" t="n">
        <v>45688</v>
      </c>
      <c r="C328" s="1" t="n">
        <v>45832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HYPERLINK("https://klasma.github.io/Logging_0760/artfynd/A 4720-2025 artfynd.xlsx", "A 4720-2025")</f>
        <v/>
      </c>
      <c r="T328">
        <f>HYPERLINK("https://klasma.github.io/Logging_0760/kartor/A 4720-2025 karta.png", "A 4720-2025")</f>
        <v/>
      </c>
      <c r="V328">
        <f>HYPERLINK("https://klasma.github.io/Logging_0760/klagomål/A 4720-2025 FSC-klagomål.docx", "A 4720-2025")</f>
        <v/>
      </c>
      <c r="W328">
        <f>HYPERLINK("https://klasma.github.io/Logging_0760/klagomålsmail/A 4720-2025 FSC-klagomål mail.docx", "A 4720-2025")</f>
        <v/>
      </c>
      <c r="X328">
        <f>HYPERLINK("https://klasma.github.io/Logging_0760/tillsyn/A 4720-2025 tillsynsbegäran.docx", "A 4720-2025")</f>
        <v/>
      </c>
      <c r="Y328">
        <f>HYPERLINK("https://klasma.github.io/Logging_0760/tillsynsmail/A 4720-2025 tillsynsbegäran mail.docx", "A 4720-2025")</f>
        <v/>
      </c>
    </row>
    <row r="329" ht="15" customHeight="1">
      <c r="A329" t="inlineStr">
        <is>
          <t>A 6614-2025</t>
        </is>
      </c>
      <c r="B329" s="1" t="n">
        <v>45700</v>
      </c>
      <c r="C329" s="1" t="n">
        <v>45832</v>
      </c>
      <c r="D329" t="inlineStr">
        <is>
          <t>KRONOBERGS LÄN</t>
        </is>
      </c>
      <c r="E329" t="inlineStr">
        <is>
          <t>MARKARYD</t>
        </is>
      </c>
      <c r="G329" t="n">
        <v>6.1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Borsttåg</t>
        </is>
      </c>
      <c r="S329">
        <f>HYPERLINK("https://klasma.github.io/Logging_0767/artfynd/A 6614-2025 artfynd.xlsx", "A 6614-2025")</f>
        <v/>
      </c>
      <c r="T329">
        <f>HYPERLINK("https://klasma.github.io/Logging_0767/kartor/A 6614-2025 karta.png", "A 6614-2025")</f>
        <v/>
      </c>
      <c r="V329">
        <f>HYPERLINK("https://klasma.github.io/Logging_0767/klagomål/A 6614-2025 FSC-klagomål.docx", "A 6614-2025")</f>
        <v/>
      </c>
      <c r="W329">
        <f>HYPERLINK("https://klasma.github.io/Logging_0767/klagomålsmail/A 6614-2025 FSC-klagomål mail.docx", "A 6614-2025")</f>
        <v/>
      </c>
      <c r="X329">
        <f>HYPERLINK("https://klasma.github.io/Logging_0767/tillsyn/A 6614-2025 tillsynsbegäran.docx", "A 6614-2025")</f>
        <v/>
      </c>
      <c r="Y329">
        <f>HYPERLINK("https://klasma.github.io/Logging_0767/tillsynsmail/A 6614-2025 tillsynsbegäran mail.docx", "A 6614-2025")</f>
        <v/>
      </c>
    </row>
    <row r="330" ht="15" customHeight="1">
      <c r="A330" t="inlineStr">
        <is>
          <t>A 9876-2025</t>
        </is>
      </c>
      <c r="B330" s="1" t="n">
        <v>45716</v>
      </c>
      <c r="C330" s="1" t="n">
        <v>45832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4.1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HYPERLINK("https://klasma.github.io/Logging_070765/artfynd/A 9876-2025 artfynd.xlsx", "A 9876-2025")</f>
        <v/>
      </c>
      <c r="T330">
        <f>HYPERLINK("https://klasma.github.io/Logging_070765/kartor/A 9876-2025 karta.png", "A 9876-2025")</f>
        <v/>
      </c>
      <c r="V330">
        <f>HYPERLINK("https://klasma.github.io/Logging_070765/klagomål/A 9876-2025 FSC-klagomål.docx", "A 9876-2025")</f>
        <v/>
      </c>
      <c r="W330">
        <f>HYPERLINK("https://klasma.github.io/Logging_070765/klagomålsmail/A 9876-2025 FSC-klagomål mail.docx", "A 9876-2025")</f>
        <v/>
      </c>
      <c r="X330">
        <f>HYPERLINK("https://klasma.github.io/Logging_070765/tillsyn/A 9876-2025 tillsynsbegäran.docx", "A 9876-2025")</f>
        <v/>
      </c>
      <c r="Y330">
        <f>HYPERLINK("https://klasma.github.io/Logging_070765/tillsynsmail/A 9876-2025 tillsynsbegäran mail.docx", "A 9876-2025")</f>
        <v/>
      </c>
    </row>
    <row r="331" ht="15" customHeight="1">
      <c r="A331" t="inlineStr">
        <is>
          <t>A 13604-2025</t>
        </is>
      </c>
      <c r="B331" s="1" t="n">
        <v>45736</v>
      </c>
      <c r="C331" s="1" t="n">
        <v>45832</v>
      </c>
      <c r="D331" t="inlineStr">
        <is>
          <t>KRONOBERGS LÄN</t>
        </is>
      </c>
      <c r="E331" t="inlineStr">
        <is>
          <t>TINGSRYD</t>
        </is>
      </c>
      <c r="G331" t="n">
        <v>2.2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Barkticka</t>
        </is>
      </c>
      <c r="S331">
        <f>HYPERLINK("https://klasma.github.io/Logging_070763/artfynd/A 13604-2025 artfynd.xlsx", "A 13604-2025")</f>
        <v/>
      </c>
      <c r="T331">
        <f>HYPERLINK("https://klasma.github.io/Logging_070763/kartor/A 13604-2025 karta.png", "A 13604-2025")</f>
        <v/>
      </c>
      <c r="V331">
        <f>HYPERLINK("https://klasma.github.io/Logging_070763/klagomål/A 13604-2025 FSC-klagomål.docx", "A 13604-2025")</f>
        <v/>
      </c>
      <c r="W331">
        <f>HYPERLINK("https://klasma.github.io/Logging_070763/klagomålsmail/A 13604-2025 FSC-klagomål mail.docx", "A 13604-2025")</f>
        <v/>
      </c>
      <c r="X331">
        <f>HYPERLINK("https://klasma.github.io/Logging_070763/tillsyn/A 13604-2025 tillsynsbegäran.docx", "A 13604-2025")</f>
        <v/>
      </c>
      <c r="Y331">
        <f>HYPERLINK("https://klasma.github.io/Logging_070763/tillsynsmail/A 13604-2025 tillsynsbegäran mail.docx", "A 13604-2025")</f>
        <v/>
      </c>
    </row>
    <row r="332" ht="15" customHeight="1">
      <c r="A332" t="inlineStr">
        <is>
          <t>A 14789-2025</t>
        </is>
      </c>
      <c r="B332" s="1" t="n">
        <v>45742</v>
      </c>
      <c r="C332" s="1" t="n">
        <v>45832</v>
      </c>
      <c r="D332" t="inlineStr">
        <is>
          <t>KRONOBERGS LÄN</t>
        </is>
      </c>
      <c r="E332" t="inlineStr">
        <is>
          <t>ÄLMHULT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1</v>
      </c>
      <c r="O332" t="n">
        <v>1</v>
      </c>
      <c r="P332" t="n">
        <v>0</v>
      </c>
      <c r="Q332" t="n">
        <v>1</v>
      </c>
      <c r="R332" s="2" t="inlineStr">
        <is>
          <t>Pimpinellros</t>
        </is>
      </c>
      <c r="S332">
        <f>HYPERLINK("https://klasma.github.io/Logging_070765/artfynd/A 14789-2025 artfynd.xlsx", "A 14789-2025")</f>
        <v/>
      </c>
      <c r="T332">
        <f>HYPERLINK("https://klasma.github.io/Logging_070765/kartor/A 14789-2025 karta.png", "A 14789-2025")</f>
        <v/>
      </c>
      <c r="V332">
        <f>HYPERLINK("https://klasma.github.io/Logging_070765/klagomål/A 14789-2025 FSC-klagomål.docx", "A 14789-2025")</f>
        <v/>
      </c>
      <c r="W332">
        <f>HYPERLINK("https://klasma.github.io/Logging_070765/klagomålsmail/A 14789-2025 FSC-klagomål mail.docx", "A 14789-2025")</f>
        <v/>
      </c>
      <c r="X332">
        <f>HYPERLINK("https://klasma.github.io/Logging_070765/tillsyn/A 14789-2025 tillsynsbegäran.docx", "A 14789-2025")</f>
        <v/>
      </c>
      <c r="Y332">
        <f>HYPERLINK("https://klasma.github.io/Logging_070765/tillsynsmail/A 14789-2025 tillsynsbegäran mail.docx", "A 14789-2025")</f>
        <v/>
      </c>
    </row>
    <row r="333" ht="15" customHeight="1">
      <c r="A333" t="inlineStr">
        <is>
          <t>A 15510-2025</t>
        </is>
      </c>
      <c r="B333" s="1" t="n">
        <v>45747</v>
      </c>
      <c r="C333" s="1" t="n">
        <v>45832</v>
      </c>
      <c r="D333" t="inlineStr">
        <is>
          <t>KRONOBERGS LÄN</t>
        </is>
      </c>
      <c r="E333" t="inlineStr">
        <is>
          <t>UPPVIDINGE</t>
        </is>
      </c>
      <c r="F333" t="inlineStr">
        <is>
          <t>Kommuner</t>
        </is>
      </c>
      <c r="G333" t="n">
        <v>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HYPERLINK("https://klasma.github.io/Logging_070760/artfynd/A 15510-2025 artfynd.xlsx", "A 15510-2025")</f>
        <v/>
      </c>
      <c r="T333">
        <f>HYPERLINK("https://klasma.github.io/Logging_070760/kartor/A 15510-2025 karta.png", "A 15510-2025")</f>
        <v/>
      </c>
      <c r="V333">
        <f>HYPERLINK("https://klasma.github.io/Logging_070760/klagomål/A 15510-2025 FSC-klagomål.docx", "A 15510-2025")</f>
        <v/>
      </c>
      <c r="W333">
        <f>HYPERLINK("https://klasma.github.io/Logging_070760/klagomålsmail/A 15510-2025 FSC-klagomål mail.docx", "A 15510-2025")</f>
        <v/>
      </c>
      <c r="X333">
        <f>HYPERLINK("https://klasma.github.io/Logging_070760/tillsyn/A 15510-2025 tillsynsbegäran.docx", "A 15510-2025")</f>
        <v/>
      </c>
      <c r="Y333">
        <f>HYPERLINK("https://klasma.github.io/Logging_070760/tillsynsmail/A 15510-2025 tillsynsbegäran mail.docx", "A 15510-2025")</f>
        <v/>
      </c>
    </row>
    <row r="334" ht="15" customHeight="1">
      <c r="A334" t="inlineStr">
        <is>
          <t>A 15922-2025</t>
        </is>
      </c>
      <c r="B334" s="1" t="n">
        <v>45749</v>
      </c>
      <c r="C334" s="1" t="n">
        <v>45832</v>
      </c>
      <c r="D334" t="inlineStr">
        <is>
          <t>KRONOBERGS LÄN</t>
        </is>
      </c>
      <c r="E334" t="inlineStr">
        <is>
          <t>LJUNGBY</t>
        </is>
      </c>
      <c r="G334" t="n">
        <v>4.4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Kungsörn</t>
        </is>
      </c>
      <c r="S334">
        <f>HYPERLINK("https://klasma.github.io/Logging_070781/artfynd/A 15922-2025 artfynd.xlsx", "A 15922-2025")</f>
        <v/>
      </c>
      <c r="T334">
        <f>HYPERLINK("https://klasma.github.io/Logging_070781/kartor/A 15922-2025 karta.png", "A 15922-2025")</f>
        <v/>
      </c>
      <c r="V334">
        <f>HYPERLINK("https://klasma.github.io/Logging_070781/klagomål/A 15922-2025 FSC-klagomål.docx", "A 15922-2025")</f>
        <v/>
      </c>
      <c r="W334">
        <f>HYPERLINK("https://klasma.github.io/Logging_070781/klagomålsmail/A 15922-2025 FSC-klagomål mail.docx", "A 15922-2025")</f>
        <v/>
      </c>
      <c r="X334">
        <f>HYPERLINK("https://klasma.github.io/Logging_070781/tillsyn/A 15922-2025 tillsynsbegäran.docx", "A 15922-2025")</f>
        <v/>
      </c>
      <c r="Y334">
        <f>HYPERLINK("https://klasma.github.io/Logging_070781/tillsynsmail/A 15922-2025 tillsynsbegäran mail.docx", "A 15922-2025")</f>
        <v/>
      </c>
      <c r="Z334">
        <f>HYPERLINK("https://klasma.github.io/Logging_070781/fåglar/A 15922-2025 prioriterade fågelarter.docx", "A 15922-2025")</f>
        <v/>
      </c>
    </row>
    <row r="335" ht="15" customHeight="1">
      <c r="A335" t="inlineStr">
        <is>
          <t>A 16749-2025</t>
        </is>
      </c>
      <c r="B335" s="1" t="n">
        <v>45754</v>
      </c>
      <c r="C335" s="1" t="n">
        <v>45832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Talltita</t>
        </is>
      </c>
      <c r="S335">
        <f>HYPERLINK("https://klasma.github.io/Logging_070781/artfynd/A 16749-2025 artfynd.xlsx", "A 16749-2025")</f>
        <v/>
      </c>
      <c r="T335">
        <f>HYPERLINK("https://klasma.github.io/Logging_070781/kartor/A 16749-2025 karta.png", "A 16749-2025")</f>
        <v/>
      </c>
      <c r="V335">
        <f>HYPERLINK("https://klasma.github.io/Logging_070781/klagomål/A 16749-2025 FSC-klagomål.docx", "A 16749-2025")</f>
        <v/>
      </c>
      <c r="W335">
        <f>HYPERLINK("https://klasma.github.io/Logging_070781/klagomålsmail/A 16749-2025 FSC-klagomål mail.docx", "A 16749-2025")</f>
        <v/>
      </c>
      <c r="X335">
        <f>HYPERLINK("https://klasma.github.io/Logging_070781/tillsyn/A 16749-2025 tillsynsbegäran.docx", "A 16749-2025")</f>
        <v/>
      </c>
      <c r="Y335">
        <f>HYPERLINK("https://klasma.github.io/Logging_070781/tillsynsmail/A 16749-2025 tillsynsbegäran mail.docx", "A 16749-2025")</f>
        <v/>
      </c>
      <c r="Z335">
        <f>HYPERLINK("https://klasma.github.io/Logging_070781/fåglar/A 16749-2025 prioriterade fågelarter.docx", "A 16749-2025")</f>
        <v/>
      </c>
    </row>
    <row r="336" ht="15" customHeight="1">
      <c r="A336" t="inlineStr">
        <is>
          <t>A 18079-2025</t>
        </is>
      </c>
      <c r="B336" s="1" t="n">
        <v>45761</v>
      </c>
      <c r="C336" s="1" t="n">
        <v>45832</v>
      </c>
      <c r="D336" t="inlineStr">
        <is>
          <t>KRONOBERGS LÄN</t>
        </is>
      </c>
      <c r="E336" t="inlineStr">
        <is>
          <t>VÄXJÖ</t>
        </is>
      </c>
      <c r="G336" t="n">
        <v>2.6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Blåmossa</t>
        </is>
      </c>
      <c r="S336">
        <f>HYPERLINK("https://klasma.github.io/Logging_070780/artfynd/A 18079-2025 artfynd.xlsx", "A 18079-2025")</f>
        <v/>
      </c>
      <c r="T336">
        <f>HYPERLINK("https://klasma.github.io/Logging_070780/kartor/A 18079-2025 karta.png", "A 18079-2025")</f>
        <v/>
      </c>
      <c r="V336">
        <f>HYPERLINK("https://klasma.github.io/Logging_070780/klagomål/A 18079-2025 FSC-klagomål.docx", "A 18079-2025")</f>
        <v/>
      </c>
      <c r="W336">
        <f>HYPERLINK("https://klasma.github.io/Logging_070780/klagomålsmail/A 18079-2025 FSC-klagomål mail.docx", "A 18079-2025")</f>
        <v/>
      </c>
      <c r="X336">
        <f>HYPERLINK("https://klasma.github.io/Logging_070780/tillsyn/A 18079-2025 tillsynsbegäran.docx", "A 18079-2025")</f>
        <v/>
      </c>
      <c r="Y336">
        <f>HYPERLINK("https://klasma.github.io/Logging_070780/tillsynsmail/A 18079-2025 tillsynsbegäran mail.docx", "A 18079-2025")</f>
        <v/>
      </c>
    </row>
    <row r="337" ht="15" customHeight="1">
      <c r="A337" t="inlineStr">
        <is>
          <t>A 18747-2025</t>
        </is>
      </c>
      <c r="B337" s="1" t="n">
        <v>45763</v>
      </c>
      <c r="C337" s="1" t="n">
        <v>45832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Borsttåg</t>
        </is>
      </c>
      <c r="S337">
        <f>HYPERLINK("https://klasma.github.io/Logging_070765/artfynd/A 18747-2025 artfynd.xlsx", "A 18747-2025")</f>
        <v/>
      </c>
      <c r="T337">
        <f>HYPERLINK("https://klasma.github.io/Logging_070765/kartor/A 18747-2025 karta.png", "A 18747-2025")</f>
        <v/>
      </c>
      <c r="V337">
        <f>HYPERLINK("https://klasma.github.io/Logging_070765/klagomål/A 18747-2025 FSC-klagomål.docx", "A 18747-2025")</f>
        <v/>
      </c>
      <c r="W337">
        <f>HYPERLINK("https://klasma.github.io/Logging_070765/klagomålsmail/A 18747-2025 FSC-klagomål mail.docx", "A 18747-2025")</f>
        <v/>
      </c>
      <c r="X337">
        <f>HYPERLINK("https://klasma.github.io/Logging_070765/tillsyn/A 18747-2025 tillsynsbegäran.docx", "A 18747-2025")</f>
        <v/>
      </c>
      <c r="Y337">
        <f>HYPERLINK("https://klasma.github.io/Logging_070765/tillsynsmail/A 18747-2025 tillsynsbegäran mail.docx", "A 18747-2025")</f>
        <v/>
      </c>
    </row>
    <row r="338" ht="15" customHeight="1">
      <c r="A338" t="inlineStr">
        <is>
          <t>A 18486-2025</t>
        </is>
      </c>
      <c r="B338" s="1" t="n">
        <v>45763</v>
      </c>
      <c r="C338" s="1" t="n">
        <v>45832</v>
      </c>
      <c r="D338" t="inlineStr">
        <is>
          <t>KRONOBERGS LÄN</t>
        </is>
      </c>
      <c r="E338" t="inlineStr">
        <is>
          <t>ALVESTA</t>
        </is>
      </c>
      <c r="G338" t="n">
        <v>1.5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Spillkråka</t>
        </is>
      </c>
      <c r="S338">
        <f>HYPERLINK("https://klasma.github.io/Logging_070764/artfynd/A 18486-2025 artfynd.xlsx", "A 18486-2025")</f>
        <v/>
      </c>
      <c r="T338">
        <f>HYPERLINK("https://klasma.github.io/Logging_070764/kartor/A 18486-2025 karta.png", "A 18486-2025")</f>
        <v/>
      </c>
      <c r="V338">
        <f>HYPERLINK("https://klasma.github.io/Logging_070764/klagomål/A 18486-2025 FSC-klagomål.docx", "A 18486-2025")</f>
        <v/>
      </c>
      <c r="W338">
        <f>HYPERLINK("https://klasma.github.io/Logging_070764/klagomålsmail/A 18486-2025 FSC-klagomål mail.docx", "A 18486-2025")</f>
        <v/>
      </c>
      <c r="X338">
        <f>HYPERLINK("https://klasma.github.io/Logging_070764/tillsyn/A 18486-2025 tillsynsbegäran.docx", "A 18486-2025")</f>
        <v/>
      </c>
      <c r="Y338">
        <f>HYPERLINK("https://klasma.github.io/Logging_070764/tillsynsmail/A 18486-2025 tillsynsbegäran mail.docx", "A 18486-2025")</f>
        <v/>
      </c>
      <c r="Z338">
        <f>HYPERLINK("https://klasma.github.io/Logging_070764/fåglar/A 18486-2025 prioriterade fågelarter.docx", "A 18486-2025")</f>
        <v/>
      </c>
    </row>
    <row r="339" ht="15" customHeight="1">
      <c r="A339" t="inlineStr">
        <is>
          <t>A 18746-2025</t>
        </is>
      </c>
      <c r="B339" s="1" t="n">
        <v>45763</v>
      </c>
      <c r="C339" s="1" t="n">
        <v>45832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Blåmossa</t>
        </is>
      </c>
      <c r="S339">
        <f>HYPERLINK("https://klasma.github.io/Logging_070765/artfynd/A 18746-2025 artfynd.xlsx", "A 18746-2025")</f>
        <v/>
      </c>
      <c r="T339">
        <f>HYPERLINK("https://klasma.github.io/Logging_070765/kartor/A 18746-2025 karta.png", "A 18746-2025")</f>
        <v/>
      </c>
      <c r="V339">
        <f>HYPERLINK("https://klasma.github.io/Logging_070765/klagomål/A 18746-2025 FSC-klagomål.docx", "A 18746-2025")</f>
        <v/>
      </c>
      <c r="W339">
        <f>HYPERLINK("https://klasma.github.io/Logging_070765/klagomålsmail/A 18746-2025 FSC-klagomål mail.docx", "A 18746-2025")</f>
        <v/>
      </c>
      <c r="X339">
        <f>HYPERLINK("https://klasma.github.io/Logging_070765/tillsyn/A 18746-2025 tillsynsbegäran.docx", "A 18746-2025")</f>
        <v/>
      </c>
      <c r="Y339">
        <f>HYPERLINK("https://klasma.github.io/Logging_070765/tillsynsmail/A 18746-2025 tillsynsbegäran mail.docx", "A 18746-2025")</f>
        <v/>
      </c>
    </row>
    <row r="340" ht="15" customHeight="1">
      <c r="A340" t="inlineStr">
        <is>
          <t>A 21107-2025</t>
        </is>
      </c>
      <c r="B340" s="1" t="n">
        <v>45777</v>
      </c>
      <c r="C340" s="1" t="n">
        <v>45832</v>
      </c>
      <c r="D340" t="inlineStr">
        <is>
          <t>KRONOBERGS LÄN</t>
        </is>
      </c>
      <c r="E340" t="inlineStr">
        <is>
          <t>VÄXJÖ</t>
        </is>
      </c>
      <c r="G340" t="n">
        <v>5.6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Fjällvråk</t>
        </is>
      </c>
      <c r="S340">
        <f>HYPERLINK("https://klasma.github.io/Logging_070780/artfynd/A 21107-2025 artfynd.xlsx", "A 21107-2025")</f>
        <v/>
      </c>
      <c r="T340">
        <f>HYPERLINK("https://klasma.github.io/Logging_070780/kartor/A 21107-2025 karta.png", "A 21107-2025")</f>
        <v/>
      </c>
      <c r="V340">
        <f>HYPERLINK("https://klasma.github.io/Logging_070780/klagomål/A 21107-2025 FSC-klagomål.docx", "A 21107-2025")</f>
        <v/>
      </c>
      <c r="W340">
        <f>HYPERLINK("https://klasma.github.io/Logging_070780/klagomålsmail/A 21107-2025 FSC-klagomål mail.docx", "A 21107-2025")</f>
        <v/>
      </c>
      <c r="X340">
        <f>HYPERLINK("https://klasma.github.io/Logging_070780/tillsyn/A 21107-2025 tillsynsbegäran.docx", "A 21107-2025")</f>
        <v/>
      </c>
      <c r="Y340">
        <f>HYPERLINK("https://klasma.github.io/Logging_070780/tillsynsmail/A 21107-2025 tillsynsbegäran mail.docx", "A 21107-2025")</f>
        <v/>
      </c>
      <c r="Z340">
        <f>HYPERLINK("https://klasma.github.io/Logging_070780/fåglar/A 21107-2025 prioriterade fågelarter.docx", "A 21107-2025")</f>
        <v/>
      </c>
    </row>
    <row r="341" ht="15" customHeight="1">
      <c r="A341" t="inlineStr">
        <is>
          <t>A 20998-2025</t>
        </is>
      </c>
      <c r="B341" s="1" t="n">
        <v>45777</v>
      </c>
      <c r="C341" s="1" t="n">
        <v>45832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1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Spillkråka</t>
        </is>
      </c>
      <c r="S341">
        <f>HYPERLINK("https://klasma.github.io/Logging_070760/artfynd/A 20998-2025 artfynd.xlsx", "A 20998-2025")</f>
        <v/>
      </c>
      <c r="T341">
        <f>HYPERLINK("https://klasma.github.io/Logging_070760/kartor/A 20998-2025 karta.png", "A 20998-2025")</f>
        <v/>
      </c>
      <c r="V341">
        <f>HYPERLINK("https://klasma.github.io/Logging_070760/klagomål/A 20998-2025 FSC-klagomål.docx", "A 20998-2025")</f>
        <v/>
      </c>
      <c r="W341">
        <f>HYPERLINK("https://klasma.github.io/Logging_070760/klagomålsmail/A 20998-2025 FSC-klagomål mail.docx", "A 20998-2025")</f>
        <v/>
      </c>
      <c r="X341">
        <f>HYPERLINK("https://klasma.github.io/Logging_070760/tillsyn/A 20998-2025 tillsynsbegäran.docx", "A 20998-2025")</f>
        <v/>
      </c>
      <c r="Y341">
        <f>HYPERLINK("https://klasma.github.io/Logging_070760/tillsynsmail/A 20998-2025 tillsynsbegäran mail.docx", "A 20998-2025")</f>
        <v/>
      </c>
      <c r="Z341">
        <f>HYPERLINK("https://klasma.github.io/Logging_070760/fåglar/A 20998-2025 prioriterade fågelarter.docx", "A 20998-2025")</f>
        <v/>
      </c>
    </row>
    <row r="342" ht="15" customHeight="1">
      <c r="A342" t="inlineStr">
        <is>
          <t>A 21527-2025</t>
        </is>
      </c>
      <c r="B342" s="1" t="n">
        <v>45782</v>
      </c>
      <c r="C342" s="1" t="n">
        <v>45832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Linmåra/småsnärjmåra</t>
        </is>
      </c>
      <c r="S342">
        <f>HYPERLINK("https://klasma.github.io/Logging_070780/artfynd/A 21527-2025 artfynd.xlsx", "A 21527-2025")</f>
        <v/>
      </c>
      <c r="T342">
        <f>HYPERLINK("https://klasma.github.io/Logging_070780/kartor/A 21527-2025 karta.png", "A 21527-2025")</f>
        <v/>
      </c>
      <c r="V342">
        <f>HYPERLINK("https://klasma.github.io/Logging_070780/klagomål/A 21527-2025 FSC-klagomål.docx", "A 21527-2025")</f>
        <v/>
      </c>
      <c r="W342">
        <f>HYPERLINK("https://klasma.github.io/Logging_070780/klagomålsmail/A 21527-2025 FSC-klagomål mail.docx", "A 21527-2025")</f>
        <v/>
      </c>
      <c r="X342">
        <f>HYPERLINK("https://klasma.github.io/Logging_070780/tillsyn/A 21527-2025 tillsynsbegäran.docx", "A 21527-2025")</f>
        <v/>
      </c>
      <c r="Y342">
        <f>HYPERLINK("https://klasma.github.io/Logging_070780/tillsynsmail/A 21527-2025 tillsynsbegäran mail.docx", "A 21527-2025")</f>
        <v/>
      </c>
    </row>
    <row r="343" ht="15" customHeight="1">
      <c r="A343" t="inlineStr">
        <is>
          <t>A 22758-2025</t>
        </is>
      </c>
      <c r="B343" s="1" t="n">
        <v>45789</v>
      </c>
      <c r="C343" s="1" t="n">
        <v>45832</v>
      </c>
      <c r="D343" t="inlineStr">
        <is>
          <t>KRONOBERGS LÄN</t>
        </is>
      </c>
      <c r="E343" t="inlineStr">
        <is>
          <t>UPPVIDINGE</t>
        </is>
      </c>
      <c r="G343" t="n">
        <v>2.9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HYPERLINK("https://klasma.github.io/Logging_070760/artfynd/A 22758-2025 artfynd.xlsx", "A 22758-2025")</f>
        <v/>
      </c>
      <c r="T343">
        <f>HYPERLINK("https://klasma.github.io/Logging_070760/kartor/A 22758-2025 karta.png", "A 22758-2025")</f>
        <v/>
      </c>
      <c r="U343">
        <f>HYPERLINK("https://klasma.github.io/Logging_070760/knärot/A 22758-2025 karta knärot.png", "A 22758-2025")</f>
        <v/>
      </c>
      <c r="V343">
        <f>HYPERLINK("https://klasma.github.io/Logging_070760/klagomål/A 22758-2025 FSC-klagomål.docx", "A 22758-2025")</f>
        <v/>
      </c>
      <c r="W343">
        <f>HYPERLINK("https://klasma.github.io/Logging_070760/klagomålsmail/A 22758-2025 FSC-klagomål mail.docx", "A 22758-2025")</f>
        <v/>
      </c>
      <c r="X343">
        <f>HYPERLINK("https://klasma.github.io/Logging_070760/tillsyn/A 22758-2025 tillsynsbegäran.docx", "A 22758-2025")</f>
        <v/>
      </c>
      <c r="Y343">
        <f>HYPERLINK("https://klasma.github.io/Logging_070760/tillsynsmail/A 22758-2025 tillsynsbegäran mail.docx", "A 22758-2025")</f>
        <v/>
      </c>
    </row>
    <row r="344" ht="15" customHeight="1">
      <c r="A344" t="inlineStr">
        <is>
          <t>A 23183-2025</t>
        </is>
      </c>
      <c r="B344" s="1" t="n">
        <v>45791</v>
      </c>
      <c r="C344" s="1" t="n">
        <v>45832</v>
      </c>
      <c r="D344" t="inlineStr">
        <is>
          <t>KRONOBERGS LÄN</t>
        </is>
      </c>
      <c r="E344" t="inlineStr">
        <is>
          <t>UPPVIDINGE</t>
        </is>
      </c>
      <c r="G344" t="n">
        <v>4.3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HYPERLINK("https://klasma.github.io/Logging_070760/artfynd/A 23183-2025 artfynd.xlsx", "A 23183-2025")</f>
        <v/>
      </c>
      <c r="T344">
        <f>HYPERLINK("https://klasma.github.io/Logging_070760/kartor/A 23183-2025 karta.png", "A 23183-2025")</f>
        <v/>
      </c>
      <c r="V344">
        <f>HYPERLINK("https://klasma.github.io/Logging_070760/klagomål/A 23183-2025 FSC-klagomål.docx", "A 23183-2025")</f>
        <v/>
      </c>
      <c r="W344">
        <f>HYPERLINK("https://klasma.github.io/Logging_070760/klagomålsmail/A 23183-2025 FSC-klagomål mail.docx", "A 23183-2025")</f>
        <v/>
      </c>
      <c r="X344">
        <f>HYPERLINK("https://klasma.github.io/Logging_070760/tillsyn/A 23183-2025 tillsynsbegäran.docx", "A 23183-2025")</f>
        <v/>
      </c>
      <c r="Y344">
        <f>HYPERLINK("https://klasma.github.io/Logging_070760/tillsynsmail/A 23183-2025 tillsynsbegäran mail.docx", "A 23183-2025")</f>
        <v/>
      </c>
    </row>
    <row r="345" ht="15" customHeight="1">
      <c r="A345" t="inlineStr">
        <is>
          <t>A 28325-2025</t>
        </is>
      </c>
      <c r="B345" s="1" t="n">
        <v>45818</v>
      </c>
      <c r="C345" s="1" t="n">
        <v>45832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2.2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HYPERLINK("https://klasma.github.io/Logging_070765/artfynd/A 28325-2025 artfynd.xlsx", "A 28325-2025")</f>
        <v/>
      </c>
      <c r="T345">
        <f>HYPERLINK("https://klasma.github.io/Logging_070765/kartor/A 28325-2025 karta.png", "A 28325-2025")</f>
        <v/>
      </c>
      <c r="V345">
        <f>HYPERLINK("https://klasma.github.io/Logging_070765/klagomål/A 28325-2025 FSC-klagomål.docx", "A 28325-2025")</f>
        <v/>
      </c>
      <c r="W345">
        <f>HYPERLINK("https://klasma.github.io/Logging_070765/klagomålsmail/A 28325-2025 FSC-klagomål mail.docx", "A 28325-2025")</f>
        <v/>
      </c>
      <c r="X345">
        <f>HYPERLINK("https://klasma.github.io/Logging_070765/tillsyn/A 28325-2025 tillsynsbegäran.docx", "A 28325-2025")</f>
        <v/>
      </c>
      <c r="Y345">
        <f>HYPERLINK("https://klasma.github.io/Logging_070765/tillsynsmail/A 28325-2025 tillsynsbegäran mail.docx", "A 28325-2025")</f>
        <v/>
      </c>
    </row>
    <row r="346" ht="15" customHeight="1">
      <c r="A346" t="inlineStr">
        <is>
          <t>A 28560-2025</t>
        </is>
      </c>
      <c r="B346" s="1" t="n">
        <v>45819</v>
      </c>
      <c r="C346" s="1" t="n">
        <v>45832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Svinrot</t>
        </is>
      </c>
      <c r="S346">
        <f>HYPERLINK("https://klasma.github.io/Logging_070781/artfynd/A 28560-2025 artfynd.xlsx", "A 28560-2025")</f>
        <v/>
      </c>
      <c r="T346">
        <f>HYPERLINK("https://klasma.github.io/Logging_070781/kartor/A 28560-2025 karta.png", "A 28560-2025")</f>
        <v/>
      </c>
      <c r="V346">
        <f>HYPERLINK("https://klasma.github.io/Logging_070781/klagomål/A 28560-2025 FSC-klagomål.docx", "A 28560-2025")</f>
        <v/>
      </c>
      <c r="W346">
        <f>HYPERLINK("https://klasma.github.io/Logging_070781/klagomålsmail/A 28560-2025 FSC-klagomål mail.docx", "A 28560-2025")</f>
        <v/>
      </c>
      <c r="X346">
        <f>HYPERLINK("https://klasma.github.io/Logging_070781/tillsyn/A 28560-2025 tillsynsbegäran.docx", "A 28560-2025")</f>
        <v/>
      </c>
      <c r="Y346">
        <f>HYPERLINK("https://klasma.github.io/Logging_070781/tillsynsmail/A 28560-2025 tillsynsbegäran mail.docx", "A 28560-2025")</f>
        <v/>
      </c>
    </row>
    <row r="347" ht="15" customHeight="1">
      <c r="A347" t="inlineStr">
        <is>
          <t>A 28798-2025</t>
        </is>
      </c>
      <c r="B347" s="1" t="n">
        <v>45820</v>
      </c>
      <c r="C347" s="1" t="n">
        <v>45832</v>
      </c>
      <c r="D347" t="inlineStr">
        <is>
          <t>KRONOBERGS LÄN</t>
        </is>
      </c>
      <c r="E347" t="inlineStr">
        <is>
          <t>UPPVIDINGE</t>
        </is>
      </c>
      <c r="G347" t="n">
        <v>1.2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Igelkott</t>
        </is>
      </c>
      <c r="S347">
        <f>HYPERLINK("https://klasma.github.io/Logging_070760/artfynd/A 28798-2025 artfynd.xlsx", "A 28798-2025")</f>
        <v/>
      </c>
      <c r="T347">
        <f>HYPERLINK("https://klasma.github.io/Logging_070760/kartor/A 28798-2025 karta.png", "A 28798-2025")</f>
        <v/>
      </c>
      <c r="V347">
        <f>HYPERLINK("https://klasma.github.io/Logging_070760/klagomål/A 28798-2025 FSC-klagomål.docx", "A 28798-2025")</f>
        <v/>
      </c>
      <c r="W347">
        <f>HYPERLINK("https://klasma.github.io/Logging_070760/klagomålsmail/A 28798-2025 FSC-klagomål mail.docx", "A 28798-2025")</f>
        <v/>
      </c>
      <c r="X347">
        <f>HYPERLINK("https://klasma.github.io/Logging_070760/tillsyn/A 28798-2025 tillsynsbegäran.docx", "A 28798-2025")</f>
        <v/>
      </c>
      <c r="Y347">
        <f>HYPERLINK("https://klasma.github.io/Logging_070760/tillsynsmail/A 28798-2025 tillsynsbegäran mail.docx", "A 28798-2025")</f>
        <v/>
      </c>
    </row>
    <row r="348" ht="15" customHeight="1">
      <c r="A348" t="inlineStr">
        <is>
          <t>A 29201-2025</t>
        </is>
      </c>
      <c r="B348" s="1" t="n">
        <v>45823</v>
      </c>
      <c r="C348" s="1" t="n">
        <v>45832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Fläcknycklar</t>
        </is>
      </c>
      <c r="S348">
        <f>HYPERLINK("https://klasma.github.io/Logging_070767/artfynd/A 29201-2025 artfynd.xlsx", "A 29201-2025")</f>
        <v/>
      </c>
      <c r="T348">
        <f>HYPERLINK("https://klasma.github.io/Logging_070767/kartor/A 29201-2025 karta.png", "A 29201-2025")</f>
        <v/>
      </c>
      <c r="V348">
        <f>HYPERLINK("https://klasma.github.io/Logging_070767/klagomål/A 29201-2025 FSC-klagomål.docx", "A 29201-2025")</f>
        <v/>
      </c>
      <c r="W348">
        <f>HYPERLINK("https://klasma.github.io/Logging_070767/klagomålsmail/A 29201-2025 FSC-klagomål mail.docx", "A 29201-2025")</f>
        <v/>
      </c>
      <c r="X348">
        <f>HYPERLINK("https://klasma.github.io/Logging_070767/tillsyn/A 29201-2025 tillsynsbegäran.docx", "A 29201-2025")</f>
        <v/>
      </c>
      <c r="Y348">
        <f>HYPERLINK("https://klasma.github.io/Logging_070767/tillsynsmail/A 29201-2025 tillsynsbegäran mail.docx", "A 29201-2025")</f>
        <v/>
      </c>
    </row>
    <row r="349" ht="15" customHeight="1">
      <c r="A349" t="inlineStr">
        <is>
          <t>A 29290-2025</t>
        </is>
      </c>
      <c r="B349" s="1" t="n">
        <v>45824</v>
      </c>
      <c r="C349" s="1" t="n">
        <v>45832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Plattlummer</t>
        </is>
      </c>
      <c r="S349">
        <f>HYPERLINK("https://klasma.github.io/Logging_070780/artfynd/A 29290-2025 artfynd.xlsx", "A 29290-2025")</f>
        <v/>
      </c>
      <c r="T349">
        <f>HYPERLINK("https://klasma.github.io/Logging_070780/kartor/A 29290-2025 karta.png", "A 29290-2025")</f>
        <v/>
      </c>
      <c r="V349">
        <f>HYPERLINK("https://klasma.github.io/Logging_070780/klagomål/A 29290-2025 FSC-klagomål.docx", "A 29290-2025")</f>
        <v/>
      </c>
      <c r="W349">
        <f>HYPERLINK("https://klasma.github.io/Logging_070780/klagomålsmail/A 29290-2025 FSC-klagomål mail.docx", "A 29290-2025")</f>
        <v/>
      </c>
      <c r="X349">
        <f>HYPERLINK("https://klasma.github.io/Logging_070780/tillsyn/A 29290-2025 tillsynsbegäran.docx", "A 29290-2025")</f>
        <v/>
      </c>
      <c r="Y349">
        <f>HYPERLINK("https://klasma.github.io/Logging_070780/tillsynsmail/A 29290-2025 tillsynsbegäran mail.docx", "A 29290-2025")</f>
        <v/>
      </c>
    </row>
    <row r="350" ht="15" customHeight="1">
      <c r="A350" t="inlineStr">
        <is>
          <t>A 29588-2025</t>
        </is>
      </c>
      <c r="B350" s="1" t="n">
        <v>45825</v>
      </c>
      <c r="C350" s="1" t="n">
        <v>45832</v>
      </c>
      <c r="D350" t="inlineStr">
        <is>
          <t>KRONOBERGS LÄN</t>
        </is>
      </c>
      <c r="E350" t="inlineStr">
        <is>
          <t>UPPVIDINGE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1</v>
      </c>
      <c r="O350" t="n">
        <v>1</v>
      </c>
      <c r="P350" t="n">
        <v>0</v>
      </c>
      <c r="Q350" t="n">
        <v>1</v>
      </c>
      <c r="R350" s="2" t="inlineStr">
        <is>
          <t>Pimpinellros</t>
        </is>
      </c>
      <c r="S350">
        <f>HYPERLINK("https://klasma.github.io/Logging_070760/artfynd/A 29588-2025 artfynd.xlsx", "A 29588-2025")</f>
        <v/>
      </c>
      <c r="T350">
        <f>HYPERLINK("https://klasma.github.io/Logging_070760/kartor/A 29588-2025 karta.png", "A 29588-2025")</f>
        <v/>
      </c>
      <c r="V350">
        <f>HYPERLINK("https://klasma.github.io/Logging_070760/klagomål/A 29588-2025 FSC-klagomål.docx", "A 29588-2025")</f>
        <v/>
      </c>
      <c r="W350">
        <f>HYPERLINK("https://klasma.github.io/Logging_070760/klagomålsmail/A 29588-2025 FSC-klagomål mail.docx", "A 29588-2025")</f>
        <v/>
      </c>
      <c r="X350">
        <f>HYPERLINK("https://klasma.github.io/Logging_070760/tillsyn/A 29588-2025 tillsynsbegäran.docx", "A 29588-2025")</f>
        <v/>
      </c>
      <c r="Y350">
        <f>HYPERLINK("https://klasma.github.io/Logging_070760/tillsynsmail/A 29588-2025 tillsynsbegäran mail.docx", "A 29588-2025")</f>
        <v/>
      </c>
    </row>
    <row r="351" ht="15" customHeight="1">
      <c r="A351" t="inlineStr">
        <is>
          <t>A 30330-2025</t>
        </is>
      </c>
      <c r="B351" s="1" t="n">
        <v>45827</v>
      </c>
      <c r="C351" s="1" t="n">
        <v>45832</v>
      </c>
      <c r="D351" t="inlineStr">
        <is>
          <t>KRONOBERGS LÄN</t>
        </is>
      </c>
      <c r="E351" t="inlineStr">
        <is>
          <t>TINGSRYD</t>
        </is>
      </c>
      <c r="F351" t="inlineStr">
        <is>
          <t>Kommuner</t>
        </is>
      </c>
      <c r="G351" t="n">
        <v>1.8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HYPERLINK("https://klasma.github.io/Logging_070763/artfynd/A 30330-2025 artfynd.xlsx", "A 30330-2025")</f>
        <v/>
      </c>
      <c r="T351">
        <f>HYPERLINK("https://klasma.github.io/Logging_070763/kartor/A 30330-2025 karta.png", "A 30330-2025")</f>
        <v/>
      </c>
      <c r="V351">
        <f>HYPERLINK("https://klasma.github.io/Logging_070763/klagomål/A 30330-2025 FSC-klagomål.docx", "A 30330-2025")</f>
        <v/>
      </c>
      <c r="W351">
        <f>HYPERLINK("https://klasma.github.io/Logging_070763/klagomålsmail/A 30330-2025 FSC-klagomål mail.docx", "A 30330-2025")</f>
        <v/>
      </c>
      <c r="X351">
        <f>HYPERLINK("https://klasma.github.io/Logging_070763/tillsyn/A 30330-2025 tillsynsbegäran.docx", "A 30330-2025")</f>
        <v/>
      </c>
      <c r="Y351">
        <f>HYPERLINK("https://klasma.github.io/Logging_070763/tillsynsmail/A 30330-2025 tillsynsbegäran mail.docx", "A 30330-2025")</f>
        <v/>
      </c>
    </row>
    <row r="352" ht="15" customHeight="1">
      <c r="A352" t="inlineStr">
        <is>
          <t>A 17746-2019</t>
        </is>
      </c>
      <c r="B352" s="1" t="n">
        <v>43556</v>
      </c>
      <c r="C352" s="1" t="n">
        <v>45832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17832-2019</t>
        </is>
      </c>
      <c r="B353" s="1" t="n">
        <v>43556</v>
      </c>
      <c r="C353" s="1" t="n">
        <v>45832</v>
      </c>
      <c r="D353" t="inlineStr">
        <is>
          <t>KRONOBERGS LÄN</t>
        </is>
      </c>
      <c r="E353" t="inlineStr">
        <is>
          <t>UPPVIDINGE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17840-2019</t>
        </is>
      </c>
      <c r="B354" s="1" t="n">
        <v>43556</v>
      </c>
      <c r="C354" s="1" t="n">
        <v>45832</v>
      </c>
      <c r="D354" t="inlineStr">
        <is>
          <t>KRONOBERGS LÄN</t>
        </is>
      </c>
      <c r="E354" t="inlineStr">
        <is>
          <t>ÄLMHULT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17709-2019</t>
        </is>
      </c>
      <c r="B355" s="1" t="n">
        <v>43556</v>
      </c>
      <c r="C355" s="1" t="n">
        <v>45832</v>
      </c>
      <c r="D355" t="inlineStr">
        <is>
          <t>KRONOBERGS LÄN</t>
        </is>
      </c>
      <c r="E355" t="inlineStr">
        <is>
          <t>LJUNGBY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18005-2019</t>
        </is>
      </c>
      <c r="B356" s="1" t="n">
        <v>43556</v>
      </c>
      <c r="C356" s="1" t="n">
        <v>45832</v>
      </c>
      <c r="D356" t="inlineStr">
        <is>
          <t>KRONOBERGS LÄN</t>
        </is>
      </c>
      <c r="E356" t="inlineStr">
        <is>
          <t>TINGSRYD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18046-2019</t>
        </is>
      </c>
      <c r="B357" s="1" t="n">
        <v>43557</v>
      </c>
      <c r="C357" s="1" t="n">
        <v>45832</v>
      </c>
      <c r="D357" t="inlineStr">
        <is>
          <t>KRONOBERGS LÄN</t>
        </is>
      </c>
      <c r="E357" t="inlineStr">
        <is>
          <t>TINGSRYD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18025-2019</t>
        </is>
      </c>
      <c r="B358" s="1" t="n">
        <v>43557</v>
      </c>
      <c r="C358" s="1" t="n">
        <v>45832</v>
      </c>
      <c r="D358" t="inlineStr">
        <is>
          <t>KRONOBERGS LÄN</t>
        </is>
      </c>
      <c r="E358" t="inlineStr">
        <is>
          <t>LJUNGBY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18007-2019</t>
        </is>
      </c>
      <c r="B359" s="1" t="n">
        <v>43557</v>
      </c>
      <c r="C359" s="1" t="n">
        <v>45832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18084-2019</t>
        </is>
      </c>
      <c r="B360" s="1" t="n">
        <v>43558</v>
      </c>
      <c r="C360" s="1" t="n">
        <v>45832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18263-2019</t>
        </is>
      </c>
      <c r="B361" s="1" t="n">
        <v>43558</v>
      </c>
      <c r="C361" s="1" t="n">
        <v>45832</v>
      </c>
      <c r="D361" t="inlineStr">
        <is>
          <t>KRONOBERGS LÄN</t>
        </is>
      </c>
      <c r="E361" t="inlineStr">
        <is>
          <t>VÄXJÖ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18280-2019</t>
        </is>
      </c>
      <c r="B362" s="1" t="n">
        <v>43558</v>
      </c>
      <c r="C362" s="1" t="n">
        <v>45832</v>
      </c>
      <c r="D362" t="inlineStr">
        <is>
          <t>KRONOBERGS LÄN</t>
        </is>
      </c>
      <c r="E362" t="inlineStr">
        <is>
          <t>MARKARYD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18089-2019</t>
        </is>
      </c>
      <c r="B363" s="1" t="n">
        <v>43558</v>
      </c>
      <c r="C363" s="1" t="n">
        <v>45832</v>
      </c>
      <c r="D363" t="inlineStr">
        <is>
          <t>KRONOBERGS LÄN</t>
        </is>
      </c>
      <c r="E363" t="inlineStr">
        <is>
          <t>LJUNGBY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18634-2019</t>
        </is>
      </c>
      <c r="B364" s="1" t="n">
        <v>43560</v>
      </c>
      <c r="C364" s="1" t="n">
        <v>45832</v>
      </c>
      <c r="D364" t="inlineStr">
        <is>
          <t>KRONOBERGS LÄN</t>
        </is>
      </c>
      <c r="E364" t="inlineStr">
        <is>
          <t>LJUNGBY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18725-2019</t>
        </is>
      </c>
      <c r="B365" s="1" t="n">
        <v>43560</v>
      </c>
      <c r="C365" s="1" t="n">
        <v>45832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18637-2019</t>
        </is>
      </c>
      <c r="B366" s="1" t="n">
        <v>43560</v>
      </c>
      <c r="C366" s="1" t="n">
        <v>45832</v>
      </c>
      <c r="D366" t="inlineStr">
        <is>
          <t>KRONOBERGS LÄN</t>
        </is>
      </c>
      <c r="E366" t="inlineStr">
        <is>
          <t>ALVESTA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18677-2019</t>
        </is>
      </c>
      <c r="B367" s="1" t="n">
        <v>43560</v>
      </c>
      <c r="C367" s="1" t="n">
        <v>45832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18726-2019</t>
        </is>
      </c>
      <c r="B368" s="1" t="n">
        <v>43560</v>
      </c>
      <c r="C368" s="1" t="n">
        <v>45832</v>
      </c>
      <c r="D368" t="inlineStr">
        <is>
          <t>KRONOBERGS LÄN</t>
        </is>
      </c>
      <c r="E368" t="inlineStr">
        <is>
          <t>ALVESTA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18594-2019</t>
        </is>
      </c>
      <c r="B369" s="1" t="n">
        <v>43560</v>
      </c>
      <c r="C369" s="1" t="n">
        <v>45832</v>
      </c>
      <c r="D369" t="inlineStr">
        <is>
          <t>KRONOBERGS LÄN</t>
        </is>
      </c>
      <c r="E369" t="inlineStr">
        <is>
          <t>ALVESTA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18742-2019</t>
        </is>
      </c>
      <c r="B370" s="1" t="n">
        <v>43560</v>
      </c>
      <c r="C370" s="1" t="n">
        <v>45832</v>
      </c>
      <c r="D370" t="inlineStr">
        <is>
          <t>KRONOBERGS LÄN</t>
        </is>
      </c>
      <c r="E370" t="inlineStr">
        <is>
          <t>UPPVIDINGE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18775-2019</t>
        </is>
      </c>
      <c r="B371" s="1" t="n">
        <v>43561</v>
      </c>
      <c r="C371" s="1" t="n">
        <v>45832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18945-2019</t>
        </is>
      </c>
      <c r="B372" s="1" t="n">
        <v>43563</v>
      </c>
      <c r="C372" s="1" t="n">
        <v>45832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18983-2019</t>
        </is>
      </c>
      <c r="B373" s="1" t="n">
        <v>43563</v>
      </c>
      <c r="C373" s="1" t="n">
        <v>45832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18974-2019</t>
        </is>
      </c>
      <c r="B374" s="1" t="n">
        <v>43563</v>
      </c>
      <c r="C374" s="1" t="n">
        <v>45832</v>
      </c>
      <c r="D374" t="inlineStr">
        <is>
          <t>KRONOBERGS LÄN</t>
        </is>
      </c>
      <c r="E374" t="inlineStr">
        <is>
          <t>UPPVIDINGE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19002-2019</t>
        </is>
      </c>
      <c r="B375" s="1" t="n">
        <v>43563</v>
      </c>
      <c r="C375" s="1" t="n">
        <v>45832</v>
      </c>
      <c r="D375" t="inlineStr">
        <is>
          <t>KRONOBERGS LÄN</t>
        </is>
      </c>
      <c r="E375" t="inlineStr">
        <is>
          <t>TINGSRYD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19241-2019</t>
        </is>
      </c>
      <c r="B376" s="1" t="n">
        <v>43564</v>
      </c>
      <c r="C376" s="1" t="n">
        <v>45832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19217-2019</t>
        </is>
      </c>
      <c r="B377" s="1" t="n">
        <v>43564</v>
      </c>
      <c r="C377" s="1" t="n">
        <v>45832</v>
      </c>
      <c r="D377" t="inlineStr">
        <is>
          <t>KRONOBERGS LÄN</t>
        </is>
      </c>
      <c r="E377" t="inlineStr">
        <is>
          <t>MARKARYD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19420-2019</t>
        </is>
      </c>
      <c r="B378" s="1" t="n">
        <v>43565</v>
      </c>
      <c r="C378" s="1" t="n">
        <v>45832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19509-2019</t>
        </is>
      </c>
      <c r="B379" s="1" t="n">
        <v>43565</v>
      </c>
      <c r="C379" s="1" t="n">
        <v>45832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19376-2019</t>
        </is>
      </c>
      <c r="B380" s="1" t="n">
        <v>43565</v>
      </c>
      <c r="C380" s="1" t="n">
        <v>45832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19506-2019</t>
        </is>
      </c>
      <c r="B381" s="1" t="n">
        <v>43565</v>
      </c>
      <c r="C381" s="1" t="n">
        <v>45832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19399-2019</t>
        </is>
      </c>
      <c r="B382" s="1" t="n">
        <v>43565</v>
      </c>
      <c r="C382" s="1" t="n">
        <v>45832</v>
      </c>
      <c r="D382" t="inlineStr">
        <is>
          <t>KRONOBERGS LÄN</t>
        </is>
      </c>
      <c r="E382" t="inlineStr">
        <is>
          <t>UPPVIDINGE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19590-2019</t>
        </is>
      </c>
      <c r="B383" s="1" t="n">
        <v>43566</v>
      </c>
      <c r="C383" s="1" t="n">
        <v>45832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19687-2019</t>
        </is>
      </c>
      <c r="B384" s="1" t="n">
        <v>43566</v>
      </c>
      <c r="C384" s="1" t="n">
        <v>45832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19586-2019</t>
        </is>
      </c>
      <c r="B385" s="1" t="n">
        <v>43566</v>
      </c>
      <c r="C385" s="1" t="n">
        <v>45832</v>
      </c>
      <c r="D385" t="inlineStr">
        <is>
          <t>KRONOBERGS LÄN</t>
        </is>
      </c>
      <c r="E385" t="inlineStr">
        <is>
          <t>LJUNGBY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19816-2019</t>
        </is>
      </c>
      <c r="B386" s="1" t="n">
        <v>43567</v>
      </c>
      <c r="C386" s="1" t="n">
        <v>45832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19948-2019</t>
        </is>
      </c>
      <c r="B387" s="1" t="n">
        <v>43569</v>
      </c>
      <c r="C387" s="1" t="n">
        <v>45832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19949-2019</t>
        </is>
      </c>
      <c r="B388" s="1" t="n">
        <v>43569</v>
      </c>
      <c r="C388" s="1" t="n">
        <v>45832</v>
      </c>
      <c r="D388" t="inlineStr">
        <is>
          <t>KRONOBERGS LÄN</t>
        </is>
      </c>
      <c r="E388" t="inlineStr">
        <is>
          <t>ÄLMHULT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20123-2019</t>
        </is>
      </c>
      <c r="B389" s="1" t="n">
        <v>43570</v>
      </c>
      <c r="C389" s="1" t="n">
        <v>45832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20369-2019</t>
        </is>
      </c>
      <c r="B390" s="1" t="n">
        <v>43571</v>
      </c>
      <c r="C390" s="1" t="n">
        <v>45832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20212-2019</t>
        </is>
      </c>
      <c r="B391" s="1" t="n">
        <v>43571</v>
      </c>
      <c r="C391" s="1" t="n">
        <v>45832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20598-2019</t>
        </is>
      </c>
      <c r="B392" s="1" t="n">
        <v>43572</v>
      </c>
      <c r="C392" s="1" t="n">
        <v>45832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20542-2019</t>
        </is>
      </c>
      <c r="B393" s="1" t="n">
        <v>43572</v>
      </c>
      <c r="C393" s="1" t="n">
        <v>45832</v>
      </c>
      <c r="D393" t="inlineStr">
        <is>
          <t>KRONOBERGS LÄN</t>
        </is>
      </c>
      <c r="E393" t="inlineStr">
        <is>
          <t>LJUNGBY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20543-2019</t>
        </is>
      </c>
      <c r="B394" s="1" t="n">
        <v>43572</v>
      </c>
      <c r="C394" s="1" t="n">
        <v>45832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20545-2019</t>
        </is>
      </c>
      <c r="B395" s="1" t="n">
        <v>43572</v>
      </c>
      <c r="C395" s="1" t="n">
        <v>45832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20526-2019</t>
        </is>
      </c>
      <c r="B396" s="1" t="n">
        <v>43572</v>
      </c>
      <c r="C396" s="1" t="n">
        <v>45832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20708-2019</t>
        </is>
      </c>
      <c r="B397" s="1" t="n">
        <v>43573</v>
      </c>
      <c r="C397" s="1" t="n">
        <v>45832</v>
      </c>
      <c r="D397" t="inlineStr">
        <is>
          <t>KRONOBERGS LÄN</t>
        </is>
      </c>
      <c r="E397" t="inlineStr">
        <is>
          <t>UPPVIDINGE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20658-2019</t>
        </is>
      </c>
      <c r="B398" s="1" t="n">
        <v>43573</v>
      </c>
      <c r="C398" s="1" t="n">
        <v>45832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20665-2019</t>
        </is>
      </c>
      <c r="B399" s="1" t="n">
        <v>43573</v>
      </c>
      <c r="C399" s="1" t="n">
        <v>45832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20663-2019</t>
        </is>
      </c>
      <c r="B400" s="1" t="n">
        <v>43573</v>
      </c>
      <c r="C400" s="1" t="n">
        <v>45832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20662-2019</t>
        </is>
      </c>
      <c r="B401" s="1" t="n">
        <v>43573</v>
      </c>
      <c r="C401" s="1" t="n">
        <v>45832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20944-2019</t>
        </is>
      </c>
      <c r="B402" s="1" t="n">
        <v>43578</v>
      </c>
      <c r="C402" s="1" t="n">
        <v>45832</v>
      </c>
      <c r="D402" t="inlineStr">
        <is>
          <t>KRONOBERGS LÄN</t>
        </is>
      </c>
      <c r="E402" t="inlineStr">
        <is>
          <t>VÄXJÖ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21043-2019</t>
        </is>
      </c>
      <c r="B403" s="1" t="n">
        <v>43578</v>
      </c>
      <c r="C403" s="1" t="n">
        <v>45832</v>
      </c>
      <c r="D403" t="inlineStr">
        <is>
          <t>KRONOBERGS LÄN</t>
        </is>
      </c>
      <c r="E403" t="inlineStr">
        <is>
          <t>TINGSRYD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21057-2019</t>
        </is>
      </c>
      <c r="B404" s="1" t="n">
        <v>43578</v>
      </c>
      <c r="C404" s="1" t="n">
        <v>45832</v>
      </c>
      <c r="D404" t="inlineStr">
        <is>
          <t>KRONOBERGS LÄN</t>
        </is>
      </c>
      <c r="E404" t="inlineStr">
        <is>
          <t>TINGSRYD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20938-2019</t>
        </is>
      </c>
      <c r="B405" s="1" t="n">
        <v>43578</v>
      </c>
      <c r="C405" s="1" t="n">
        <v>45832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20988-2019</t>
        </is>
      </c>
      <c r="B406" s="1" t="n">
        <v>43578</v>
      </c>
      <c r="C406" s="1" t="n">
        <v>45832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21076-2019</t>
        </is>
      </c>
      <c r="B407" s="1" t="n">
        <v>43578</v>
      </c>
      <c r="C407" s="1" t="n">
        <v>45832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21053-2019</t>
        </is>
      </c>
      <c r="B408" s="1" t="n">
        <v>43578</v>
      </c>
      <c r="C408" s="1" t="n">
        <v>45832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21048-2019</t>
        </is>
      </c>
      <c r="B409" s="1" t="n">
        <v>43578</v>
      </c>
      <c r="C409" s="1" t="n">
        <v>45832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21176-2019</t>
        </is>
      </c>
      <c r="B410" s="1" t="n">
        <v>43579</v>
      </c>
      <c r="C410" s="1" t="n">
        <v>45832</v>
      </c>
      <c r="D410" t="inlineStr">
        <is>
          <t>KRONOBERGS LÄN</t>
        </is>
      </c>
      <c r="E410" t="inlineStr">
        <is>
          <t>ÄLMHULT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21179-2019</t>
        </is>
      </c>
      <c r="B411" s="1" t="n">
        <v>43579</v>
      </c>
      <c r="C411" s="1" t="n">
        <v>45832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21152-2019</t>
        </is>
      </c>
      <c r="B412" s="1" t="n">
        <v>43579</v>
      </c>
      <c r="C412" s="1" t="n">
        <v>45832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21231-2019</t>
        </is>
      </c>
      <c r="B413" s="1" t="n">
        <v>43579</v>
      </c>
      <c r="C413" s="1" t="n">
        <v>45832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21317-2019</t>
        </is>
      </c>
      <c r="B414" s="1" t="n">
        <v>43579</v>
      </c>
      <c r="C414" s="1" t="n">
        <v>45832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21313-2019</t>
        </is>
      </c>
      <c r="B415" s="1" t="n">
        <v>43579</v>
      </c>
      <c r="C415" s="1" t="n">
        <v>45832</v>
      </c>
      <c r="D415" t="inlineStr">
        <is>
          <t>KRONOBERGS LÄN</t>
        </is>
      </c>
      <c r="E415" t="inlineStr">
        <is>
          <t>LJUNGBY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21318-2019</t>
        </is>
      </c>
      <c r="B416" s="1" t="n">
        <v>43579</v>
      </c>
      <c r="C416" s="1" t="n">
        <v>45832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21314-2019</t>
        </is>
      </c>
      <c r="B417" s="1" t="n">
        <v>43579</v>
      </c>
      <c r="C417" s="1" t="n">
        <v>45832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21320-2019</t>
        </is>
      </c>
      <c r="B418" s="1" t="n">
        <v>43579</v>
      </c>
      <c r="C418" s="1" t="n">
        <v>45832</v>
      </c>
      <c r="D418" t="inlineStr">
        <is>
          <t>KRONOBERGS LÄN</t>
        </is>
      </c>
      <c r="E418" t="inlineStr">
        <is>
          <t>TINGSRYD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21564-2019</t>
        </is>
      </c>
      <c r="B419" s="1" t="n">
        <v>43580</v>
      </c>
      <c r="C419" s="1" t="n">
        <v>45832</v>
      </c>
      <c r="D419" t="inlineStr">
        <is>
          <t>KRONOBERGS LÄN</t>
        </is>
      </c>
      <c r="E419" t="inlineStr">
        <is>
          <t>MARKARYD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21488-2019</t>
        </is>
      </c>
      <c r="B420" s="1" t="n">
        <v>43580</v>
      </c>
      <c r="C420" s="1" t="n">
        <v>45832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21712-2019</t>
        </is>
      </c>
      <c r="B421" s="1" t="n">
        <v>43581</v>
      </c>
      <c r="C421" s="1" t="n">
        <v>45832</v>
      </c>
      <c r="D421" t="inlineStr">
        <is>
          <t>KRONOBERGS LÄN</t>
        </is>
      </c>
      <c r="E421" t="inlineStr">
        <is>
          <t>VÄXJÖ</t>
        </is>
      </c>
      <c r="F421" t="inlineStr">
        <is>
          <t>Kyrkan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21665-2019</t>
        </is>
      </c>
      <c r="B422" s="1" t="n">
        <v>43581</v>
      </c>
      <c r="C422" s="1" t="n">
        <v>45832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21626-2019</t>
        </is>
      </c>
      <c r="B423" s="1" t="n">
        <v>43581</v>
      </c>
      <c r="C423" s="1" t="n">
        <v>45832</v>
      </c>
      <c r="D423" t="inlineStr">
        <is>
          <t>KRONOBERGS LÄN</t>
        </is>
      </c>
      <c r="E423" t="inlineStr">
        <is>
          <t>UPPVIDINGE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21881-2019</t>
        </is>
      </c>
      <c r="B424" s="1" t="n">
        <v>43584</v>
      </c>
      <c r="C424" s="1" t="n">
        <v>45832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22084-2019</t>
        </is>
      </c>
      <c r="B425" s="1" t="n">
        <v>43584</v>
      </c>
      <c r="C425" s="1" t="n">
        <v>45832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22163-2019</t>
        </is>
      </c>
      <c r="B426" s="1" t="n">
        <v>43585</v>
      </c>
      <c r="C426" s="1" t="n">
        <v>45832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22395-2019</t>
        </is>
      </c>
      <c r="B427" s="1" t="n">
        <v>43585</v>
      </c>
      <c r="C427" s="1" t="n">
        <v>45832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22263-2019</t>
        </is>
      </c>
      <c r="B428" s="1" t="n">
        <v>43585</v>
      </c>
      <c r="C428" s="1" t="n">
        <v>45832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22264-2019</t>
        </is>
      </c>
      <c r="B429" s="1" t="n">
        <v>43585</v>
      </c>
      <c r="C429" s="1" t="n">
        <v>45832</v>
      </c>
      <c r="D429" t="inlineStr">
        <is>
          <t>KRONOBERGS LÄN</t>
        </is>
      </c>
      <c r="E429" t="inlineStr">
        <is>
          <t>ÄLMHULT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22381-2019</t>
        </is>
      </c>
      <c r="B430" s="1" t="n">
        <v>43585</v>
      </c>
      <c r="C430" s="1" t="n">
        <v>45832</v>
      </c>
      <c r="D430" t="inlineStr">
        <is>
          <t>KRONOBERGS LÄN</t>
        </is>
      </c>
      <c r="E430" t="inlineStr">
        <is>
          <t>VÄXJÖ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22397-2019</t>
        </is>
      </c>
      <c r="B431" s="1" t="n">
        <v>43585</v>
      </c>
      <c r="C431" s="1" t="n">
        <v>45832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22166-2019</t>
        </is>
      </c>
      <c r="B432" s="1" t="n">
        <v>43585</v>
      </c>
      <c r="C432" s="1" t="n">
        <v>45832</v>
      </c>
      <c r="D432" t="inlineStr">
        <is>
          <t>KRONOBERGS LÄN</t>
        </is>
      </c>
      <c r="E432" t="inlineStr">
        <is>
          <t>TINGSRYD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22327-2019</t>
        </is>
      </c>
      <c r="B433" s="1" t="n">
        <v>43586</v>
      </c>
      <c r="C433" s="1" t="n">
        <v>45832</v>
      </c>
      <c r="D433" t="inlineStr">
        <is>
          <t>KRONOBERGS LÄN</t>
        </is>
      </c>
      <c r="E433" t="inlineStr">
        <is>
          <t>MARKARYD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22419-2019</t>
        </is>
      </c>
      <c r="B434" s="1" t="n">
        <v>43587</v>
      </c>
      <c r="C434" s="1" t="n">
        <v>45832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22584-2019</t>
        </is>
      </c>
      <c r="B435" s="1" t="n">
        <v>43587</v>
      </c>
      <c r="C435" s="1" t="n">
        <v>45832</v>
      </c>
      <c r="D435" t="inlineStr">
        <is>
          <t>KRONOBERGS LÄN</t>
        </is>
      </c>
      <c r="E435" t="inlineStr">
        <is>
          <t>TINGSRYD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22458-2019</t>
        </is>
      </c>
      <c r="B436" s="1" t="n">
        <v>43587</v>
      </c>
      <c r="C436" s="1" t="n">
        <v>45832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22346-2019</t>
        </is>
      </c>
      <c r="B437" s="1" t="n">
        <v>43587</v>
      </c>
      <c r="C437" s="1" t="n">
        <v>45832</v>
      </c>
      <c r="D437" t="inlineStr">
        <is>
          <t>KRONOBERGS LÄN</t>
        </is>
      </c>
      <c r="E437" t="inlineStr">
        <is>
          <t>VÄXJÖ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22349-2019</t>
        </is>
      </c>
      <c r="B438" s="1" t="n">
        <v>43587</v>
      </c>
      <c r="C438" s="1" t="n">
        <v>45832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22677-2019</t>
        </is>
      </c>
      <c r="B439" s="1" t="n">
        <v>43588</v>
      </c>
      <c r="C439" s="1" t="n">
        <v>45832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22731-2019</t>
        </is>
      </c>
      <c r="B440" s="1" t="n">
        <v>43588</v>
      </c>
      <c r="C440" s="1" t="n">
        <v>45832</v>
      </c>
      <c r="D440" t="inlineStr">
        <is>
          <t>KRONOBERGS LÄN</t>
        </is>
      </c>
      <c r="E440" t="inlineStr">
        <is>
          <t>LJUNGBY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22802-2019</t>
        </is>
      </c>
      <c r="B441" s="1" t="n">
        <v>43590</v>
      </c>
      <c r="C441" s="1" t="n">
        <v>45832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22805-2019</t>
        </is>
      </c>
      <c r="B442" s="1" t="n">
        <v>43590</v>
      </c>
      <c r="C442" s="1" t="n">
        <v>45832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22803-2019</t>
        </is>
      </c>
      <c r="B443" s="1" t="n">
        <v>43590</v>
      </c>
      <c r="C443" s="1" t="n">
        <v>45832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22847-2019</t>
        </is>
      </c>
      <c r="B444" s="1" t="n">
        <v>43591</v>
      </c>
      <c r="C444" s="1" t="n">
        <v>45832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22921-2019</t>
        </is>
      </c>
      <c r="B445" s="1" t="n">
        <v>43591</v>
      </c>
      <c r="C445" s="1" t="n">
        <v>45832</v>
      </c>
      <c r="D445" t="inlineStr">
        <is>
          <t>KRONOBERGS LÄN</t>
        </is>
      </c>
      <c r="E445" t="inlineStr">
        <is>
          <t>UPPVIDINGE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22918-2019</t>
        </is>
      </c>
      <c r="B446" s="1" t="n">
        <v>43591</v>
      </c>
      <c r="C446" s="1" t="n">
        <v>45832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22944-2019</t>
        </is>
      </c>
      <c r="B447" s="1" t="n">
        <v>43591</v>
      </c>
      <c r="C447" s="1" t="n">
        <v>45832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22948-2019</t>
        </is>
      </c>
      <c r="B448" s="1" t="n">
        <v>43591</v>
      </c>
      <c r="C448" s="1" t="n">
        <v>45832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22923-2019</t>
        </is>
      </c>
      <c r="B449" s="1" t="n">
        <v>43591</v>
      </c>
      <c r="C449" s="1" t="n">
        <v>45832</v>
      </c>
      <c r="D449" t="inlineStr">
        <is>
          <t>KRONOBERGS LÄN</t>
        </is>
      </c>
      <c r="E449" t="inlineStr">
        <is>
          <t>UPPVIDINGE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22989-2019</t>
        </is>
      </c>
      <c r="B450" s="1" t="n">
        <v>43591</v>
      </c>
      <c r="C450" s="1" t="n">
        <v>45832</v>
      </c>
      <c r="D450" t="inlineStr">
        <is>
          <t>KRONOBERGS LÄN</t>
        </is>
      </c>
      <c r="E450" t="inlineStr">
        <is>
          <t>ÄLMHULT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22870-2019</t>
        </is>
      </c>
      <c r="B451" s="1" t="n">
        <v>43591</v>
      </c>
      <c r="C451" s="1" t="n">
        <v>45832</v>
      </c>
      <c r="D451" t="inlineStr">
        <is>
          <t>KRONOBERGS LÄN</t>
        </is>
      </c>
      <c r="E451" t="inlineStr">
        <is>
          <t>TINGSRYD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23183-2019</t>
        </is>
      </c>
      <c r="B452" s="1" t="n">
        <v>43592</v>
      </c>
      <c r="C452" s="1" t="n">
        <v>45832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23427-2019</t>
        </is>
      </c>
      <c r="B453" s="1" t="n">
        <v>43592</v>
      </c>
      <c r="C453" s="1" t="n">
        <v>45832</v>
      </c>
      <c r="D453" t="inlineStr">
        <is>
          <t>KRONOBERGS LÄN</t>
        </is>
      </c>
      <c r="E453" t="inlineStr">
        <is>
          <t>LJUNGBY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23252-2019</t>
        </is>
      </c>
      <c r="B454" s="1" t="n">
        <v>43592</v>
      </c>
      <c r="C454" s="1" t="n">
        <v>45832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23224-2019</t>
        </is>
      </c>
      <c r="B455" s="1" t="n">
        <v>43592</v>
      </c>
      <c r="C455" s="1" t="n">
        <v>45832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23207-2019</t>
        </is>
      </c>
      <c r="B456" s="1" t="n">
        <v>43592</v>
      </c>
      <c r="C456" s="1" t="n">
        <v>45832</v>
      </c>
      <c r="D456" t="inlineStr">
        <is>
          <t>KRONOBERGS LÄN</t>
        </is>
      </c>
      <c r="E456" t="inlineStr">
        <is>
          <t>UPPVIDINGE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23258-2019</t>
        </is>
      </c>
      <c r="B457" s="1" t="n">
        <v>43592</v>
      </c>
      <c r="C457" s="1" t="n">
        <v>45832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23355-2019</t>
        </is>
      </c>
      <c r="B458" s="1" t="n">
        <v>43593</v>
      </c>
      <c r="C458" s="1" t="n">
        <v>45832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23375-2019</t>
        </is>
      </c>
      <c r="B459" s="1" t="n">
        <v>43593</v>
      </c>
      <c r="C459" s="1" t="n">
        <v>45832</v>
      </c>
      <c r="D459" t="inlineStr">
        <is>
          <t>KRONOBERGS LÄN</t>
        </is>
      </c>
      <c r="E459" t="inlineStr">
        <is>
          <t>VÄXJÖ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23469-2019</t>
        </is>
      </c>
      <c r="B460" s="1" t="n">
        <v>43593</v>
      </c>
      <c r="C460" s="1" t="n">
        <v>45832</v>
      </c>
      <c r="D460" t="inlineStr">
        <is>
          <t>KRONOBERGS LÄN</t>
        </is>
      </c>
      <c r="E460" t="inlineStr">
        <is>
          <t>ÄLMHULT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23470-2019</t>
        </is>
      </c>
      <c r="B461" s="1" t="n">
        <v>43593</v>
      </c>
      <c r="C461" s="1" t="n">
        <v>45832</v>
      </c>
      <c r="D461" t="inlineStr">
        <is>
          <t>KRONOBERGS LÄN</t>
        </is>
      </c>
      <c r="E461" t="inlineStr">
        <is>
          <t>ÄLMHULT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23420-2019</t>
        </is>
      </c>
      <c r="B462" s="1" t="n">
        <v>43593</v>
      </c>
      <c r="C462" s="1" t="n">
        <v>45832</v>
      </c>
      <c r="D462" t="inlineStr">
        <is>
          <t>KRONOBERGS LÄN</t>
        </is>
      </c>
      <c r="E462" t="inlineStr">
        <is>
          <t>ÄLMHULT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23472-2019</t>
        </is>
      </c>
      <c r="B463" s="1" t="n">
        <v>43593</v>
      </c>
      <c r="C463" s="1" t="n">
        <v>45832</v>
      </c>
      <c r="D463" t="inlineStr">
        <is>
          <t>KRONOBERGS LÄN</t>
        </is>
      </c>
      <c r="E463" t="inlineStr">
        <is>
          <t>ÄLMHULT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23467-2019</t>
        </is>
      </c>
      <c r="B464" s="1" t="n">
        <v>43593</v>
      </c>
      <c r="C464" s="1" t="n">
        <v>45832</v>
      </c>
      <c r="D464" t="inlineStr">
        <is>
          <t>KRONOBERGS LÄN</t>
        </is>
      </c>
      <c r="E464" t="inlineStr">
        <is>
          <t>ÄLMHULT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23471-2019</t>
        </is>
      </c>
      <c r="B465" s="1" t="n">
        <v>43593</v>
      </c>
      <c r="C465" s="1" t="n">
        <v>45832</v>
      </c>
      <c r="D465" t="inlineStr">
        <is>
          <t>KRONOBERGS LÄN</t>
        </is>
      </c>
      <c r="E465" t="inlineStr">
        <is>
          <t>ÄLMHULT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23580-2019</t>
        </is>
      </c>
      <c r="B466" s="1" t="n">
        <v>43594</v>
      </c>
      <c r="C466" s="1" t="n">
        <v>45832</v>
      </c>
      <c r="D466" t="inlineStr">
        <is>
          <t>KRONOBERGS LÄN</t>
        </is>
      </c>
      <c r="E466" t="inlineStr">
        <is>
          <t>UPPVIDINGE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23525-2019</t>
        </is>
      </c>
      <c r="B467" s="1" t="n">
        <v>43594</v>
      </c>
      <c r="C467" s="1" t="n">
        <v>45832</v>
      </c>
      <c r="D467" t="inlineStr">
        <is>
          <t>KRONOBERGS LÄN</t>
        </is>
      </c>
      <c r="E467" t="inlineStr">
        <is>
          <t>VÄXJÖ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23776-2019</t>
        </is>
      </c>
      <c r="B468" s="1" t="n">
        <v>43595</v>
      </c>
      <c r="C468" s="1" t="n">
        <v>45832</v>
      </c>
      <c r="D468" t="inlineStr">
        <is>
          <t>KRONOBERGS LÄN</t>
        </is>
      </c>
      <c r="E468" t="inlineStr">
        <is>
          <t>VÄXJÖ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23882-2019</t>
        </is>
      </c>
      <c r="B469" s="1" t="n">
        <v>43595</v>
      </c>
      <c r="C469" s="1" t="n">
        <v>45832</v>
      </c>
      <c r="D469" t="inlineStr">
        <is>
          <t>KRONOBERGS LÄN</t>
        </is>
      </c>
      <c r="E469" t="inlineStr">
        <is>
          <t>VÄXJÖ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24093-2019</t>
        </is>
      </c>
      <c r="B470" s="1" t="n">
        <v>43598</v>
      </c>
      <c r="C470" s="1" t="n">
        <v>45832</v>
      </c>
      <c r="D470" t="inlineStr">
        <is>
          <t>KRONOBERGS LÄN</t>
        </is>
      </c>
      <c r="E470" t="inlineStr">
        <is>
          <t>MARKARYD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24049-2019</t>
        </is>
      </c>
      <c r="B471" s="1" t="n">
        <v>43598</v>
      </c>
      <c r="C471" s="1" t="n">
        <v>45832</v>
      </c>
      <c r="D471" t="inlineStr">
        <is>
          <t>KRONOBERGS LÄN</t>
        </is>
      </c>
      <c r="E471" t="inlineStr">
        <is>
          <t>UPPVIDINGE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24044-2019</t>
        </is>
      </c>
      <c r="B472" s="1" t="n">
        <v>43598</v>
      </c>
      <c r="C472" s="1" t="n">
        <v>45832</v>
      </c>
      <c r="D472" t="inlineStr">
        <is>
          <t>KRONOBERGS LÄN</t>
        </is>
      </c>
      <c r="E472" t="inlineStr">
        <is>
          <t>TINGSRYD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23987-2019</t>
        </is>
      </c>
      <c r="B473" s="1" t="n">
        <v>43598</v>
      </c>
      <c r="C473" s="1" t="n">
        <v>45832</v>
      </c>
      <c r="D473" t="inlineStr">
        <is>
          <t>KRONOBERGS LÄN</t>
        </is>
      </c>
      <c r="E473" t="inlineStr">
        <is>
          <t>TINGSRYD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23983-2019</t>
        </is>
      </c>
      <c r="B474" s="1" t="n">
        <v>43598</v>
      </c>
      <c r="C474" s="1" t="n">
        <v>45832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24055-2019</t>
        </is>
      </c>
      <c r="B475" s="1" t="n">
        <v>43598</v>
      </c>
      <c r="C475" s="1" t="n">
        <v>45832</v>
      </c>
      <c r="D475" t="inlineStr">
        <is>
          <t>KRONOBERGS LÄN</t>
        </is>
      </c>
      <c r="E475" t="inlineStr">
        <is>
          <t>VÄXJÖ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24310-2019</t>
        </is>
      </c>
      <c r="B476" s="1" t="n">
        <v>43599</v>
      </c>
      <c r="C476" s="1" t="n">
        <v>45832</v>
      </c>
      <c r="D476" t="inlineStr">
        <is>
          <t>KRONOBERGS LÄN</t>
        </is>
      </c>
      <c r="E476" t="inlineStr">
        <is>
          <t>LJUNGBY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24377-2019</t>
        </is>
      </c>
      <c r="B477" s="1" t="n">
        <v>43599</v>
      </c>
      <c r="C477" s="1" t="n">
        <v>45832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24244-2019</t>
        </is>
      </c>
      <c r="B478" s="1" t="n">
        <v>43599</v>
      </c>
      <c r="C478" s="1" t="n">
        <v>45832</v>
      </c>
      <c r="D478" t="inlineStr">
        <is>
          <t>KRONOBERGS LÄN</t>
        </is>
      </c>
      <c r="E478" t="inlineStr">
        <is>
          <t>TINGSRYD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24373-2019</t>
        </is>
      </c>
      <c r="B479" s="1" t="n">
        <v>43599</v>
      </c>
      <c r="C479" s="1" t="n">
        <v>45832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24378-2019</t>
        </is>
      </c>
      <c r="B480" s="1" t="n">
        <v>43599</v>
      </c>
      <c r="C480" s="1" t="n">
        <v>45832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24374-2019</t>
        </is>
      </c>
      <c r="B481" s="1" t="n">
        <v>43599</v>
      </c>
      <c r="C481" s="1" t="n">
        <v>45832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24376-2019</t>
        </is>
      </c>
      <c r="B482" s="1" t="n">
        <v>43599</v>
      </c>
      <c r="C482" s="1" t="n">
        <v>45832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24450-2019</t>
        </is>
      </c>
      <c r="B483" s="1" t="n">
        <v>43600</v>
      </c>
      <c r="C483" s="1" t="n">
        <v>45832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24452-2019</t>
        </is>
      </c>
      <c r="B484" s="1" t="n">
        <v>43600</v>
      </c>
      <c r="C484" s="1" t="n">
        <v>45832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25117-2019</t>
        </is>
      </c>
      <c r="B485" s="1" t="n">
        <v>43600</v>
      </c>
      <c r="C485" s="1" t="n">
        <v>45832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24971-2019</t>
        </is>
      </c>
      <c r="B486" s="1" t="n">
        <v>43600</v>
      </c>
      <c r="C486" s="1" t="n">
        <v>45832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24546-2019</t>
        </is>
      </c>
      <c r="B487" s="1" t="n">
        <v>43600</v>
      </c>
      <c r="C487" s="1" t="n">
        <v>45832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25113-2019</t>
        </is>
      </c>
      <c r="B488" s="1" t="n">
        <v>43600</v>
      </c>
      <c r="C488" s="1" t="n">
        <v>45832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24705-2019</t>
        </is>
      </c>
      <c r="B489" s="1" t="n">
        <v>43601</v>
      </c>
      <c r="C489" s="1" t="n">
        <v>45832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24701-2019</t>
        </is>
      </c>
      <c r="B490" s="1" t="n">
        <v>43601</v>
      </c>
      <c r="C490" s="1" t="n">
        <v>45832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24748-2019</t>
        </is>
      </c>
      <c r="B491" s="1" t="n">
        <v>43601</v>
      </c>
      <c r="C491" s="1" t="n">
        <v>45832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24678-2019</t>
        </is>
      </c>
      <c r="B492" s="1" t="n">
        <v>43601</v>
      </c>
      <c r="C492" s="1" t="n">
        <v>45832</v>
      </c>
      <c r="D492" t="inlineStr">
        <is>
          <t>KRONOBERGS LÄN</t>
        </is>
      </c>
      <c r="E492" t="inlineStr">
        <is>
          <t>TINGSRYD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24627-2019</t>
        </is>
      </c>
      <c r="B493" s="1" t="n">
        <v>43601</v>
      </c>
      <c r="C493" s="1" t="n">
        <v>45832</v>
      </c>
      <c r="D493" t="inlineStr">
        <is>
          <t>KRONOBERGS LÄN</t>
        </is>
      </c>
      <c r="E493" t="inlineStr">
        <is>
          <t>UPPVIDINGE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24697-2019</t>
        </is>
      </c>
      <c r="B494" s="1" t="n">
        <v>43601</v>
      </c>
      <c r="C494" s="1" t="n">
        <v>45832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25843-2019</t>
        </is>
      </c>
      <c r="B495" s="1" t="n">
        <v>43605</v>
      </c>
      <c r="C495" s="1" t="n">
        <v>45832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25254-2019</t>
        </is>
      </c>
      <c r="B496" s="1" t="n">
        <v>43605</v>
      </c>
      <c r="C496" s="1" t="n">
        <v>45832</v>
      </c>
      <c r="D496" t="inlineStr">
        <is>
          <t>KRONOBERGS LÄN</t>
        </is>
      </c>
      <c r="E496" t="inlineStr">
        <is>
          <t>LESSEBO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25261-2019</t>
        </is>
      </c>
      <c r="B497" s="1" t="n">
        <v>43605</v>
      </c>
      <c r="C497" s="1" t="n">
        <v>45832</v>
      </c>
      <c r="D497" t="inlineStr">
        <is>
          <t>KRONOBERGS LÄN</t>
        </is>
      </c>
      <c r="E497" t="inlineStr">
        <is>
          <t>ALVESTA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25905-2019</t>
        </is>
      </c>
      <c r="B498" s="1" t="n">
        <v>43605</v>
      </c>
      <c r="C498" s="1" t="n">
        <v>45832</v>
      </c>
      <c r="D498" t="inlineStr">
        <is>
          <t>KRONOBERGS LÄN</t>
        </is>
      </c>
      <c r="E498" t="inlineStr">
        <is>
          <t>ALVESTA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25108-2019</t>
        </is>
      </c>
      <c r="B499" s="1" t="n">
        <v>43605</v>
      </c>
      <c r="C499" s="1" t="n">
        <v>45832</v>
      </c>
      <c r="D499" t="inlineStr">
        <is>
          <t>KRONOBERGS LÄN</t>
        </is>
      </c>
      <c r="E499" t="inlineStr">
        <is>
          <t>TINGSRYD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25899-2019</t>
        </is>
      </c>
      <c r="B500" s="1" t="n">
        <v>43605</v>
      </c>
      <c r="C500" s="1" t="n">
        <v>45832</v>
      </c>
      <c r="D500" t="inlineStr">
        <is>
          <t>KRONOBERGS LÄN</t>
        </is>
      </c>
      <c r="E500" t="inlineStr">
        <is>
          <t>ÄLMHULT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25376-2019</t>
        </is>
      </c>
      <c r="B501" s="1" t="n">
        <v>43606</v>
      </c>
      <c r="C501" s="1" t="n">
        <v>45832</v>
      </c>
      <c r="D501" t="inlineStr">
        <is>
          <t>KRONOBERGS LÄN</t>
        </is>
      </c>
      <c r="E501" t="inlineStr">
        <is>
          <t>ALVESTA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25388-2019</t>
        </is>
      </c>
      <c r="B502" s="1" t="n">
        <v>43606</v>
      </c>
      <c r="C502" s="1" t="n">
        <v>45832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25377-2019</t>
        </is>
      </c>
      <c r="B503" s="1" t="n">
        <v>43606</v>
      </c>
      <c r="C503" s="1" t="n">
        <v>45832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26421-2019</t>
        </is>
      </c>
      <c r="B504" s="1" t="n">
        <v>43606</v>
      </c>
      <c r="C504" s="1" t="n">
        <v>45832</v>
      </c>
      <c r="D504" t="inlineStr">
        <is>
          <t>KRONOBERGS LÄN</t>
        </is>
      </c>
      <c r="E504" t="inlineStr">
        <is>
          <t>LESSEBO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25383-2019</t>
        </is>
      </c>
      <c r="B505" s="1" t="n">
        <v>43606</v>
      </c>
      <c r="C505" s="1" t="n">
        <v>45832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26478-2019</t>
        </is>
      </c>
      <c r="B506" s="1" t="n">
        <v>43607</v>
      </c>
      <c r="C506" s="1" t="n">
        <v>45832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26466-2019</t>
        </is>
      </c>
      <c r="B507" s="1" t="n">
        <v>43607</v>
      </c>
      <c r="C507" s="1" t="n">
        <v>45832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26494-2019</t>
        </is>
      </c>
      <c r="B508" s="1" t="n">
        <v>43607</v>
      </c>
      <c r="C508" s="1" t="n">
        <v>45832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26439-2019</t>
        </is>
      </c>
      <c r="B509" s="1" t="n">
        <v>43607</v>
      </c>
      <c r="C509" s="1" t="n">
        <v>45832</v>
      </c>
      <c r="D509" t="inlineStr">
        <is>
          <t>KRONOBERGS LÄN</t>
        </is>
      </c>
      <c r="E509" t="inlineStr">
        <is>
          <t>ALVESTA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25580-2019</t>
        </is>
      </c>
      <c r="B510" s="1" t="n">
        <v>43607</v>
      </c>
      <c r="C510" s="1" t="n">
        <v>45832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25761-2019</t>
        </is>
      </c>
      <c r="B511" s="1" t="n">
        <v>43608</v>
      </c>
      <c r="C511" s="1" t="n">
        <v>45832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25734-2019</t>
        </is>
      </c>
      <c r="B512" s="1" t="n">
        <v>43608</v>
      </c>
      <c r="C512" s="1" t="n">
        <v>45832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25879-2019</t>
        </is>
      </c>
      <c r="B513" s="1" t="n">
        <v>43608</v>
      </c>
      <c r="C513" s="1" t="n">
        <v>45832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25732-2019</t>
        </is>
      </c>
      <c r="B514" s="1" t="n">
        <v>43608</v>
      </c>
      <c r="C514" s="1" t="n">
        <v>45832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25735-2019</t>
        </is>
      </c>
      <c r="B515" s="1" t="n">
        <v>43608</v>
      </c>
      <c r="C515" s="1" t="n">
        <v>45832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25731-2019</t>
        </is>
      </c>
      <c r="B516" s="1" t="n">
        <v>43608</v>
      </c>
      <c r="C516" s="1" t="n">
        <v>45832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26152-2019</t>
        </is>
      </c>
      <c r="B517" s="1" t="n">
        <v>43609</v>
      </c>
      <c r="C517" s="1" t="n">
        <v>45832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26160-2019</t>
        </is>
      </c>
      <c r="B518" s="1" t="n">
        <v>43609</v>
      </c>
      <c r="C518" s="1" t="n">
        <v>45832</v>
      </c>
      <c r="D518" t="inlineStr">
        <is>
          <t>KRONOBERGS LÄN</t>
        </is>
      </c>
      <c r="E518" t="inlineStr">
        <is>
          <t>ALVESTA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26159-2019</t>
        </is>
      </c>
      <c r="B519" s="1" t="n">
        <v>43609</v>
      </c>
      <c r="C519" s="1" t="n">
        <v>45832</v>
      </c>
      <c r="D519" t="inlineStr">
        <is>
          <t>KRONOBERGS LÄN</t>
        </is>
      </c>
      <c r="E519" t="inlineStr">
        <is>
          <t>ALVESTA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27105-2019</t>
        </is>
      </c>
      <c r="B520" s="1" t="n">
        <v>43609</v>
      </c>
      <c r="C520" s="1" t="n">
        <v>45832</v>
      </c>
      <c r="D520" t="inlineStr">
        <is>
          <t>KRONOBERGS LÄN</t>
        </is>
      </c>
      <c r="E520" t="inlineStr">
        <is>
          <t>MARKARYD</t>
        </is>
      </c>
      <c r="F520" t="inlineStr">
        <is>
          <t>Övriga Aktiebolag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26108-2019</t>
        </is>
      </c>
      <c r="B521" s="1" t="n">
        <v>43609</v>
      </c>
      <c r="C521" s="1" t="n">
        <v>45832</v>
      </c>
      <c r="D521" t="inlineStr">
        <is>
          <t>KRONOBERGS LÄN</t>
        </is>
      </c>
      <c r="E521" t="inlineStr">
        <is>
          <t>MARKARYD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26630-2019</t>
        </is>
      </c>
      <c r="B522" s="1" t="n">
        <v>43612</v>
      </c>
      <c r="C522" s="1" t="n">
        <v>45832</v>
      </c>
      <c r="D522" t="inlineStr">
        <is>
          <t>KRONOBERGS LÄN</t>
        </is>
      </c>
      <c r="E522" t="inlineStr">
        <is>
          <t>ALVESTA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27695-2019</t>
        </is>
      </c>
      <c r="B523" s="1" t="n">
        <v>43612</v>
      </c>
      <c r="C523" s="1" t="n">
        <v>45832</v>
      </c>
      <c r="D523" t="inlineStr">
        <is>
          <t>KRONOBERGS LÄN</t>
        </is>
      </c>
      <c r="E523" t="inlineStr">
        <is>
          <t>ALVESTA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26299-2019</t>
        </is>
      </c>
      <c r="B524" s="1" t="n">
        <v>43612</v>
      </c>
      <c r="C524" s="1" t="n">
        <v>45832</v>
      </c>
      <c r="D524" t="inlineStr">
        <is>
          <t>KRONOBERGS LÄN</t>
        </is>
      </c>
      <c r="E524" t="inlineStr">
        <is>
          <t>UPPVIDINGE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28022-2019</t>
        </is>
      </c>
      <c r="B525" s="1" t="n">
        <v>43613</v>
      </c>
      <c r="C525" s="1" t="n">
        <v>45832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27192-2019</t>
        </is>
      </c>
      <c r="B526" s="1" t="n">
        <v>43614</v>
      </c>
      <c r="C526" s="1" t="n">
        <v>45832</v>
      </c>
      <c r="D526" t="inlineStr">
        <is>
          <t>KRONOBERGS LÄN</t>
        </is>
      </c>
      <c r="E526" t="inlineStr">
        <is>
          <t>TINGSRYD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27380-2019</t>
        </is>
      </c>
      <c r="B527" s="1" t="n">
        <v>43616</v>
      </c>
      <c r="C527" s="1" t="n">
        <v>45832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27353-2019</t>
        </is>
      </c>
      <c r="B528" s="1" t="n">
        <v>43616</v>
      </c>
      <c r="C528" s="1" t="n">
        <v>45832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27537-2019</t>
        </is>
      </c>
      <c r="B529" s="1" t="n">
        <v>43616</v>
      </c>
      <c r="C529" s="1" t="n">
        <v>45832</v>
      </c>
      <c r="D529" t="inlineStr">
        <is>
          <t>KRONOBERGS LÄN</t>
        </is>
      </c>
      <c r="E529" t="inlineStr">
        <is>
          <t>TINGSRYD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27333-2019</t>
        </is>
      </c>
      <c r="B530" s="1" t="n">
        <v>43616</v>
      </c>
      <c r="C530" s="1" t="n">
        <v>45832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27437-2019</t>
        </is>
      </c>
      <c r="B531" s="1" t="n">
        <v>43618</v>
      </c>
      <c r="C531" s="1" t="n">
        <v>45832</v>
      </c>
      <c r="D531" t="inlineStr">
        <is>
          <t>KRONOBERGS LÄN</t>
        </is>
      </c>
      <c r="E531" t="inlineStr">
        <is>
          <t>TINGSRYD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27445-2019</t>
        </is>
      </c>
      <c r="B532" s="1" t="n">
        <v>43618</v>
      </c>
      <c r="C532" s="1" t="n">
        <v>45832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27446-2019</t>
        </is>
      </c>
      <c r="B533" s="1" t="n">
        <v>43618</v>
      </c>
      <c r="C533" s="1" t="n">
        <v>45832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27440-2019</t>
        </is>
      </c>
      <c r="B534" s="1" t="n">
        <v>43618</v>
      </c>
      <c r="C534" s="1" t="n">
        <v>45832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27443-2019</t>
        </is>
      </c>
      <c r="B535" s="1" t="n">
        <v>43618</v>
      </c>
      <c r="C535" s="1" t="n">
        <v>45832</v>
      </c>
      <c r="D535" t="inlineStr">
        <is>
          <t>KRONOBERGS LÄN</t>
        </is>
      </c>
      <c r="E535" t="inlineStr">
        <is>
          <t>TINGSRYD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27442-2019</t>
        </is>
      </c>
      <c r="B536" s="1" t="n">
        <v>43618</v>
      </c>
      <c r="C536" s="1" t="n">
        <v>45832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27614-2019</t>
        </is>
      </c>
      <c r="B537" s="1" t="n">
        <v>43619</v>
      </c>
      <c r="C537" s="1" t="n">
        <v>45832</v>
      </c>
      <c r="D537" t="inlineStr">
        <is>
          <t>KRONOBERGS LÄN</t>
        </is>
      </c>
      <c r="E537" t="inlineStr">
        <is>
          <t>VÄXJÖ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27704-2019</t>
        </is>
      </c>
      <c r="B538" s="1" t="n">
        <v>43619</v>
      </c>
      <c r="C538" s="1" t="n">
        <v>45832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28931-2019</t>
        </is>
      </c>
      <c r="B539" s="1" t="n">
        <v>43619</v>
      </c>
      <c r="C539" s="1" t="n">
        <v>45832</v>
      </c>
      <c r="D539" t="inlineStr">
        <is>
          <t>KRONOBERGS LÄN</t>
        </is>
      </c>
      <c r="E539" t="inlineStr">
        <is>
          <t>LESSEBO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27483-2019</t>
        </is>
      </c>
      <c r="B540" s="1" t="n">
        <v>43619</v>
      </c>
      <c r="C540" s="1" t="n">
        <v>45832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27568-2019</t>
        </is>
      </c>
      <c r="B541" s="1" t="n">
        <v>43619</v>
      </c>
      <c r="C541" s="1" t="n">
        <v>45832</v>
      </c>
      <c r="D541" t="inlineStr">
        <is>
          <t>KRONOBERGS LÄN</t>
        </is>
      </c>
      <c r="E541" t="inlineStr">
        <is>
          <t>VÄXJÖ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27919-2019</t>
        </is>
      </c>
      <c r="B542" s="1" t="n">
        <v>43620</v>
      </c>
      <c r="C542" s="1" t="n">
        <v>45832</v>
      </c>
      <c r="D542" t="inlineStr">
        <is>
          <t>KRONOBERGS LÄN</t>
        </is>
      </c>
      <c r="E542" t="inlineStr">
        <is>
          <t>VÄXJÖ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27913-2019</t>
        </is>
      </c>
      <c r="B543" s="1" t="n">
        <v>43620</v>
      </c>
      <c r="C543" s="1" t="n">
        <v>45832</v>
      </c>
      <c r="D543" t="inlineStr">
        <is>
          <t>KRONOBERGS LÄN</t>
        </is>
      </c>
      <c r="E543" t="inlineStr">
        <is>
          <t>VÄXJÖ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27936-2019</t>
        </is>
      </c>
      <c r="B544" s="1" t="n">
        <v>43620</v>
      </c>
      <c r="C544" s="1" t="n">
        <v>45832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27940-2019</t>
        </is>
      </c>
      <c r="B545" s="1" t="n">
        <v>43620</v>
      </c>
      <c r="C545" s="1" t="n">
        <v>45832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28145-2019</t>
        </is>
      </c>
      <c r="B546" s="1" t="n">
        <v>43621</v>
      </c>
      <c r="C546" s="1" t="n">
        <v>45832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28198-2019</t>
        </is>
      </c>
      <c r="B547" s="1" t="n">
        <v>43621</v>
      </c>
      <c r="C547" s="1" t="n">
        <v>45832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29431-2019</t>
        </is>
      </c>
      <c r="B548" s="1" t="n">
        <v>43623</v>
      </c>
      <c r="C548" s="1" t="n">
        <v>45832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29432-2019</t>
        </is>
      </c>
      <c r="B549" s="1" t="n">
        <v>43623</v>
      </c>
      <c r="C549" s="1" t="n">
        <v>45832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29198-2019</t>
        </is>
      </c>
      <c r="B550" s="1" t="n">
        <v>43623</v>
      </c>
      <c r="C550" s="1" t="n">
        <v>45832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29425-2019</t>
        </is>
      </c>
      <c r="B551" s="1" t="n">
        <v>43623</v>
      </c>
      <c r="C551" s="1" t="n">
        <v>45832</v>
      </c>
      <c r="D551" t="inlineStr">
        <is>
          <t>KRONOBERGS LÄN</t>
        </is>
      </c>
      <c r="E551" t="inlineStr">
        <is>
          <t>MARKARYD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28547-2019</t>
        </is>
      </c>
      <c r="B552" s="1" t="n">
        <v>43626</v>
      </c>
      <c r="C552" s="1" t="n">
        <v>45832</v>
      </c>
      <c r="D552" t="inlineStr">
        <is>
          <t>KRONOBERGS LÄN</t>
        </is>
      </c>
      <c r="E552" t="inlineStr">
        <is>
          <t>ALVESTA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28458-2019</t>
        </is>
      </c>
      <c r="B553" s="1" t="n">
        <v>43626</v>
      </c>
      <c r="C553" s="1" t="n">
        <v>45832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28447-2019</t>
        </is>
      </c>
      <c r="B554" s="1" t="n">
        <v>43626</v>
      </c>
      <c r="C554" s="1" t="n">
        <v>45832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28556-2019</t>
        </is>
      </c>
      <c r="B555" s="1" t="n">
        <v>43626</v>
      </c>
      <c r="C555" s="1" t="n">
        <v>45832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28686-2019</t>
        </is>
      </c>
      <c r="B556" s="1" t="n">
        <v>43627</v>
      </c>
      <c r="C556" s="1" t="n">
        <v>45832</v>
      </c>
      <c r="D556" t="inlineStr">
        <is>
          <t>KRONOBERGS LÄN</t>
        </is>
      </c>
      <c r="E556" t="inlineStr">
        <is>
          <t>ALVESTA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28760-2019</t>
        </is>
      </c>
      <c r="B557" s="1" t="n">
        <v>43627</v>
      </c>
      <c r="C557" s="1" t="n">
        <v>45832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28844-2019</t>
        </is>
      </c>
      <c r="B558" s="1" t="n">
        <v>43627</v>
      </c>
      <c r="C558" s="1" t="n">
        <v>45832</v>
      </c>
      <c r="D558" t="inlineStr">
        <is>
          <t>KRONOBERGS LÄN</t>
        </is>
      </c>
      <c r="E558" t="inlineStr">
        <is>
          <t>UPPVIDINGE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28728-2019</t>
        </is>
      </c>
      <c r="B559" s="1" t="n">
        <v>43627</v>
      </c>
      <c r="C559" s="1" t="n">
        <v>45832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28758-2019</t>
        </is>
      </c>
      <c r="B560" s="1" t="n">
        <v>43627</v>
      </c>
      <c r="C560" s="1" t="n">
        <v>45832</v>
      </c>
      <c r="D560" t="inlineStr">
        <is>
          <t>KRONOBERGS LÄN</t>
        </is>
      </c>
      <c r="E560" t="inlineStr">
        <is>
          <t>TINGSRYD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28833-2019</t>
        </is>
      </c>
      <c r="B561" s="1" t="n">
        <v>43627</v>
      </c>
      <c r="C561" s="1" t="n">
        <v>45832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28648-2019</t>
        </is>
      </c>
      <c r="B562" s="1" t="n">
        <v>43627</v>
      </c>
      <c r="C562" s="1" t="n">
        <v>45832</v>
      </c>
      <c r="D562" t="inlineStr">
        <is>
          <t>KRONOBERGS LÄN</t>
        </is>
      </c>
      <c r="E562" t="inlineStr">
        <is>
          <t>TINGSRYD</t>
        </is>
      </c>
      <c r="G562" t="n">
        <v>16.6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28687-2019</t>
        </is>
      </c>
      <c r="B563" s="1" t="n">
        <v>43627</v>
      </c>
      <c r="C563" s="1" t="n">
        <v>45832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28835-2019</t>
        </is>
      </c>
      <c r="B564" s="1" t="n">
        <v>43627</v>
      </c>
      <c r="C564" s="1" t="n">
        <v>45832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28837-2019</t>
        </is>
      </c>
      <c r="B565" s="1" t="n">
        <v>43627</v>
      </c>
      <c r="C565" s="1" t="n">
        <v>45832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28836-2019</t>
        </is>
      </c>
      <c r="B566" s="1" t="n">
        <v>43627</v>
      </c>
      <c r="C566" s="1" t="n">
        <v>45832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28960-2019</t>
        </is>
      </c>
      <c r="B567" s="1" t="n">
        <v>43628</v>
      </c>
      <c r="C567" s="1" t="n">
        <v>45832</v>
      </c>
      <c r="D567" t="inlineStr">
        <is>
          <t>KRONOBERGS LÄN</t>
        </is>
      </c>
      <c r="E567" t="inlineStr">
        <is>
          <t>LESSEBO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28985-2019</t>
        </is>
      </c>
      <c r="B568" s="1" t="n">
        <v>43628</v>
      </c>
      <c r="C568" s="1" t="n">
        <v>45832</v>
      </c>
      <c r="D568" t="inlineStr">
        <is>
          <t>KRONOBERGS LÄN</t>
        </is>
      </c>
      <c r="E568" t="inlineStr">
        <is>
          <t>ALVESTA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28961-2019</t>
        </is>
      </c>
      <c r="B569" s="1" t="n">
        <v>43628</v>
      </c>
      <c r="C569" s="1" t="n">
        <v>45832</v>
      </c>
      <c r="D569" t="inlineStr">
        <is>
          <t>KRONOBERGS LÄN</t>
        </is>
      </c>
      <c r="E569" t="inlineStr">
        <is>
          <t>UPPVIDINGE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29656-2019</t>
        </is>
      </c>
      <c r="B570" s="1" t="n">
        <v>43628</v>
      </c>
      <c r="C570" s="1" t="n">
        <v>45832</v>
      </c>
      <c r="D570" t="inlineStr">
        <is>
          <t>KRONOBERGS LÄN</t>
        </is>
      </c>
      <c r="E570" t="inlineStr">
        <is>
          <t>TINGSRYD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29057-2019</t>
        </is>
      </c>
      <c r="B571" s="1" t="n">
        <v>43628</v>
      </c>
      <c r="C571" s="1" t="n">
        <v>45832</v>
      </c>
      <c r="D571" t="inlineStr">
        <is>
          <t>KRONOBERGS LÄN</t>
        </is>
      </c>
      <c r="E571" t="inlineStr">
        <is>
          <t>UPPVIDINGE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28873-2019</t>
        </is>
      </c>
      <c r="B572" s="1" t="n">
        <v>43628</v>
      </c>
      <c r="C572" s="1" t="n">
        <v>45832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29250-2019</t>
        </is>
      </c>
      <c r="B573" s="1" t="n">
        <v>43629</v>
      </c>
      <c r="C573" s="1" t="n">
        <v>45832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29353-2019</t>
        </is>
      </c>
      <c r="B574" s="1" t="n">
        <v>43629</v>
      </c>
      <c r="C574" s="1" t="n">
        <v>45832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29607-2019</t>
        </is>
      </c>
      <c r="B575" s="1" t="n">
        <v>43630</v>
      </c>
      <c r="C575" s="1" t="n">
        <v>45832</v>
      </c>
      <c r="D575" t="inlineStr">
        <is>
          <t>KRONOBERGS LÄN</t>
        </is>
      </c>
      <c r="E575" t="inlineStr">
        <is>
          <t>TINGSRYD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29622-2019</t>
        </is>
      </c>
      <c r="B576" s="1" t="n">
        <v>43630</v>
      </c>
      <c r="C576" s="1" t="n">
        <v>45832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29645-2019</t>
        </is>
      </c>
      <c r="B577" s="1" t="n">
        <v>43630</v>
      </c>
      <c r="C577" s="1" t="n">
        <v>45832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29738-2019</t>
        </is>
      </c>
      <c r="B578" s="1" t="n">
        <v>43630</v>
      </c>
      <c r="C578" s="1" t="n">
        <v>45832</v>
      </c>
      <c r="D578" t="inlineStr">
        <is>
          <t>KRONOBERGS LÄN</t>
        </is>
      </c>
      <c r="E578" t="inlineStr">
        <is>
          <t>UPPVIDINGE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29643-2019</t>
        </is>
      </c>
      <c r="B579" s="1" t="n">
        <v>43630</v>
      </c>
      <c r="C579" s="1" t="n">
        <v>45832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29739-2019</t>
        </is>
      </c>
      <c r="B580" s="1" t="n">
        <v>43630</v>
      </c>
      <c r="C580" s="1" t="n">
        <v>45832</v>
      </c>
      <c r="D580" t="inlineStr">
        <is>
          <t>KRONOBERGS LÄN</t>
        </is>
      </c>
      <c r="E580" t="inlineStr">
        <is>
          <t>UPPVIDINGE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29798-2019</t>
        </is>
      </c>
      <c r="B581" s="1" t="n">
        <v>43633</v>
      </c>
      <c r="C581" s="1" t="n">
        <v>45832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29883-2019</t>
        </is>
      </c>
      <c r="B582" s="1" t="n">
        <v>43633</v>
      </c>
      <c r="C582" s="1" t="n">
        <v>45832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29982-2019</t>
        </is>
      </c>
      <c r="B583" s="1" t="n">
        <v>43633</v>
      </c>
      <c r="C583" s="1" t="n">
        <v>45832</v>
      </c>
      <c r="D583" t="inlineStr">
        <is>
          <t>KRONOBERGS LÄN</t>
        </is>
      </c>
      <c r="E583" t="inlineStr">
        <is>
          <t>TINGSRYD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29797-2019</t>
        </is>
      </c>
      <c r="B584" s="1" t="n">
        <v>43633</v>
      </c>
      <c r="C584" s="1" t="n">
        <v>45832</v>
      </c>
      <c r="D584" t="inlineStr">
        <is>
          <t>KRONOBERGS LÄN</t>
        </is>
      </c>
      <c r="E584" t="inlineStr">
        <is>
          <t>LJUNGBY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30001-2019</t>
        </is>
      </c>
      <c r="B585" s="1" t="n">
        <v>43633</v>
      </c>
      <c r="C585" s="1" t="n">
        <v>45832</v>
      </c>
      <c r="D585" t="inlineStr">
        <is>
          <t>KRONOBERGS LÄN</t>
        </is>
      </c>
      <c r="E585" t="inlineStr">
        <is>
          <t>TINGSRYD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30388-2019</t>
        </is>
      </c>
      <c r="B586" s="1" t="n">
        <v>43633</v>
      </c>
      <c r="C586" s="1" t="n">
        <v>45832</v>
      </c>
      <c r="D586" t="inlineStr">
        <is>
          <t>KRONOBERGS LÄN</t>
        </is>
      </c>
      <c r="E586" t="inlineStr">
        <is>
          <t>LJUNGBY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30006-2019</t>
        </is>
      </c>
      <c r="B587" s="1" t="n">
        <v>43633</v>
      </c>
      <c r="C587" s="1" t="n">
        <v>45832</v>
      </c>
      <c r="D587" t="inlineStr">
        <is>
          <t>KRONOBERGS LÄN</t>
        </is>
      </c>
      <c r="E587" t="inlineStr">
        <is>
          <t>ALVESTA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30215-2019</t>
        </is>
      </c>
      <c r="B588" s="1" t="n">
        <v>43634</v>
      </c>
      <c r="C588" s="1" t="n">
        <v>45832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30193-2019</t>
        </is>
      </c>
      <c r="B589" s="1" t="n">
        <v>43634</v>
      </c>
      <c r="C589" s="1" t="n">
        <v>45832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30241-2019</t>
        </is>
      </c>
      <c r="B590" s="1" t="n">
        <v>43634</v>
      </c>
      <c r="C590" s="1" t="n">
        <v>45832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30190-2019</t>
        </is>
      </c>
      <c r="B591" s="1" t="n">
        <v>43634</v>
      </c>
      <c r="C591" s="1" t="n">
        <v>45832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30200-2019</t>
        </is>
      </c>
      <c r="B592" s="1" t="n">
        <v>43634</v>
      </c>
      <c r="C592" s="1" t="n">
        <v>45832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30204-2019</t>
        </is>
      </c>
      <c r="B593" s="1" t="n">
        <v>43634</v>
      </c>
      <c r="C593" s="1" t="n">
        <v>45832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30201-2019</t>
        </is>
      </c>
      <c r="B594" s="1" t="n">
        <v>43634</v>
      </c>
      <c r="C594" s="1" t="n">
        <v>45832</v>
      </c>
      <c r="D594" t="inlineStr">
        <is>
          <t>KRONOBERGS LÄN</t>
        </is>
      </c>
      <c r="E594" t="inlineStr">
        <is>
          <t>TINGSRYD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30208-2019</t>
        </is>
      </c>
      <c r="B595" s="1" t="n">
        <v>43634</v>
      </c>
      <c r="C595" s="1" t="n">
        <v>45832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30291-2019</t>
        </is>
      </c>
      <c r="B596" s="1" t="n">
        <v>43634</v>
      </c>
      <c r="C596" s="1" t="n">
        <v>45832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30587-2019</t>
        </is>
      </c>
      <c r="B597" s="1" t="n">
        <v>43635</v>
      </c>
      <c r="C597" s="1" t="n">
        <v>45832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30663-2019</t>
        </is>
      </c>
      <c r="B598" s="1" t="n">
        <v>43636</v>
      </c>
      <c r="C598" s="1" t="n">
        <v>45832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30642-2019</t>
        </is>
      </c>
      <c r="B599" s="1" t="n">
        <v>43636</v>
      </c>
      <c r="C599" s="1" t="n">
        <v>45832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30659-2019</t>
        </is>
      </c>
      <c r="B600" s="1" t="n">
        <v>43636</v>
      </c>
      <c r="C600" s="1" t="n">
        <v>45832</v>
      </c>
      <c r="D600" t="inlineStr">
        <is>
          <t>KRONOBERGS LÄN</t>
        </is>
      </c>
      <c r="E600" t="inlineStr">
        <is>
          <t>ALVESTA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30753-2019</t>
        </is>
      </c>
      <c r="B601" s="1" t="n">
        <v>43636</v>
      </c>
      <c r="C601" s="1" t="n">
        <v>45832</v>
      </c>
      <c r="D601" t="inlineStr">
        <is>
          <t>KRONOBERGS LÄN</t>
        </is>
      </c>
      <c r="E601" t="inlineStr">
        <is>
          <t>UPPVIDINGE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30668-2019</t>
        </is>
      </c>
      <c r="B602" s="1" t="n">
        <v>43636</v>
      </c>
      <c r="C602" s="1" t="n">
        <v>45832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30875-2019</t>
        </is>
      </c>
      <c r="B603" s="1" t="n">
        <v>43636</v>
      </c>
      <c r="C603" s="1" t="n">
        <v>45832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30907-2019</t>
        </is>
      </c>
      <c r="B604" s="1" t="n">
        <v>43636</v>
      </c>
      <c r="C604" s="1" t="n">
        <v>45832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31378-2019</t>
        </is>
      </c>
      <c r="B605" s="1" t="n">
        <v>43636</v>
      </c>
      <c r="C605" s="1" t="n">
        <v>45832</v>
      </c>
      <c r="D605" t="inlineStr">
        <is>
          <t>KRONOBERGS LÄN</t>
        </is>
      </c>
      <c r="E605" t="inlineStr">
        <is>
          <t>TINGSRYD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30874-2019</t>
        </is>
      </c>
      <c r="B606" s="1" t="n">
        <v>43636</v>
      </c>
      <c r="C606" s="1" t="n">
        <v>45832</v>
      </c>
      <c r="D606" t="inlineStr">
        <is>
          <t>KRONOBERGS LÄN</t>
        </is>
      </c>
      <c r="E606" t="inlineStr">
        <is>
          <t>UPPVIDINGE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30672-2019</t>
        </is>
      </c>
      <c r="B607" s="1" t="n">
        <v>43636</v>
      </c>
      <c r="C607" s="1" t="n">
        <v>45832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30798-2019</t>
        </is>
      </c>
      <c r="B608" s="1" t="n">
        <v>43636</v>
      </c>
      <c r="C608" s="1" t="n">
        <v>45832</v>
      </c>
      <c r="D608" t="inlineStr">
        <is>
          <t>KRONOBERGS LÄN</t>
        </is>
      </c>
      <c r="E608" t="inlineStr">
        <is>
          <t>UPPVIDINGE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30749-2019</t>
        </is>
      </c>
      <c r="B609" s="1" t="n">
        <v>43636</v>
      </c>
      <c r="C609" s="1" t="n">
        <v>45832</v>
      </c>
      <c r="D609" t="inlineStr">
        <is>
          <t>KRONOBERGS LÄN</t>
        </is>
      </c>
      <c r="E609" t="inlineStr">
        <is>
          <t>UPPVIDINGE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31013-2019</t>
        </is>
      </c>
      <c r="B610" s="1" t="n">
        <v>43640</v>
      </c>
      <c r="C610" s="1" t="n">
        <v>45832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31002-2019</t>
        </is>
      </c>
      <c r="B611" s="1" t="n">
        <v>43640</v>
      </c>
      <c r="C611" s="1" t="n">
        <v>45832</v>
      </c>
      <c r="D611" t="inlineStr">
        <is>
          <t>KRONOBERGS LÄN</t>
        </is>
      </c>
      <c r="E611" t="inlineStr">
        <is>
          <t>TINGSRYD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30984-2019</t>
        </is>
      </c>
      <c r="B612" s="1" t="n">
        <v>43640</v>
      </c>
      <c r="C612" s="1" t="n">
        <v>45832</v>
      </c>
      <c r="D612" t="inlineStr">
        <is>
          <t>KRONOBERGS LÄN</t>
        </is>
      </c>
      <c r="E612" t="inlineStr">
        <is>
          <t>LJUNGBY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31003-2019</t>
        </is>
      </c>
      <c r="B613" s="1" t="n">
        <v>43640</v>
      </c>
      <c r="C613" s="1" t="n">
        <v>45832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31150-2019</t>
        </is>
      </c>
      <c r="B614" s="1" t="n">
        <v>43640</v>
      </c>
      <c r="C614" s="1" t="n">
        <v>45832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31182-2019</t>
        </is>
      </c>
      <c r="B615" s="1" t="n">
        <v>43640</v>
      </c>
      <c r="C615" s="1" t="n">
        <v>45832</v>
      </c>
      <c r="D615" t="inlineStr">
        <is>
          <t>KRONOBERGS LÄN</t>
        </is>
      </c>
      <c r="E615" t="inlineStr">
        <is>
          <t>ALVESTA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31256-2019</t>
        </is>
      </c>
      <c r="B616" s="1" t="n">
        <v>43640</v>
      </c>
      <c r="C616" s="1" t="n">
        <v>45832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31255-2019</t>
        </is>
      </c>
      <c r="B617" s="1" t="n">
        <v>43640</v>
      </c>
      <c r="C617" s="1" t="n">
        <v>45832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31114-2019</t>
        </is>
      </c>
      <c r="B618" s="1" t="n">
        <v>43640</v>
      </c>
      <c r="C618" s="1" t="n">
        <v>45832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31484-2019</t>
        </is>
      </c>
      <c r="B619" s="1" t="n">
        <v>43641</v>
      </c>
      <c r="C619" s="1" t="n">
        <v>45832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31545-2019</t>
        </is>
      </c>
      <c r="B620" s="1" t="n">
        <v>43641</v>
      </c>
      <c r="C620" s="1" t="n">
        <v>45832</v>
      </c>
      <c r="D620" t="inlineStr">
        <is>
          <t>KRONOBERGS LÄN</t>
        </is>
      </c>
      <c r="E620" t="inlineStr">
        <is>
          <t>TINGSRYD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31339-2019</t>
        </is>
      </c>
      <c r="B621" s="1" t="n">
        <v>43641</v>
      </c>
      <c r="C621" s="1" t="n">
        <v>45832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31550-2019</t>
        </is>
      </c>
      <c r="B622" s="1" t="n">
        <v>43641</v>
      </c>
      <c r="C622" s="1" t="n">
        <v>45832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31505-2019</t>
        </is>
      </c>
      <c r="B623" s="1" t="n">
        <v>43641</v>
      </c>
      <c r="C623" s="1" t="n">
        <v>45832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31741-2019</t>
        </is>
      </c>
      <c r="B624" s="1" t="n">
        <v>43642</v>
      </c>
      <c r="C624" s="1" t="n">
        <v>45832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31623-2019</t>
        </is>
      </c>
      <c r="B625" s="1" t="n">
        <v>43642</v>
      </c>
      <c r="C625" s="1" t="n">
        <v>45832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31694-2019</t>
        </is>
      </c>
      <c r="B626" s="1" t="n">
        <v>43642</v>
      </c>
      <c r="C626" s="1" t="n">
        <v>45832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31797-2019</t>
        </is>
      </c>
      <c r="B627" s="1" t="n">
        <v>43642</v>
      </c>
      <c r="C627" s="1" t="n">
        <v>45832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31799-2019</t>
        </is>
      </c>
      <c r="B628" s="1" t="n">
        <v>43642</v>
      </c>
      <c r="C628" s="1" t="n">
        <v>45832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31946-2019</t>
        </is>
      </c>
      <c r="B629" s="1" t="n">
        <v>43643</v>
      </c>
      <c r="C629" s="1" t="n">
        <v>45832</v>
      </c>
      <c r="D629" t="inlineStr">
        <is>
          <t>KRONOBERGS LÄN</t>
        </is>
      </c>
      <c r="E629" t="inlineStr">
        <is>
          <t>VÄXJÖ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31999-2019</t>
        </is>
      </c>
      <c r="B630" s="1" t="n">
        <v>43643</v>
      </c>
      <c r="C630" s="1" t="n">
        <v>45832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32004-2019</t>
        </is>
      </c>
      <c r="B631" s="1" t="n">
        <v>43643</v>
      </c>
      <c r="C631" s="1" t="n">
        <v>45832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31928-2019</t>
        </is>
      </c>
      <c r="B632" s="1" t="n">
        <v>43643</v>
      </c>
      <c r="C632" s="1" t="n">
        <v>45832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31943-2019</t>
        </is>
      </c>
      <c r="B633" s="1" t="n">
        <v>43643</v>
      </c>
      <c r="C633" s="1" t="n">
        <v>45832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32118-2019</t>
        </is>
      </c>
      <c r="B634" s="1" t="n">
        <v>43643</v>
      </c>
      <c r="C634" s="1" t="n">
        <v>45832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32080-2019</t>
        </is>
      </c>
      <c r="B635" s="1" t="n">
        <v>43643</v>
      </c>
      <c r="C635" s="1" t="n">
        <v>45832</v>
      </c>
      <c r="D635" t="inlineStr">
        <is>
          <t>KRONOBERGS LÄN</t>
        </is>
      </c>
      <c r="E635" t="inlineStr">
        <is>
          <t>MARKARYD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32063-2019</t>
        </is>
      </c>
      <c r="B636" s="1" t="n">
        <v>43643</v>
      </c>
      <c r="C636" s="1" t="n">
        <v>45832</v>
      </c>
      <c r="D636" t="inlineStr">
        <is>
          <t>KRONOBERGS LÄN</t>
        </is>
      </c>
      <c r="E636" t="inlineStr">
        <is>
          <t>VÄXJÖ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32246-2019</t>
        </is>
      </c>
      <c r="B637" s="1" t="n">
        <v>43644</v>
      </c>
      <c r="C637" s="1" t="n">
        <v>45832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32240-2019</t>
        </is>
      </c>
      <c r="B638" s="1" t="n">
        <v>43644</v>
      </c>
      <c r="C638" s="1" t="n">
        <v>45832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32508-2019</t>
        </is>
      </c>
      <c r="B639" s="1" t="n">
        <v>43645</v>
      </c>
      <c r="C639" s="1" t="n">
        <v>45832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32507-2019</t>
        </is>
      </c>
      <c r="B640" s="1" t="n">
        <v>43645</v>
      </c>
      <c r="C640" s="1" t="n">
        <v>45832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32518-2019</t>
        </is>
      </c>
      <c r="B641" s="1" t="n">
        <v>43646</v>
      </c>
      <c r="C641" s="1" t="n">
        <v>45832</v>
      </c>
      <c r="D641" t="inlineStr">
        <is>
          <t>KRONOBERGS LÄN</t>
        </is>
      </c>
      <c r="E641" t="inlineStr">
        <is>
          <t>VÄXJÖ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32598-2019</t>
        </is>
      </c>
      <c r="B642" s="1" t="n">
        <v>43647</v>
      </c>
      <c r="C642" s="1" t="n">
        <v>45832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32605-2019</t>
        </is>
      </c>
      <c r="B643" s="1" t="n">
        <v>43647</v>
      </c>
      <c r="C643" s="1" t="n">
        <v>45832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32574-2019</t>
        </is>
      </c>
      <c r="B644" s="1" t="n">
        <v>43647</v>
      </c>
      <c r="C644" s="1" t="n">
        <v>45832</v>
      </c>
      <c r="D644" t="inlineStr">
        <is>
          <t>KRONOBERGS LÄN</t>
        </is>
      </c>
      <c r="E644" t="inlineStr">
        <is>
          <t>TINGSRYD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32892-2019</t>
        </is>
      </c>
      <c r="B645" s="1" t="n">
        <v>43648</v>
      </c>
      <c r="C645" s="1" t="n">
        <v>45832</v>
      </c>
      <c r="D645" t="inlineStr">
        <is>
          <t>KRONOBERGS LÄN</t>
        </is>
      </c>
      <c r="E645" t="inlineStr">
        <is>
          <t>TINGSRYD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32867-2019</t>
        </is>
      </c>
      <c r="B646" s="1" t="n">
        <v>43648</v>
      </c>
      <c r="C646" s="1" t="n">
        <v>45832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32967-2019</t>
        </is>
      </c>
      <c r="B647" s="1" t="n">
        <v>43648</v>
      </c>
      <c r="C647" s="1" t="n">
        <v>45832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32893-2019</t>
        </is>
      </c>
      <c r="B648" s="1" t="n">
        <v>43648</v>
      </c>
      <c r="C648" s="1" t="n">
        <v>45832</v>
      </c>
      <c r="D648" t="inlineStr">
        <is>
          <t>KRONOBERGS LÄN</t>
        </is>
      </c>
      <c r="E648" t="inlineStr">
        <is>
          <t>LJUNGBY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32943-2019</t>
        </is>
      </c>
      <c r="B649" s="1" t="n">
        <v>43648</v>
      </c>
      <c r="C649" s="1" t="n">
        <v>45832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32777-2019</t>
        </is>
      </c>
      <c r="B650" s="1" t="n">
        <v>43648</v>
      </c>
      <c r="C650" s="1" t="n">
        <v>45832</v>
      </c>
      <c r="D650" t="inlineStr">
        <is>
          <t>KRONOBERGS LÄN</t>
        </is>
      </c>
      <c r="E650" t="inlineStr">
        <is>
          <t>LESSEBO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33054-2019</t>
        </is>
      </c>
      <c r="B651" s="1" t="n">
        <v>43649</v>
      </c>
      <c r="C651" s="1" t="n">
        <v>45832</v>
      </c>
      <c r="D651" t="inlineStr">
        <is>
          <t>KRONOBERGS LÄN</t>
        </is>
      </c>
      <c r="E651" t="inlineStr">
        <is>
          <t>ÄLMHULT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33067-2019</t>
        </is>
      </c>
      <c r="B652" s="1" t="n">
        <v>43649</v>
      </c>
      <c r="C652" s="1" t="n">
        <v>45832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33085-2019</t>
        </is>
      </c>
      <c r="B653" s="1" t="n">
        <v>43649</v>
      </c>
      <c r="C653" s="1" t="n">
        <v>45832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33152-2019</t>
        </is>
      </c>
      <c r="B654" s="1" t="n">
        <v>43649</v>
      </c>
      <c r="C654" s="1" t="n">
        <v>45832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33105-2019</t>
        </is>
      </c>
      <c r="B655" s="1" t="n">
        <v>43649</v>
      </c>
      <c r="C655" s="1" t="n">
        <v>45832</v>
      </c>
      <c r="D655" t="inlineStr">
        <is>
          <t>KRONOBERGS LÄN</t>
        </is>
      </c>
      <c r="E655" t="inlineStr">
        <is>
          <t>TINGSRYD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33049-2019</t>
        </is>
      </c>
      <c r="B656" s="1" t="n">
        <v>43649</v>
      </c>
      <c r="C656" s="1" t="n">
        <v>45832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33139-2019</t>
        </is>
      </c>
      <c r="B657" s="1" t="n">
        <v>43649</v>
      </c>
      <c r="C657" s="1" t="n">
        <v>45832</v>
      </c>
      <c r="D657" t="inlineStr">
        <is>
          <t>KRONOBERGS LÄN</t>
        </is>
      </c>
      <c r="E657" t="inlineStr">
        <is>
          <t>VÄXJÖ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33178-2019</t>
        </is>
      </c>
      <c r="B658" s="1" t="n">
        <v>43649</v>
      </c>
      <c r="C658" s="1" t="n">
        <v>45832</v>
      </c>
      <c r="D658" t="inlineStr">
        <is>
          <t>KRONOBERGS LÄN</t>
        </is>
      </c>
      <c r="E658" t="inlineStr">
        <is>
          <t>ÄLMHULT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33190-2019</t>
        </is>
      </c>
      <c r="B659" s="1" t="n">
        <v>43649</v>
      </c>
      <c r="C659" s="1" t="n">
        <v>45832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33022-2019</t>
        </is>
      </c>
      <c r="B660" s="1" t="n">
        <v>43649</v>
      </c>
      <c r="C660" s="1" t="n">
        <v>45832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33273-2019</t>
        </is>
      </c>
      <c r="B661" s="1" t="n">
        <v>43650</v>
      </c>
      <c r="C661" s="1" t="n">
        <v>45832</v>
      </c>
      <c r="D661" t="inlineStr">
        <is>
          <t>KRONOBERGS LÄN</t>
        </is>
      </c>
      <c r="E661" t="inlineStr">
        <is>
          <t>TINGSRYD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33446-2019</t>
        </is>
      </c>
      <c r="B662" s="1" t="n">
        <v>43650</v>
      </c>
      <c r="C662" s="1" t="n">
        <v>45832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33445-2019</t>
        </is>
      </c>
      <c r="B663" s="1" t="n">
        <v>43650</v>
      </c>
      <c r="C663" s="1" t="n">
        <v>45832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33449-2019</t>
        </is>
      </c>
      <c r="B664" s="1" t="n">
        <v>43650</v>
      </c>
      <c r="C664" s="1" t="n">
        <v>45832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33286-2019</t>
        </is>
      </c>
      <c r="B665" s="1" t="n">
        <v>43650</v>
      </c>
      <c r="C665" s="1" t="n">
        <v>45832</v>
      </c>
      <c r="D665" t="inlineStr">
        <is>
          <t>KRONOBERGS LÄN</t>
        </is>
      </c>
      <c r="E665" t="inlineStr">
        <is>
          <t>VÄXJÖ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35194-2019</t>
        </is>
      </c>
      <c r="B666" s="1" t="n">
        <v>43650</v>
      </c>
      <c r="C666" s="1" t="n">
        <v>45832</v>
      </c>
      <c r="D666" t="inlineStr">
        <is>
          <t>KRONOBERGS LÄN</t>
        </is>
      </c>
      <c r="E666" t="inlineStr">
        <is>
          <t>UPPVIDINGE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33432-2019</t>
        </is>
      </c>
      <c r="B667" s="1" t="n">
        <v>43650</v>
      </c>
      <c r="C667" s="1" t="n">
        <v>45832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33454-2019</t>
        </is>
      </c>
      <c r="B668" s="1" t="n">
        <v>43650</v>
      </c>
      <c r="C668" s="1" t="n">
        <v>45832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33448-2019</t>
        </is>
      </c>
      <c r="B669" s="1" t="n">
        <v>43650</v>
      </c>
      <c r="C669" s="1" t="n">
        <v>45832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35201-2019</t>
        </is>
      </c>
      <c r="B670" s="1" t="n">
        <v>43650</v>
      </c>
      <c r="C670" s="1" t="n">
        <v>45832</v>
      </c>
      <c r="D670" t="inlineStr">
        <is>
          <t>KRONOBERGS LÄN</t>
        </is>
      </c>
      <c r="E670" t="inlineStr">
        <is>
          <t>UPPVIDINGE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34942-2019</t>
        </is>
      </c>
      <c r="B671" s="1" t="n">
        <v>43650</v>
      </c>
      <c r="C671" s="1" t="n">
        <v>45832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35185-2019</t>
        </is>
      </c>
      <c r="B672" s="1" t="n">
        <v>43650</v>
      </c>
      <c r="C672" s="1" t="n">
        <v>45832</v>
      </c>
      <c r="D672" t="inlineStr">
        <is>
          <t>KRONOBERGS LÄN</t>
        </is>
      </c>
      <c r="E672" t="inlineStr">
        <is>
          <t>UPPVIDINGE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33453-2019</t>
        </is>
      </c>
      <c r="B673" s="1" t="n">
        <v>43650</v>
      </c>
      <c r="C673" s="1" t="n">
        <v>45832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33487-2019</t>
        </is>
      </c>
      <c r="B674" s="1" t="n">
        <v>43651</v>
      </c>
      <c r="C674" s="1" t="n">
        <v>45832</v>
      </c>
      <c r="D674" t="inlineStr">
        <is>
          <t>KRONOBERGS LÄN</t>
        </is>
      </c>
      <c r="E674" t="inlineStr">
        <is>
          <t>VÄXJÖ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35278-2019</t>
        </is>
      </c>
      <c r="B675" s="1" t="n">
        <v>43651</v>
      </c>
      <c r="C675" s="1" t="n">
        <v>45832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33754-2019</t>
        </is>
      </c>
      <c r="B676" s="1" t="n">
        <v>43651</v>
      </c>
      <c r="C676" s="1" t="n">
        <v>45832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35352-2019</t>
        </is>
      </c>
      <c r="B677" s="1" t="n">
        <v>43651</v>
      </c>
      <c r="C677" s="1" t="n">
        <v>45832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33894-2019</t>
        </is>
      </c>
      <c r="B678" s="1" t="n">
        <v>43653</v>
      </c>
      <c r="C678" s="1" t="n">
        <v>45832</v>
      </c>
      <c r="D678" t="inlineStr">
        <is>
          <t>KRONOBERGS LÄN</t>
        </is>
      </c>
      <c r="E678" t="inlineStr">
        <is>
          <t>ALVESTA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33896-2019</t>
        </is>
      </c>
      <c r="B679" s="1" t="n">
        <v>43653</v>
      </c>
      <c r="C679" s="1" t="n">
        <v>45832</v>
      </c>
      <c r="D679" t="inlineStr">
        <is>
          <t>KRONOBERGS LÄN</t>
        </is>
      </c>
      <c r="E679" t="inlineStr">
        <is>
          <t>VÄXJÖ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33897-2019</t>
        </is>
      </c>
      <c r="B680" s="1" t="n">
        <v>43653</v>
      </c>
      <c r="C680" s="1" t="n">
        <v>45832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34087-2019</t>
        </is>
      </c>
      <c r="B681" s="1" t="n">
        <v>43654</v>
      </c>
      <c r="C681" s="1" t="n">
        <v>45832</v>
      </c>
      <c r="D681" t="inlineStr">
        <is>
          <t>KRONOBERGS LÄN</t>
        </is>
      </c>
      <c r="E681" t="inlineStr">
        <is>
          <t>LESSEBO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34077-2019</t>
        </is>
      </c>
      <c r="B682" s="1" t="n">
        <v>43654</v>
      </c>
      <c r="C682" s="1" t="n">
        <v>45832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33970-2019</t>
        </is>
      </c>
      <c r="B683" s="1" t="n">
        <v>43654</v>
      </c>
      <c r="C683" s="1" t="n">
        <v>45832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34293-2019</t>
        </is>
      </c>
      <c r="B684" s="1" t="n">
        <v>43655</v>
      </c>
      <c r="C684" s="1" t="n">
        <v>45832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34298-2019</t>
        </is>
      </c>
      <c r="B685" s="1" t="n">
        <v>43655</v>
      </c>
      <c r="C685" s="1" t="n">
        <v>45832</v>
      </c>
      <c r="D685" t="inlineStr">
        <is>
          <t>KRONOBERGS LÄN</t>
        </is>
      </c>
      <c r="E685" t="inlineStr">
        <is>
          <t>LESSEBO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34200-2019</t>
        </is>
      </c>
      <c r="B686" s="1" t="n">
        <v>43655</v>
      </c>
      <c r="C686" s="1" t="n">
        <v>45832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34206-2019</t>
        </is>
      </c>
      <c r="B687" s="1" t="n">
        <v>43655</v>
      </c>
      <c r="C687" s="1" t="n">
        <v>45832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34294-2019</t>
        </is>
      </c>
      <c r="B688" s="1" t="n">
        <v>43655</v>
      </c>
      <c r="C688" s="1" t="n">
        <v>45832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34295-2019</t>
        </is>
      </c>
      <c r="B689" s="1" t="n">
        <v>43655</v>
      </c>
      <c r="C689" s="1" t="n">
        <v>45832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35626-2019</t>
        </is>
      </c>
      <c r="B690" s="1" t="n">
        <v>43655</v>
      </c>
      <c r="C690" s="1" t="n">
        <v>45832</v>
      </c>
      <c r="D690" t="inlineStr">
        <is>
          <t>KRONOBERGS LÄN</t>
        </is>
      </c>
      <c r="E690" t="inlineStr">
        <is>
          <t>ALVESTA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34292-2019</t>
        </is>
      </c>
      <c r="B691" s="1" t="n">
        <v>43655</v>
      </c>
      <c r="C691" s="1" t="n">
        <v>45832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34296-2019</t>
        </is>
      </c>
      <c r="B692" s="1" t="n">
        <v>43655</v>
      </c>
      <c r="C692" s="1" t="n">
        <v>45832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35640-2019</t>
        </is>
      </c>
      <c r="B693" s="1" t="n">
        <v>43655</v>
      </c>
      <c r="C693" s="1" t="n">
        <v>45832</v>
      </c>
      <c r="D693" t="inlineStr">
        <is>
          <t>KRONOBERGS LÄN</t>
        </is>
      </c>
      <c r="E693" t="inlineStr">
        <is>
          <t>VÄXJÖ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35632-2019</t>
        </is>
      </c>
      <c r="B694" s="1" t="n">
        <v>43655</v>
      </c>
      <c r="C694" s="1" t="n">
        <v>45832</v>
      </c>
      <c r="D694" t="inlineStr">
        <is>
          <t>KRONOBERGS LÄN</t>
        </is>
      </c>
      <c r="E694" t="inlineStr">
        <is>
          <t>UPPVIDINGE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35635-2019</t>
        </is>
      </c>
      <c r="B695" s="1" t="n">
        <v>43655</v>
      </c>
      <c r="C695" s="1" t="n">
        <v>45832</v>
      </c>
      <c r="D695" t="inlineStr">
        <is>
          <t>KRONOBERGS LÄN</t>
        </is>
      </c>
      <c r="E695" t="inlineStr">
        <is>
          <t>UPPVIDINGE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34299-2019</t>
        </is>
      </c>
      <c r="B696" s="1" t="n">
        <v>43655</v>
      </c>
      <c r="C696" s="1" t="n">
        <v>45832</v>
      </c>
      <c r="D696" t="inlineStr">
        <is>
          <t>KRONOBERGS LÄN</t>
        </is>
      </c>
      <c r="E696" t="inlineStr">
        <is>
          <t>LESSEBO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34355-2019</t>
        </is>
      </c>
      <c r="B697" s="1" t="n">
        <v>43656</v>
      </c>
      <c r="C697" s="1" t="n">
        <v>45832</v>
      </c>
      <c r="D697" t="inlineStr">
        <is>
          <t>KRONOBERGS LÄN</t>
        </is>
      </c>
      <c r="E697" t="inlineStr">
        <is>
          <t>LJUNGBY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34358-2019</t>
        </is>
      </c>
      <c r="B698" s="1" t="n">
        <v>43656</v>
      </c>
      <c r="C698" s="1" t="n">
        <v>45832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34339-2019</t>
        </is>
      </c>
      <c r="B699" s="1" t="n">
        <v>43656</v>
      </c>
      <c r="C699" s="1" t="n">
        <v>45832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34466-2019</t>
        </is>
      </c>
      <c r="B700" s="1" t="n">
        <v>43656</v>
      </c>
      <c r="C700" s="1" t="n">
        <v>45832</v>
      </c>
      <c r="D700" t="inlineStr">
        <is>
          <t>KRONOBERGS LÄN</t>
        </is>
      </c>
      <c r="E700" t="inlineStr">
        <is>
          <t>LESSEBO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34440-2019</t>
        </is>
      </c>
      <c r="B701" s="1" t="n">
        <v>43656</v>
      </c>
      <c r="C701" s="1" t="n">
        <v>45832</v>
      </c>
      <c r="D701" t="inlineStr">
        <is>
          <t>KRONOBERGS LÄN</t>
        </is>
      </c>
      <c r="E701" t="inlineStr">
        <is>
          <t>UPPVIDINGE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34429-2019</t>
        </is>
      </c>
      <c r="B702" s="1" t="n">
        <v>43656</v>
      </c>
      <c r="C702" s="1" t="n">
        <v>45832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34761-2019</t>
        </is>
      </c>
      <c r="B703" s="1" t="n">
        <v>43658</v>
      </c>
      <c r="C703" s="1" t="n">
        <v>45832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34931-2019</t>
        </is>
      </c>
      <c r="B704" s="1" t="n">
        <v>43658</v>
      </c>
      <c r="C704" s="1" t="n">
        <v>45832</v>
      </c>
      <c r="D704" t="inlineStr">
        <is>
          <t>KRONOBERGS LÄN</t>
        </is>
      </c>
      <c r="E704" t="inlineStr">
        <is>
          <t>MARKARYD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36110-2019</t>
        </is>
      </c>
      <c r="B705" s="1" t="n">
        <v>43658</v>
      </c>
      <c r="C705" s="1" t="n">
        <v>45832</v>
      </c>
      <c r="D705" t="inlineStr">
        <is>
          <t>KRONOBERGS LÄN</t>
        </is>
      </c>
      <c r="E705" t="inlineStr">
        <is>
          <t>TINGSRYD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34990-2019</t>
        </is>
      </c>
      <c r="B706" s="1" t="n">
        <v>43659</v>
      </c>
      <c r="C706" s="1" t="n">
        <v>45832</v>
      </c>
      <c r="D706" t="inlineStr">
        <is>
          <t>KRONOBERGS LÄN</t>
        </is>
      </c>
      <c r="E706" t="inlineStr">
        <is>
          <t>UPPVIDINGE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35159-2019</t>
        </is>
      </c>
      <c r="B707" s="1" t="n">
        <v>43661</v>
      </c>
      <c r="C707" s="1" t="n">
        <v>45832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35008-2019</t>
        </is>
      </c>
      <c r="B708" s="1" t="n">
        <v>43661</v>
      </c>
      <c r="C708" s="1" t="n">
        <v>45832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35162-2019</t>
        </is>
      </c>
      <c r="B709" s="1" t="n">
        <v>43661</v>
      </c>
      <c r="C709" s="1" t="n">
        <v>45832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35305-2019</t>
        </is>
      </c>
      <c r="B710" s="1" t="n">
        <v>43662</v>
      </c>
      <c r="C710" s="1" t="n">
        <v>45832</v>
      </c>
      <c r="D710" t="inlineStr">
        <is>
          <t>KRONOBERGS LÄN</t>
        </is>
      </c>
      <c r="E710" t="inlineStr">
        <is>
          <t>VÄXJÖ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35368-2019</t>
        </is>
      </c>
      <c r="B711" s="1" t="n">
        <v>43663</v>
      </c>
      <c r="C711" s="1" t="n">
        <v>45832</v>
      </c>
      <c r="D711" t="inlineStr">
        <is>
          <t>KRONOBERGS LÄN</t>
        </is>
      </c>
      <c r="E711" t="inlineStr">
        <is>
          <t>UPPVIDINGE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35476-2019</t>
        </is>
      </c>
      <c r="B712" s="1" t="n">
        <v>43663</v>
      </c>
      <c r="C712" s="1" t="n">
        <v>45832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35473-2019</t>
        </is>
      </c>
      <c r="B713" s="1" t="n">
        <v>43663</v>
      </c>
      <c r="C713" s="1" t="n">
        <v>45832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35599-2019</t>
        </is>
      </c>
      <c r="B714" s="1" t="n">
        <v>43664</v>
      </c>
      <c r="C714" s="1" t="n">
        <v>45832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35556-2019</t>
        </is>
      </c>
      <c r="B715" s="1" t="n">
        <v>43664</v>
      </c>
      <c r="C715" s="1" t="n">
        <v>45832</v>
      </c>
      <c r="D715" t="inlineStr">
        <is>
          <t>KRONOBERGS LÄN</t>
        </is>
      </c>
      <c r="E715" t="inlineStr">
        <is>
          <t>UPPVIDINGE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35604-2019</t>
        </is>
      </c>
      <c r="B716" s="1" t="n">
        <v>43664</v>
      </c>
      <c r="C716" s="1" t="n">
        <v>45832</v>
      </c>
      <c r="D716" t="inlineStr">
        <is>
          <t>KRONOBERGS LÄN</t>
        </is>
      </c>
      <c r="E716" t="inlineStr">
        <is>
          <t>ALVESTA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35541-2019</t>
        </is>
      </c>
      <c r="B717" s="1" t="n">
        <v>43664</v>
      </c>
      <c r="C717" s="1" t="n">
        <v>45832</v>
      </c>
      <c r="D717" t="inlineStr">
        <is>
          <t>KRONOBERGS LÄN</t>
        </is>
      </c>
      <c r="E717" t="inlineStr">
        <is>
          <t>TINGSRYD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35711-2019</t>
        </is>
      </c>
      <c r="B718" s="1" t="n">
        <v>43664</v>
      </c>
      <c r="C718" s="1" t="n">
        <v>45832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35605-2019</t>
        </is>
      </c>
      <c r="B719" s="1" t="n">
        <v>43664</v>
      </c>
      <c r="C719" s="1" t="n">
        <v>45832</v>
      </c>
      <c r="D719" t="inlineStr">
        <is>
          <t>KRONOBERGS LÄN</t>
        </is>
      </c>
      <c r="E719" t="inlineStr">
        <is>
          <t>ALVESTA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35783-2019</t>
        </is>
      </c>
      <c r="B720" s="1" t="n">
        <v>43665</v>
      </c>
      <c r="C720" s="1" t="n">
        <v>45832</v>
      </c>
      <c r="D720" t="inlineStr">
        <is>
          <t>KRONOBERGS LÄN</t>
        </is>
      </c>
      <c r="E720" t="inlineStr">
        <is>
          <t>ÄLMHULT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35878-2019</t>
        </is>
      </c>
      <c r="B721" s="1" t="n">
        <v>43665</v>
      </c>
      <c r="C721" s="1" t="n">
        <v>45832</v>
      </c>
      <c r="D721" t="inlineStr">
        <is>
          <t>KRONOBERGS LÄN</t>
        </is>
      </c>
      <c r="E721" t="inlineStr">
        <is>
          <t>TINGSRYD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35974-2019</t>
        </is>
      </c>
      <c r="B722" s="1" t="n">
        <v>43666</v>
      </c>
      <c r="C722" s="1" t="n">
        <v>45832</v>
      </c>
      <c r="D722" t="inlineStr">
        <is>
          <t>KRONOBERGS LÄN</t>
        </is>
      </c>
      <c r="E722" t="inlineStr">
        <is>
          <t>TINGSRYD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35978-2019</t>
        </is>
      </c>
      <c r="B723" s="1" t="n">
        <v>43667</v>
      </c>
      <c r="C723" s="1" t="n">
        <v>45832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35981-2019</t>
        </is>
      </c>
      <c r="B724" s="1" t="n">
        <v>43667</v>
      </c>
      <c r="C724" s="1" t="n">
        <v>45832</v>
      </c>
      <c r="D724" t="inlineStr">
        <is>
          <t>KRONOBERGS LÄN</t>
        </is>
      </c>
      <c r="E724" t="inlineStr">
        <is>
          <t>ALVESTA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35979-2019</t>
        </is>
      </c>
      <c r="B725" s="1" t="n">
        <v>43667</v>
      </c>
      <c r="C725" s="1" t="n">
        <v>45832</v>
      </c>
      <c r="D725" t="inlineStr">
        <is>
          <t>KRONOBERGS LÄN</t>
        </is>
      </c>
      <c r="E725" t="inlineStr">
        <is>
          <t>ALVESTA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36067-2019</t>
        </is>
      </c>
      <c r="B726" s="1" t="n">
        <v>43668</v>
      </c>
      <c r="C726" s="1" t="n">
        <v>45832</v>
      </c>
      <c r="D726" t="inlineStr">
        <is>
          <t>KRONOBERGS LÄN</t>
        </is>
      </c>
      <c r="E726" t="inlineStr">
        <is>
          <t>UPPVIDINGE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36068-2019</t>
        </is>
      </c>
      <c r="B727" s="1" t="n">
        <v>43668</v>
      </c>
      <c r="C727" s="1" t="n">
        <v>45832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36076-2019</t>
        </is>
      </c>
      <c r="B728" s="1" t="n">
        <v>43668</v>
      </c>
      <c r="C728" s="1" t="n">
        <v>45832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36005-2019</t>
        </is>
      </c>
      <c r="B729" s="1" t="n">
        <v>43668</v>
      </c>
      <c r="C729" s="1" t="n">
        <v>45832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36078-2019</t>
        </is>
      </c>
      <c r="B730" s="1" t="n">
        <v>43668</v>
      </c>
      <c r="C730" s="1" t="n">
        <v>45832</v>
      </c>
      <c r="D730" t="inlineStr">
        <is>
          <t>KRONOBERGS LÄN</t>
        </is>
      </c>
      <c r="E730" t="inlineStr">
        <is>
          <t>ALVESTA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36204-2019</t>
        </is>
      </c>
      <c r="B731" s="1" t="n">
        <v>43669</v>
      </c>
      <c r="C731" s="1" t="n">
        <v>45832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36228-2019</t>
        </is>
      </c>
      <c r="B732" s="1" t="n">
        <v>43669</v>
      </c>
      <c r="C732" s="1" t="n">
        <v>45832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36247-2019</t>
        </is>
      </c>
      <c r="B733" s="1" t="n">
        <v>43669</v>
      </c>
      <c r="C733" s="1" t="n">
        <v>45832</v>
      </c>
      <c r="D733" t="inlineStr">
        <is>
          <t>KRONOBERGS LÄN</t>
        </is>
      </c>
      <c r="E733" t="inlineStr">
        <is>
          <t>MARKARYD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36264-2019</t>
        </is>
      </c>
      <c r="B734" s="1" t="n">
        <v>43669</v>
      </c>
      <c r="C734" s="1" t="n">
        <v>45832</v>
      </c>
      <c r="D734" t="inlineStr">
        <is>
          <t>KRONOBERGS LÄN</t>
        </is>
      </c>
      <c r="E734" t="inlineStr">
        <is>
          <t>VÄXJÖ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36294-2019</t>
        </is>
      </c>
      <c r="B735" s="1" t="n">
        <v>43669</v>
      </c>
      <c r="C735" s="1" t="n">
        <v>45832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36406-2019</t>
        </is>
      </c>
      <c r="B736" s="1" t="n">
        <v>43670</v>
      </c>
      <c r="C736" s="1" t="n">
        <v>45832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36366-2019</t>
        </is>
      </c>
      <c r="B737" s="1" t="n">
        <v>43670</v>
      </c>
      <c r="C737" s="1" t="n">
        <v>45832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36396-2019</t>
        </is>
      </c>
      <c r="B738" s="1" t="n">
        <v>43670</v>
      </c>
      <c r="C738" s="1" t="n">
        <v>45832</v>
      </c>
      <c r="D738" t="inlineStr">
        <is>
          <t>KRONOBERGS LÄN</t>
        </is>
      </c>
      <c r="E738" t="inlineStr">
        <is>
          <t>VÄXJÖ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36431-2019</t>
        </is>
      </c>
      <c r="B739" s="1" t="n">
        <v>43670</v>
      </c>
      <c r="C739" s="1" t="n">
        <v>45832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36568-2019</t>
        </is>
      </c>
      <c r="B740" s="1" t="n">
        <v>43671</v>
      </c>
      <c r="C740" s="1" t="n">
        <v>45832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36773-2019</t>
        </is>
      </c>
      <c r="B741" s="1" t="n">
        <v>43672</v>
      </c>
      <c r="C741" s="1" t="n">
        <v>45832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36801-2019</t>
        </is>
      </c>
      <c r="B742" s="1" t="n">
        <v>43672</v>
      </c>
      <c r="C742" s="1" t="n">
        <v>45832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36776-2019</t>
        </is>
      </c>
      <c r="B743" s="1" t="n">
        <v>43672</v>
      </c>
      <c r="C743" s="1" t="n">
        <v>45832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36853-2019</t>
        </is>
      </c>
      <c r="B744" s="1" t="n">
        <v>43675</v>
      </c>
      <c r="C744" s="1" t="n">
        <v>45832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36872-2019</t>
        </is>
      </c>
      <c r="B745" s="1" t="n">
        <v>43675</v>
      </c>
      <c r="C745" s="1" t="n">
        <v>45832</v>
      </c>
      <c r="D745" t="inlineStr">
        <is>
          <t>KRONOBERGS LÄN</t>
        </is>
      </c>
      <c r="E745" t="inlineStr">
        <is>
          <t>ALVESTA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36886-2019</t>
        </is>
      </c>
      <c r="B746" s="1" t="n">
        <v>43675</v>
      </c>
      <c r="C746" s="1" t="n">
        <v>45832</v>
      </c>
      <c r="D746" t="inlineStr">
        <is>
          <t>KRONOBERGS LÄN</t>
        </is>
      </c>
      <c r="E746" t="inlineStr">
        <is>
          <t>LESSEBO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36900-2019</t>
        </is>
      </c>
      <c r="B747" s="1" t="n">
        <v>43675</v>
      </c>
      <c r="C747" s="1" t="n">
        <v>45832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36906-2019</t>
        </is>
      </c>
      <c r="B748" s="1" t="n">
        <v>43675</v>
      </c>
      <c r="C748" s="1" t="n">
        <v>45832</v>
      </c>
      <c r="D748" t="inlineStr">
        <is>
          <t>KRONOBERGS LÄN</t>
        </is>
      </c>
      <c r="E748" t="inlineStr">
        <is>
          <t>TINGSRYD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36915-2019</t>
        </is>
      </c>
      <c r="B749" s="1" t="n">
        <v>43675</v>
      </c>
      <c r="C749" s="1" t="n">
        <v>45832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36846-2019</t>
        </is>
      </c>
      <c r="B750" s="1" t="n">
        <v>43675</v>
      </c>
      <c r="C750" s="1" t="n">
        <v>45832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36905-2019</t>
        </is>
      </c>
      <c r="B751" s="1" t="n">
        <v>43675</v>
      </c>
      <c r="C751" s="1" t="n">
        <v>45832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36934-2019</t>
        </is>
      </c>
      <c r="B752" s="1" t="n">
        <v>43675</v>
      </c>
      <c r="C752" s="1" t="n">
        <v>45832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36897-2019</t>
        </is>
      </c>
      <c r="B753" s="1" t="n">
        <v>43675</v>
      </c>
      <c r="C753" s="1" t="n">
        <v>45832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36937-2019</t>
        </is>
      </c>
      <c r="B754" s="1" t="n">
        <v>43675</v>
      </c>
      <c r="C754" s="1" t="n">
        <v>45832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37037-2019</t>
        </is>
      </c>
      <c r="B755" s="1" t="n">
        <v>43676</v>
      </c>
      <c r="C755" s="1" t="n">
        <v>45832</v>
      </c>
      <c r="D755" t="inlineStr">
        <is>
          <t>KRONOBERGS LÄN</t>
        </is>
      </c>
      <c r="E755" t="inlineStr">
        <is>
          <t>LESSEBO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36986-2019</t>
        </is>
      </c>
      <c r="B756" s="1" t="n">
        <v>43676</v>
      </c>
      <c r="C756" s="1" t="n">
        <v>45832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37095-2019</t>
        </is>
      </c>
      <c r="B757" s="1" t="n">
        <v>43676</v>
      </c>
      <c r="C757" s="1" t="n">
        <v>45832</v>
      </c>
      <c r="D757" t="inlineStr">
        <is>
          <t>KRONOBERGS LÄN</t>
        </is>
      </c>
      <c r="E757" t="inlineStr">
        <is>
          <t>LJUNGBY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37034-2019</t>
        </is>
      </c>
      <c r="B758" s="1" t="n">
        <v>43676</v>
      </c>
      <c r="C758" s="1" t="n">
        <v>45832</v>
      </c>
      <c r="D758" t="inlineStr">
        <is>
          <t>KRONOBERGS LÄN</t>
        </is>
      </c>
      <c r="E758" t="inlineStr">
        <is>
          <t>LESSEBO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36979-2019</t>
        </is>
      </c>
      <c r="B759" s="1" t="n">
        <v>43676</v>
      </c>
      <c r="C759" s="1" t="n">
        <v>45832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37109-2019</t>
        </is>
      </c>
      <c r="B760" s="1" t="n">
        <v>43676</v>
      </c>
      <c r="C760" s="1" t="n">
        <v>45832</v>
      </c>
      <c r="D760" t="inlineStr">
        <is>
          <t>KRONOBERGS LÄN</t>
        </is>
      </c>
      <c r="E760" t="inlineStr">
        <is>
          <t>LJUNGBY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37107-2019</t>
        </is>
      </c>
      <c r="B761" s="1" t="n">
        <v>43676</v>
      </c>
      <c r="C761" s="1" t="n">
        <v>45832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37041-2019</t>
        </is>
      </c>
      <c r="B762" s="1" t="n">
        <v>43676</v>
      </c>
      <c r="C762" s="1" t="n">
        <v>45832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37287-2019</t>
        </is>
      </c>
      <c r="B763" s="1" t="n">
        <v>43677</v>
      </c>
      <c r="C763" s="1" t="n">
        <v>45832</v>
      </c>
      <c r="D763" t="inlineStr">
        <is>
          <t>KRONOBERGS LÄN</t>
        </is>
      </c>
      <c r="E763" t="inlineStr">
        <is>
          <t>UPPVIDINGE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37226-2019</t>
        </is>
      </c>
      <c r="B764" s="1" t="n">
        <v>43677</v>
      </c>
      <c r="C764" s="1" t="n">
        <v>45832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37272-2019</t>
        </is>
      </c>
      <c r="B765" s="1" t="n">
        <v>43677</v>
      </c>
      <c r="C765" s="1" t="n">
        <v>45832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37195-2019</t>
        </is>
      </c>
      <c r="B766" s="1" t="n">
        <v>43677</v>
      </c>
      <c r="C766" s="1" t="n">
        <v>45832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37289-2019</t>
        </is>
      </c>
      <c r="B767" s="1" t="n">
        <v>43677</v>
      </c>
      <c r="C767" s="1" t="n">
        <v>45832</v>
      </c>
      <c r="D767" t="inlineStr">
        <is>
          <t>KRONOBERGS LÄN</t>
        </is>
      </c>
      <c r="E767" t="inlineStr">
        <is>
          <t>UPPVIDINGE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37349-2019</t>
        </is>
      </c>
      <c r="B768" s="1" t="n">
        <v>43678</v>
      </c>
      <c r="C768" s="1" t="n">
        <v>45832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37354-2019</t>
        </is>
      </c>
      <c r="B769" s="1" t="n">
        <v>43678</v>
      </c>
      <c r="C769" s="1" t="n">
        <v>45832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37351-2019</t>
        </is>
      </c>
      <c r="B770" s="1" t="n">
        <v>43678</v>
      </c>
      <c r="C770" s="1" t="n">
        <v>45832</v>
      </c>
      <c r="D770" t="inlineStr">
        <is>
          <t>KRONOBERGS LÄN</t>
        </is>
      </c>
      <c r="E770" t="inlineStr">
        <is>
          <t>UPPVIDINGE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37306-2019</t>
        </is>
      </c>
      <c r="B771" s="1" t="n">
        <v>43678</v>
      </c>
      <c r="C771" s="1" t="n">
        <v>45832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37374-2019</t>
        </is>
      </c>
      <c r="B772" s="1" t="n">
        <v>43678</v>
      </c>
      <c r="C772" s="1" t="n">
        <v>45832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37353-2019</t>
        </is>
      </c>
      <c r="B773" s="1" t="n">
        <v>43678</v>
      </c>
      <c r="C773" s="1" t="n">
        <v>45832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37446-2019</t>
        </is>
      </c>
      <c r="B774" s="1" t="n">
        <v>43679</v>
      </c>
      <c r="C774" s="1" t="n">
        <v>45832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37491-2019</t>
        </is>
      </c>
      <c r="B775" s="1" t="n">
        <v>43679</v>
      </c>
      <c r="C775" s="1" t="n">
        <v>45832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37459-2019</t>
        </is>
      </c>
      <c r="B776" s="1" t="n">
        <v>43679</v>
      </c>
      <c r="C776" s="1" t="n">
        <v>45832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37619-2019</t>
        </is>
      </c>
      <c r="B777" s="1" t="n">
        <v>43681</v>
      </c>
      <c r="C777" s="1" t="n">
        <v>45832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38223-2019</t>
        </is>
      </c>
      <c r="B778" s="1" t="n">
        <v>43681</v>
      </c>
      <c r="C778" s="1" t="n">
        <v>45832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37667-2019</t>
        </is>
      </c>
      <c r="B779" s="1" t="n">
        <v>43682</v>
      </c>
      <c r="C779" s="1" t="n">
        <v>45832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37848-2019</t>
        </is>
      </c>
      <c r="B780" s="1" t="n">
        <v>43682</v>
      </c>
      <c r="C780" s="1" t="n">
        <v>45832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37748-2019</t>
        </is>
      </c>
      <c r="B781" s="1" t="n">
        <v>43682</v>
      </c>
      <c r="C781" s="1" t="n">
        <v>45832</v>
      </c>
      <c r="D781" t="inlineStr">
        <is>
          <t>KRONOBERGS LÄN</t>
        </is>
      </c>
      <c r="E781" t="inlineStr">
        <is>
          <t>ÄLMHULT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37994-2019</t>
        </is>
      </c>
      <c r="B782" s="1" t="n">
        <v>43683</v>
      </c>
      <c r="C782" s="1" t="n">
        <v>45832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38012-2019</t>
        </is>
      </c>
      <c r="B783" s="1" t="n">
        <v>43683</v>
      </c>
      <c r="C783" s="1" t="n">
        <v>45832</v>
      </c>
      <c r="D783" t="inlineStr">
        <is>
          <t>KRONOBERGS LÄN</t>
        </is>
      </c>
      <c r="E783" t="inlineStr">
        <is>
          <t>ALVESTA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37919-2019</t>
        </is>
      </c>
      <c r="B784" s="1" t="n">
        <v>43683</v>
      </c>
      <c r="C784" s="1" t="n">
        <v>45832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37998-2019</t>
        </is>
      </c>
      <c r="B785" s="1" t="n">
        <v>43683</v>
      </c>
      <c r="C785" s="1" t="n">
        <v>45832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38102-2019</t>
        </is>
      </c>
      <c r="B786" s="1" t="n">
        <v>43683</v>
      </c>
      <c r="C786" s="1" t="n">
        <v>45832</v>
      </c>
      <c r="D786" t="inlineStr">
        <is>
          <t>KRONOBERGS LÄN</t>
        </is>
      </c>
      <c r="E786" t="inlineStr">
        <is>
          <t>MARKARYD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38060-2019</t>
        </is>
      </c>
      <c r="B787" s="1" t="n">
        <v>43683</v>
      </c>
      <c r="C787" s="1" t="n">
        <v>45832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38045-2019</t>
        </is>
      </c>
      <c r="B788" s="1" t="n">
        <v>43683</v>
      </c>
      <c r="C788" s="1" t="n">
        <v>45832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38347-2019</t>
        </is>
      </c>
      <c r="B789" s="1" t="n">
        <v>43683</v>
      </c>
      <c r="C789" s="1" t="n">
        <v>45832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38070-2019</t>
        </is>
      </c>
      <c r="B790" s="1" t="n">
        <v>43683</v>
      </c>
      <c r="C790" s="1" t="n">
        <v>45832</v>
      </c>
      <c r="D790" t="inlineStr">
        <is>
          <t>KRONOBERGS LÄN</t>
        </is>
      </c>
      <c r="E790" t="inlineStr">
        <is>
          <t>LJUNGBY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37923-2019</t>
        </is>
      </c>
      <c r="B791" s="1" t="n">
        <v>43683</v>
      </c>
      <c r="C791" s="1" t="n">
        <v>45832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38088-2019</t>
        </is>
      </c>
      <c r="B792" s="1" t="n">
        <v>43683</v>
      </c>
      <c r="C792" s="1" t="n">
        <v>45832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38037-2019</t>
        </is>
      </c>
      <c r="B793" s="1" t="n">
        <v>43683</v>
      </c>
      <c r="C793" s="1" t="n">
        <v>45832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38193-2019</t>
        </is>
      </c>
      <c r="B794" s="1" t="n">
        <v>43684</v>
      </c>
      <c r="C794" s="1" t="n">
        <v>45832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38261-2019</t>
        </is>
      </c>
      <c r="B795" s="1" t="n">
        <v>43684</v>
      </c>
      <c r="C795" s="1" t="n">
        <v>45832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38412-2019</t>
        </is>
      </c>
      <c r="B796" s="1" t="n">
        <v>43684</v>
      </c>
      <c r="C796" s="1" t="n">
        <v>45832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38162-2019</t>
        </is>
      </c>
      <c r="B797" s="1" t="n">
        <v>43684</v>
      </c>
      <c r="C797" s="1" t="n">
        <v>45832</v>
      </c>
      <c r="D797" t="inlineStr">
        <is>
          <t>KRONOBERGS LÄN</t>
        </is>
      </c>
      <c r="E797" t="inlineStr">
        <is>
          <t>ALVESTA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38342-2019</t>
        </is>
      </c>
      <c r="B798" s="1" t="n">
        <v>43685</v>
      </c>
      <c r="C798" s="1" t="n">
        <v>45832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38717-2019</t>
        </is>
      </c>
      <c r="B799" s="1" t="n">
        <v>43686</v>
      </c>
      <c r="C799" s="1" t="n">
        <v>45832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38701-2019</t>
        </is>
      </c>
      <c r="B800" s="1" t="n">
        <v>43686</v>
      </c>
      <c r="C800" s="1" t="n">
        <v>45832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38680-2019</t>
        </is>
      </c>
      <c r="B801" s="1" t="n">
        <v>43686</v>
      </c>
      <c r="C801" s="1" t="n">
        <v>45832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38694-2019</t>
        </is>
      </c>
      <c r="B802" s="1" t="n">
        <v>43686</v>
      </c>
      <c r="C802" s="1" t="n">
        <v>45832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38733-2019</t>
        </is>
      </c>
      <c r="B803" s="1" t="n">
        <v>43686</v>
      </c>
      <c r="C803" s="1" t="n">
        <v>45832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38745-2019</t>
        </is>
      </c>
      <c r="B804" s="1" t="n">
        <v>43686</v>
      </c>
      <c r="C804" s="1" t="n">
        <v>45832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38698-2019</t>
        </is>
      </c>
      <c r="B805" s="1" t="n">
        <v>43686</v>
      </c>
      <c r="C805" s="1" t="n">
        <v>45832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38788-2019</t>
        </is>
      </c>
      <c r="B806" s="1" t="n">
        <v>43687</v>
      </c>
      <c r="C806" s="1" t="n">
        <v>45832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38792-2019</t>
        </is>
      </c>
      <c r="B807" s="1" t="n">
        <v>43688</v>
      </c>
      <c r="C807" s="1" t="n">
        <v>45832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38802-2019</t>
        </is>
      </c>
      <c r="B808" s="1" t="n">
        <v>43688</v>
      </c>
      <c r="C808" s="1" t="n">
        <v>45832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38854-2019</t>
        </is>
      </c>
      <c r="B809" s="1" t="n">
        <v>43689</v>
      </c>
      <c r="C809" s="1" t="n">
        <v>45832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38825-2019</t>
        </is>
      </c>
      <c r="B810" s="1" t="n">
        <v>43689</v>
      </c>
      <c r="C810" s="1" t="n">
        <v>45832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38840-2019</t>
        </is>
      </c>
      <c r="B811" s="1" t="n">
        <v>43689</v>
      </c>
      <c r="C811" s="1" t="n">
        <v>45832</v>
      </c>
      <c r="D811" t="inlineStr">
        <is>
          <t>KRONOBERGS LÄN</t>
        </is>
      </c>
      <c r="E811" t="inlineStr">
        <is>
          <t>LESSEBO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38934-2019</t>
        </is>
      </c>
      <c r="B812" s="1" t="n">
        <v>43689</v>
      </c>
      <c r="C812" s="1" t="n">
        <v>45832</v>
      </c>
      <c r="D812" t="inlineStr">
        <is>
          <t>KRONOBERGS LÄN</t>
        </is>
      </c>
      <c r="E812" t="inlineStr">
        <is>
          <t>LESSEBO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38818-2019</t>
        </is>
      </c>
      <c r="B813" s="1" t="n">
        <v>43689</v>
      </c>
      <c r="C813" s="1" t="n">
        <v>45832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38851-2019</t>
        </is>
      </c>
      <c r="B814" s="1" t="n">
        <v>43689</v>
      </c>
      <c r="C814" s="1" t="n">
        <v>45832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39092-2019</t>
        </is>
      </c>
      <c r="B815" s="1" t="n">
        <v>43689</v>
      </c>
      <c r="C815" s="1" t="n">
        <v>45832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39094-2019</t>
        </is>
      </c>
      <c r="B816" s="1" t="n">
        <v>43689</v>
      </c>
      <c r="C816" s="1" t="n">
        <v>45832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38811-2019</t>
        </is>
      </c>
      <c r="B817" s="1" t="n">
        <v>43689</v>
      </c>
      <c r="C817" s="1" t="n">
        <v>45832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39705-2019</t>
        </is>
      </c>
      <c r="B818" s="1" t="n">
        <v>43689</v>
      </c>
      <c r="C818" s="1" t="n">
        <v>45832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38943-2019</t>
        </is>
      </c>
      <c r="B819" s="1" t="n">
        <v>43689</v>
      </c>
      <c r="C819" s="1" t="n">
        <v>45832</v>
      </c>
      <c r="D819" t="inlineStr">
        <is>
          <t>KRONOBERGS LÄN</t>
        </is>
      </c>
      <c r="E819" t="inlineStr">
        <is>
          <t>LESSEBO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38850-2019</t>
        </is>
      </c>
      <c r="B820" s="1" t="n">
        <v>43689</v>
      </c>
      <c r="C820" s="1" t="n">
        <v>45832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39827-2019</t>
        </is>
      </c>
      <c r="B821" s="1" t="n">
        <v>43689</v>
      </c>
      <c r="C821" s="1" t="n">
        <v>45832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39217-2019</t>
        </is>
      </c>
      <c r="B822" s="1" t="n">
        <v>43690</v>
      </c>
      <c r="C822" s="1" t="n">
        <v>45832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39280-2019</t>
        </is>
      </c>
      <c r="B823" s="1" t="n">
        <v>43690</v>
      </c>
      <c r="C823" s="1" t="n">
        <v>45832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39214-2019</t>
        </is>
      </c>
      <c r="B824" s="1" t="n">
        <v>43690</v>
      </c>
      <c r="C824" s="1" t="n">
        <v>45832</v>
      </c>
      <c r="D824" t="inlineStr">
        <is>
          <t>KRONOBERGS LÄN</t>
        </is>
      </c>
      <c r="E824" t="inlineStr">
        <is>
          <t>ALVESTA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39277-2019</t>
        </is>
      </c>
      <c r="B825" s="1" t="n">
        <v>43690</v>
      </c>
      <c r="C825" s="1" t="n">
        <v>45832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39288-2019</t>
        </is>
      </c>
      <c r="B826" s="1" t="n">
        <v>43690</v>
      </c>
      <c r="C826" s="1" t="n">
        <v>45832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39259-2019</t>
        </is>
      </c>
      <c r="B827" s="1" t="n">
        <v>43690</v>
      </c>
      <c r="C827" s="1" t="n">
        <v>45832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39295-2019</t>
        </is>
      </c>
      <c r="B828" s="1" t="n">
        <v>43690</v>
      </c>
      <c r="C828" s="1" t="n">
        <v>45832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39306-2019</t>
        </is>
      </c>
      <c r="B829" s="1" t="n">
        <v>43690</v>
      </c>
      <c r="C829" s="1" t="n">
        <v>45832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39362-2019</t>
        </is>
      </c>
      <c r="B830" s="1" t="n">
        <v>43690</v>
      </c>
      <c r="C830" s="1" t="n">
        <v>45832</v>
      </c>
      <c r="D830" t="inlineStr">
        <is>
          <t>KRONOBERGS LÄN</t>
        </is>
      </c>
      <c r="E830" t="inlineStr">
        <is>
          <t>UPPVIDINGE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39386-2019</t>
        </is>
      </c>
      <c r="B831" s="1" t="n">
        <v>43690</v>
      </c>
      <c r="C831" s="1" t="n">
        <v>45832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40063-2019</t>
        </is>
      </c>
      <c r="B832" s="1" t="n">
        <v>43690</v>
      </c>
      <c r="C832" s="1" t="n">
        <v>45832</v>
      </c>
      <c r="D832" t="inlineStr">
        <is>
          <t>KRONOBERGS LÄN</t>
        </is>
      </c>
      <c r="E832" t="inlineStr">
        <is>
          <t>ALVESTA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40286-2019</t>
        </is>
      </c>
      <c r="B833" s="1" t="n">
        <v>43690</v>
      </c>
      <c r="C833" s="1" t="n">
        <v>45832</v>
      </c>
      <c r="D833" t="inlineStr">
        <is>
          <t>KRONOBERGS LÄN</t>
        </is>
      </c>
      <c r="E833" t="inlineStr">
        <is>
          <t>ÄLMHULT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40007-2019</t>
        </is>
      </c>
      <c r="B834" s="1" t="n">
        <v>43690</v>
      </c>
      <c r="C834" s="1" t="n">
        <v>45832</v>
      </c>
      <c r="D834" t="inlineStr">
        <is>
          <t>KRONOBERGS LÄN</t>
        </is>
      </c>
      <c r="E834" t="inlineStr">
        <is>
          <t>ALVESTA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39361-2019</t>
        </is>
      </c>
      <c r="B835" s="1" t="n">
        <v>43690</v>
      </c>
      <c r="C835" s="1" t="n">
        <v>45832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39323-2019</t>
        </is>
      </c>
      <c r="B836" s="1" t="n">
        <v>43690</v>
      </c>
      <c r="C836" s="1" t="n">
        <v>45832</v>
      </c>
      <c r="D836" t="inlineStr">
        <is>
          <t>KRONOBERGS LÄN</t>
        </is>
      </c>
      <c r="E836" t="inlineStr">
        <is>
          <t>TINGSRYD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39546-2019</t>
        </is>
      </c>
      <c r="B837" s="1" t="n">
        <v>43691</v>
      </c>
      <c r="C837" s="1" t="n">
        <v>45832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39553-2019</t>
        </is>
      </c>
      <c r="B838" s="1" t="n">
        <v>43691</v>
      </c>
      <c r="C838" s="1" t="n">
        <v>45832</v>
      </c>
      <c r="D838" t="inlineStr">
        <is>
          <t>KRONOBERGS LÄN</t>
        </is>
      </c>
      <c r="E838" t="inlineStr">
        <is>
          <t>LESSEBO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39906-2019</t>
        </is>
      </c>
      <c r="B839" s="1" t="n">
        <v>43692</v>
      </c>
      <c r="C839" s="1" t="n">
        <v>45832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40064-2019</t>
        </is>
      </c>
      <c r="B840" s="1" t="n">
        <v>43693</v>
      </c>
      <c r="C840" s="1" t="n">
        <v>45832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40125-2019</t>
        </is>
      </c>
      <c r="B841" s="1" t="n">
        <v>43693</v>
      </c>
      <c r="C841" s="1" t="n">
        <v>45832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40008-2019</t>
        </is>
      </c>
      <c r="B842" s="1" t="n">
        <v>43693</v>
      </c>
      <c r="C842" s="1" t="n">
        <v>45832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40896-2019</t>
        </is>
      </c>
      <c r="B843" s="1" t="n">
        <v>43693</v>
      </c>
      <c r="C843" s="1" t="n">
        <v>45832</v>
      </c>
      <c r="D843" t="inlineStr">
        <is>
          <t>KRONOBERGS LÄN</t>
        </is>
      </c>
      <c r="E843" t="inlineStr">
        <is>
          <t>UPPVIDINGE</t>
        </is>
      </c>
      <c r="F843" t="inlineStr">
        <is>
          <t>Kommuner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40060-2019</t>
        </is>
      </c>
      <c r="B844" s="1" t="n">
        <v>43693</v>
      </c>
      <c r="C844" s="1" t="n">
        <v>45832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40121-2019</t>
        </is>
      </c>
      <c r="B845" s="1" t="n">
        <v>43693</v>
      </c>
      <c r="C845" s="1" t="n">
        <v>45832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40268-2019</t>
        </is>
      </c>
      <c r="B846" s="1" t="n">
        <v>43695</v>
      </c>
      <c r="C846" s="1" t="n">
        <v>45832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40270-2019</t>
        </is>
      </c>
      <c r="B847" s="1" t="n">
        <v>43695</v>
      </c>
      <c r="C847" s="1" t="n">
        <v>45832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40317-2019</t>
        </is>
      </c>
      <c r="B848" s="1" t="n">
        <v>43696</v>
      </c>
      <c r="C848" s="1" t="n">
        <v>45832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40333-2019</t>
        </is>
      </c>
      <c r="B849" s="1" t="n">
        <v>43696</v>
      </c>
      <c r="C849" s="1" t="n">
        <v>45832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40347-2019</t>
        </is>
      </c>
      <c r="B850" s="1" t="n">
        <v>43696</v>
      </c>
      <c r="C850" s="1" t="n">
        <v>45832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40340-2019</t>
        </is>
      </c>
      <c r="B851" s="1" t="n">
        <v>43696</v>
      </c>
      <c r="C851" s="1" t="n">
        <v>45832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40948-2019</t>
        </is>
      </c>
      <c r="B852" s="1" t="n">
        <v>43696</v>
      </c>
      <c r="C852" s="1" t="n">
        <v>45832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40945-2019</t>
        </is>
      </c>
      <c r="B853" s="1" t="n">
        <v>43696</v>
      </c>
      <c r="C853" s="1" t="n">
        <v>45832</v>
      </c>
      <c r="D853" t="inlineStr">
        <is>
          <t>KRONOBERGS LÄN</t>
        </is>
      </c>
      <c r="E853" t="inlineStr">
        <is>
          <t>UPPVIDINGE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40332-2019</t>
        </is>
      </c>
      <c r="B854" s="1" t="n">
        <v>43696</v>
      </c>
      <c r="C854" s="1" t="n">
        <v>45832</v>
      </c>
      <c r="D854" t="inlineStr">
        <is>
          <t>KRONOBERGS LÄN</t>
        </is>
      </c>
      <c r="E854" t="inlineStr">
        <is>
          <t>LESSEBO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40404-2019</t>
        </is>
      </c>
      <c r="B855" s="1" t="n">
        <v>43696</v>
      </c>
      <c r="C855" s="1" t="n">
        <v>45832</v>
      </c>
      <c r="D855" t="inlineStr">
        <is>
          <t>KRONOBERGS LÄN</t>
        </is>
      </c>
      <c r="E855" t="inlineStr">
        <is>
          <t>MARKARYD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40640-2019</t>
        </is>
      </c>
      <c r="B856" s="1" t="n">
        <v>43696</v>
      </c>
      <c r="C856" s="1" t="n">
        <v>45832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40759-2019</t>
        </is>
      </c>
      <c r="B857" s="1" t="n">
        <v>43697</v>
      </c>
      <c r="C857" s="1" t="n">
        <v>45832</v>
      </c>
      <c r="D857" t="inlineStr">
        <is>
          <t>KRONOBERGS LÄN</t>
        </is>
      </c>
      <c r="E857" t="inlineStr">
        <is>
          <t>TINGSRYD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40702-2019</t>
        </is>
      </c>
      <c r="B858" s="1" t="n">
        <v>43697</v>
      </c>
      <c r="C858" s="1" t="n">
        <v>45832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40996-2019</t>
        </is>
      </c>
      <c r="B859" s="1" t="n">
        <v>43697</v>
      </c>
      <c r="C859" s="1" t="n">
        <v>45832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40753-2019</t>
        </is>
      </c>
      <c r="B860" s="1" t="n">
        <v>43697</v>
      </c>
      <c r="C860" s="1" t="n">
        <v>45832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41808-2019</t>
        </is>
      </c>
      <c r="B861" s="1" t="n">
        <v>43697</v>
      </c>
      <c r="C861" s="1" t="n">
        <v>45832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40990-2019</t>
        </is>
      </c>
      <c r="B862" s="1" t="n">
        <v>43697</v>
      </c>
      <c r="C862" s="1" t="n">
        <v>45832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40703-2019</t>
        </is>
      </c>
      <c r="B863" s="1" t="n">
        <v>43697</v>
      </c>
      <c r="C863" s="1" t="n">
        <v>45832</v>
      </c>
      <c r="D863" t="inlineStr">
        <is>
          <t>KRONOBERGS LÄN</t>
        </is>
      </c>
      <c r="E863" t="inlineStr">
        <is>
          <t>ÄLMHULT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41129-2019</t>
        </is>
      </c>
      <c r="B864" s="1" t="n">
        <v>43698</v>
      </c>
      <c r="C864" s="1" t="n">
        <v>45832</v>
      </c>
      <c r="D864" t="inlineStr">
        <is>
          <t>KRONOBERGS LÄN</t>
        </is>
      </c>
      <c r="E864" t="inlineStr">
        <is>
          <t>TINGSRYD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41137-2019</t>
        </is>
      </c>
      <c r="B865" s="1" t="n">
        <v>43698</v>
      </c>
      <c r="C865" s="1" t="n">
        <v>45832</v>
      </c>
      <c r="D865" t="inlineStr">
        <is>
          <t>KRONOBERGS LÄN</t>
        </is>
      </c>
      <c r="E865" t="inlineStr">
        <is>
          <t>LESSEBO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41135-2019</t>
        </is>
      </c>
      <c r="B866" s="1" t="n">
        <v>43698</v>
      </c>
      <c r="C866" s="1" t="n">
        <v>45832</v>
      </c>
      <c r="D866" t="inlineStr">
        <is>
          <t>KRONOBERGS LÄN</t>
        </is>
      </c>
      <c r="E866" t="inlineStr">
        <is>
          <t>TINGSRYD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41072-2019</t>
        </is>
      </c>
      <c r="B867" s="1" t="n">
        <v>43698</v>
      </c>
      <c r="C867" s="1" t="n">
        <v>45832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41297-2019</t>
        </is>
      </c>
      <c r="B868" s="1" t="n">
        <v>43698</v>
      </c>
      <c r="C868" s="1" t="n">
        <v>45832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41400-2019</t>
        </is>
      </c>
      <c r="B869" s="1" t="n">
        <v>43698</v>
      </c>
      <c r="C869" s="1" t="n">
        <v>45832</v>
      </c>
      <c r="D869" t="inlineStr">
        <is>
          <t>KRONOBERGS LÄN</t>
        </is>
      </c>
      <c r="E869" t="inlineStr">
        <is>
          <t>ALVESTA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41327-2019</t>
        </is>
      </c>
      <c r="B870" s="1" t="n">
        <v>43698</v>
      </c>
      <c r="C870" s="1" t="n">
        <v>45832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41372-2019</t>
        </is>
      </c>
      <c r="B871" s="1" t="n">
        <v>43698</v>
      </c>
      <c r="C871" s="1" t="n">
        <v>45832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41343-2019</t>
        </is>
      </c>
      <c r="B872" s="1" t="n">
        <v>43698</v>
      </c>
      <c r="C872" s="1" t="n">
        <v>45832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41386-2019</t>
        </is>
      </c>
      <c r="B873" s="1" t="n">
        <v>43698</v>
      </c>
      <c r="C873" s="1" t="n">
        <v>45832</v>
      </c>
      <c r="D873" t="inlineStr">
        <is>
          <t>KRONOBERGS LÄN</t>
        </is>
      </c>
      <c r="E873" t="inlineStr">
        <is>
          <t>ALVESTA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41311-2019</t>
        </is>
      </c>
      <c r="B874" s="1" t="n">
        <v>43698</v>
      </c>
      <c r="C874" s="1" t="n">
        <v>45832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41316-2019</t>
        </is>
      </c>
      <c r="B875" s="1" t="n">
        <v>43698</v>
      </c>
      <c r="C875" s="1" t="n">
        <v>45832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41140-2019</t>
        </is>
      </c>
      <c r="B876" s="1" t="n">
        <v>43698</v>
      </c>
      <c r="C876" s="1" t="n">
        <v>45832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41674-2019</t>
        </is>
      </c>
      <c r="B877" s="1" t="n">
        <v>43699</v>
      </c>
      <c r="C877" s="1" t="n">
        <v>45832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41727-2019</t>
        </is>
      </c>
      <c r="B878" s="1" t="n">
        <v>43699</v>
      </c>
      <c r="C878" s="1" t="n">
        <v>45832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41721-2019</t>
        </is>
      </c>
      <c r="B879" s="1" t="n">
        <v>43699</v>
      </c>
      <c r="C879" s="1" t="n">
        <v>45832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41536-2019</t>
        </is>
      </c>
      <c r="B880" s="1" t="n">
        <v>43699</v>
      </c>
      <c r="C880" s="1" t="n">
        <v>45832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41690-2019</t>
        </is>
      </c>
      <c r="B881" s="1" t="n">
        <v>43699</v>
      </c>
      <c r="C881" s="1" t="n">
        <v>45832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41729-2019</t>
        </is>
      </c>
      <c r="B882" s="1" t="n">
        <v>43699</v>
      </c>
      <c r="C882" s="1" t="n">
        <v>45832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41466-2019</t>
        </is>
      </c>
      <c r="B883" s="1" t="n">
        <v>43699</v>
      </c>
      <c r="C883" s="1" t="n">
        <v>45832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41533-2019</t>
        </is>
      </c>
      <c r="B884" s="1" t="n">
        <v>43699</v>
      </c>
      <c r="C884" s="1" t="n">
        <v>45832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41873-2019</t>
        </is>
      </c>
      <c r="B885" s="1" t="n">
        <v>43700</v>
      </c>
      <c r="C885" s="1" t="n">
        <v>45832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42090-2019</t>
        </is>
      </c>
      <c r="B886" s="1" t="n">
        <v>43701</v>
      </c>
      <c r="C886" s="1" t="n">
        <v>45832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42308-2019</t>
        </is>
      </c>
      <c r="B887" s="1" t="n">
        <v>43703</v>
      </c>
      <c r="C887" s="1" t="n">
        <v>45832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42387-2019</t>
        </is>
      </c>
      <c r="B888" s="1" t="n">
        <v>43703</v>
      </c>
      <c r="C888" s="1" t="n">
        <v>45832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43321-2019</t>
        </is>
      </c>
      <c r="B889" s="1" t="n">
        <v>43703</v>
      </c>
      <c r="C889" s="1" t="n">
        <v>45832</v>
      </c>
      <c r="D889" t="inlineStr">
        <is>
          <t>KRONOBERGS LÄN</t>
        </is>
      </c>
      <c r="E889" t="inlineStr">
        <is>
          <t>ÄLMHULT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42395-2019</t>
        </is>
      </c>
      <c r="B890" s="1" t="n">
        <v>43703</v>
      </c>
      <c r="C890" s="1" t="n">
        <v>45832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42391-2019</t>
        </is>
      </c>
      <c r="B891" s="1" t="n">
        <v>43703</v>
      </c>
      <c r="C891" s="1" t="n">
        <v>45832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42452-2019</t>
        </is>
      </c>
      <c r="B892" s="1" t="n">
        <v>43704</v>
      </c>
      <c r="C892" s="1" t="n">
        <v>45832</v>
      </c>
      <c r="D892" t="inlineStr">
        <is>
          <t>KRONOBERGS LÄN</t>
        </is>
      </c>
      <c r="E892" t="inlineStr">
        <is>
          <t>LJUNGBY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42658-2019</t>
        </is>
      </c>
      <c r="B893" s="1" t="n">
        <v>43704</v>
      </c>
      <c r="C893" s="1" t="n">
        <v>45832</v>
      </c>
      <c r="D893" t="inlineStr">
        <is>
          <t>KRONOBERGS LÄN</t>
        </is>
      </c>
      <c r="E893" t="inlineStr">
        <is>
          <t>ALVESTA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42724-2019</t>
        </is>
      </c>
      <c r="B894" s="1" t="n">
        <v>43704</v>
      </c>
      <c r="C894" s="1" t="n">
        <v>45832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42700-2019</t>
        </is>
      </c>
      <c r="B895" s="1" t="n">
        <v>43704</v>
      </c>
      <c r="C895" s="1" t="n">
        <v>45832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42960-2019</t>
        </is>
      </c>
      <c r="B896" s="1" t="n">
        <v>43705</v>
      </c>
      <c r="C896" s="1" t="n">
        <v>45832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43147-2019</t>
        </is>
      </c>
      <c r="B897" s="1" t="n">
        <v>43705</v>
      </c>
      <c r="C897" s="1" t="n">
        <v>45832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44390-2019</t>
        </is>
      </c>
      <c r="B898" s="1" t="n">
        <v>43705</v>
      </c>
      <c r="C898" s="1" t="n">
        <v>45832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42944-2019</t>
        </is>
      </c>
      <c r="B899" s="1" t="n">
        <v>43705</v>
      </c>
      <c r="C899" s="1" t="n">
        <v>45832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43244-2019</t>
        </is>
      </c>
      <c r="B900" s="1" t="n">
        <v>43706</v>
      </c>
      <c r="C900" s="1" t="n">
        <v>45832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43288-2019</t>
        </is>
      </c>
      <c r="B901" s="1" t="n">
        <v>43706</v>
      </c>
      <c r="C901" s="1" t="n">
        <v>45832</v>
      </c>
      <c r="D901" t="inlineStr">
        <is>
          <t>KRONOBERGS LÄN</t>
        </is>
      </c>
      <c r="E901" t="inlineStr">
        <is>
          <t>ALVESTA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43274-2019</t>
        </is>
      </c>
      <c r="B902" s="1" t="n">
        <v>43706</v>
      </c>
      <c r="C902" s="1" t="n">
        <v>45832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43457-2019</t>
        </is>
      </c>
      <c r="B903" s="1" t="n">
        <v>43706</v>
      </c>
      <c r="C903" s="1" t="n">
        <v>45832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43456-2019</t>
        </is>
      </c>
      <c r="B904" s="1" t="n">
        <v>43706</v>
      </c>
      <c r="C904" s="1" t="n">
        <v>45832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43473-2019</t>
        </is>
      </c>
      <c r="B905" s="1" t="n">
        <v>43706</v>
      </c>
      <c r="C905" s="1" t="n">
        <v>45832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43576-2019</t>
        </is>
      </c>
      <c r="B906" s="1" t="n">
        <v>43706</v>
      </c>
      <c r="C906" s="1" t="n">
        <v>45832</v>
      </c>
      <c r="D906" t="inlineStr">
        <is>
          <t>KRONOBERGS LÄN</t>
        </is>
      </c>
      <c r="E906" t="inlineStr">
        <is>
          <t>UPPVIDINGE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43475-2019</t>
        </is>
      </c>
      <c r="B907" s="1" t="n">
        <v>43706</v>
      </c>
      <c r="C907" s="1" t="n">
        <v>45832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43282-2019</t>
        </is>
      </c>
      <c r="B908" s="1" t="n">
        <v>43706</v>
      </c>
      <c r="C908" s="1" t="n">
        <v>45832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43664-2019</t>
        </is>
      </c>
      <c r="B909" s="1" t="n">
        <v>43707</v>
      </c>
      <c r="C909" s="1" t="n">
        <v>45832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43682-2019</t>
        </is>
      </c>
      <c r="B910" s="1" t="n">
        <v>43707</v>
      </c>
      <c r="C910" s="1" t="n">
        <v>45832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43751-2019</t>
        </is>
      </c>
      <c r="B911" s="1" t="n">
        <v>43707</v>
      </c>
      <c r="C911" s="1" t="n">
        <v>45832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43767-2019</t>
        </is>
      </c>
      <c r="B912" s="1" t="n">
        <v>43707</v>
      </c>
      <c r="C912" s="1" t="n">
        <v>45832</v>
      </c>
      <c r="D912" t="inlineStr">
        <is>
          <t>KRONOBERGS LÄN</t>
        </is>
      </c>
      <c r="E912" t="inlineStr">
        <is>
          <t>UPPVIDINGE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43698-2019</t>
        </is>
      </c>
      <c r="B913" s="1" t="n">
        <v>43707</v>
      </c>
      <c r="C913" s="1" t="n">
        <v>45832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43771-2019</t>
        </is>
      </c>
      <c r="B914" s="1" t="n">
        <v>43707</v>
      </c>
      <c r="C914" s="1" t="n">
        <v>45832</v>
      </c>
      <c r="D914" t="inlineStr">
        <is>
          <t>KRONOBERGS LÄN</t>
        </is>
      </c>
      <c r="E914" t="inlineStr">
        <is>
          <t>UPPVIDINGE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43790-2019</t>
        </is>
      </c>
      <c r="B915" s="1" t="n">
        <v>43707</v>
      </c>
      <c r="C915" s="1" t="n">
        <v>45832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43857-2019</t>
        </is>
      </c>
      <c r="B916" s="1" t="n">
        <v>43707</v>
      </c>
      <c r="C916" s="1" t="n">
        <v>45832</v>
      </c>
      <c r="D916" t="inlineStr">
        <is>
          <t>KRONOBERGS LÄN</t>
        </is>
      </c>
      <c r="E916" t="inlineStr">
        <is>
          <t>MARKARYD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43914-2019</t>
        </is>
      </c>
      <c r="B917" s="1" t="n">
        <v>43707</v>
      </c>
      <c r="C917" s="1" t="n">
        <v>45832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43876-2019</t>
        </is>
      </c>
      <c r="B918" s="1" t="n">
        <v>43707</v>
      </c>
      <c r="C918" s="1" t="n">
        <v>45832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43782-2019</t>
        </is>
      </c>
      <c r="B919" s="1" t="n">
        <v>43707</v>
      </c>
      <c r="C919" s="1" t="n">
        <v>45832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43852-2019</t>
        </is>
      </c>
      <c r="B920" s="1" t="n">
        <v>43707</v>
      </c>
      <c r="C920" s="1" t="n">
        <v>45832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43746-2019</t>
        </is>
      </c>
      <c r="B921" s="1" t="n">
        <v>43707</v>
      </c>
      <c r="C921" s="1" t="n">
        <v>45832</v>
      </c>
      <c r="D921" t="inlineStr">
        <is>
          <t>KRONOBERGS LÄN</t>
        </is>
      </c>
      <c r="E921" t="inlineStr">
        <is>
          <t>UPPVIDINGE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43747-2019</t>
        </is>
      </c>
      <c r="B922" s="1" t="n">
        <v>43707</v>
      </c>
      <c r="C922" s="1" t="n">
        <v>45832</v>
      </c>
      <c r="D922" t="inlineStr">
        <is>
          <t>KRONOBERGS LÄN</t>
        </is>
      </c>
      <c r="E922" t="inlineStr">
        <is>
          <t>UPPVIDINGE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43877-2019</t>
        </is>
      </c>
      <c r="B923" s="1" t="n">
        <v>43707</v>
      </c>
      <c r="C923" s="1" t="n">
        <v>45832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43819-2019</t>
        </is>
      </c>
      <c r="B924" s="1" t="n">
        <v>43707</v>
      </c>
      <c r="C924" s="1" t="n">
        <v>45832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43964-2019</t>
        </is>
      </c>
      <c r="B925" s="1" t="n">
        <v>43708</v>
      </c>
      <c r="C925" s="1" t="n">
        <v>45832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43965-2019</t>
        </is>
      </c>
      <c r="B926" s="1" t="n">
        <v>43708</v>
      </c>
      <c r="C926" s="1" t="n">
        <v>45832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44147-2019</t>
        </is>
      </c>
      <c r="B927" s="1" t="n">
        <v>43710</v>
      </c>
      <c r="C927" s="1" t="n">
        <v>45832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44023-2019</t>
        </is>
      </c>
      <c r="B928" s="1" t="n">
        <v>43710</v>
      </c>
      <c r="C928" s="1" t="n">
        <v>45832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44172-2019</t>
        </is>
      </c>
      <c r="B929" s="1" t="n">
        <v>43710</v>
      </c>
      <c r="C929" s="1" t="n">
        <v>45832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44306-2019</t>
        </is>
      </c>
      <c r="B930" s="1" t="n">
        <v>43710</v>
      </c>
      <c r="C930" s="1" t="n">
        <v>45832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45406-2019</t>
        </is>
      </c>
      <c r="B931" s="1" t="n">
        <v>43710</v>
      </c>
      <c r="C931" s="1" t="n">
        <v>45832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44506-2019</t>
        </is>
      </c>
      <c r="B932" s="1" t="n">
        <v>43711</v>
      </c>
      <c r="C932" s="1" t="n">
        <v>45832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44525-2019</t>
        </is>
      </c>
      <c r="B933" s="1" t="n">
        <v>43711</v>
      </c>
      <c r="C933" s="1" t="n">
        <v>45832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44544-2019</t>
        </is>
      </c>
      <c r="B934" s="1" t="n">
        <v>43711</v>
      </c>
      <c r="C934" s="1" t="n">
        <v>45832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44553-2019</t>
        </is>
      </c>
      <c r="B935" s="1" t="n">
        <v>43711</v>
      </c>
      <c r="C935" s="1" t="n">
        <v>45832</v>
      </c>
      <c r="D935" t="inlineStr">
        <is>
          <t>KRONOBERGS LÄN</t>
        </is>
      </c>
      <c r="E935" t="inlineStr">
        <is>
          <t>ÄLMHULT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44410-2019</t>
        </is>
      </c>
      <c r="B936" s="1" t="n">
        <v>43711</v>
      </c>
      <c r="C936" s="1" t="n">
        <v>45832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44444-2019</t>
        </is>
      </c>
      <c r="B937" s="1" t="n">
        <v>43711</v>
      </c>
      <c r="C937" s="1" t="n">
        <v>45832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44554-2019</t>
        </is>
      </c>
      <c r="B938" s="1" t="n">
        <v>43711</v>
      </c>
      <c r="C938" s="1" t="n">
        <v>45832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44548-2019</t>
        </is>
      </c>
      <c r="B939" s="1" t="n">
        <v>43711</v>
      </c>
      <c r="C939" s="1" t="n">
        <v>45832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44588-2019</t>
        </is>
      </c>
      <c r="B940" s="1" t="n">
        <v>43711</v>
      </c>
      <c r="C940" s="1" t="n">
        <v>45832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44392-2019</t>
        </is>
      </c>
      <c r="B941" s="1" t="n">
        <v>43711</v>
      </c>
      <c r="C941" s="1" t="n">
        <v>45832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45626-2019</t>
        </is>
      </c>
      <c r="B942" s="1" t="n">
        <v>43711</v>
      </c>
      <c r="C942" s="1" t="n">
        <v>45832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44511-2019</t>
        </is>
      </c>
      <c r="B943" s="1" t="n">
        <v>43711</v>
      </c>
      <c r="C943" s="1" t="n">
        <v>45832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44387-2019</t>
        </is>
      </c>
      <c r="B944" s="1" t="n">
        <v>43711</v>
      </c>
      <c r="C944" s="1" t="n">
        <v>45832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44757-2019</t>
        </is>
      </c>
      <c r="B945" s="1" t="n">
        <v>43712</v>
      </c>
      <c r="C945" s="1" t="n">
        <v>45832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44779-2019</t>
        </is>
      </c>
      <c r="B946" s="1" t="n">
        <v>43712</v>
      </c>
      <c r="C946" s="1" t="n">
        <v>45832</v>
      </c>
      <c r="D946" t="inlineStr">
        <is>
          <t>KRONOBERGS LÄN</t>
        </is>
      </c>
      <c r="E946" t="inlineStr">
        <is>
          <t>UPPVIDINGE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44806-2019</t>
        </is>
      </c>
      <c r="B947" s="1" t="n">
        <v>43712</v>
      </c>
      <c r="C947" s="1" t="n">
        <v>45832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44804-2019</t>
        </is>
      </c>
      <c r="B948" s="1" t="n">
        <v>43712</v>
      </c>
      <c r="C948" s="1" t="n">
        <v>45832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46187-2019</t>
        </is>
      </c>
      <c r="B949" s="1" t="n">
        <v>43712</v>
      </c>
      <c r="C949" s="1" t="n">
        <v>45832</v>
      </c>
      <c r="D949" t="inlineStr">
        <is>
          <t>KRONOBERGS LÄN</t>
        </is>
      </c>
      <c r="E949" t="inlineStr">
        <is>
          <t>TINGSRYD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45955-2019</t>
        </is>
      </c>
      <c r="B950" s="1" t="n">
        <v>43712</v>
      </c>
      <c r="C950" s="1" t="n">
        <v>45832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45864-2019</t>
        </is>
      </c>
      <c r="B951" s="1" t="n">
        <v>43712</v>
      </c>
      <c r="C951" s="1" t="n">
        <v>45832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46179-2019</t>
        </is>
      </c>
      <c r="B952" s="1" t="n">
        <v>43712</v>
      </c>
      <c r="C952" s="1" t="n">
        <v>45832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44946-2019</t>
        </is>
      </c>
      <c r="B953" s="1" t="n">
        <v>43713</v>
      </c>
      <c r="C953" s="1" t="n">
        <v>45832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44968-2019</t>
        </is>
      </c>
      <c r="B954" s="1" t="n">
        <v>43713</v>
      </c>
      <c r="C954" s="1" t="n">
        <v>45832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45112-2019</t>
        </is>
      </c>
      <c r="B955" s="1" t="n">
        <v>43713</v>
      </c>
      <c r="C955" s="1" t="n">
        <v>45832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44932-2019</t>
        </is>
      </c>
      <c r="B956" s="1" t="n">
        <v>43713</v>
      </c>
      <c r="C956" s="1" t="n">
        <v>45832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44936-2019</t>
        </is>
      </c>
      <c r="B957" s="1" t="n">
        <v>43713</v>
      </c>
      <c r="C957" s="1" t="n">
        <v>45832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44996-2019</t>
        </is>
      </c>
      <c r="B958" s="1" t="n">
        <v>43713</v>
      </c>
      <c r="C958" s="1" t="n">
        <v>45832</v>
      </c>
      <c r="D958" t="inlineStr">
        <is>
          <t>KRONOBERGS LÄN</t>
        </is>
      </c>
      <c r="E958" t="inlineStr">
        <is>
          <t>ÄLMHULT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44943-2019</t>
        </is>
      </c>
      <c r="B959" s="1" t="n">
        <v>43713</v>
      </c>
      <c r="C959" s="1" t="n">
        <v>45832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44964-2019</t>
        </is>
      </c>
      <c r="B960" s="1" t="n">
        <v>43713</v>
      </c>
      <c r="C960" s="1" t="n">
        <v>45832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45092-2019</t>
        </is>
      </c>
      <c r="B961" s="1" t="n">
        <v>43713</v>
      </c>
      <c r="C961" s="1" t="n">
        <v>45832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45164-2019</t>
        </is>
      </c>
      <c r="B962" s="1" t="n">
        <v>43713</v>
      </c>
      <c r="C962" s="1" t="n">
        <v>45832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45235-2019</t>
        </is>
      </c>
      <c r="B963" s="1" t="n">
        <v>43713</v>
      </c>
      <c r="C963" s="1" t="n">
        <v>45832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44940-2019</t>
        </is>
      </c>
      <c r="B964" s="1" t="n">
        <v>43713</v>
      </c>
      <c r="C964" s="1" t="n">
        <v>45832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45110-2019</t>
        </is>
      </c>
      <c r="B965" s="1" t="n">
        <v>43713</v>
      </c>
      <c r="C965" s="1" t="n">
        <v>45832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45094-2019</t>
        </is>
      </c>
      <c r="B966" s="1" t="n">
        <v>43713</v>
      </c>
      <c r="C966" s="1" t="n">
        <v>45832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45514-2019</t>
        </is>
      </c>
      <c r="B967" s="1" t="n">
        <v>43714</v>
      </c>
      <c r="C967" s="1" t="n">
        <v>45832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45279-2019</t>
        </is>
      </c>
      <c r="B968" s="1" t="n">
        <v>43714</v>
      </c>
      <c r="C968" s="1" t="n">
        <v>45832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45320-2019</t>
        </is>
      </c>
      <c r="B969" s="1" t="n">
        <v>43714</v>
      </c>
      <c r="C969" s="1" t="n">
        <v>45832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45330-2019</t>
        </is>
      </c>
      <c r="B970" s="1" t="n">
        <v>43714</v>
      </c>
      <c r="C970" s="1" t="n">
        <v>45832</v>
      </c>
      <c r="D970" t="inlineStr">
        <is>
          <t>KRONOBERGS LÄN</t>
        </is>
      </c>
      <c r="E970" t="inlineStr">
        <is>
          <t>VÄXJÖ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45409-2019</t>
        </is>
      </c>
      <c r="B971" s="1" t="n">
        <v>43714</v>
      </c>
      <c r="C971" s="1" t="n">
        <v>45832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45421-2019</t>
        </is>
      </c>
      <c r="B972" s="1" t="n">
        <v>43714</v>
      </c>
      <c r="C972" s="1" t="n">
        <v>45832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45508-2019</t>
        </is>
      </c>
      <c r="B973" s="1" t="n">
        <v>43714</v>
      </c>
      <c r="C973" s="1" t="n">
        <v>45832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45345-2019</t>
        </is>
      </c>
      <c r="B974" s="1" t="n">
        <v>43714</v>
      </c>
      <c r="C974" s="1" t="n">
        <v>45832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45529-2019</t>
        </is>
      </c>
      <c r="B975" s="1" t="n">
        <v>43714</v>
      </c>
      <c r="C975" s="1" t="n">
        <v>45832</v>
      </c>
      <c r="D975" t="inlineStr">
        <is>
          <t>KRONOBERGS LÄN</t>
        </is>
      </c>
      <c r="E975" t="inlineStr">
        <is>
          <t>LJUNGBY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45559-2019</t>
        </is>
      </c>
      <c r="B976" s="1" t="n">
        <v>43715</v>
      </c>
      <c r="C976" s="1" t="n">
        <v>45832</v>
      </c>
      <c r="D976" t="inlineStr">
        <is>
          <t>KRONOBERGS LÄN</t>
        </is>
      </c>
      <c r="E976" t="inlineStr">
        <is>
          <t>VÄXJÖ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45562-2019</t>
        </is>
      </c>
      <c r="B977" s="1" t="n">
        <v>43715</v>
      </c>
      <c r="C977" s="1" t="n">
        <v>45832</v>
      </c>
      <c r="D977" t="inlineStr">
        <is>
          <t>KRONOBERGS LÄN</t>
        </is>
      </c>
      <c r="E977" t="inlineStr">
        <is>
          <t>VÄXJÖ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45671-2019</t>
        </is>
      </c>
      <c r="B978" s="1" t="n">
        <v>43717</v>
      </c>
      <c r="C978" s="1" t="n">
        <v>45832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45760-2019</t>
        </is>
      </c>
      <c r="B979" s="1" t="n">
        <v>43717</v>
      </c>
      <c r="C979" s="1" t="n">
        <v>45832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45825-2019</t>
        </is>
      </c>
      <c r="B980" s="1" t="n">
        <v>43717</v>
      </c>
      <c r="C980" s="1" t="n">
        <v>45832</v>
      </c>
      <c r="D980" t="inlineStr">
        <is>
          <t>KRONOBERGS LÄN</t>
        </is>
      </c>
      <c r="E980" t="inlineStr">
        <is>
          <t>TINGSRYD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45833-2019</t>
        </is>
      </c>
      <c r="B981" s="1" t="n">
        <v>43717</v>
      </c>
      <c r="C981" s="1" t="n">
        <v>45832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45907-2019</t>
        </is>
      </c>
      <c r="B982" s="1" t="n">
        <v>43717</v>
      </c>
      <c r="C982" s="1" t="n">
        <v>45832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45606-2019</t>
        </is>
      </c>
      <c r="B983" s="1" t="n">
        <v>43717</v>
      </c>
      <c r="C983" s="1" t="n">
        <v>45832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46322-2019</t>
        </is>
      </c>
      <c r="B984" s="1" t="n">
        <v>43718</v>
      </c>
      <c r="C984" s="1" t="n">
        <v>45832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45967-2019</t>
        </is>
      </c>
      <c r="B985" s="1" t="n">
        <v>43718</v>
      </c>
      <c r="C985" s="1" t="n">
        <v>45832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46315-2019</t>
        </is>
      </c>
      <c r="B986" s="1" t="n">
        <v>43718</v>
      </c>
      <c r="C986" s="1" t="n">
        <v>45832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46247-2019</t>
        </is>
      </c>
      <c r="B987" s="1" t="n">
        <v>43718</v>
      </c>
      <c r="C987" s="1" t="n">
        <v>45832</v>
      </c>
      <c r="D987" t="inlineStr">
        <is>
          <t>KRONOBERGS LÄN</t>
        </is>
      </c>
      <c r="E987" t="inlineStr">
        <is>
          <t>TINGSRYD</t>
        </is>
      </c>
      <c r="G987" t="n">
        <v>28.8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46318-2019</t>
        </is>
      </c>
      <c r="B988" s="1" t="n">
        <v>43718</v>
      </c>
      <c r="C988" s="1" t="n">
        <v>45832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46410-2019</t>
        </is>
      </c>
      <c r="B989" s="1" t="n">
        <v>43719</v>
      </c>
      <c r="C989" s="1" t="n">
        <v>45832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46436-2019</t>
        </is>
      </c>
      <c r="B990" s="1" t="n">
        <v>43719</v>
      </c>
      <c r="C990" s="1" t="n">
        <v>45832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46544-2019</t>
        </is>
      </c>
      <c r="B991" s="1" t="n">
        <v>43719</v>
      </c>
      <c r="C991" s="1" t="n">
        <v>45832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46409-2019</t>
        </is>
      </c>
      <c r="B992" s="1" t="n">
        <v>43719</v>
      </c>
      <c r="C992" s="1" t="n">
        <v>45832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46474-2019</t>
        </is>
      </c>
      <c r="B993" s="1" t="n">
        <v>43719</v>
      </c>
      <c r="C993" s="1" t="n">
        <v>45832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46383-2019</t>
        </is>
      </c>
      <c r="B994" s="1" t="n">
        <v>43719</v>
      </c>
      <c r="C994" s="1" t="n">
        <v>45832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46411-2019</t>
        </is>
      </c>
      <c r="B995" s="1" t="n">
        <v>43719</v>
      </c>
      <c r="C995" s="1" t="n">
        <v>45832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46489-2019</t>
        </is>
      </c>
      <c r="B996" s="1" t="n">
        <v>43719</v>
      </c>
      <c r="C996" s="1" t="n">
        <v>45832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46737-2019</t>
        </is>
      </c>
      <c r="B997" s="1" t="n">
        <v>43719</v>
      </c>
      <c r="C997" s="1" t="n">
        <v>45832</v>
      </c>
      <c r="D997" t="inlineStr">
        <is>
          <t>KRONOBERGS LÄN</t>
        </is>
      </c>
      <c r="E997" t="inlineStr">
        <is>
          <t>LJUNGBY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46384-2019</t>
        </is>
      </c>
      <c r="B998" s="1" t="n">
        <v>43719</v>
      </c>
      <c r="C998" s="1" t="n">
        <v>45832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46496-2019</t>
        </is>
      </c>
      <c r="B999" s="1" t="n">
        <v>43719</v>
      </c>
      <c r="C999" s="1" t="n">
        <v>45832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46834-2019</t>
        </is>
      </c>
      <c r="B1000" s="1" t="n">
        <v>43719</v>
      </c>
      <c r="C1000" s="1" t="n">
        <v>45832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46895-2019</t>
        </is>
      </c>
      <c r="B1001" s="1" t="n">
        <v>43720</v>
      </c>
      <c r="C1001" s="1" t="n">
        <v>45832</v>
      </c>
      <c r="D1001" t="inlineStr">
        <is>
          <t>KRONOBERGS LÄN</t>
        </is>
      </c>
      <c r="E1001" t="inlineStr">
        <is>
          <t>TINGSRYD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46778-2019</t>
        </is>
      </c>
      <c r="B1002" s="1" t="n">
        <v>43720</v>
      </c>
      <c r="C1002" s="1" t="n">
        <v>45832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46750-2019</t>
        </is>
      </c>
      <c r="B1003" s="1" t="n">
        <v>43720</v>
      </c>
      <c r="C1003" s="1" t="n">
        <v>45832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47043-2019</t>
        </is>
      </c>
      <c r="B1004" s="1" t="n">
        <v>43720</v>
      </c>
      <c r="C1004" s="1" t="n">
        <v>45832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47328-2019</t>
        </is>
      </c>
      <c r="B1005" s="1" t="n">
        <v>43721</v>
      </c>
      <c r="C1005" s="1" t="n">
        <v>45832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47320-2019</t>
        </is>
      </c>
      <c r="B1006" s="1" t="n">
        <v>43721</v>
      </c>
      <c r="C1006" s="1" t="n">
        <v>45832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47376-2019</t>
        </is>
      </c>
      <c r="B1007" s="1" t="n">
        <v>43721</v>
      </c>
      <c r="C1007" s="1" t="n">
        <v>45832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47475-2019</t>
        </is>
      </c>
      <c r="B1008" s="1" t="n">
        <v>43724</v>
      </c>
      <c r="C1008" s="1" t="n">
        <v>45832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47679-2019</t>
        </is>
      </c>
      <c r="B1009" s="1" t="n">
        <v>43724</v>
      </c>
      <c r="C1009" s="1" t="n">
        <v>45832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47491-2019</t>
        </is>
      </c>
      <c r="B1010" s="1" t="n">
        <v>43724</v>
      </c>
      <c r="C1010" s="1" t="n">
        <v>45832</v>
      </c>
      <c r="D1010" t="inlineStr">
        <is>
          <t>KRONOBERGS LÄN</t>
        </is>
      </c>
      <c r="E1010" t="inlineStr">
        <is>
          <t>UPPVIDINGE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47543-2019</t>
        </is>
      </c>
      <c r="B1011" s="1" t="n">
        <v>43724</v>
      </c>
      <c r="C1011" s="1" t="n">
        <v>45832</v>
      </c>
      <c r="D1011" t="inlineStr">
        <is>
          <t>KRONOBERGS LÄN</t>
        </is>
      </c>
      <c r="E1011" t="inlineStr">
        <is>
          <t>ÄLMHULT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47658-2019</t>
        </is>
      </c>
      <c r="B1012" s="1" t="n">
        <v>43724</v>
      </c>
      <c r="C1012" s="1" t="n">
        <v>45832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47826-2019</t>
        </is>
      </c>
      <c r="B1013" s="1" t="n">
        <v>43724</v>
      </c>
      <c r="C1013" s="1" t="n">
        <v>45832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47946-2019</t>
        </is>
      </c>
      <c r="B1014" s="1" t="n">
        <v>43725</v>
      </c>
      <c r="C1014" s="1" t="n">
        <v>45832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47955-2019</t>
        </is>
      </c>
      <c r="B1015" s="1" t="n">
        <v>43725</v>
      </c>
      <c r="C1015" s="1" t="n">
        <v>45832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48028-2019</t>
        </is>
      </c>
      <c r="B1016" s="1" t="n">
        <v>43725</v>
      </c>
      <c r="C1016" s="1" t="n">
        <v>45832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47853-2019</t>
        </is>
      </c>
      <c r="B1017" s="1" t="n">
        <v>43725</v>
      </c>
      <c r="C1017" s="1" t="n">
        <v>45832</v>
      </c>
      <c r="D1017" t="inlineStr">
        <is>
          <t>KRONOBERGS LÄN</t>
        </is>
      </c>
      <c r="E1017" t="inlineStr">
        <is>
          <t>VÄXJÖ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47947-2019</t>
        </is>
      </c>
      <c r="B1018" s="1" t="n">
        <v>43725</v>
      </c>
      <c r="C1018" s="1" t="n">
        <v>45832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47980-2019</t>
        </is>
      </c>
      <c r="B1019" s="1" t="n">
        <v>43725</v>
      </c>
      <c r="C1019" s="1" t="n">
        <v>45832</v>
      </c>
      <c r="D1019" t="inlineStr">
        <is>
          <t>KRONOBERGS LÄN</t>
        </is>
      </c>
      <c r="E1019" t="inlineStr">
        <is>
          <t>ALVESTA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48013-2019</t>
        </is>
      </c>
      <c r="B1020" s="1" t="n">
        <v>43725</v>
      </c>
      <c r="C1020" s="1" t="n">
        <v>45832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48079-2019</t>
        </is>
      </c>
      <c r="B1021" s="1" t="n">
        <v>43725</v>
      </c>
      <c r="C1021" s="1" t="n">
        <v>45832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47865-2019</t>
        </is>
      </c>
      <c r="B1022" s="1" t="n">
        <v>43725</v>
      </c>
      <c r="C1022" s="1" t="n">
        <v>45832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48055-2019</t>
        </is>
      </c>
      <c r="B1023" s="1" t="n">
        <v>43725</v>
      </c>
      <c r="C1023" s="1" t="n">
        <v>45832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48188-2019</t>
        </is>
      </c>
      <c r="B1024" s="1" t="n">
        <v>43725</v>
      </c>
      <c r="C1024" s="1" t="n">
        <v>45832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48089-2019</t>
        </is>
      </c>
      <c r="B1025" s="1" t="n">
        <v>43725</v>
      </c>
      <c r="C1025" s="1" t="n">
        <v>45832</v>
      </c>
      <c r="D1025" t="inlineStr">
        <is>
          <t>KRONOBERGS LÄN</t>
        </is>
      </c>
      <c r="E1025" t="inlineStr">
        <is>
          <t>ÄLMHULT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48372-2019</t>
        </is>
      </c>
      <c r="B1026" s="1" t="n">
        <v>43726</v>
      </c>
      <c r="C1026" s="1" t="n">
        <v>45832</v>
      </c>
      <c r="D1026" t="inlineStr">
        <is>
          <t>KRONOBERGS LÄN</t>
        </is>
      </c>
      <c r="E1026" t="inlineStr">
        <is>
          <t>UPPVIDINGE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48270-2019</t>
        </is>
      </c>
      <c r="B1027" s="1" t="n">
        <v>43726</v>
      </c>
      <c r="C1027" s="1" t="n">
        <v>45832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48371-2019</t>
        </is>
      </c>
      <c r="B1028" s="1" t="n">
        <v>43726</v>
      </c>
      <c r="C1028" s="1" t="n">
        <v>45832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48293-2019</t>
        </is>
      </c>
      <c r="B1029" s="1" t="n">
        <v>43726</v>
      </c>
      <c r="C1029" s="1" t="n">
        <v>45832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48444-2019</t>
        </is>
      </c>
      <c r="B1030" s="1" t="n">
        <v>43727</v>
      </c>
      <c r="C1030" s="1" t="n">
        <v>45832</v>
      </c>
      <c r="D1030" t="inlineStr">
        <is>
          <t>KRONOBERGS LÄN</t>
        </is>
      </c>
      <c r="E1030" t="inlineStr">
        <is>
          <t>MARKARYD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48438-2019</t>
        </is>
      </c>
      <c r="B1031" s="1" t="n">
        <v>43727</v>
      </c>
      <c r="C1031" s="1" t="n">
        <v>45832</v>
      </c>
      <c r="D1031" t="inlineStr">
        <is>
          <t>KRONOBERGS LÄN</t>
        </is>
      </c>
      <c r="E1031" t="inlineStr">
        <is>
          <t>MARKARYD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48404-2019</t>
        </is>
      </c>
      <c r="B1032" s="1" t="n">
        <v>43727</v>
      </c>
      <c r="C1032" s="1" t="n">
        <v>45832</v>
      </c>
      <c r="D1032" t="inlineStr">
        <is>
          <t>KRONOBERGS LÄN</t>
        </is>
      </c>
      <c r="E1032" t="inlineStr">
        <is>
          <t>TINGSRYD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48432-2019</t>
        </is>
      </c>
      <c r="B1033" s="1" t="n">
        <v>43727</v>
      </c>
      <c r="C1033" s="1" t="n">
        <v>45832</v>
      </c>
      <c r="D1033" t="inlineStr">
        <is>
          <t>KRONOBERGS LÄN</t>
        </is>
      </c>
      <c r="E1033" t="inlineStr">
        <is>
          <t>MARKARYD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48453-2019</t>
        </is>
      </c>
      <c r="B1034" s="1" t="n">
        <v>43727</v>
      </c>
      <c r="C1034" s="1" t="n">
        <v>45832</v>
      </c>
      <c r="D1034" t="inlineStr">
        <is>
          <t>KRONOBERGS LÄN</t>
        </is>
      </c>
      <c r="E1034" t="inlineStr">
        <is>
          <t>MARKARYD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48434-2019</t>
        </is>
      </c>
      <c r="B1035" s="1" t="n">
        <v>43727</v>
      </c>
      <c r="C1035" s="1" t="n">
        <v>45832</v>
      </c>
      <c r="D1035" t="inlineStr">
        <is>
          <t>KRONOBERGS LÄN</t>
        </is>
      </c>
      <c r="E1035" t="inlineStr">
        <is>
          <t>MARKARYD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48450-2019</t>
        </is>
      </c>
      <c r="B1036" s="1" t="n">
        <v>43727</v>
      </c>
      <c r="C1036" s="1" t="n">
        <v>45832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48536-2019</t>
        </is>
      </c>
      <c r="B1037" s="1" t="n">
        <v>43727</v>
      </c>
      <c r="C1037" s="1" t="n">
        <v>45832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48635-2019</t>
        </is>
      </c>
      <c r="B1038" s="1" t="n">
        <v>43727</v>
      </c>
      <c r="C1038" s="1" t="n">
        <v>45832</v>
      </c>
      <c r="D1038" t="inlineStr">
        <is>
          <t>KRONOBERGS LÄN</t>
        </is>
      </c>
      <c r="E1038" t="inlineStr">
        <is>
          <t>TINGSRYD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48456-2019</t>
        </is>
      </c>
      <c r="B1039" s="1" t="n">
        <v>43727</v>
      </c>
      <c r="C1039" s="1" t="n">
        <v>45832</v>
      </c>
      <c r="D1039" t="inlineStr">
        <is>
          <t>KRONOBERGS LÄN</t>
        </is>
      </c>
      <c r="E1039" t="inlineStr">
        <is>
          <t>MARKARYD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48442-2019</t>
        </is>
      </c>
      <c r="B1040" s="1" t="n">
        <v>43727</v>
      </c>
      <c r="C1040" s="1" t="n">
        <v>45832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48406-2019</t>
        </is>
      </c>
      <c r="B1041" s="1" t="n">
        <v>43727</v>
      </c>
      <c r="C1041" s="1" t="n">
        <v>45832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48458-2019</t>
        </is>
      </c>
      <c r="B1042" s="1" t="n">
        <v>43727</v>
      </c>
      <c r="C1042" s="1" t="n">
        <v>45832</v>
      </c>
      <c r="D1042" t="inlineStr">
        <is>
          <t>KRONOBERGS LÄN</t>
        </is>
      </c>
      <c r="E1042" t="inlineStr">
        <is>
          <t>MARKARYD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48820-2019</t>
        </is>
      </c>
      <c r="B1043" s="1" t="n">
        <v>43728</v>
      </c>
      <c r="C1043" s="1" t="n">
        <v>45832</v>
      </c>
      <c r="D1043" t="inlineStr">
        <is>
          <t>KRONOBERGS LÄN</t>
        </is>
      </c>
      <c r="E1043" t="inlineStr">
        <is>
          <t>UPPVIDINGE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48679-2019</t>
        </is>
      </c>
      <c r="B1044" s="1" t="n">
        <v>43728</v>
      </c>
      <c r="C1044" s="1" t="n">
        <v>45832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48838-2019</t>
        </is>
      </c>
      <c r="B1045" s="1" t="n">
        <v>43728</v>
      </c>
      <c r="C1045" s="1" t="n">
        <v>45832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48676-2019</t>
        </is>
      </c>
      <c r="B1046" s="1" t="n">
        <v>43728</v>
      </c>
      <c r="C1046" s="1" t="n">
        <v>45832</v>
      </c>
      <c r="D1046" t="inlineStr">
        <is>
          <t>KRONOBERGS LÄN</t>
        </is>
      </c>
      <c r="E1046" t="inlineStr">
        <is>
          <t>ALVESTA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48664-2019</t>
        </is>
      </c>
      <c r="B1047" s="1" t="n">
        <v>43728</v>
      </c>
      <c r="C1047" s="1" t="n">
        <v>45832</v>
      </c>
      <c r="D1047" t="inlineStr">
        <is>
          <t>KRONOBERGS LÄN</t>
        </is>
      </c>
      <c r="E1047" t="inlineStr">
        <is>
          <t>ALVESTA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48880-2019</t>
        </is>
      </c>
      <c r="B1048" s="1" t="n">
        <v>43728</v>
      </c>
      <c r="C1048" s="1" t="n">
        <v>45832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48856-2019</t>
        </is>
      </c>
      <c r="B1049" s="1" t="n">
        <v>43728</v>
      </c>
      <c r="C1049" s="1" t="n">
        <v>45832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49247-2019</t>
        </is>
      </c>
      <c r="B1050" s="1" t="n">
        <v>43728</v>
      </c>
      <c r="C1050" s="1" t="n">
        <v>45832</v>
      </c>
      <c r="D1050" t="inlineStr">
        <is>
          <t>KRONOBERGS LÄN</t>
        </is>
      </c>
      <c r="E1050" t="inlineStr">
        <is>
          <t>TINGSRYD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48672-2019</t>
        </is>
      </c>
      <c r="B1051" s="1" t="n">
        <v>43728</v>
      </c>
      <c r="C1051" s="1" t="n">
        <v>45832</v>
      </c>
      <c r="D1051" t="inlineStr">
        <is>
          <t>KRONOBERGS LÄN</t>
        </is>
      </c>
      <c r="E1051" t="inlineStr">
        <is>
          <t>ALVESTA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49200-2019</t>
        </is>
      </c>
      <c r="B1052" s="1" t="n">
        <v>43731</v>
      </c>
      <c r="C1052" s="1" t="n">
        <v>45832</v>
      </c>
      <c r="D1052" t="inlineStr">
        <is>
          <t>KRONOBERGS LÄN</t>
        </is>
      </c>
      <c r="E1052" t="inlineStr">
        <is>
          <t>ÄLMHULT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49285-2019</t>
        </is>
      </c>
      <c r="B1053" s="1" t="n">
        <v>43731</v>
      </c>
      <c r="C1053" s="1" t="n">
        <v>45832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49220-2019</t>
        </is>
      </c>
      <c r="B1054" s="1" t="n">
        <v>43731</v>
      </c>
      <c r="C1054" s="1" t="n">
        <v>45832</v>
      </c>
      <c r="D1054" t="inlineStr">
        <is>
          <t>KRONOBERGS LÄN</t>
        </is>
      </c>
      <c r="E1054" t="inlineStr">
        <is>
          <t>ÄLMHULT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49387-2019</t>
        </is>
      </c>
      <c r="B1055" s="1" t="n">
        <v>43732</v>
      </c>
      <c r="C1055" s="1" t="n">
        <v>45832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49393-2019</t>
        </is>
      </c>
      <c r="B1056" s="1" t="n">
        <v>43732</v>
      </c>
      <c r="C1056" s="1" t="n">
        <v>45832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49400-2019</t>
        </is>
      </c>
      <c r="B1057" s="1" t="n">
        <v>43732</v>
      </c>
      <c r="C1057" s="1" t="n">
        <v>45832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49496-2019</t>
        </is>
      </c>
      <c r="B1058" s="1" t="n">
        <v>43732</v>
      </c>
      <c r="C1058" s="1" t="n">
        <v>45832</v>
      </c>
      <c r="D1058" t="inlineStr">
        <is>
          <t>KRONOBERGS LÄN</t>
        </is>
      </c>
      <c r="E1058" t="inlineStr">
        <is>
          <t>TINGSRYD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49564-2019</t>
        </is>
      </c>
      <c r="B1059" s="1" t="n">
        <v>43732</v>
      </c>
      <c r="C1059" s="1" t="n">
        <v>45832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49566-2019</t>
        </is>
      </c>
      <c r="B1060" s="1" t="n">
        <v>43732</v>
      </c>
      <c r="C1060" s="1" t="n">
        <v>45832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49649-2019</t>
        </is>
      </c>
      <c r="B1061" s="1" t="n">
        <v>43732</v>
      </c>
      <c r="C1061" s="1" t="n">
        <v>45832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49627-2019</t>
        </is>
      </c>
      <c r="B1062" s="1" t="n">
        <v>43732</v>
      </c>
      <c r="C1062" s="1" t="n">
        <v>45832</v>
      </c>
      <c r="D1062" t="inlineStr">
        <is>
          <t>KRONOBERGS LÄN</t>
        </is>
      </c>
      <c r="E1062" t="inlineStr">
        <is>
          <t>VÄXJÖ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49644-2019</t>
        </is>
      </c>
      <c r="B1063" s="1" t="n">
        <v>43732</v>
      </c>
      <c r="C1063" s="1" t="n">
        <v>45832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49392-2019</t>
        </is>
      </c>
      <c r="B1064" s="1" t="n">
        <v>43732</v>
      </c>
      <c r="C1064" s="1" t="n">
        <v>45832</v>
      </c>
      <c r="D1064" t="inlineStr">
        <is>
          <t>KRONOBERGS LÄN</t>
        </is>
      </c>
      <c r="E1064" t="inlineStr">
        <is>
          <t>UPPVIDINGE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49641-2019</t>
        </is>
      </c>
      <c r="B1065" s="1" t="n">
        <v>43732</v>
      </c>
      <c r="C1065" s="1" t="n">
        <v>45832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49719-2019</t>
        </is>
      </c>
      <c r="B1066" s="1" t="n">
        <v>43733</v>
      </c>
      <c r="C1066" s="1" t="n">
        <v>45832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49843-2019</t>
        </is>
      </c>
      <c r="B1067" s="1" t="n">
        <v>43733</v>
      </c>
      <c r="C1067" s="1" t="n">
        <v>45832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49939-2019</t>
        </is>
      </c>
      <c r="B1068" s="1" t="n">
        <v>43733</v>
      </c>
      <c r="C1068" s="1" t="n">
        <v>45832</v>
      </c>
      <c r="D1068" t="inlineStr">
        <is>
          <t>KRONOBERGS LÄN</t>
        </is>
      </c>
      <c r="E1068" t="inlineStr">
        <is>
          <t>LESSEBO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49966-2019</t>
        </is>
      </c>
      <c r="B1069" s="1" t="n">
        <v>43733</v>
      </c>
      <c r="C1069" s="1" t="n">
        <v>45832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49964-2019</t>
        </is>
      </c>
      <c r="B1070" s="1" t="n">
        <v>43733</v>
      </c>
      <c r="C1070" s="1" t="n">
        <v>45832</v>
      </c>
      <c r="D1070" t="inlineStr">
        <is>
          <t>KRONOBERGS LÄN</t>
        </is>
      </c>
      <c r="E1070" t="inlineStr">
        <is>
          <t>MARKARYD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49940-2019</t>
        </is>
      </c>
      <c r="B1071" s="1" t="n">
        <v>43733</v>
      </c>
      <c r="C1071" s="1" t="n">
        <v>45832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49962-2019</t>
        </is>
      </c>
      <c r="B1072" s="1" t="n">
        <v>43733</v>
      </c>
      <c r="C1072" s="1" t="n">
        <v>45832</v>
      </c>
      <c r="D1072" t="inlineStr">
        <is>
          <t>KRONOBERGS LÄN</t>
        </is>
      </c>
      <c r="E1072" t="inlineStr">
        <is>
          <t>MARKARYD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49959-2019</t>
        </is>
      </c>
      <c r="B1073" s="1" t="n">
        <v>43733</v>
      </c>
      <c r="C1073" s="1" t="n">
        <v>45832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49960-2019</t>
        </is>
      </c>
      <c r="B1074" s="1" t="n">
        <v>43733</v>
      </c>
      <c r="C1074" s="1" t="n">
        <v>45832</v>
      </c>
      <c r="D1074" t="inlineStr">
        <is>
          <t>KRONOBERGS LÄN</t>
        </is>
      </c>
      <c r="E1074" t="inlineStr">
        <is>
          <t>MARKARYD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49897-2019</t>
        </is>
      </c>
      <c r="B1075" s="1" t="n">
        <v>43733</v>
      </c>
      <c r="C1075" s="1" t="n">
        <v>45832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49866-2019</t>
        </is>
      </c>
      <c r="B1076" s="1" t="n">
        <v>43733</v>
      </c>
      <c r="C1076" s="1" t="n">
        <v>45832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51754-2019</t>
        </is>
      </c>
      <c r="B1077" s="1" t="n">
        <v>43734</v>
      </c>
      <c r="C1077" s="1" t="n">
        <v>45832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50442-2019</t>
        </is>
      </c>
      <c r="B1078" s="1" t="n">
        <v>43735</v>
      </c>
      <c r="C1078" s="1" t="n">
        <v>45832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50494-2019</t>
        </is>
      </c>
      <c r="B1079" s="1" t="n">
        <v>43735</v>
      </c>
      <c r="C1079" s="1" t="n">
        <v>45832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52440-2019</t>
        </is>
      </c>
      <c r="B1080" s="1" t="n">
        <v>43735</v>
      </c>
      <c r="C1080" s="1" t="n">
        <v>45832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50649-2019</t>
        </is>
      </c>
      <c r="B1081" s="1" t="n">
        <v>43737</v>
      </c>
      <c r="C1081" s="1" t="n">
        <v>45832</v>
      </c>
      <c r="D1081" t="inlineStr">
        <is>
          <t>KRONOBERGS LÄN</t>
        </is>
      </c>
      <c r="E1081" t="inlineStr">
        <is>
          <t>TINGSRYD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50701-2019</t>
        </is>
      </c>
      <c r="B1082" s="1" t="n">
        <v>43738</v>
      </c>
      <c r="C1082" s="1" t="n">
        <v>45832</v>
      </c>
      <c r="D1082" t="inlineStr">
        <is>
          <t>KRONOBERGS LÄN</t>
        </is>
      </c>
      <c r="E1082" t="inlineStr">
        <is>
          <t>MARKARYD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50758-2019</t>
        </is>
      </c>
      <c r="B1083" s="1" t="n">
        <v>43738</v>
      </c>
      <c r="C1083" s="1" t="n">
        <v>45832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50906-2019</t>
        </is>
      </c>
      <c r="B1084" s="1" t="n">
        <v>43738</v>
      </c>
      <c r="C1084" s="1" t="n">
        <v>45832</v>
      </c>
      <c r="D1084" t="inlineStr">
        <is>
          <t>KRONOBERGS LÄN</t>
        </is>
      </c>
      <c r="E1084" t="inlineStr">
        <is>
          <t>MARKARYD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50759-2019</t>
        </is>
      </c>
      <c r="B1085" s="1" t="n">
        <v>43738</v>
      </c>
      <c r="C1085" s="1" t="n">
        <v>45832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51138-2019</t>
        </is>
      </c>
      <c r="B1086" s="1" t="n">
        <v>43739</v>
      </c>
      <c r="C1086" s="1" t="n">
        <v>45832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51132-2019</t>
        </is>
      </c>
      <c r="B1087" s="1" t="n">
        <v>43739</v>
      </c>
      <c r="C1087" s="1" t="n">
        <v>45832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51320-2019</t>
        </is>
      </c>
      <c r="B1088" s="1" t="n">
        <v>43739</v>
      </c>
      <c r="C1088" s="1" t="n">
        <v>45832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51248-2019</t>
        </is>
      </c>
      <c r="B1089" s="1" t="n">
        <v>43739</v>
      </c>
      <c r="C1089" s="1" t="n">
        <v>45832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51319-2019</t>
        </is>
      </c>
      <c r="B1090" s="1" t="n">
        <v>43739</v>
      </c>
      <c r="C1090" s="1" t="n">
        <v>45832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51059-2019</t>
        </is>
      </c>
      <c r="B1091" s="1" t="n">
        <v>43739</v>
      </c>
      <c r="C1091" s="1" t="n">
        <v>45832</v>
      </c>
      <c r="D1091" t="inlineStr">
        <is>
          <t>KRONOBERGS LÄN</t>
        </is>
      </c>
      <c r="E1091" t="inlineStr">
        <is>
          <t>LESSEBO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51041-2019</t>
        </is>
      </c>
      <c r="B1092" s="1" t="n">
        <v>43739</v>
      </c>
      <c r="C1092" s="1" t="n">
        <v>45832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51153-2019</t>
        </is>
      </c>
      <c r="B1093" s="1" t="n">
        <v>43739</v>
      </c>
      <c r="C1093" s="1" t="n">
        <v>45832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51104-2019</t>
        </is>
      </c>
      <c r="B1094" s="1" t="n">
        <v>43739</v>
      </c>
      <c r="C1094" s="1" t="n">
        <v>45832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52805-2019</t>
        </is>
      </c>
      <c r="B1095" s="1" t="n">
        <v>43739</v>
      </c>
      <c r="C1095" s="1" t="n">
        <v>45832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51100-2019</t>
        </is>
      </c>
      <c r="B1096" s="1" t="n">
        <v>43739</v>
      </c>
      <c r="C1096" s="1" t="n">
        <v>45832</v>
      </c>
      <c r="D1096" t="inlineStr">
        <is>
          <t>KRONOBERGS LÄN</t>
        </is>
      </c>
      <c r="E1096" t="inlineStr">
        <is>
          <t>LJUNGBY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51068-2019</t>
        </is>
      </c>
      <c r="B1097" s="1" t="n">
        <v>43739</v>
      </c>
      <c r="C1097" s="1" t="n">
        <v>45832</v>
      </c>
      <c r="D1097" t="inlineStr">
        <is>
          <t>KRONOBERGS LÄN</t>
        </is>
      </c>
      <c r="E1097" t="inlineStr">
        <is>
          <t>LESSEBO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51188-2019</t>
        </is>
      </c>
      <c r="B1098" s="1" t="n">
        <v>43739</v>
      </c>
      <c r="C1098" s="1" t="n">
        <v>45832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51445-2019</t>
        </is>
      </c>
      <c r="B1099" s="1" t="n">
        <v>43740</v>
      </c>
      <c r="C1099" s="1" t="n">
        <v>45832</v>
      </c>
      <c r="D1099" t="inlineStr">
        <is>
          <t>KRONOBERGS LÄN</t>
        </is>
      </c>
      <c r="E1099" t="inlineStr">
        <is>
          <t>TINGSRYD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51401-2019</t>
        </is>
      </c>
      <c r="B1100" s="1" t="n">
        <v>43740</v>
      </c>
      <c r="C1100" s="1" t="n">
        <v>45832</v>
      </c>
      <c r="D1100" t="inlineStr">
        <is>
          <t>KRONOBERGS LÄN</t>
        </is>
      </c>
      <c r="E1100" t="inlineStr">
        <is>
          <t>ÄLMHULT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51504-2019</t>
        </is>
      </c>
      <c r="B1101" s="1" t="n">
        <v>43740</v>
      </c>
      <c r="C1101" s="1" t="n">
        <v>45832</v>
      </c>
      <c r="D1101" t="inlineStr">
        <is>
          <t>KRONOBERGS LÄN</t>
        </is>
      </c>
      <c r="E1101" t="inlineStr">
        <is>
          <t>UPPVIDINGE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51586-2019</t>
        </is>
      </c>
      <c r="B1102" s="1" t="n">
        <v>43740</v>
      </c>
      <c r="C1102" s="1" t="n">
        <v>45832</v>
      </c>
      <c r="D1102" t="inlineStr">
        <is>
          <t>KRONOBERGS LÄN</t>
        </is>
      </c>
      <c r="E1102" t="inlineStr">
        <is>
          <t>TINGSRYD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51388-2019</t>
        </is>
      </c>
      <c r="B1103" s="1" t="n">
        <v>43740</v>
      </c>
      <c r="C1103" s="1" t="n">
        <v>45832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51715-2019</t>
        </is>
      </c>
      <c r="B1104" s="1" t="n">
        <v>43741</v>
      </c>
      <c r="C1104" s="1" t="n">
        <v>45832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51911-2019</t>
        </is>
      </c>
      <c r="B1105" s="1" t="n">
        <v>43741</v>
      </c>
      <c r="C1105" s="1" t="n">
        <v>45832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51896-2019</t>
        </is>
      </c>
      <c r="B1106" s="1" t="n">
        <v>43741</v>
      </c>
      <c r="C1106" s="1" t="n">
        <v>45832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51915-2019</t>
        </is>
      </c>
      <c r="B1107" s="1" t="n">
        <v>43741</v>
      </c>
      <c r="C1107" s="1" t="n">
        <v>45832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51903-2019</t>
        </is>
      </c>
      <c r="B1108" s="1" t="n">
        <v>43741</v>
      </c>
      <c r="C1108" s="1" t="n">
        <v>45832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52053-2019</t>
        </is>
      </c>
      <c r="B1109" s="1" t="n">
        <v>43742</v>
      </c>
      <c r="C1109" s="1" t="n">
        <v>45832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52421-2019</t>
        </is>
      </c>
      <c r="B1110" s="1" t="n">
        <v>43745</v>
      </c>
      <c r="C1110" s="1" t="n">
        <v>45832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54033-2019</t>
        </is>
      </c>
      <c r="B1111" s="1" t="n">
        <v>43745</v>
      </c>
      <c r="C1111" s="1" t="n">
        <v>45832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54153-2019</t>
        </is>
      </c>
      <c r="B1112" s="1" t="n">
        <v>43745</v>
      </c>
      <c r="C1112" s="1" t="n">
        <v>45832</v>
      </c>
      <c r="D1112" t="inlineStr">
        <is>
          <t>KRONOBERGS LÄN</t>
        </is>
      </c>
      <c r="E1112" t="inlineStr">
        <is>
          <t>VÄXJÖ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52822-2019</t>
        </is>
      </c>
      <c r="B1113" s="1" t="n">
        <v>43746</v>
      </c>
      <c r="C1113" s="1" t="n">
        <v>45832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52843-2019</t>
        </is>
      </c>
      <c r="B1114" s="1" t="n">
        <v>43746</v>
      </c>
      <c r="C1114" s="1" t="n">
        <v>45832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52984-2019</t>
        </is>
      </c>
      <c r="B1115" s="1" t="n">
        <v>43747</v>
      </c>
      <c r="C1115" s="1" t="n">
        <v>45832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53132-2019</t>
        </is>
      </c>
      <c r="B1116" s="1" t="n">
        <v>43747</v>
      </c>
      <c r="C1116" s="1" t="n">
        <v>45832</v>
      </c>
      <c r="D1116" t="inlineStr">
        <is>
          <t>KRONOBERGS LÄN</t>
        </is>
      </c>
      <c r="E1116" t="inlineStr">
        <is>
          <t>TINGSRYD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54451-2019</t>
        </is>
      </c>
      <c r="B1117" s="1" t="n">
        <v>43747</v>
      </c>
      <c r="C1117" s="1" t="n">
        <v>45832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54499-2019</t>
        </is>
      </c>
      <c r="B1118" s="1" t="n">
        <v>43747</v>
      </c>
      <c r="C1118" s="1" t="n">
        <v>45832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54504-2019</t>
        </is>
      </c>
      <c r="B1119" s="1" t="n">
        <v>43747</v>
      </c>
      <c r="C1119" s="1" t="n">
        <v>45832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54510-2019</t>
        </is>
      </c>
      <c r="B1120" s="1" t="n">
        <v>43747</v>
      </c>
      <c r="C1120" s="1" t="n">
        <v>45832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54516-2019</t>
        </is>
      </c>
      <c r="B1121" s="1" t="n">
        <v>43747</v>
      </c>
      <c r="C1121" s="1" t="n">
        <v>45832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54491-2019</t>
        </is>
      </c>
      <c r="B1122" s="1" t="n">
        <v>43747</v>
      </c>
      <c r="C1122" s="1" t="n">
        <v>45832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54497-2019</t>
        </is>
      </c>
      <c r="B1123" s="1" t="n">
        <v>43747</v>
      </c>
      <c r="C1123" s="1" t="n">
        <v>45832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54501-2019</t>
        </is>
      </c>
      <c r="B1124" s="1" t="n">
        <v>43747</v>
      </c>
      <c r="C1124" s="1" t="n">
        <v>45832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54507-2019</t>
        </is>
      </c>
      <c r="B1125" s="1" t="n">
        <v>43747</v>
      </c>
      <c r="C1125" s="1" t="n">
        <v>45832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54514-2019</t>
        </is>
      </c>
      <c r="B1126" s="1" t="n">
        <v>43747</v>
      </c>
      <c r="C1126" s="1" t="n">
        <v>45832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54521-2019</t>
        </is>
      </c>
      <c r="B1127" s="1" t="n">
        <v>43747</v>
      </c>
      <c r="C1127" s="1" t="n">
        <v>45832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54456-2019</t>
        </is>
      </c>
      <c r="B1128" s="1" t="n">
        <v>43747</v>
      </c>
      <c r="C1128" s="1" t="n">
        <v>45832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54496-2019</t>
        </is>
      </c>
      <c r="B1129" s="1" t="n">
        <v>43747</v>
      </c>
      <c r="C1129" s="1" t="n">
        <v>45832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54518-2019</t>
        </is>
      </c>
      <c r="B1130" s="1" t="n">
        <v>43747</v>
      </c>
      <c r="C1130" s="1" t="n">
        <v>45832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54448-2019</t>
        </is>
      </c>
      <c r="B1131" s="1" t="n">
        <v>43747</v>
      </c>
      <c r="C1131" s="1" t="n">
        <v>45832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54493-2019</t>
        </is>
      </c>
      <c r="B1132" s="1" t="n">
        <v>43747</v>
      </c>
      <c r="C1132" s="1" t="n">
        <v>45832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54503-2019</t>
        </is>
      </c>
      <c r="B1133" s="1" t="n">
        <v>43747</v>
      </c>
      <c r="C1133" s="1" t="n">
        <v>45832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54515-2019</t>
        </is>
      </c>
      <c r="B1134" s="1" t="n">
        <v>43747</v>
      </c>
      <c r="C1134" s="1" t="n">
        <v>45832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54509-2019</t>
        </is>
      </c>
      <c r="B1135" s="1" t="n">
        <v>43747</v>
      </c>
      <c r="C1135" s="1" t="n">
        <v>45832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54560-2019</t>
        </is>
      </c>
      <c r="B1136" s="1" t="n">
        <v>43747</v>
      </c>
      <c r="C1136" s="1" t="n">
        <v>45832</v>
      </c>
      <c r="D1136" t="inlineStr">
        <is>
          <t>KRONOBERGS LÄN</t>
        </is>
      </c>
      <c r="E1136" t="inlineStr">
        <is>
          <t>ÄLMHULT</t>
        </is>
      </c>
      <c r="F1136" t="inlineStr">
        <is>
          <t>Kommuner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54513-2019</t>
        </is>
      </c>
      <c r="B1137" s="1" t="n">
        <v>43747</v>
      </c>
      <c r="C1137" s="1" t="n">
        <v>45832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54506-2019</t>
        </is>
      </c>
      <c r="B1138" s="1" t="n">
        <v>43747</v>
      </c>
      <c r="C1138" s="1" t="n">
        <v>45832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54500-2019</t>
        </is>
      </c>
      <c r="B1139" s="1" t="n">
        <v>43747</v>
      </c>
      <c r="C1139" s="1" t="n">
        <v>45832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53193-2019</t>
        </is>
      </c>
      <c r="B1140" s="1" t="n">
        <v>43748</v>
      </c>
      <c r="C1140" s="1" t="n">
        <v>45832</v>
      </c>
      <c r="D1140" t="inlineStr">
        <is>
          <t>KRONOBERGS LÄN</t>
        </is>
      </c>
      <c r="E1140" t="inlineStr">
        <is>
          <t>LESSEBO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53464-2019</t>
        </is>
      </c>
      <c r="B1141" s="1" t="n">
        <v>43748</v>
      </c>
      <c r="C1141" s="1" t="n">
        <v>45832</v>
      </c>
      <c r="D1141" t="inlineStr">
        <is>
          <t>KRONOBERGS LÄN</t>
        </is>
      </c>
      <c r="E1141" t="inlineStr">
        <is>
          <t>LESSEBO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53531-2019</t>
        </is>
      </c>
      <c r="B1142" s="1" t="n">
        <v>43749</v>
      </c>
      <c r="C1142" s="1" t="n">
        <v>45832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53686-2019</t>
        </is>
      </c>
      <c r="B1143" s="1" t="n">
        <v>43749</v>
      </c>
      <c r="C1143" s="1" t="n">
        <v>45832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54777-2019</t>
        </is>
      </c>
      <c r="B1144" s="1" t="n">
        <v>43749</v>
      </c>
      <c r="C1144" s="1" t="n">
        <v>45832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53530-2019</t>
        </is>
      </c>
      <c r="B1145" s="1" t="n">
        <v>43749</v>
      </c>
      <c r="C1145" s="1" t="n">
        <v>45832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53583-2019</t>
        </is>
      </c>
      <c r="B1146" s="1" t="n">
        <v>43749</v>
      </c>
      <c r="C1146" s="1" t="n">
        <v>45832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53624-2019</t>
        </is>
      </c>
      <c r="B1147" s="1" t="n">
        <v>43749</v>
      </c>
      <c r="C1147" s="1" t="n">
        <v>45832</v>
      </c>
      <c r="D1147" t="inlineStr">
        <is>
          <t>KRONOBERGS LÄN</t>
        </is>
      </c>
      <c r="E1147" t="inlineStr">
        <is>
          <t>TINGSRYD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53543-2019</t>
        </is>
      </c>
      <c r="B1148" s="1" t="n">
        <v>43749</v>
      </c>
      <c r="C1148" s="1" t="n">
        <v>45832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53566-2019</t>
        </is>
      </c>
      <c r="B1149" s="1" t="n">
        <v>43749</v>
      </c>
      <c r="C1149" s="1" t="n">
        <v>45832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54783-2019</t>
        </is>
      </c>
      <c r="B1150" s="1" t="n">
        <v>43749</v>
      </c>
      <c r="C1150" s="1" t="n">
        <v>45832</v>
      </c>
      <c r="D1150" t="inlineStr">
        <is>
          <t>KRONOBERGS LÄN</t>
        </is>
      </c>
      <c r="E1150" t="inlineStr">
        <is>
          <t>ALVESTA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53800-2019</t>
        </is>
      </c>
      <c r="B1151" s="1" t="n">
        <v>43751</v>
      </c>
      <c r="C1151" s="1" t="n">
        <v>45832</v>
      </c>
      <c r="D1151" t="inlineStr">
        <is>
          <t>KRONOBERGS LÄN</t>
        </is>
      </c>
      <c r="E1151" t="inlineStr">
        <is>
          <t>TINGSRYD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53902-2019</t>
        </is>
      </c>
      <c r="B1152" s="1" t="n">
        <v>43752</v>
      </c>
      <c r="C1152" s="1" t="n">
        <v>45832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53956-2019</t>
        </is>
      </c>
      <c r="B1153" s="1" t="n">
        <v>43752</v>
      </c>
      <c r="C1153" s="1" t="n">
        <v>45832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54113-2019</t>
        </is>
      </c>
      <c r="B1154" s="1" t="n">
        <v>43752</v>
      </c>
      <c r="C1154" s="1" t="n">
        <v>45832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53897-2019</t>
        </is>
      </c>
      <c r="B1155" s="1" t="n">
        <v>43752</v>
      </c>
      <c r="C1155" s="1" t="n">
        <v>45832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54222-2019</t>
        </is>
      </c>
      <c r="B1156" s="1" t="n">
        <v>43753</v>
      </c>
      <c r="C1156" s="1" t="n">
        <v>45832</v>
      </c>
      <c r="D1156" t="inlineStr">
        <is>
          <t>KRONOBERGS LÄN</t>
        </is>
      </c>
      <c r="E1156" t="inlineStr">
        <is>
          <t>ALVESTA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54218-2019</t>
        </is>
      </c>
      <c r="B1157" s="1" t="n">
        <v>43753</v>
      </c>
      <c r="C1157" s="1" t="n">
        <v>45832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54226-2019</t>
        </is>
      </c>
      <c r="B1158" s="1" t="n">
        <v>43753</v>
      </c>
      <c r="C1158" s="1" t="n">
        <v>45832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54233-2019</t>
        </is>
      </c>
      <c r="B1159" s="1" t="n">
        <v>43753</v>
      </c>
      <c r="C1159" s="1" t="n">
        <v>45832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Kyrkan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54318-2019</t>
        </is>
      </c>
      <c r="B1160" s="1" t="n">
        <v>43753</v>
      </c>
      <c r="C1160" s="1" t="n">
        <v>45832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54582-2019</t>
        </is>
      </c>
      <c r="B1161" s="1" t="n">
        <v>43754</v>
      </c>
      <c r="C1161" s="1" t="n">
        <v>45832</v>
      </c>
      <c r="D1161" t="inlineStr">
        <is>
          <t>KRONOBERGS LÄN</t>
        </is>
      </c>
      <c r="E1161" t="inlineStr">
        <is>
          <t>TINGSRYD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54657-2019</t>
        </is>
      </c>
      <c r="B1162" s="1" t="n">
        <v>43754</v>
      </c>
      <c r="C1162" s="1" t="n">
        <v>45832</v>
      </c>
      <c r="D1162" t="inlineStr">
        <is>
          <t>KRONOBERGS LÄN</t>
        </is>
      </c>
      <c r="E1162" t="inlineStr">
        <is>
          <t>UPPVIDINGE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54964-2019</t>
        </is>
      </c>
      <c r="B1163" s="1" t="n">
        <v>43755</v>
      </c>
      <c r="C1163" s="1" t="n">
        <v>45832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55614-2019</t>
        </is>
      </c>
      <c r="B1164" s="1" t="n">
        <v>43755</v>
      </c>
      <c r="C1164" s="1" t="n">
        <v>45832</v>
      </c>
      <c r="D1164" t="inlineStr">
        <is>
          <t>KRONOBERGS LÄN</t>
        </is>
      </c>
      <c r="E1164" t="inlineStr">
        <is>
          <t>MARKARYD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55044-2019</t>
        </is>
      </c>
      <c r="B1165" s="1" t="n">
        <v>43756</v>
      </c>
      <c r="C1165" s="1" t="n">
        <v>45832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55112-2019</t>
        </is>
      </c>
      <c r="B1166" s="1" t="n">
        <v>43756</v>
      </c>
      <c r="C1166" s="1" t="n">
        <v>45832</v>
      </c>
      <c r="D1166" t="inlineStr">
        <is>
          <t>KRONOBERGS LÄN</t>
        </is>
      </c>
      <c r="E1166" t="inlineStr">
        <is>
          <t>ALVESTA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55041-2019</t>
        </is>
      </c>
      <c r="B1167" s="1" t="n">
        <v>43756</v>
      </c>
      <c r="C1167" s="1" t="n">
        <v>45832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55348-2019</t>
        </is>
      </c>
      <c r="B1168" s="1" t="n">
        <v>43756</v>
      </c>
      <c r="C1168" s="1" t="n">
        <v>45832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55542-2019</t>
        </is>
      </c>
      <c r="B1169" s="1" t="n">
        <v>43756</v>
      </c>
      <c r="C1169" s="1" t="n">
        <v>45832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55430-2019</t>
        </is>
      </c>
      <c r="B1170" s="1" t="n">
        <v>43756</v>
      </c>
      <c r="C1170" s="1" t="n">
        <v>45832</v>
      </c>
      <c r="D1170" t="inlineStr">
        <is>
          <t>KRONOBERGS LÄN</t>
        </is>
      </c>
      <c r="E1170" t="inlineStr">
        <is>
          <t>UPPVIDINGE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56396-2019</t>
        </is>
      </c>
      <c r="B1171" s="1" t="n">
        <v>43756</v>
      </c>
      <c r="C1171" s="1" t="n">
        <v>45832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55429-2019</t>
        </is>
      </c>
      <c r="B1172" s="1" t="n">
        <v>43756</v>
      </c>
      <c r="C1172" s="1" t="n">
        <v>45832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55042-2019</t>
        </is>
      </c>
      <c r="B1173" s="1" t="n">
        <v>43756</v>
      </c>
      <c r="C1173" s="1" t="n">
        <v>45832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55404-2019</t>
        </is>
      </c>
      <c r="B1174" s="1" t="n">
        <v>43758</v>
      </c>
      <c r="C1174" s="1" t="n">
        <v>45832</v>
      </c>
      <c r="D1174" t="inlineStr">
        <is>
          <t>KRONOBERGS LÄN</t>
        </is>
      </c>
      <c r="E1174" t="inlineStr">
        <is>
          <t>UPPVIDINGE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55541-2019</t>
        </is>
      </c>
      <c r="B1175" s="1" t="n">
        <v>43759</v>
      </c>
      <c r="C1175" s="1" t="n">
        <v>45832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55957-2019</t>
        </is>
      </c>
      <c r="B1176" s="1" t="n">
        <v>43759</v>
      </c>
      <c r="C1176" s="1" t="n">
        <v>45832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56666-2019</t>
        </is>
      </c>
      <c r="B1177" s="1" t="n">
        <v>43759</v>
      </c>
      <c r="C1177" s="1" t="n">
        <v>45832</v>
      </c>
      <c r="D1177" t="inlineStr">
        <is>
          <t>KRONOBERGS LÄN</t>
        </is>
      </c>
      <c r="E1177" t="inlineStr">
        <is>
          <t>ALVESTA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56068-2019</t>
        </is>
      </c>
      <c r="B1178" s="1" t="n">
        <v>43759</v>
      </c>
      <c r="C1178" s="1" t="n">
        <v>45832</v>
      </c>
      <c r="D1178" t="inlineStr">
        <is>
          <t>KRONOBERGS LÄN</t>
        </is>
      </c>
      <c r="E1178" t="inlineStr">
        <is>
          <t>LJUNGBY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55994-2019</t>
        </is>
      </c>
      <c r="B1179" s="1" t="n">
        <v>43761</v>
      </c>
      <c r="C1179" s="1" t="n">
        <v>45832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56079-2019</t>
        </is>
      </c>
      <c r="B1180" s="1" t="n">
        <v>43761</v>
      </c>
      <c r="C1180" s="1" t="n">
        <v>45832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56002-2019</t>
        </is>
      </c>
      <c r="B1181" s="1" t="n">
        <v>43761</v>
      </c>
      <c r="C1181" s="1" t="n">
        <v>45832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56555-2019</t>
        </is>
      </c>
      <c r="B1182" s="1" t="n">
        <v>43763</v>
      </c>
      <c r="C1182" s="1" t="n">
        <v>45832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56564-2019</t>
        </is>
      </c>
      <c r="B1183" s="1" t="n">
        <v>43763</v>
      </c>
      <c r="C1183" s="1" t="n">
        <v>45832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56775-2019</t>
        </is>
      </c>
      <c r="B1184" s="1" t="n">
        <v>43763</v>
      </c>
      <c r="C1184" s="1" t="n">
        <v>45832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56784-2019</t>
        </is>
      </c>
      <c r="B1185" s="1" t="n">
        <v>43763</v>
      </c>
      <c r="C1185" s="1" t="n">
        <v>45832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56771-2019</t>
        </is>
      </c>
      <c r="B1186" s="1" t="n">
        <v>43763</v>
      </c>
      <c r="C1186" s="1" t="n">
        <v>45832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58529-2019</t>
        </is>
      </c>
      <c r="B1187" s="1" t="n">
        <v>43766</v>
      </c>
      <c r="C1187" s="1" t="n">
        <v>45832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57106-2019</t>
        </is>
      </c>
      <c r="B1188" s="1" t="n">
        <v>43766</v>
      </c>
      <c r="C1188" s="1" t="n">
        <v>45832</v>
      </c>
      <c r="D1188" t="inlineStr">
        <is>
          <t>KRONOBERGS LÄN</t>
        </is>
      </c>
      <c r="E1188" t="inlineStr">
        <is>
          <t>UPPVIDINGE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57306-2019</t>
        </is>
      </c>
      <c r="B1189" s="1" t="n">
        <v>43767</v>
      </c>
      <c r="C1189" s="1" t="n">
        <v>45832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57544-2019</t>
        </is>
      </c>
      <c r="B1190" s="1" t="n">
        <v>43767</v>
      </c>
      <c r="C1190" s="1" t="n">
        <v>45832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57383-2019</t>
        </is>
      </c>
      <c r="B1191" s="1" t="n">
        <v>43767</v>
      </c>
      <c r="C1191" s="1" t="n">
        <v>45832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57681-2019</t>
        </is>
      </c>
      <c r="B1192" s="1" t="n">
        <v>43768</v>
      </c>
      <c r="C1192" s="1" t="n">
        <v>45832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57959-2019</t>
        </is>
      </c>
      <c r="B1193" s="1" t="n">
        <v>43769</v>
      </c>
      <c r="C1193" s="1" t="n">
        <v>45832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57927-2019</t>
        </is>
      </c>
      <c r="B1194" s="1" t="n">
        <v>43769</v>
      </c>
      <c r="C1194" s="1" t="n">
        <v>45832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58137-2019</t>
        </is>
      </c>
      <c r="B1195" s="1" t="n">
        <v>43769</v>
      </c>
      <c r="C1195" s="1" t="n">
        <v>45832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58726-2019</t>
        </is>
      </c>
      <c r="B1196" s="1" t="n">
        <v>43773</v>
      </c>
      <c r="C1196" s="1" t="n">
        <v>45832</v>
      </c>
      <c r="D1196" t="inlineStr">
        <is>
          <t>KRONOBERGS LÄN</t>
        </is>
      </c>
      <c r="E1196" t="inlineStr">
        <is>
          <t>ÄLMHULT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58777-2019</t>
        </is>
      </c>
      <c r="B1197" s="1" t="n">
        <v>43773</v>
      </c>
      <c r="C1197" s="1" t="n">
        <v>45832</v>
      </c>
      <c r="D1197" t="inlineStr">
        <is>
          <t>KRONOBERGS LÄN</t>
        </is>
      </c>
      <c r="E1197" t="inlineStr">
        <is>
          <t>ÄLMHULT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58781-2019</t>
        </is>
      </c>
      <c r="B1198" s="1" t="n">
        <v>43773</v>
      </c>
      <c r="C1198" s="1" t="n">
        <v>45832</v>
      </c>
      <c r="D1198" t="inlineStr">
        <is>
          <t>KRONOBERGS LÄN</t>
        </is>
      </c>
      <c r="E1198" t="inlineStr">
        <is>
          <t>LJUNGBY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58485-2019</t>
        </is>
      </c>
      <c r="B1199" s="1" t="n">
        <v>43773</v>
      </c>
      <c r="C1199" s="1" t="n">
        <v>45832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59063-2019</t>
        </is>
      </c>
      <c r="B1200" s="1" t="n">
        <v>43774</v>
      </c>
      <c r="C1200" s="1" t="n">
        <v>45832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59065-2019</t>
        </is>
      </c>
      <c r="B1201" s="1" t="n">
        <v>43774</v>
      </c>
      <c r="C1201" s="1" t="n">
        <v>45832</v>
      </c>
      <c r="D1201" t="inlineStr">
        <is>
          <t>KRONOBERGS LÄN</t>
        </is>
      </c>
      <c r="E1201" t="inlineStr">
        <is>
          <t>ALVESTA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59703-2019</t>
        </is>
      </c>
      <c r="B1202" s="1" t="n">
        <v>43774</v>
      </c>
      <c r="C1202" s="1" t="n">
        <v>45832</v>
      </c>
      <c r="D1202" t="inlineStr">
        <is>
          <t>KRONOBERGS LÄN</t>
        </is>
      </c>
      <c r="E1202" t="inlineStr">
        <is>
          <t>ALVESTA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59708-2019</t>
        </is>
      </c>
      <c r="B1203" s="1" t="n">
        <v>43774</v>
      </c>
      <c r="C1203" s="1" t="n">
        <v>45832</v>
      </c>
      <c r="D1203" t="inlineStr">
        <is>
          <t>KRONOBERGS LÄN</t>
        </is>
      </c>
      <c r="E1203" t="inlineStr">
        <is>
          <t>ALVESTA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59062-2019</t>
        </is>
      </c>
      <c r="B1204" s="1" t="n">
        <v>43774</v>
      </c>
      <c r="C1204" s="1" t="n">
        <v>45832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59031-2019</t>
        </is>
      </c>
      <c r="B1205" s="1" t="n">
        <v>43774</v>
      </c>
      <c r="C1205" s="1" t="n">
        <v>45832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59234-2019</t>
        </is>
      </c>
      <c r="B1206" s="1" t="n">
        <v>43775</v>
      </c>
      <c r="C1206" s="1" t="n">
        <v>45832</v>
      </c>
      <c r="D1206" t="inlineStr">
        <is>
          <t>KRONOBERGS LÄN</t>
        </is>
      </c>
      <c r="E1206" t="inlineStr">
        <is>
          <t>ÄLMHULT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59236-2019</t>
        </is>
      </c>
      <c r="B1207" s="1" t="n">
        <v>43775</v>
      </c>
      <c r="C1207" s="1" t="n">
        <v>45832</v>
      </c>
      <c r="D1207" t="inlineStr">
        <is>
          <t>KRONOBERGS LÄN</t>
        </is>
      </c>
      <c r="E1207" t="inlineStr">
        <is>
          <t>ÄLMHULT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59247-2019</t>
        </is>
      </c>
      <c r="B1208" s="1" t="n">
        <v>43775</v>
      </c>
      <c r="C1208" s="1" t="n">
        <v>45832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59200-2019</t>
        </is>
      </c>
      <c r="B1209" s="1" t="n">
        <v>43775</v>
      </c>
      <c r="C1209" s="1" t="n">
        <v>45832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59666-2019</t>
        </is>
      </c>
      <c r="B1210" s="1" t="n">
        <v>43776</v>
      </c>
      <c r="C1210" s="1" t="n">
        <v>45832</v>
      </c>
      <c r="D1210" t="inlineStr">
        <is>
          <t>KRONOBERGS LÄN</t>
        </is>
      </c>
      <c r="E1210" t="inlineStr">
        <is>
          <t>VÄXJÖ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59443-2019</t>
        </is>
      </c>
      <c r="B1211" s="1" t="n">
        <v>43776</v>
      </c>
      <c r="C1211" s="1" t="n">
        <v>45832</v>
      </c>
      <c r="D1211" t="inlineStr">
        <is>
          <t>KRONOBERGS LÄN</t>
        </is>
      </c>
      <c r="E1211" t="inlineStr">
        <is>
          <t>TINGSRYD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59530-2019</t>
        </is>
      </c>
      <c r="B1212" s="1" t="n">
        <v>43776</v>
      </c>
      <c r="C1212" s="1" t="n">
        <v>45832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59513-2019</t>
        </is>
      </c>
      <c r="B1213" s="1" t="n">
        <v>43776</v>
      </c>
      <c r="C1213" s="1" t="n">
        <v>45832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59848-2019</t>
        </is>
      </c>
      <c r="B1214" s="1" t="n">
        <v>43777</v>
      </c>
      <c r="C1214" s="1" t="n">
        <v>45832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59945-2019</t>
        </is>
      </c>
      <c r="B1215" s="1" t="n">
        <v>43777</v>
      </c>
      <c r="C1215" s="1" t="n">
        <v>45832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59851-2019</t>
        </is>
      </c>
      <c r="B1216" s="1" t="n">
        <v>43777</v>
      </c>
      <c r="C1216" s="1" t="n">
        <v>45832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60493-2019</t>
        </is>
      </c>
      <c r="B1217" s="1" t="n">
        <v>43780</v>
      </c>
      <c r="C1217" s="1" t="n">
        <v>45832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60339-2019</t>
        </is>
      </c>
      <c r="B1218" s="1" t="n">
        <v>43780</v>
      </c>
      <c r="C1218" s="1" t="n">
        <v>45832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60156-2019</t>
        </is>
      </c>
      <c r="B1219" s="1" t="n">
        <v>43780</v>
      </c>
      <c r="C1219" s="1" t="n">
        <v>45832</v>
      </c>
      <c r="D1219" t="inlineStr">
        <is>
          <t>KRONOBERGS LÄN</t>
        </is>
      </c>
      <c r="E1219" t="inlineStr">
        <is>
          <t>LJUNGBY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60526-2019</t>
        </is>
      </c>
      <c r="B1220" s="1" t="n">
        <v>43781</v>
      </c>
      <c r="C1220" s="1" t="n">
        <v>45832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61041-2019</t>
        </is>
      </c>
      <c r="B1221" s="1" t="n">
        <v>43782</v>
      </c>
      <c r="C1221" s="1" t="n">
        <v>45832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61153-2019</t>
        </is>
      </c>
      <c r="B1222" s="1" t="n">
        <v>43782</v>
      </c>
      <c r="C1222" s="1" t="n">
        <v>45832</v>
      </c>
      <c r="D1222" t="inlineStr">
        <is>
          <t>KRONOBERGS LÄN</t>
        </is>
      </c>
      <c r="E1222" t="inlineStr">
        <is>
          <t>VÄXJÖ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61363-2019</t>
        </is>
      </c>
      <c r="B1223" s="1" t="n">
        <v>43783</v>
      </c>
      <c r="C1223" s="1" t="n">
        <v>45832</v>
      </c>
      <c r="D1223" t="inlineStr">
        <is>
          <t>KRONOBERGS LÄN</t>
        </is>
      </c>
      <c r="E1223" t="inlineStr">
        <is>
          <t>MARKARYD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61281-2019</t>
        </is>
      </c>
      <c r="B1224" s="1" t="n">
        <v>43783</v>
      </c>
      <c r="C1224" s="1" t="n">
        <v>45832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61369-2019</t>
        </is>
      </c>
      <c r="B1225" s="1" t="n">
        <v>43783</v>
      </c>
      <c r="C1225" s="1" t="n">
        <v>45832</v>
      </c>
      <c r="D1225" t="inlineStr">
        <is>
          <t>KRONOBERGS LÄN</t>
        </is>
      </c>
      <c r="E1225" t="inlineStr">
        <is>
          <t>MARKARYD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61243-2019</t>
        </is>
      </c>
      <c r="B1226" s="1" t="n">
        <v>43783</v>
      </c>
      <c r="C1226" s="1" t="n">
        <v>45832</v>
      </c>
      <c r="D1226" t="inlineStr">
        <is>
          <t>KRONOBERGS LÄN</t>
        </is>
      </c>
      <c r="E1226" t="inlineStr">
        <is>
          <t>VÄXJÖ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61892-2019</t>
        </is>
      </c>
      <c r="B1227" s="1" t="n">
        <v>43787</v>
      </c>
      <c r="C1227" s="1" t="n">
        <v>45832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62051-2019</t>
        </is>
      </c>
      <c r="B1228" s="1" t="n">
        <v>43787</v>
      </c>
      <c r="C1228" s="1" t="n">
        <v>45832</v>
      </c>
      <c r="D1228" t="inlineStr">
        <is>
          <t>KRONOBERGS LÄN</t>
        </is>
      </c>
      <c r="E1228" t="inlineStr">
        <is>
          <t>LJUNGBY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62121-2019</t>
        </is>
      </c>
      <c r="B1229" s="1" t="n">
        <v>43787</v>
      </c>
      <c r="C1229" s="1" t="n">
        <v>45832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62156-2019</t>
        </is>
      </c>
      <c r="B1230" s="1" t="n">
        <v>43787</v>
      </c>
      <c r="C1230" s="1" t="n">
        <v>45832</v>
      </c>
      <c r="D1230" t="inlineStr">
        <is>
          <t>KRONOBERGS LÄN</t>
        </is>
      </c>
      <c r="E1230" t="inlineStr">
        <is>
          <t>ALVESTA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62213-2019</t>
        </is>
      </c>
      <c r="B1231" s="1" t="n">
        <v>43788</v>
      </c>
      <c r="C1231" s="1" t="n">
        <v>45832</v>
      </c>
      <c r="D1231" t="inlineStr">
        <is>
          <t>KRONOBERGS LÄN</t>
        </is>
      </c>
      <c r="E1231" t="inlineStr">
        <is>
          <t>MARKARYD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63395-2019</t>
        </is>
      </c>
      <c r="B1232" s="1" t="n">
        <v>43788</v>
      </c>
      <c r="C1232" s="1" t="n">
        <v>45832</v>
      </c>
      <c r="D1232" t="inlineStr">
        <is>
          <t>KRONOBERGS LÄN</t>
        </is>
      </c>
      <c r="E1232" t="inlineStr">
        <is>
          <t>ÄLMHULT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62670-2019</t>
        </is>
      </c>
      <c r="B1233" s="1" t="n">
        <v>43789</v>
      </c>
      <c r="C1233" s="1" t="n">
        <v>45832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62687-2019</t>
        </is>
      </c>
      <c r="B1234" s="1" t="n">
        <v>43789</v>
      </c>
      <c r="C1234" s="1" t="n">
        <v>45832</v>
      </c>
      <c r="D1234" t="inlineStr">
        <is>
          <t>KRONOBERGS LÄN</t>
        </is>
      </c>
      <c r="E1234" t="inlineStr">
        <is>
          <t>LJUNGBY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62658-2019</t>
        </is>
      </c>
      <c r="B1235" s="1" t="n">
        <v>43789</v>
      </c>
      <c r="C1235" s="1" t="n">
        <v>45832</v>
      </c>
      <c r="D1235" t="inlineStr">
        <is>
          <t>KRONOBERGS LÄN</t>
        </is>
      </c>
      <c r="E1235" t="inlineStr">
        <is>
          <t>UPPVIDINGE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62668-2019</t>
        </is>
      </c>
      <c r="B1236" s="1" t="n">
        <v>43789</v>
      </c>
      <c r="C1236" s="1" t="n">
        <v>45832</v>
      </c>
      <c r="D1236" t="inlineStr">
        <is>
          <t>KRONOBERGS LÄN</t>
        </is>
      </c>
      <c r="E1236" t="inlineStr">
        <is>
          <t>MARKARYD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62769-2019</t>
        </is>
      </c>
      <c r="B1237" s="1" t="n">
        <v>43790</v>
      </c>
      <c r="C1237" s="1" t="n">
        <v>45832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62779-2019</t>
        </is>
      </c>
      <c r="B1238" s="1" t="n">
        <v>43790</v>
      </c>
      <c r="C1238" s="1" t="n">
        <v>45832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62956-2019</t>
        </is>
      </c>
      <c r="B1239" s="1" t="n">
        <v>43790</v>
      </c>
      <c r="C1239" s="1" t="n">
        <v>45832</v>
      </c>
      <c r="D1239" t="inlineStr">
        <is>
          <t>KRONOBERGS LÄN</t>
        </is>
      </c>
      <c r="E1239" t="inlineStr">
        <is>
          <t>LESSEBO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62761-2019</t>
        </is>
      </c>
      <c r="B1240" s="1" t="n">
        <v>43790</v>
      </c>
      <c r="C1240" s="1" t="n">
        <v>45832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63081-2019</t>
        </is>
      </c>
      <c r="B1241" s="1" t="n">
        <v>43791</v>
      </c>
      <c r="C1241" s="1" t="n">
        <v>45832</v>
      </c>
      <c r="D1241" t="inlineStr">
        <is>
          <t>KRONOBERGS LÄN</t>
        </is>
      </c>
      <c r="E1241" t="inlineStr">
        <is>
          <t>VÄXJÖ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63132-2019</t>
        </is>
      </c>
      <c r="B1242" s="1" t="n">
        <v>43791</v>
      </c>
      <c r="C1242" s="1" t="n">
        <v>45832</v>
      </c>
      <c r="D1242" t="inlineStr">
        <is>
          <t>KRONOBERGS LÄN</t>
        </is>
      </c>
      <c r="E1242" t="inlineStr">
        <is>
          <t>LESSEBO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63156-2019</t>
        </is>
      </c>
      <c r="B1243" s="1" t="n">
        <v>43791</v>
      </c>
      <c r="C1243" s="1" t="n">
        <v>45832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63166-2019</t>
        </is>
      </c>
      <c r="B1244" s="1" t="n">
        <v>43791</v>
      </c>
      <c r="C1244" s="1" t="n">
        <v>45832</v>
      </c>
      <c r="D1244" t="inlineStr">
        <is>
          <t>KRONOBERGS LÄN</t>
        </is>
      </c>
      <c r="E1244" t="inlineStr">
        <is>
          <t>UPPVIDINGE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63174-2019</t>
        </is>
      </c>
      <c r="B1245" s="1" t="n">
        <v>43791</v>
      </c>
      <c r="C1245" s="1" t="n">
        <v>45832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63171-2019</t>
        </is>
      </c>
      <c r="B1246" s="1" t="n">
        <v>43791</v>
      </c>
      <c r="C1246" s="1" t="n">
        <v>45832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63461-2019</t>
        </is>
      </c>
      <c r="B1247" s="1" t="n">
        <v>43794</v>
      </c>
      <c r="C1247" s="1" t="n">
        <v>45832</v>
      </c>
      <c r="D1247" t="inlineStr">
        <is>
          <t>KRONOBERGS LÄN</t>
        </is>
      </c>
      <c r="E1247" t="inlineStr">
        <is>
          <t>ALVESTA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63531-2019</t>
        </is>
      </c>
      <c r="B1248" s="1" t="n">
        <v>43794</v>
      </c>
      <c r="C1248" s="1" t="n">
        <v>45832</v>
      </c>
      <c r="D1248" t="inlineStr">
        <is>
          <t>KRONOBERGS LÄN</t>
        </is>
      </c>
      <c r="E1248" t="inlineStr">
        <is>
          <t>TINGSRYD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63608-2019</t>
        </is>
      </c>
      <c r="B1249" s="1" t="n">
        <v>43795</v>
      </c>
      <c r="C1249" s="1" t="n">
        <v>45832</v>
      </c>
      <c r="D1249" t="inlineStr">
        <is>
          <t>KRONOBERGS LÄN</t>
        </is>
      </c>
      <c r="E1249" t="inlineStr">
        <is>
          <t>TINGSRYD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63638-2019</t>
        </is>
      </c>
      <c r="B1250" s="1" t="n">
        <v>43795</v>
      </c>
      <c r="C1250" s="1" t="n">
        <v>45832</v>
      </c>
      <c r="D1250" t="inlineStr">
        <is>
          <t>KRONOBERGS LÄN</t>
        </is>
      </c>
      <c r="E1250" t="inlineStr">
        <is>
          <t>ALVESTA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HYPERLINK("https://klasma.github.io/Logging_0764/knärot/A 63638-2019 karta knärot.png", "A 63638-2019")</f>
        <v/>
      </c>
      <c r="V1250">
        <f>HYPERLINK("https://klasma.github.io/Logging_0764/klagomål/A 63638-2019 FSC-klagomål.docx", "A 63638-2019")</f>
        <v/>
      </c>
      <c r="W1250">
        <f>HYPERLINK("https://klasma.github.io/Logging_0764/klagomålsmail/A 63638-2019 FSC-klagomål mail.docx", "A 63638-2019")</f>
        <v/>
      </c>
      <c r="X1250">
        <f>HYPERLINK("https://klasma.github.io/Logging_0764/tillsyn/A 63638-2019 tillsynsbegäran.docx", "A 63638-2019")</f>
        <v/>
      </c>
      <c r="Y1250">
        <f>HYPERLINK("https://klasma.github.io/Logging_0764/tillsynsmail/A 63638-2019 tillsynsbegäran mail.docx", "A 63638-2019")</f>
        <v/>
      </c>
    </row>
    <row r="1251" ht="15" customHeight="1">
      <c r="A1251" t="inlineStr">
        <is>
          <t>A 63633-2019</t>
        </is>
      </c>
      <c r="B1251" s="1" t="n">
        <v>43795</v>
      </c>
      <c r="C1251" s="1" t="n">
        <v>45832</v>
      </c>
      <c r="D1251" t="inlineStr">
        <is>
          <t>KRONOBERGS LÄN</t>
        </is>
      </c>
      <c r="E1251" t="inlineStr">
        <is>
          <t>ALVESTA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63631-2019</t>
        </is>
      </c>
      <c r="B1252" s="1" t="n">
        <v>43795</v>
      </c>
      <c r="C1252" s="1" t="n">
        <v>45832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63609-2019</t>
        </is>
      </c>
      <c r="B1253" s="1" t="n">
        <v>43795</v>
      </c>
      <c r="C1253" s="1" t="n">
        <v>45832</v>
      </c>
      <c r="D1253" t="inlineStr">
        <is>
          <t>KRONOBERGS LÄN</t>
        </is>
      </c>
      <c r="E1253" t="inlineStr">
        <is>
          <t>TINGSRYD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63639-2019</t>
        </is>
      </c>
      <c r="B1254" s="1" t="n">
        <v>43795</v>
      </c>
      <c r="C1254" s="1" t="n">
        <v>45832</v>
      </c>
      <c r="D1254" t="inlineStr">
        <is>
          <t>KRONOBERGS LÄN</t>
        </is>
      </c>
      <c r="E1254" t="inlineStr">
        <is>
          <t>ALVESTA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63664-2019</t>
        </is>
      </c>
      <c r="B1255" s="1" t="n">
        <v>43795</v>
      </c>
      <c r="C1255" s="1" t="n">
        <v>45832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63814-2019</t>
        </is>
      </c>
      <c r="B1256" s="1" t="n">
        <v>43795</v>
      </c>
      <c r="C1256" s="1" t="n">
        <v>45832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63936-2019</t>
        </is>
      </c>
      <c r="B1257" s="1" t="n">
        <v>43796</v>
      </c>
      <c r="C1257" s="1" t="n">
        <v>45832</v>
      </c>
      <c r="D1257" t="inlineStr">
        <is>
          <t>KRONOBERGS LÄN</t>
        </is>
      </c>
      <c r="E1257" t="inlineStr">
        <is>
          <t>TINGSRYD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64024-2019</t>
        </is>
      </c>
      <c r="B1258" s="1" t="n">
        <v>43796</v>
      </c>
      <c r="C1258" s="1" t="n">
        <v>45832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63847-2019</t>
        </is>
      </c>
      <c r="B1259" s="1" t="n">
        <v>43796</v>
      </c>
      <c r="C1259" s="1" t="n">
        <v>45832</v>
      </c>
      <c r="D1259" t="inlineStr">
        <is>
          <t>KRONOBERGS LÄN</t>
        </is>
      </c>
      <c r="E1259" t="inlineStr">
        <is>
          <t>ÄLMHULT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64034-2019</t>
        </is>
      </c>
      <c r="B1260" s="1" t="n">
        <v>43796</v>
      </c>
      <c r="C1260" s="1" t="n">
        <v>45832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63854-2019</t>
        </is>
      </c>
      <c r="B1261" s="1" t="n">
        <v>43796</v>
      </c>
      <c r="C1261" s="1" t="n">
        <v>45832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64038-2019</t>
        </is>
      </c>
      <c r="B1262" s="1" t="n">
        <v>43796</v>
      </c>
      <c r="C1262" s="1" t="n">
        <v>45832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64075-2019</t>
        </is>
      </c>
      <c r="B1263" s="1" t="n">
        <v>43796</v>
      </c>
      <c r="C1263" s="1" t="n">
        <v>45832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64202-2019</t>
        </is>
      </c>
      <c r="B1264" s="1" t="n">
        <v>43797</v>
      </c>
      <c r="C1264" s="1" t="n">
        <v>45832</v>
      </c>
      <c r="D1264" t="inlineStr">
        <is>
          <t>KRONOBERGS LÄN</t>
        </is>
      </c>
      <c r="E1264" t="inlineStr">
        <is>
          <t>VÄXJÖ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64278-2019</t>
        </is>
      </c>
      <c r="B1265" s="1" t="n">
        <v>43797</v>
      </c>
      <c r="C1265" s="1" t="n">
        <v>45832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64289-2019</t>
        </is>
      </c>
      <c r="B1266" s="1" t="n">
        <v>43797</v>
      </c>
      <c r="C1266" s="1" t="n">
        <v>45832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64429-2019</t>
        </is>
      </c>
      <c r="B1267" s="1" t="n">
        <v>43797</v>
      </c>
      <c r="C1267" s="1" t="n">
        <v>45832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64427-2019</t>
        </is>
      </c>
      <c r="B1268" s="1" t="n">
        <v>43797</v>
      </c>
      <c r="C1268" s="1" t="n">
        <v>45832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64434-2019</t>
        </is>
      </c>
      <c r="B1269" s="1" t="n">
        <v>43797</v>
      </c>
      <c r="C1269" s="1" t="n">
        <v>45832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64378-2019</t>
        </is>
      </c>
      <c r="B1270" s="1" t="n">
        <v>43797</v>
      </c>
      <c r="C1270" s="1" t="n">
        <v>45832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64596-2019</t>
        </is>
      </c>
      <c r="B1271" s="1" t="n">
        <v>43798</v>
      </c>
      <c r="C1271" s="1" t="n">
        <v>45832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64608-2019</t>
        </is>
      </c>
      <c r="B1272" s="1" t="n">
        <v>43798</v>
      </c>
      <c r="C1272" s="1" t="n">
        <v>45832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64493-2019</t>
        </is>
      </c>
      <c r="B1273" s="1" t="n">
        <v>43798</v>
      </c>
      <c r="C1273" s="1" t="n">
        <v>45832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64570-2019</t>
        </is>
      </c>
      <c r="B1274" s="1" t="n">
        <v>43798</v>
      </c>
      <c r="C1274" s="1" t="n">
        <v>45832</v>
      </c>
      <c r="D1274" t="inlineStr">
        <is>
          <t>KRONOBERGS LÄN</t>
        </is>
      </c>
      <c r="E1274" t="inlineStr">
        <is>
          <t>ALVESTA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64597-2019</t>
        </is>
      </c>
      <c r="B1275" s="1" t="n">
        <v>43798</v>
      </c>
      <c r="C1275" s="1" t="n">
        <v>45832</v>
      </c>
      <c r="D1275" t="inlineStr">
        <is>
          <t>KRONOBERGS LÄN</t>
        </is>
      </c>
      <c r="E1275" t="inlineStr">
        <is>
          <t>VÄXJÖ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64624-2019</t>
        </is>
      </c>
      <c r="B1276" s="1" t="n">
        <v>43798</v>
      </c>
      <c r="C1276" s="1" t="n">
        <v>45832</v>
      </c>
      <c r="D1276" t="inlineStr">
        <is>
          <t>KRONOBERGS LÄN</t>
        </is>
      </c>
      <c r="E1276" t="inlineStr">
        <is>
          <t>ÄLMHULT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64861-2019</t>
        </is>
      </c>
      <c r="B1277" s="1" t="n">
        <v>43801</v>
      </c>
      <c r="C1277" s="1" t="n">
        <v>45832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64875-2019</t>
        </is>
      </c>
      <c r="B1278" s="1" t="n">
        <v>43801</v>
      </c>
      <c r="C1278" s="1" t="n">
        <v>45832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65003-2019</t>
        </is>
      </c>
      <c r="B1279" s="1" t="n">
        <v>43801</v>
      </c>
      <c r="C1279" s="1" t="n">
        <v>45832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64936-2019</t>
        </is>
      </c>
      <c r="B1280" s="1" t="n">
        <v>43801</v>
      </c>
      <c r="C1280" s="1" t="n">
        <v>45832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64946-2019</t>
        </is>
      </c>
      <c r="B1281" s="1" t="n">
        <v>43801</v>
      </c>
      <c r="C1281" s="1" t="n">
        <v>45832</v>
      </c>
      <c r="D1281" t="inlineStr">
        <is>
          <t>KRONOBERGS LÄN</t>
        </is>
      </c>
      <c r="E1281" t="inlineStr">
        <is>
          <t>LJUNGBY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65171-2019</t>
        </is>
      </c>
      <c r="B1282" s="1" t="n">
        <v>43802</v>
      </c>
      <c r="C1282" s="1" t="n">
        <v>45832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65140-2019</t>
        </is>
      </c>
      <c r="B1283" s="1" t="n">
        <v>43802</v>
      </c>
      <c r="C1283" s="1" t="n">
        <v>45832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65172-2019</t>
        </is>
      </c>
      <c r="B1284" s="1" t="n">
        <v>43802</v>
      </c>
      <c r="C1284" s="1" t="n">
        <v>45832</v>
      </c>
      <c r="D1284" t="inlineStr">
        <is>
          <t>KRONOBERGS LÄN</t>
        </is>
      </c>
      <c r="E1284" t="inlineStr">
        <is>
          <t>VÄXJÖ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65175-2019</t>
        </is>
      </c>
      <c r="B1285" s="1" t="n">
        <v>43802</v>
      </c>
      <c r="C1285" s="1" t="n">
        <v>45832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65297-2019</t>
        </is>
      </c>
      <c r="B1286" s="1" t="n">
        <v>43802</v>
      </c>
      <c r="C1286" s="1" t="n">
        <v>45832</v>
      </c>
      <c r="D1286" t="inlineStr">
        <is>
          <t>KRONOBERGS LÄN</t>
        </is>
      </c>
      <c r="E1286" t="inlineStr">
        <is>
          <t>ALVESTA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65097-2019</t>
        </is>
      </c>
      <c r="B1287" s="1" t="n">
        <v>43802</v>
      </c>
      <c r="C1287" s="1" t="n">
        <v>45832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65173-2019</t>
        </is>
      </c>
      <c r="B1288" s="1" t="n">
        <v>43802</v>
      </c>
      <c r="C1288" s="1" t="n">
        <v>45832</v>
      </c>
      <c r="D1288" t="inlineStr">
        <is>
          <t>KRONOBERGS LÄN</t>
        </is>
      </c>
      <c r="E1288" t="inlineStr">
        <is>
          <t>VÄXJÖ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65300-2019</t>
        </is>
      </c>
      <c r="B1289" s="1" t="n">
        <v>43802</v>
      </c>
      <c r="C1289" s="1" t="n">
        <v>45832</v>
      </c>
      <c r="D1289" t="inlineStr">
        <is>
          <t>KRONOBERGS LÄN</t>
        </is>
      </c>
      <c r="E1289" t="inlineStr">
        <is>
          <t>ALVESTA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65342-2019</t>
        </is>
      </c>
      <c r="B1290" s="1" t="n">
        <v>43803</v>
      </c>
      <c r="C1290" s="1" t="n">
        <v>45832</v>
      </c>
      <c r="D1290" t="inlineStr">
        <is>
          <t>KRONOBERGS LÄN</t>
        </is>
      </c>
      <c r="E1290" t="inlineStr">
        <is>
          <t>LJUNGBY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65653-2019</t>
        </is>
      </c>
      <c r="B1291" s="1" t="n">
        <v>43804</v>
      </c>
      <c r="C1291" s="1" t="n">
        <v>45832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65615-2019</t>
        </is>
      </c>
      <c r="B1292" s="1" t="n">
        <v>43804</v>
      </c>
      <c r="C1292" s="1" t="n">
        <v>45832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65654-2019</t>
        </is>
      </c>
      <c r="B1293" s="1" t="n">
        <v>43804</v>
      </c>
      <c r="C1293" s="1" t="n">
        <v>45832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65582-2019</t>
        </is>
      </c>
      <c r="B1294" s="1" t="n">
        <v>43804</v>
      </c>
      <c r="C1294" s="1" t="n">
        <v>45832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65838-2019</t>
        </is>
      </c>
      <c r="B1295" s="1" t="n">
        <v>43805</v>
      </c>
      <c r="C1295" s="1" t="n">
        <v>45832</v>
      </c>
      <c r="D1295" t="inlineStr">
        <is>
          <t>KRONOBERGS LÄN</t>
        </is>
      </c>
      <c r="E1295" t="inlineStr">
        <is>
          <t>VÄXJÖ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65843-2019</t>
        </is>
      </c>
      <c r="B1296" s="1" t="n">
        <v>43805</v>
      </c>
      <c r="C1296" s="1" t="n">
        <v>45832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66994-2019</t>
        </is>
      </c>
      <c r="B1297" s="1" t="n">
        <v>43805</v>
      </c>
      <c r="C1297" s="1" t="n">
        <v>45832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66068-2019</t>
        </is>
      </c>
      <c r="B1298" s="1" t="n">
        <v>43806</v>
      </c>
      <c r="C1298" s="1" t="n">
        <v>45832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66069-2019</t>
        </is>
      </c>
      <c r="B1299" s="1" t="n">
        <v>43806</v>
      </c>
      <c r="C1299" s="1" t="n">
        <v>45832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66189-2019</t>
        </is>
      </c>
      <c r="B1300" s="1" t="n">
        <v>43808</v>
      </c>
      <c r="C1300" s="1" t="n">
        <v>45832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66323-2019</t>
        </is>
      </c>
      <c r="B1301" s="1" t="n">
        <v>43808</v>
      </c>
      <c r="C1301" s="1" t="n">
        <v>45832</v>
      </c>
      <c r="D1301" t="inlineStr">
        <is>
          <t>KRONOBERGS LÄN</t>
        </is>
      </c>
      <c r="E1301" t="inlineStr">
        <is>
          <t>TINGSRYD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66234-2019</t>
        </is>
      </c>
      <c r="B1302" s="1" t="n">
        <v>43808</v>
      </c>
      <c r="C1302" s="1" t="n">
        <v>45832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66246-2019</t>
        </is>
      </c>
      <c r="B1303" s="1" t="n">
        <v>43808</v>
      </c>
      <c r="C1303" s="1" t="n">
        <v>45832</v>
      </c>
      <c r="D1303" t="inlineStr">
        <is>
          <t>KRONOBERGS LÄN</t>
        </is>
      </c>
      <c r="E1303" t="inlineStr">
        <is>
          <t>LJUNGBY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66515-2019</t>
        </is>
      </c>
      <c r="B1304" s="1" t="n">
        <v>43809</v>
      </c>
      <c r="C1304" s="1" t="n">
        <v>45832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66593-2019</t>
        </is>
      </c>
      <c r="B1305" s="1" t="n">
        <v>43809</v>
      </c>
      <c r="C1305" s="1" t="n">
        <v>45832</v>
      </c>
      <c r="D1305" t="inlineStr">
        <is>
          <t>KRONOBERGS LÄN</t>
        </is>
      </c>
      <c r="E1305" t="inlineStr">
        <is>
          <t>ÄLMHULT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66898-2019</t>
        </is>
      </c>
      <c r="B1306" s="1" t="n">
        <v>43810</v>
      </c>
      <c r="C1306" s="1" t="n">
        <v>45832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66910-2019</t>
        </is>
      </c>
      <c r="B1307" s="1" t="n">
        <v>43810</v>
      </c>
      <c r="C1307" s="1" t="n">
        <v>45832</v>
      </c>
      <c r="D1307" t="inlineStr">
        <is>
          <t>KRONOBERGS LÄN</t>
        </is>
      </c>
      <c r="E1307" t="inlineStr">
        <is>
          <t>LJUNGBY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66906-2019</t>
        </is>
      </c>
      <c r="B1308" s="1" t="n">
        <v>43810</v>
      </c>
      <c r="C1308" s="1" t="n">
        <v>45832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66902-2019</t>
        </is>
      </c>
      <c r="B1309" s="1" t="n">
        <v>43810</v>
      </c>
      <c r="C1309" s="1" t="n">
        <v>45832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67093-2019</t>
        </is>
      </c>
      <c r="B1310" s="1" t="n">
        <v>43811</v>
      </c>
      <c r="C1310" s="1" t="n">
        <v>45832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67011-2019</t>
        </is>
      </c>
      <c r="B1311" s="1" t="n">
        <v>43811</v>
      </c>
      <c r="C1311" s="1" t="n">
        <v>45832</v>
      </c>
      <c r="D1311" t="inlineStr">
        <is>
          <t>KRONOBERGS LÄN</t>
        </is>
      </c>
      <c r="E1311" t="inlineStr">
        <is>
          <t>LESSEBO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67632-2019</t>
        </is>
      </c>
      <c r="B1312" s="1" t="n">
        <v>43815</v>
      </c>
      <c r="C1312" s="1" t="n">
        <v>45832</v>
      </c>
      <c r="D1312" t="inlineStr">
        <is>
          <t>KRONOBERGS LÄN</t>
        </is>
      </c>
      <c r="E1312" t="inlineStr">
        <is>
          <t>MARKARYD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67697-2019</t>
        </is>
      </c>
      <c r="B1313" s="1" t="n">
        <v>43815</v>
      </c>
      <c r="C1313" s="1" t="n">
        <v>45832</v>
      </c>
      <c r="D1313" t="inlineStr">
        <is>
          <t>KRONOBERGS LÄN</t>
        </is>
      </c>
      <c r="E1313" t="inlineStr">
        <is>
          <t>MARKARYD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67766-2019</t>
        </is>
      </c>
      <c r="B1314" s="1" t="n">
        <v>43815</v>
      </c>
      <c r="C1314" s="1" t="n">
        <v>45832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67908-2019</t>
        </is>
      </c>
      <c r="B1315" s="1" t="n">
        <v>43816</v>
      </c>
      <c r="C1315" s="1" t="n">
        <v>45832</v>
      </c>
      <c r="D1315" t="inlineStr">
        <is>
          <t>KRONOBERGS LÄN</t>
        </is>
      </c>
      <c r="E1315" t="inlineStr">
        <is>
          <t>ALVESTA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67917-2019</t>
        </is>
      </c>
      <c r="B1316" s="1" t="n">
        <v>43816</v>
      </c>
      <c r="C1316" s="1" t="n">
        <v>45832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68160-2019</t>
        </is>
      </c>
      <c r="B1317" s="1" t="n">
        <v>43817</v>
      </c>
      <c r="C1317" s="1" t="n">
        <v>45832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68262-2019</t>
        </is>
      </c>
      <c r="B1318" s="1" t="n">
        <v>43817</v>
      </c>
      <c r="C1318" s="1" t="n">
        <v>45832</v>
      </c>
      <c r="D1318" t="inlineStr">
        <is>
          <t>KRONOBERGS LÄN</t>
        </is>
      </c>
      <c r="E1318" t="inlineStr">
        <is>
          <t>ALVESTA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68263-2019</t>
        </is>
      </c>
      <c r="B1319" s="1" t="n">
        <v>43817</v>
      </c>
      <c r="C1319" s="1" t="n">
        <v>45832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68261-2019</t>
        </is>
      </c>
      <c r="B1320" s="1" t="n">
        <v>43817</v>
      </c>
      <c r="C1320" s="1" t="n">
        <v>45832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68414-2019</t>
        </is>
      </c>
      <c r="B1321" s="1" t="n">
        <v>43818</v>
      </c>
      <c r="C1321" s="1" t="n">
        <v>45832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68478-2019</t>
        </is>
      </c>
      <c r="B1322" s="1" t="n">
        <v>43818</v>
      </c>
      <c r="C1322" s="1" t="n">
        <v>45832</v>
      </c>
      <c r="D1322" t="inlineStr">
        <is>
          <t>KRONOBERGS LÄN</t>
        </is>
      </c>
      <c r="E1322" t="inlineStr">
        <is>
          <t>LJUNGBY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68479-2019</t>
        </is>
      </c>
      <c r="B1323" s="1" t="n">
        <v>43818</v>
      </c>
      <c r="C1323" s="1" t="n">
        <v>45832</v>
      </c>
      <c r="D1323" t="inlineStr">
        <is>
          <t>KRONOBERGS LÄN</t>
        </is>
      </c>
      <c r="E1323" t="inlineStr">
        <is>
          <t>LJUNGBY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68484-2019</t>
        </is>
      </c>
      <c r="B1324" s="1" t="n">
        <v>43818</v>
      </c>
      <c r="C1324" s="1" t="n">
        <v>45832</v>
      </c>
      <c r="D1324" t="inlineStr">
        <is>
          <t>KRONOBERGS LÄN</t>
        </is>
      </c>
      <c r="E1324" t="inlineStr">
        <is>
          <t>LJUNGBY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68652-2019</t>
        </is>
      </c>
      <c r="B1325" s="1" t="n">
        <v>43819</v>
      </c>
      <c r="C1325" s="1" t="n">
        <v>45832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68664-2019</t>
        </is>
      </c>
      <c r="B1326" s="1" t="n">
        <v>43819</v>
      </c>
      <c r="C1326" s="1" t="n">
        <v>45832</v>
      </c>
      <c r="D1326" t="inlineStr">
        <is>
          <t>KRONOBERGS LÄN</t>
        </is>
      </c>
      <c r="E1326" t="inlineStr">
        <is>
          <t>ALVESTA</t>
        </is>
      </c>
      <c r="F1326" t="inlineStr">
        <is>
          <t>Övriga Aktiebolag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68946-2019</t>
        </is>
      </c>
      <c r="B1327" s="1" t="n">
        <v>43822</v>
      </c>
      <c r="C1327" s="1" t="n">
        <v>45832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68950-2019</t>
        </is>
      </c>
      <c r="B1328" s="1" t="n">
        <v>43822</v>
      </c>
      <c r="C1328" s="1" t="n">
        <v>45832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68945-2019</t>
        </is>
      </c>
      <c r="B1329" s="1" t="n">
        <v>43822</v>
      </c>
      <c r="C1329" s="1" t="n">
        <v>45832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68986-2019</t>
        </is>
      </c>
      <c r="B1330" s="1" t="n">
        <v>43825</v>
      </c>
      <c r="C1330" s="1" t="n">
        <v>45832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68993-2019</t>
        </is>
      </c>
      <c r="B1331" s="1" t="n">
        <v>43826</v>
      </c>
      <c r="C1331" s="1" t="n">
        <v>45832</v>
      </c>
      <c r="D1331" t="inlineStr">
        <is>
          <t>KRONOBERGS LÄN</t>
        </is>
      </c>
      <c r="E1331" t="inlineStr">
        <is>
          <t>ALVESTA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69003-2019</t>
        </is>
      </c>
      <c r="B1332" s="1" t="n">
        <v>43826</v>
      </c>
      <c r="C1332" s="1" t="n">
        <v>45832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69004-2019</t>
        </is>
      </c>
      <c r="B1333" s="1" t="n">
        <v>43826</v>
      </c>
      <c r="C1333" s="1" t="n">
        <v>45832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20-2020</t>
        </is>
      </c>
      <c r="B1334" s="1" t="n">
        <v>43832</v>
      </c>
      <c r="C1334" s="1" t="n">
        <v>45832</v>
      </c>
      <c r="D1334" t="inlineStr">
        <is>
          <t>KRONOBERGS LÄN</t>
        </is>
      </c>
      <c r="E1334" t="inlineStr">
        <is>
          <t>TINGSRYD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251-2020</t>
        </is>
      </c>
      <c r="B1335" s="1" t="n">
        <v>43835</v>
      </c>
      <c r="C1335" s="1" t="n">
        <v>45832</v>
      </c>
      <c r="D1335" t="inlineStr">
        <is>
          <t>KRONOBERGS LÄN</t>
        </is>
      </c>
      <c r="E1335" t="inlineStr">
        <is>
          <t>ÄLMHULT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253-2020</t>
        </is>
      </c>
      <c r="B1336" s="1" t="n">
        <v>43835</v>
      </c>
      <c r="C1336" s="1" t="n">
        <v>45832</v>
      </c>
      <c r="D1336" t="inlineStr">
        <is>
          <t>KRONOBERGS LÄN</t>
        </is>
      </c>
      <c r="E1336" t="inlineStr">
        <is>
          <t>ÄLMHULT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240-2020</t>
        </is>
      </c>
      <c r="B1337" s="1" t="n">
        <v>43835</v>
      </c>
      <c r="C1337" s="1" t="n">
        <v>45832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252-2020</t>
        </is>
      </c>
      <c r="B1338" s="1" t="n">
        <v>43835</v>
      </c>
      <c r="C1338" s="1" t="n">
        <v>45832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459-2020</t>
        </is>
      </c>
      <c r="B1339" s="1" t="n">
        <v>43837</v>
      </c>
      <c r="C1339" s="1" t="n">
        <v>45832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497-2020</t>
        </is>
      </c>
      <c r="B1340" s="1" t="n">
        <v>43837</v>
      </c>
      <c r="C1340" s="1" t="n">
        <v>45832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363-2020</t>
        </is>
      </c>
      <c r="B1341" s="1" t="n">
        <v>43837</v>
      </c>
      <c r="C1341" s="1" t="n">
        <v>45832</v>
      </c>
      <c r="D1341" t="inlineStr">
        <is>
          <t>KRONOBERGS LÄN</t>
        </is>
      </c>
      <c r="E1341" t="inlineStr">
        <is>
          <t>MARKARYD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456-2020</t>
        </is>
      </c>
      <c r="B1342" s="1" t="n">
        <v>43837</v>
      </c>
      <c r="C1342" s="1" t="n">
        <v>45832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519-2020</t>
        </is>
      </c>
      <c r="B1343" s="1" t="n">
        <v>43837</v>
      </c>
      <c r="C1343" s="1" t="n">
        <v>45832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635-2020</t>
        </is>
      </c>
      <c r="B1344" s="1" t="n">
        <v>43838</v>
      </c>
      <c r="C1344" s="1" t="n">
        <v>45832</v>
      </c>
      <c r="D1344" t="inlineStr">
        <is>
          <t>KRONOBERGS LÄN</t>
        </is>
      </c>
      <c r="E1344" t="inlineStr">
        <is>
          <t>ALVESTA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631-2020</t>
        </is>
      </c>
      <c r="B1345" s="1" t="n">
        <v>43838</v>
      </c>
      <c r="C1345" s="1" t="n">
        <v>45832</v>
      </c>
      <c r="D1345" t="inlineStr">
        <is>
          <t>KRONOBERGS LÄN</t>
        </is>
      </c>
      <c r="E1345" t="inlineStr">
        <is>
          <t>VÄXJÖ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772-2020</t>
        </is>
      </c>
      <c r="B1346" s="1" t="n">
        <v>43838</v>
      </c>
      <c r="C1346" s="1" t="n">
        <v>45832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1986-2020</t>
        </is>
      </c>
      <c r="B1347" s="1" t="n">
        <v>43838</v>
      </c>
      <c r="C1347" s="1" t="n">
        <v>45832</v>
      </c>
      <c r="D1347" t="inlineStr">
        <is>
          <t>KRONOBERGS LÄN</t>
        </is>
      </c>
      <c r="E1347" t="inlineStr">
        <is>
          <t>TINGSRYD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774-2020</t>
        </is>
      </c>
      <c r="B1348" s="1" t="n">
        <v>43838</v>
      </c>
      <c r="C1348" s="1" t="n">
        <v>45832</v>
      </c>
      <c r="D1348" t="inlineStr">
        <is>
          <t>KRONOBERGS LÄN</t>
        </is>
      </c>
      <c r="E1348" t="inlineStr">
        <is>
          <t>LJUNGBY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855-2020</t>
        </is>
      </c>
      <c r="B1349" s="1" t="n">
        <v>43839</v>
      </c>
      <c r="C1349" s="1" t="n">
        <v>45832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1064-2020</t>
        </is>
      </c>
      <c r="B1350" s="1" t="n">
        <v>43839</v>
      </c>
      <c r="C1350" s="1" t="n">
        <v>45832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907-2020</t>
        </is>
      </c>
      <c r="B1351" s="1" t="n">
        <v>43839</v>
      </c>
      <c r="C1351" s="1" t="n">
        <v>45832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994-2020</t>
        </is>
      </c>
      <c r="B1352" s="1" t="n">
        <v>43839</v>
      </c>
      <c r="C1352" s="1" t="n">
        <v>45832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1023-2020</t>
        </is>
      </c>
      <c r="B1353" s="1" t="n">
        <v>43839</v>
      </c>
      <c r="C1353" s="1" t="n">
        <v>45832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1172-2020</t>
        </is>
      </c>
      <c r="B1354" s="1" t="n">
        <v>43840</v>
      </c>
      <c r="C1354" s="1" t="n">
        <v>45832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1257-2020</t>
        </is>
      </c>
      <c r="B1355" s="1" t="n">
        <v>43840</v>
      </c>
      <c r="C1355" s="1" t="n">
        <v>45832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1178-2020</t>
        </is>
      </c>
      <c r="B1356" s="1" t="n">
        <v>43840</v>
      </c>
      <c r="C1356" s="1" t="n">
        <v>45832</v>
      </c>
      <c r="D1356" t="inlineStr">
        <is>
          <t>KRONOBERGS LÄN</t>
        </is>
      </c>
      <c r="E1356" t="inlineStr">
        <is>
          <t>ÄLMHULT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1248-2020</t>
        </is>
      </c>
      <c r="B1357" s="1" t="n">
        <v>43840</v>
      </c>
      <c r="C1357" s="1" t="n">
        <v>45832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1189-2020</t>
        </is>
      </c>
      <c r="B1358" s="1" t="n">
        <v>43840</v>
      </c>
      <c r="C1358" s="1" t="n">
        <v>45832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1192-2020</t>
        </is>
      </c>
      <c r="B1359" s="1" t="n">
        <v>43840</v>
      </c>
      <c r="C1359" s="1" t="n">
        <v>45832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1349-2020</t>
        </is>
      </c>
      <c r="B1360" s="1" t="n">
        <v>43843</v>
      </c>
      <c r="C1360" s="1" t="n">
        <v>45832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1400-2020</t>
        </is>
      </c>
      <c r="B1361" s="1" t="n">
        <v>43843</v>
      </c>
      <c r="C1361" s="1" t="n">
        <v>45832</v>
      </c>
      <c r="D1361" t="inlineStr">
        <is>
          <t>KRONOBERGS LÄN</t>
        </is>
      </c>
      <c r="E1361" t="inlineStr">
        <is>
          <t>TINGSRYD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1520-2020</t>
        </is>
      </c>
      <c r="B1362" s="1" t="n">
        <v>43843</v>
      </c>
      <c r="C1362" s="1" t="n">
        <v>45832</v>
      </c>
      <c r="D1362" t="inlineStr">
        <is>
          <t>KRONOBERGS LÄN</t>
        </is>
      </c>
      <c r="E1362" t="inlineStr">
        <is>
          <t>UPPVIDINGE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1385-2020</t>
        </is>
      </c>
      <c r="B1363" s="1" t="n">
        <v>43843</v>
      </c>
      <c r="C1363" s="1" t="n">
        <v>45832</v>
      </c>
      <c r="D1363" t="inlineStr">
        <is>
          <t>KRONOBERGS LÄN</t>
        </is>
      </c>
      <c r="E1363" t="inlineStr">
        <is>
          <t>TINGSRYD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1599-2020</t>
        </is>
      </c>
      <c r="B1364" s="1" t="n">
        <v>43844</v>
      </c>
      <c r="C1364" s="1" t="n">
        <v>45832</v>
      </c>
      <c r="D1364" t="inlineStr">
        <is>
          <t>KRONOBERGS LÄN</t>
        </is>
      </c>
      <c r="E1364" t="inlineStr">
        <is>
          <t>VÄXJÖ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1706-2020</t>
        </is>
      </c>
      <c r="B1365" s="1" t="n">
        <v>43844</v>
      </c>
      <c r="C1365" s="1" t="n">
        <v>45832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1743-2020</t>
        </is>
      </c>
      <c r="B1366" s="1" t="n">
        <v>43844</v>
      </c>
      <c r="C1366" s="1" t="n">
        <v>45832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1837-2020</t>
        </is>
      </c>
      <c r="B1367" s="1" t="n">
        <v>43844</v>
      </c>
      <c r="C1367" s="1" t="n">
        <v>45832</v>
      </c>
      <c r="D1367" t="inlineStr">
        <is>
          <t>KRONOBERGS LÄN</t>
        </is>
      </c>
      <c r="E1367" t="inlineStr">
        <is>
          <t>UPPVIDINGE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1702-2020</t>
        </is>
      </c>
      <c r="B1368" s="1" t="n">
        <v>43844</v>
      </c>
      <c r="C1368" s="1" t="n">
        <v>45832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1709-2020</t>
        </is>
      </c>
      <c r="B1369" s="1" t="n">
        <v>43844</v>
      </c>
      <c r="C1369" s="1" t="n">
        <v>45832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1749-2020</t>
        </is>
      </c>
      <c r="B1370" s="1" t="n">
        <v>43844</v>
      </c>
      <c r="C1370" s="1" t="n">
        <v>45832</v>
      </c>
      <c r="D1370" t="inlineStr">
        <is>
          <t>KRONOBERGS LÄN</t>
        </is>
      </c>
      <c r="E1370" t="inlineStr">
        <is>
          <t>UPPVIDINGE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1704-2020</t>
        </is>
      </c>
      <c r="B1371" s="1" t="n">
        <v>43844</v>
      </c>
      <c r="C1371" s="1" t="n">
        <v>45832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2046-2020</t>
        </is>
      </c>
      <c r="B1372" s="1" t="n">
        <v>43845</v>
      </c>
      <c r="C1372" s="1" t="n">
        <v>45832</v>
      </c>
      <c r="D1372" t="inlineStr">
        <is>
          <t>KRONOBERGS LÄN</t>
        </is>
      </c>
      <c r="E1372" t="inlineStr">
        <is>
          <t>UPPVIDINGE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1958-2020</t>
        </is>
      </c>
      <c r="B1373" s="1" t="n">
        <v>43845</v>
      </c>
      <c r="C1373" s="1" t="n">
        <v>45832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2094-2020</t>
        </is>
      </c>
      <c r="B1374" s="1" t="n">
        <v>43845</v>
      </c>
      <c r="C1374" s="1" t="n">
        <v>45832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2271-2020</t>
        </is>
      </c>
      <c r="B1375" s="1" t="n">
        <v>43846</v>
      </c>
      <c r="C1375" s="1" t="n">
        <v>45832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2325-2020</t>
        </is>
      </c>
      <c r="B1376" s="1" t="n">
        <v>43846</v>
      </c>
      <c r="C1376" s="1" t="n">
        <v>45832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2506-2020</t>
        </is>
      </c>
      <c r="B1377" s="1" t="n">
        <v>43847</v>
      </c>
      <c r="C1377" s="1" t="n">
        <v>45832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2510-2020</t>
        </is>
      </c>
      <c r="B1378" s="1" t="n">
        <v>43847</v>
      </c>
      <c r="C1378" s="1" t="n">
        <v>45832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2522-2020</t>
        </is>
      </c>
      <c r="B1379" s="1" t="n">
        <v>43847</v>
      </c>
      <c r="C1379" s="1" t="n">
        <v>45832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2644-2020</t>
        </is>
      </c>
      <c r="B1380" s="1" t="n">
        <v>43847</v>
      </c>
      <c r="C1380" s="1" t="n">
        <v>45832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2520-2020</t>
        </is>
      </c>
      <c r="B1381" s="1" t="n">
        <v>43847</v>
      </c>
      <c r="C1381" s="1" t="n">
        <v>45832</v>
      </c>
      <c r="D1381" t="inlineStr">
        <is>
          <t>KRONOBERGS LÄN</t>
        </is>
      </c>
      <c r="E1381" t="inlineStr">
        <is>
          <t>MARKARYD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2474-2020</t>
        </is>
      </c>
      <c r="B1382" s="1" t="n">
        <v>43847</v>
      </c>
      <c r="C1382" s="1" t="n">
        <v>45832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2779-2020</t>
        </is>
      </c>
      <c r="B1383" s="1" t="n">
        <v>43850</v>
      </c>
      <c r="C1383" s="1" t="n">
        <v>45832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3056-2020</t>
        </is>
      </c>
      <c r="B1384" s="1" t="n">
        <v>43851</v>
      </c>
      <c r="C1384" s="1" t="n">
        <v>45832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3186-2020</t>
        </is>
      </c>
      <c r="B1385" s="1" t="n">
        <v>43851</v>
      </c>
      <c r="C1385" s="1" t="n">
        <v>45832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3313-2020</t>
        </is>
      </c>
      <c r="B1386" s="1" t="n">
        <v>43852</v>
      </c>
      <c r="C1386" s="1" t="n">
        <v>45832</v>
      </c>
      <c r="D1386" t="inlineStr">
        <is>
          <t>KRONOBERGS LÄN</t>
        </is>
      </c>
      <c r="E1386" t="inlineStr">
        <is>
          <t>MARKARYD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3248-2020</t>
        </is>
      </c>
      <c r="B1387" s="1" t="n">
        <v>43852</v>
      </c>
      <c r="C1387" s="1" t="n">
        <v>45832</v>
      </c>
      <c r="D1387" t="inlineStr">
        <is>
          <t>KRONOBERGS LÄN</t>
        </is>
      </c>
      <c r="E1387" t="inlineStr">
        <is>
          <t>ÄLMHULT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3709-2020</t>
        </is>
      </c>
      <c r="B1388" s="1" t="n">
        <v>43853</v>
      </c>
      <c r="C1388" s="1" t="n">
        <v>45832</v>
      </c>
      <c r="D1388" t="inlineStr">
        <is>
          <t>KRONOBERGS LÄN</t>
        </is>
      </c>
      <c r="E1388" t="inlineStr">
        <is>
          <t>ALVESTA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3655-2020</t>
        </is>
      </c>
      <c r="B1389" s="1" t="n">
        <v>43853</v>
      </c>
      <c r="C1389" s="1" t="n">
        <v>45832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3712-2020</t>
        </is>
      </c>
      <c r="B1390" s="1" t="n">
        <v>43853</v>
      </c>
      <c r="C1390" s="1" t="n">
        <v>45832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5041-2020</t>
        </is>
      </c>
      <c r="B1391" s="1" t="n">
        <v>43853</v>
      </c>
      <c r="C1391" s="1" t="n">
        <v>45832</v>
      </c>
      <c r="D1391" t="inlineStr">
        <is>
          <t>KRONOBERGS LÄN</t>
        </is>
      </c>
      <c r="E1391" t="inlineStr">
        <is>
          <t>ÄLMHULT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3662-2020</t>
        </is>
      </c>
      <c r="B1392" s="1" t="n">
        <v>43853</v>
      </c>
      <c r="C1392" s="1" t="n">
        <v>45832</v>
      </c>
      <c r="D1392" t="inlineStr">
        <is>
          <t>KRONOBERGS LÄN</t>
        </is>
      </c>
      <c r="E1392" t="inlineStr">
        <is>
          <t>LJUNGBY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5058-2020</t>
        </is>
      </c>
      <c r="B1393" s="1" t="n">
        <v>43853</v>
      </c>
      <c r="C1393" s="1" t="n">
        <v>45832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3587-2020</t>
        </is>
      </c>
      <c r="B1394" s="1" t="n">
        <v>43853</v>
      </c>
      <c r="C1394" s="1" t="n">
        <v>45832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3612-2020</t>
        </is>
      </c>
      <c r="B1395" s="1" t="n">
        <v>43853</v>
      </c>
      <c r="C1395" s="1" t="n">
        <v>45832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3821-2020</t>
        </is>
      </c>
      <c r="B1396" s="1" t="n">
        <v>43854</v>
      </c>
      <c r="C1396" s="1" t="n">
        <v>45832</v>
      </c>
      <c r="D1396" t="inlineStr">
        <is>
          <t>KRONOBERGS LÄN</t>
        </is>
      </c>
      <c r="E1396" t="inlineStr">
        <is>
          <t>UPPVIDINGE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3767-2020</t>
        </is>
      </c>
      <c r="B1397" s="1" t="n">
        <v>43854</v>
      </c>
      <c r="C1397" s="1" t="n">
        <v>45832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3819-2020</t>
        </is>
      </c>
      <c r="B1398" s="1" t="n">
        <v>43854</v>
      </c>
      <c r="C1398" s="1" t="n">
        <v>45832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3786-2020</t>
        </is>
      </c>
      <c r="B1399" s="1" t="n">
        <v>43854</v>
      </c>
      <c r="C1399" s="1" t="n">
        <v>45832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4111-2020</t>
        </is>
      </c>
      <c r="B1400" s="1" t="n">
        <v>43857</v>
      </c>
      <c r="C1400" s="1" t="n">
        <v>45832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4019-2020</t>
        </is>
      </c>
      <c r="B1401" s="1" t="n">
        <v>43857</v>
      </c>
      <c r="C1401" s="1" t="n">
        <v>45832</v>
      </c>
      <c r="D1401" t="inlineStr">
        <is>
          <t>KRONOBERGS LÄN</t>
        </is>
      </c>
      <c r="E1401" t="inlineStr">
        <is>
          <t>TINGSRYD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4255-2020</t>
        </is>
      </c>
      <c r="B1402" s="1" t="n">
        <v>43857</v>
      </c>
      <c r="C1402" s="1" t="n">
        <v>45832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4126-2020</t>
        </is>
      </c>
      <c r="B1403" s="1" t="n">
        <v>43857</v>
      </c>
      <c r="C1403" s="1" t="n">
        <v>45832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4563-2020</t>
        </is>
      </c>
      <c r="B1404" s="1" t="n">
        <v>43858</v>
      </c>
      <c r="C1404" s="1" t="n">
        <v>45832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4627-2020</t>
        </is>
      </c>
      <c r="B1405" s="1" t="n">
        <v>43858</v>
      </c>
      <c r="C1405" s="1" t="n">
        <v>45832</v>
      </c>
      <c r="D1405" t="inlineStr">
        <is>
          <t>KRONOBERGS LÄN</t>
        </is>
      </c>
      <c r="E1405" t="inlineStr">
        <is>
          <t>TINGSRYD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4666-2020</t>
        </is>
      </c>
      <c r="B1406" s="1" t="n">
        <v>43858</v>
      </c>
      <c r="C1406" s="1" t="n">
        <v>45832</v>
      </c>
      <c r="D1406" t="inlineStr">
        <is>
          <t>KRONOBERGS LÄN</t>
        </is>
      </c>
      <c r="E1406" t="inlineStr">
        <is>
          <t>TINGSRYD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4719-2020</t>
        </is>
      </c>
      <c r="B1407" s="1" t="n">
        <v>43858</v>
      </c>
      <c r="C1407" s="1" t="n">
        <v>45832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4718-2020</t>
        </is>
      </c>
      <c r="B1408" s="1" t="n">
        <v>43858</v>
      </c>
      <c r="C1408" s="1" t="n">
        <v>45832</v>
      </c>
      <c r="D1408" t="inlineStr">
        <is>
          <t>KRONOBERGS LÄN</t>
        </is>
      </c>
      <c r="E1408" t="inlineStr">
        <is>
          <t>ALVESTA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4722-2020</t>
        </is>
      </c>
      <c r="B1409" s="1" t="n">
        <v>43858</v>
      </c>
      <c r="C1409" s="1" t="n">
        <v>45832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5323-2020</t>
        </is>
      </c>
      <c r="B1410" s="1" t="n">
        <v>43858</v>
      </c>
      <c r="C1410" s="1" t="n">
        <v>45832</v>
      </c>
      <c r="D1410" t="inlineStr">
        <is>
          <t>KRONOBERGS LÄN</t>
        </is>
      </c>
      <c r="E1410" t="inlineStr">
        <is>
          <t>LESSEBO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4662-2020</t>
        </is>
      </c>
      <c r="B1411" s="1" t="n">
        <v>43858</v>
      </c>
      <c r="C1411" s="1" t="n">
        <v>45832</v>
      </c>
      <c r="D1411" t="inlineStr">
        <is>
          <t>KRONOBERGS LÄN</t>
        </is>
      </c>
      <c r="E1411" t="inlineStr">
        <is>
          <t>TINGSRYD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4740-2020</t>
        </is>
      </c>
      <c r="B1412" s="1" t="n">
        <v>43859</v>
      </c>
      <c r="C1412" s="1" t="n">
        <v>45832</v>
      </c>
      <c r="D1412" t="inlineStr">
        <is>
          <t>KRONOBERGS LÄN</t>
        </is>
      </c>
      <c r="E1412" t="inlineStr">
        <is>
          <t>TINGSRYD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4739-2020</t>
        </is>
      </c>
      <c r="B1413" s="1" t="n">
        <v>43859</v>
      </c>
      <c r="C1413" s="1" t="n">
        <v>45832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4902-2020</t>
        </is>
      </c>
      <c r="B1414" s="1" t="n">
        <v>43859</v>
      </c>
      <c r="C1414" s="1" t="n">
        <v>45832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5111-2020</t>
        </is>
      </c>
      <c r="B1415" s="1" t="n">
        <v>43860</v>
      </c>
      <c r="C1415" s="1" t="n">
        <v>45832</v>
      </c>
      <c r="D1415" t="inlineStr">
        <is>
          <t>KRONOBERGS LÄN</t>
        </is>
      </c>
      <c r="E1415" t="inlineStr">
        <is>
          <t>TINGSRYD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5128-2020</t>
        </is>
      </c>
      <c r="B1416" s="1" t="n">
        <v>43860</v>
      </c>
      <c r="C1416" s="1" t="n">
        <v>45832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5121-2020</t>
        </is>
      </c>
      <c r="B1417" s="1" t="n">
        <v>43860</v>
      </c>
      <c r="C1417" s="1" t="n">
        <v>45832</v>
      </c>
      <c r="D1417" t="inlineStr">
        <is>
          <t>KRONOBERGS LÄN</t>
        </is>
      </c>
      <c r="E1417" t="inlineStr">
        <is>
          <t>ÄLMHULT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5366-2020</t>
        </is>
      </c>
      <c r="B1418" s="1" t="n">
        <v>43860</v>
      </c>
      <c r="C1418" s="1" t="n">
        <v>45832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5655-2020</t>
        </is>
      </c>
      <c r="B1419" s="1" t="n">
        <v>43861</v>
      </c>
      <c r="C1419" s="1" t="n">
        <v>45832</v>
      </c>
      <c r="D1419" t="inlineStr">
        <is>
          <t>KRONOBERGS LÄN</t>
        </is>
      </c>
      <c r="E1419" t="inlineStr">
        <is>
          <t>VÄXJÖ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5480-2020</t>
        </is>
      </c>
      <c r="B1420" s="1" t="n">
        <v>43861</v>
      </c>
      <c r="C1420" s="1" t="n">
        <v>45832</v>
      </c>
      <c r="D1420" t="inlineStr">
        <is>
          <t>KRONOBERGS LÄN</t>
        </is>
      </c>
      <c r="E1420" t="inlineStr">
        <is>
          <t>VÄXJÖ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5684-2020</t>
        </is>
      </c>
      <c r="B1421" s="1" t="n">
        <v>43861</v>
      </c>
      <c r="C1421" s="1" t="n">
        <v>45832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5668-2020</t>
        </is>
      </c>
      <c r="B1422" s="1" t="n">
        <v>43861</v>
      </c>
      <c r="C1422" s="1" t="n">
        <v>45832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5621-2020</t>
        </is>
      </c>
      <c r="B1423" s="1" t="n">
        <v>43861</v>
      </c>
      <c r="C1423" s="1" t="n">
        <v>45832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5770-2020</t>
        </is>
      </c>
      <c r="B1424" s="1" t="n">
        <v>43864</v>
      </c>
      <c r="C1424" s="1" t="n">
        <v>45832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6363-2020</t>
        </is>
      </c>
      <c r="B1425" s="1" t="n">
        <v>43866</v>
      </c>
      <c r="C1425" s="1" t="n">
        <v>45832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6230-2020</t>
        </is>
      </c>
      <c r="B1426" s="1" t="n">
        <v>43866</v>
      </c>
      <c r="C1426" s="1" t="n">
        <v>45832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6366-2020</t>
        </is>
      </c>
      <c r="B1427" s="1" t="n">
        <v>43866</v>
      </c>
      <c r="C1427" s="1" t="n">
        <v>45832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6477-2020</t>
        </is>
      </c>
      <c r="B1428" s="1" t="n">
        <v>43866</v>
      </c>
      <c r="C1428" s="1" t="n">
        <v>45832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6609-2020</t>
        </is>
      </c>
      <c r="B1429" s="1" t="n">
        <v>43867</v>
      </c>
      <c r="C1429" s="1" t="n">
        <v>45832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6737-2020</t>
        </is>
      </c>
      <c r="B1430" s="1" t="n">
        <v>43867</v>
      </c>
      <c r="C1430" s="1" t="n">
        <v>45832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6523-2020</t>
        </is>
      </c>
      <c r="B1431" s="1" t="n">
        <v>43867</v>
      </c>
      <c r="C1431" s="1" t="n">
        <v>45832</v>
      </c>
      <c r="D1431" t="inlineStr">
        <is>
          <t>KRONOBERGS LÄN</t>
        </is>
      </c>
      <c r="E1431" t="inlineStr">
        <is>
          <t>VÄXJÖ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6580-2020</t>
        </is>
      </c>
      <c r="B1432" s="1" t="n">
        <v>43867</v>
      </c>
      <c r="C1432" s="1" t="n">
        <v>45832</v>
      </c>
      <c r="D1432" t="inlineStr">
        <is>
          <t>KRONOBERGS LÄN</t>
        </is>
      </c>
      <c r="E1432" t="inlineStr">
        <is>
          <t>LESSEBO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6726-2020</t>
        </is>
      </c>
      <c r="B1433" s="1" t="n">
        <v>43867</v>
      </c>
      <c r="C1433" s="1" t="n">
        <v>45832</v>
      </c>
      <c r="D1433" t="inlineStr">
        <is>
          <t>KRONOBERGS LÄN</t>
        </is>
      </c>
      <c r="E1433" t="inlineStr">
        <is>
          <t>VÄXJÖ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6732-2020</t>
        </is>
      </c>
      <c r="B1434" s="1" t="n">
        <v>43867</v>
      </c>
      <c r="C1434" s="1" t="n">
        <v>45832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6801-2020</t>
        </is>
      </c>
      <c r="B1435" s="1" t="n">
        <v>43867</v>
      </c>
      <c r="C1435" s="1" t="n">
        <v>45832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6996-2020</t>
        </is>
      </c>
      <c r="B1436" s="1" t="n">
        <v>43868</v>
      </c>
      <c r="C1436" s="1" t="n">
        <v>45832</v>
      </c>
      <c r="D1436" t="inlineStr">
        <is>
          <t>KRONOBERGS LÄN</t>
        </is>
      </c>
      <c r="E1436" t="inlineStr">
        <is>
          <t>ALVESTA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7048-2020</t>
        </is>
      </c>
      <c r="B1437" s="1" t="n">
        <v>43868</v>
      </c>
      <c r="C1437" s="1" t="n">
        <v>45832</v>
      </c>
      <c r="D1437" t="inlineStr">
        <is>
          <t>KRONOBERGS LÄN</t>
        </is>
      </c>
      <c r="E1437" t="inlineStr">
        <is>
          <t>TINGSRYD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7234-2020</t>
        </is>
      </c>
      <c r="B1438" s="1" t="n">
        <v>43871</v>
      </c>
      <c r="C1438" s="1" t="n">
        <v>45832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7189-2020</t>
        </is>
      </c>
      <c r="B1439" s="1" t="n">
        <v>43871</v>
      </c>
      <c r="C1439" s="1" t="n">
        <v>45832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7236-2020</t>
        </is>
      </c>
      <c r="B1440" s="1" t="n">
        <v>43871</v>
      </c>
      <c r="C1440" s="1" t="n">
        <v>45832</v>
      </c>
      <c r="D1440" t="inlineStr">
        <is>
          <t>KRONOBERGS LÄN</t>
        </is>
      </c>
      <c r="E1440" t="inlineStr">
        <is>
          <t>UPPVIDINGE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7245-2020</t>
        </is>
      </c>
      <c r="B1441" s="1" t="n">
        <v>43871</v>
      </c>
      <c r="C1441" s="1" t="n">
        <v>45832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7515-2020</t>
        </is>
      </c>
      <c r="B1442" s="1" t="n">
        <v>43872</v>
      </c>
      <c r="C1442" s="1" t="n">
        <v>45832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7878-2020</t>
        </is>
      </c>
      <c r="B1443" s="1" t="n">
        <v>43873</v>
      </c>
      <c r="C1443" s="1" t="n">
        <v>45832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7976-2020</t>
        </is>
      </c>
      <c r="B1444" s="1" t="n">
        <v>43873</v>
      </c>
      <c r="C1444" s="1" t="n">
        <v>45832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8001-2020</t>
        </is>
      </c>
      <c r="B1445" s="1" t="n">
        <v>43873</v>
      </c>
      <c r="C1445" s="1" t="n">
        <v>45832</v>
      </c>
      <c r="D1445" t="inlineStr">
        <is>
          <t>KRONOBERGS LÄN</t>
        </is>
      </c>
      <c r="E1445" t="inlineStr">
        <is>
          <t>MARKARYD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8024-2020</t>
        </is>
      </c>
      <c r="B1446" s="1" t="n">
        <v>43873</v>
      </c>
      <c r="C1446" s="1" t="n">
        <v>45832</v>
      </c>
      <c r="D1446" t="inlineStr">
        <is>
          <t>KRONOBERGS LÄN</t>
        </is>
      </c>
      <c r="E1446" t="inlineStr">
        <is>
          <t>ÄLMHULT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8004-2020</t>
        </is>
      </c>
      <c r="B1447" s="1" t="n">
        <v>43873</v>
      </c>
      <c r="C1447" s="1" t="n">
        <v>45832</v>
      </c>
      <c r="D1447" t="inlineStr">
        <is>
          <t>KRONOBERGS LÄN</t>
        </is>
      </c>
      <c r="E1447" t="inlineStr">
        <is>
          <t>LJUNGBY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8063-2020</t>
        </is>
      </c>
      <c r="B1448" s="1" t="n">
        <v>43874</v>
      </c>
      <c r="C1448" s="1" t="n">
        <v>45832</v>
      </c>
      <c r="D1448" t="inlineStr">
        <is>
          <t>KRONOBERGS LÄN</t>
        </is>
      </c>
      <c r="E1448" t="inlineStr">
        <is>
          <t>LJUNGBY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8078-2020</t>
        </is>
      </c>
      <c r="B1449" s="1" t="n">
        <v>43874</v>
      </c>
      <c r="C1449" s="1" t="n">
        <v>45832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8418-2020</t>
        </is>
      </c>
      <c r="B1450" s="1" t="n">
        <v>43875</v>
      </c>
      <c r="C1450" s="1" t="n">
        <v>45832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8443-2020</t>
        </is>
      </c>
      <c r="B1451" s="1" t="n">
        <v>43875</v>
      </c>
      <c r="C1451" s="1" t="n">
        <v>45832</v>
      </c>
      <c r="D1451" t="inlineStr">
        <is>
          <t>KRONOBERGS LÄN</t>
        </is>
      </c>
      <c r="E1451" t="inlineStr">
        <is>
          <t>VÄXJÖ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8415-2020</t>
        </is>
      </c>
      <c r="B1452" s="1" t="n">
        <v>43875</v>
      </c>
      <c r="C1452" s="1" t="n">
        <v>45832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8618-2020</t>
        </is>
      </c>
      <c r="B1453" s="1" t="n">
        <v>43878</v>
      </c>
      <c r="C1453" s="1" t="n">
        <v>45832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8592-2020</t>
        </is>
      </c>
      <c r="B1454" s="1" t="n">
        <v>43878</v>
      </c>
      <c r="C1454" s="1" t="n">
        <v>45832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8792-2020</t>
        </is>
      </c>
      <c r="B1455" s="1" t="n">
        <v>43878</v>
      </c>
      <c r="C1455" s="1" t="n">
        <v>45832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8817-2020</t>
        </is>
      </c>
      <c r="B1456" s="1" t="n">
        <v>43878</v>
      </c>
      <c r="C1456" s="1" t="n">
        <v>45832</v>
      </c>
      <c r="D1456" t="inlineStr">
        <is>
          <t>KRONOBERGS LÄN</t>
        </is>
      </c>
      <c r="E1456" t="inlineStr">
        <is>
          <t>ÄLMHULT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8753-2020</t>
        </is>
      </c>
      <c r="B1457" s="1" t="n">
        <v>43878</v>
      </c>
      <c r="C1457" s="1" t="n">
        <v>45832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8812-2020</t>
        </is>
      </c>
      <c r="B1458" s="1" t="n">
        <v>43878</v>
      </c>
      <c r="C1458" s="1" t="n">
        <v>45832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8983-2020</t>
        </is>
      </c>
      <c r="B1459" s="1" t="n">
        <v>43879</v>
      </c>
      <c r="C1459" s="1" t="n">
        <v>45832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9033-2020</t>
        </is>
      </c>
      <c r="B1460" s="1" t="n">
        <v>43879</v>
      </c>
      <c r="C1460" s="1" t="n">
        <v>45832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9070-2020</t>
        </is>
      </c>
      <c r="B1461" s="1" t="n">
        <v>43879</v>
      </c>
      <c r="C1461" s="1" t="n">
        <v>45832</v>
      </c>
      <c r="D1461" t="inlineStr">
        <is>
          <t>KRONOBERGS LÄN</t>
        </is>
      </c>
      <c r="E1461" t="inlineStr">
        <is>
          <t>ALVESTA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9149-2020</t>
        </is>
      </c>
      <c r="B1462" s="1" t="n">
        <v>43879</v>
      </c>
      <c r="C1462" s="1" t="n">
        <v>45832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9223-2020</t>
        </is>
      </c>
      <c r="B1463" s="1" t="n">
        <v>43879</v>
      </c>
      <c r="C1463" s="1" t="n">
        <v>45832</v>
      </c>
      <c r="D1463" t="inlineStr">
        <is>
          <t>KRONOBERGS LÄN</t>
        </is>
      </c>
      <c r="E1463" t="inlineStr">
        <is>
          <t>TINGSRYD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9344-2020</t>
        </is>
      </c>
      <c r="B1464" s="1" t="n">
        <v>43880</v>
      </c>
      <c r="C1464" s="1" t="n">
        <v>45832</v>
      </c>
      <c r="D1464" t="inlineStr">
        <is>
          <t>KRONOBERGS LÄN</t>
        </is>
      </c>
      <c r="E1464" t="inlineStr">
        <is>
          <t>UPPVIDINGE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9303-2020</t>
        </is>
      </c>
      <c r="B1465" s="1" t="n">
        <v>43880</v>
      </c>
      <c r="C1465" s="1" t="n">
        <v>45832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9370-2020</t>
        </is>
      </c>
      <c r="B1466" s="1" t="n">
        <v>43880</v>
      </c>
      <c r="C1466" s="1" t="n">
        <v>45832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9339-2020</t>
        </is>
      </c>
      <c r="B1467" s="1" t="n">
        <v>43880</v>
      </c>
      <c r="C1467" s="1" t="n">
        <v>45832</v>
      </c>
      <c r="D1467" t="inlineStr">
        <is>
          <t>KRONOBERGS LÄN</t>
        </is>
      </c>
      <c r="E1467" t="inlineStr">
        <is>
          <t>UPPVIDINGE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9347-2020</t>
        </is>
      </c>
      <c r="B1468" s="1" t="n">
        <v>43880</v>
      </c>
      <c r="C1468" s="1" t="n">
        <v>45832</v>
      </c>
      <c r="D1468" t="inlineStr">
        <is>
          <t>KRONOBERGS LÄN</t>
        </is>
      </c>
      <c r="E1468" t="inlineStr">
        <is>
          <t>UPPVIDINGE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9300-2020</t>
        </is>
      </c>
      <c r="B1469" s="1" t="n">
        <v>43880</v>
      </c>
      <c r="C1469" s="1" t="n">
        <v>45832</v>
      </c>
      <c r="D1469" t="inlineStr">
        <is>
          <t>KRONOBERGS LÄN</t>
        </is>
      </c>
      <c r="E1469" t="inlineStr">
        <is>
          <t>ALVESTA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9320-2020</t>
        </is>
      </c>
      <c r="B1470" s="1" t="n">
        <v>43880</v>
      </c>
      <c r="C1470" s="1" t="n">
        <v>45832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9340-2020</t>
        </is>
      </c>
      <c r="B1471" s="1" t="n">
        <v>43880</v>
      </c>
      <c r="C1471" s="1" t="n">
        <v>45832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9350-2020</t>
        </is>
      </c>
      <c r="B1472" s="1" t="n">
        <v>43880</v>
      </c>
      <c r="C1472" s="1" t="n">
        <v>45832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9615-2020</t>
        </is>
      </c>
      <c r="B1473" s="1" t="n">
        <v>43881</v>
      </c>
      <c r="C1473" s="1" t="n">
        <v>45832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9614-2020</t>
        </is>
      </c>
      <c r="B1474" s="1" t="n">
        <v>43881</v>
      </c>
      <c r="C1474" s="1" t="n">
        <v>45832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9620-2020</t>
        </is>
      </c>
      <c r="B1475" s="1" t="n">
        <v>43881</v>
      </c>
      <c r="C1475" s="1" t="n">
        <v>45832</v>
      </c>
      <c r="D1475" t="inlineStr">
        <is>
          <t>KRONOBERGS LÄN</t>
        </is>
      </c>
      <c r="E1475" t="inlineStr">
        <is>
          <t>VÄXJÖ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9753-2020</t>
        </is>
      </c>
      <c r="B1476" s="1" t="n">
        <v>43881</v>
      </c>
      <c r="C1476" s="1" t="n">
        <v>45832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9779-2020</t>
        </is>
      </c>
      <c r="B1477" s="1" t="n">
        <v>43881</v>
      </c>
      <c r="C1477" s="1" t="n">
        <v>45832</v>
      </c>
      <c r="D1477" t="inlineStr">
        <is>
          <t>KRONOBERGS LÄN</t>
        </is>
      </c>
      <c r="E1477" t="inlineStr">
        <is>
          <t>TINGSRYD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9821-2020</t>
        </is>
      </c>
      <c r="B1478" s="1" t="n">
        <v>43881</v>
      </c>
      <c r="C1478" s="1" t="n">
        <v>45832</v>
      </c>
      <c r="D1478" t="inlineStr">
        <is>
          <t>KRONOBERGS LÄN</t>
        </is>
      </c>
      <c r="E1478" t="inlineStr">
        <is>
          <t>LJUNGBY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9868-2020</t>
        </is>
      </c>
      <c r="B1479" s="1" t="n">
        <v>43882</v>
      </c>
      <c r="C1479" s="1" t="n">
        <v>45832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9990-2020</t>
        </is>
      </c>
      <c r="B1480" s="1" t="n">
        <v>43882</v>
      </c>
      <c r="C1480" s="1" t="n">
        <v>45832</v>
      </c>
      <c r="D1480" t="inlineStr">
        <is>
          <t>KRONOBERGS LÄN</t>
        </is>
      </c>
      <c r="E1480" t="inlineStr">
        <is>
          <t>ÄLMHULT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10194-2020</t>
        </is>
      </c>
      <c r="B1481" s="1" t="n">
        <v>43885</v>
      </c>
      <c r="C1481" s="1" t="n">
        <v>45832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10208-2020</t>
        </is>
      </c>
      <c r="B1482" s="1" t="n">
        <v>43885</v>
      </c>
      <c r="C1482" s="1" t="n">
        <v>45832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10278-2020</t>
        </is>
      </c>
      <c r="B1483" s="1" t="n">
        <v>43885</v>
      </c>
      <c r="C1483" s="1" t="n">
        <v>45832</v>
      </c>
      <c r="D1483" t="inlineStr">
        <is>
          <t>KRONOBERGS LÄN</t>
        </is>
      </c>
      <c r="E1483" t="inlineStr">
        <is>
          <t>UPPVIDINGE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11046-2020</t>
        </is>
      </c>
      <c r="B1484" s="1" t="n">
        <v>43885</v>
      </c>
      <c r="C1484" s="1" t="n">
        <v>45832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10427-2020</t>
        </is>
      </c>
      <c r="B1485" s="1" t="n">
        <v>43886</v>
      </c>
      <c r="C1485" s="1" t="n">
        <v>45832</v>
      </c>
      <c r="D1485" t="inlineStr">
        <is>
          <t>KRONOBERGS LÄN</t>
        </is>
      </c>
      <c r="E1485" t="inlineStr">
        <is>
          <t>TINGSRYD</t>
        </is>
      </c>
      <c r="G1485" t="n">
        <v>7.3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10531-2020</t>
        </is>
      </c>
      <c r="B1486" s="1" t="n">
        <v>43886</v>
      </c>
      <c r="C1486" s="1" t="n">
        <v>45832</v>
      </c>
      <c r="D1486" t="inlineStr">
        <is>
          <t>KRONOBERGS LÄN</t>
        </is>
      </c>
      <c r="E1486" t="inlineStr">
        <is>
          <t>ALVESTA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10178-2020</t>
        </is>
      </c>
      <c r="B1487" s="1" t="n">
        <v>43887</v>
      </c>
      <c r="C1487" s="1" t="n">
        <v>45832</v>
      </c>
      <c r="D1487" t="inlineStr">
        <is>
          <t>KRONOBERGS LÄN</t>
        </is>
      </c>
      <c r="E1487" t="inlineStr">
        <is>
          <t>UPPVIDINGE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10106-2020</t>
        </is>
      </c>
      <c r="B1488" s="1" t="n">
        <v>43887</v>
      </c>
      <c r="C1488" s="1" t="n">
        <v>45832</v>
      </c>
      <c r="D1488" t="inlineStr">
        <is>
          <t>KRONOBERGS LÄN</t>
        </is>
      </c>
      <c r="E1488" t="inlineStr">
        <is>
          <t>MARKARYD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10169-2020</t>
        </is>
      </c>
      <c r="B1489" s="1" t="n">
        <v>43887</v>
      </c>
      <c r="C1489" s="1" t="n">
        <v>45832</v>
      </c>
      <c r="D1489" t="inlineStr">
        <is>
          <t>KRONOBERGS LÄN</t>
        </is>
      </c>
      <c r="E1489" t="inlineStr">
        <is>
          <t>ÄLMHULT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10606-2020</t>
        </is>
      </c>
      <c r="B1490" s="1" t="n">
        <v>43887</v>
      </c>
      <c r="C1490" s="1" t="n">
        <v>45832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10732-2020</t>
        </is>
      </c>
      <c r="B1491" s="1" t="n">
        <v>43888</v>
      </c>
      <c r="C1491" s="1" t="n">
        <v>45832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10774-2020</t>
        </is>
      </c>
      <c r="B1492" s="1" t="n">
        <v>43888</v>
      </c>
      <c r="C1492" s="1" t="n">
        <v>45832</v>
      </c>
      <c r="D1492" t="inlineStr">
        <is>
          <t>KRONOBERGS LÄN</t>
        </is>
      </c>
      <c r="E1492" t="inlineStr">
        <is>
          <t>UPPVIDINGE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10775-2020</t>
        </is>
      </c>
      <c r="B1493" s="1" t="n">
        <v>43888</v>
      </c>
      <c r="C1493" s="1" t="n">
        <v>45832</v>
      </c>
      <c r="D1493" t="inlineStr">
        <is>
          <t>KRONOBERGS LÄN</t>
        </is>
      </c>
      <c r="E1493" t="inlineStr">
        <is>
          <t>UPPVIDINGE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10997-2020</t>
        </is>
      </c>
      <c r="B1494" s="1" t="n">
        <v>43889</v>
      </c>
      <c r="C1494" s="1" t="n">
        <v>45832</v>
      </c>
      <c r="D1494" t="inlineStr">
        <is>
          <t>KRONOBERGS LÄN</t>
        </is>
      </c>
      <c r="E1494" t="inlineStr">
        <is>
          <t>MARKARYD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11123-2020</t>
        </is>
      </c>
      <c r="B1495" s="1" t="n">
        <v>43889</v>
      </c>
      <c r="C1495" s="1" t="n">
        <v>45832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11232-2020</t>
        </is>
      </c>
      <c r="B1496" s="1" t="n">
        <v>43892</v>
      </c>
      <c r="C1496" s="1" t="n">
        <v>45832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11402-2020</t>
        </is>
      </c>
      <c r="B1497" s="1" t="n">
        <v>43892</v>
      </c>
      <c r="C1497" s="1" t="n">
        <v>45832</v>
      </c>
      <c r="D1497" t="inlineStr">
        <is>
          <t>KRONOBERGS LÄN</t>
        </is>
      </c>
      <c r="E1497" t="inlineStr">
        <is>
          <t>ÄLMHULT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11236-2020</t>
        </is>
      </c>
      <c r="B1498" s="1" t="n">
        <v>43892</v>
      </c>
      <c r="C1498" s="1" t="n">
        <v>45832</v>
      </c>
      <c r="D1498" t="inlineStr">
        <is>
          <t>KRONOBERGS LÄN</t>
        </is>
      </c>
      <c r="E1498" t="inlineStr">
        <is>
          <t>TINGSRYD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11401-2020</t>
        </is>
      </c>
      <c r="B1499" s="1" t="n">
        <v>43892</v>
      </c>
      <c r="C1499" s="1" t="n">
        <v>45832</v>
      </c>
      <c r="D1499" t="inlineStr">
        <is>
          <t>KRONOBERGS LÄN</t>
        </is>
      </c>
      <c r="E1499" t="inlineStr">
        <is>
          <t>ÄLMHULT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11233-2020</t>
        </is>
      </c>
      <c r="B1500" s="1" t="n">
        <v>43892</v>
      </c>
      <c r="C1500" s="1" t="n">
        <v>45832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11182-2020</t>
        </is>
      </c>
      <c r="B1501" s="1" t="n">
        <v>43892</v>
      </c>
      <c r="C1501" s="1" t="n">
        <v>45832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11400-2020</t>
        </is>
      </c>
      <c r="B1502" s="1" t="n">
        <v>43892</v>
      </c>
      <c r="C1502" s="1" t="n">
        <v>45832</v>
      </c>
      <c r="D1502" t="inlineStr">
        <is>
          <t>KRONOBERGS LÄN</t>
        </is>
      </c>
      <c r="E1502" t="inlineStr">
        <is>
          <t>ÄLMHULT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11403-2020</t>
        </is>
      </c>
      <c r="B1503" s="1" t="n">
        <v>43892</v>
      </c>
      <c r="C1503" s="1" t="n">
        <v>45832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11583-2020</t>
        </is>
      </c>
      <c r="B1504" s="1" t="n">
        <v>43893</v>
      </c>
      <c r="C1504" s="1" t="n">
        <v>45832</v>
      </c>
      <c r="D1504" t="inlineStr">
        <is>
          <t>KRONOBERGS LÄN</t>
        </is>
      </c>
      <c r="E1504" t="inlineStr">
        <is>
          <t>ALVESTA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11571-2020</t>
        </is>
      </c>
      <c r="B1505" s="1" t="n">
        <v>43893</v>
      </c>
      <c r="C1505" s="1" t="n">
        <v>45832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11582-2020</t>
        </is>
      </c>
      <c r="B1506" s="1" t="n">
        <v>43893</v>
      </c>
      <c r="C1506" s="1" t="n">
        <v>45832</v>
      </c>
      <c r="D1506" t="inlineStr">
        <is>
          <t>KRONOBERGS LÄN</t>
        </is>
      </c>
      <c r="E1506" t="inlineStr">
        <is>
          <t>ALVESTA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11570-2020</t>
        </is>
      </c>
      <c r="B1507" s="1" t="n">
        <v>43893</v>
      </c>
      <c r="C1507" s="1" t="n">
        <v>45832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11706-2020</t>
        </is>
      </c>
      <c r="B1508" s="1" t="n">
        <v>43894</v>
      </c>
      <c r="C1508" s="1" t="n">
        <v>45832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11958-2020</t>
        </is>
      </c>
      <c r="B1509" s="1" t="n">
        <v>43894</v>
      </c>
      <c r="C1509" s="1" t="n">
        <v>45832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12004-2020</t>
        </is>
      </c>
      <c r="B1510" s="1" t="n">
        <v>43894</v>
      </c>
      <c r="C1510" s="1" t="n">
        <v>45832</v>
      </c>
      <c r="D1510" t="inlineStr">
        <is>
          <t>KRONOBERGS LÄN</t>
        </is>
      </c>
      <c r="E1510" t="inlineStr">
        <is>
          <t>UPPVIDINGE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12040-2020</t>
        </is>
      </c>
      <c r="B1511" s="1" t="n">
        <v>43894</v>
      </c>
      <c r="C1511" s="1" t="n">
        <v>45832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13412-2020</t>
        </is>
      </c>
      <c r="B1512" s="1" t="n">
        <v>43894</v>
      </c>
      <c r="C1512" s="1" t="n">
        <v>45832</v>
      </c>
      <c r="D1512" t="inlineStr">
        <is>
          <t>KRONOBERGS LÄN</t>
        </is>
      </c>
      <c r="E1512" t="inlineStr">
        <is>
          <t>VÄXJÖ</t>
        </is>
      </c>
      <c r="G1512" t="n">
        <v>18.9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12085-2020</t>
        </is>
      </c>
      <c r="B1513" s="1" t="n">
        <v>43895</v>
      </c>
      <c r="C1513" s="1" t="n">
        <v>45832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12159-2020</t>
        </is>
      </c>
      <c r="B1514" s="1" t="n">
        <v>43895</v>
      </c>
      <c r="C1514" s="1" t="n">
        <v>45832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12091-2020</t>
        </is>
      </c>
      <c r="B1515" s="1" t="n">
        <v>43895</v>
      </c>
      <c r="C1515" s="1" t="n">
        <v>45832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12132-2020</t>
        </is>
      </c>
      <c r="B1516" s="1" t="n">
        <v>43895</v>
      </c>
      <c r="C1516" s="1" t="n">
        <v>45832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12436-2020</t>
        </is>
      </c>
      <c r="B1517" s="1" t="n">
        <v>43896</v>
      </c>
      <c r="C1517" s="1" t="n">
        <v>45832</v>
      </c>
      <c r="D1517" t="inlineStr">
        <is>
          <t>KRONOBERGS LÄN</t>
        </is>
      </c>
      <c r="E1517" t="inlineStr">
        <is>
          <t>ÄLMHULT</t>
        </is>
      </c>
      <c r="G1517" t="n">
        <v>16.2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12344-2020</t>
        </is>
      </c>
      <c r="B1518" s="1" t="n">
        <v>43896</v>
      </c>
      <c r="C1518" s="1" t="n">
        <v>45832</v>
      </c>
      <c r="D1518" t="inlineStr">
        <is>
          <t>KRONOBERGS LÄN</t>
        </is>
      </c>
      <c r="E1518" t="inlineStr">
        <is>
          <t>TINGSRYD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12350-2020</t>
        </is>
      </c>
      <c r="B1519" s="1" t="n">
        <v>43896</v>
      </c>
      <c r="C1519" s="1" t="n">
        <v>45832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12551-2020</t>
        </is>
      </c>
      <c r="B1520" s="1" t="n">
        <v>43897</v>
      </c>
      <c r="C1520" s="1" t="n">
        <v>45832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12642-2020</t>
        </is>
      </c>
      <c r="B1521" s="1" t="n">
        <v>43899</v>
      </c>
      <c r="C1521" s="1" t="n">
        <v>45832</v>
      </c>
      <c r="D1521" t="inlineStr">
        <is>
          <t>KRONOBERGS LÄN</t>
        </is>
      </c>
      <c r="E1521" t="inlineStr">
        <is>
          <t>UPPVIDINGE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12577-2020</t>
        </is>
      </c>
      <c r="B1522" s="1" t="n">
        <v>43899</v>
      </c>
      <c r="C1522" s="1" t="n">
        <v>45832</v>
      </c>
      <c r="D1522" t="inlineStr">
        <is>
          <t>KRONOBERGS LÄN</t>
        </is>
      </c>
      <c r="E1522" t="inlineStr">
        <is>
          <t>TINGSRYD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12809-2020</t>
        </is>
      </c>
      <c r="B1523" s="1" t="n">
        <v>43899</v>
      </c>
      <c r="C1523" s="1" t="n">
        <v>45832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12806-2020</t>
        </is>
      </c>
      <c r="B1524" s="1" t="n">
        <v>43899</v>
      </c>
      <c r="C1524" s="1" t="n">
        <v>45832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12808-2020</t>
        </is>
      </c>
      <c r="B1525" s="1" t="n">
        <v>43899</v>
      </c>
      <c r="C1525" s="1" t="n">
        <v>45832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13961-2020</t>
        </is>
      </c>
      <c r="B1526" s="1" t="n">
        <v>43899</v>
      </c>
      <c r="C1526" s="1" t="n">
        <v>45832</v>
      </c>
      <c r="D1526" t="inlineStr">
        <is>
          <t>KRONOBERGS LÄN</t>
        </is>
      </c>
      <c r="E1526" t="inlineStr">
        <is>
          <t>TINGSRYD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14192-2020</t>
        </is>
      </c>
      <c r="B1527" s="1" t="n">
        <v>43899</v>
      </c>
      <c r="C1527" s="1" t="n">
        <v>45832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13959-2020</t>
        </is>
      </c>
      <c r="B1528" s="1" t="n">
        <v>43899</v>
      </c>
      <c r="C1528" s="1" t="n">
        <v>45832</v>
      </c>
      <c r="D1528" t="inlineStr">
        <is>
          <t>KRONOBERGS LÄN</t>
        </is>
      </c>
      <c r="E1528" t="inlineStr">
        <is>
          <t>TINGSRYD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12883-2020</t>
        </is>
      </c>
      <c r="B1529" s="1" t="n">
        <v>43900</v>
      </c>
      <c r="C1529" s="1" t="n">
        <v>45832</v>
      </c>
      <c r="D1529" t="inlineStr">
        <is>
          <t>KRONOBERGS LÄN</t>
        </is>
      </c>
      <c r="E1529" t="inlineStr">
        <is>
          <t>TINGSRYD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13010-2020</t>
        </is>
      </c>
      <c r="B1530" s="1" t="n">
        <v>43900</v>
      </c>
      <c r="C1530" s="1" t="n">
        <v>45832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12879-2020</t>
        </is>
      </c>
      <c r="B1531" s="1" t="n">
        <v>43900</v>
      </c>
      <c r="C1531" s="1" t="n">
        <v>45832</v>
      </c>
      <c r="D1531" t="inlineStr">
        <is>
          <t>KRONOBERGS LÄN</t>
        </is>
      </c>
      <c r="E1531" t="inlineStr">
        <is>
          <t>TINGSRYD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13226-2020</t>
        </is>
      </c>
      <c r="B1532" s="1" t="n">
        <v>43901</v>
      </c>
      <c r="C1532" s="1" t="n">
        <v>45832</v>
      </c>
      <c r="D1532" t="inlineStr">
        <is>
          <t>KRONOBERGS LÄN</t>
        </is>
      </c>
      <c r="E1532" t="inlineStr">
        <is>
          <t>UPPVIDINGE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13120-2020</t>
        </is>
      </c>
      <c r="B1533" s="1" t="n">
        <v>43901</v>
      </c>
      <c r="C1533" s="1" t="n">
        <v>45832</v>
      </c>
      <c r="D1533" t="inlineStr">
        <is>
          <t>KRONOBERGS LÄN</t>
        </is>
      </c>
      <c r="E1533" t="inlineStr">
        <is>
          <t>ALVESTA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13348-2020</t>
        </is>
      </c>
      <c r="B1534" s="1" t="n">
        <v>43902</v>
      </c>
      <c r="C1534" s="1" t="n">
        <v>45832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13363-2020</t>
        </is>
      </c>
      <c r="B1535" s="1" t="n">
        <v>43902</v>
      </c>
      <c r="C1535" s="1" t="n">
        <v>45832</v>
      </c>
      <c r="D1535" t="inlineStr">
        <is>
          <t>KRONOBERGS LÄN</t>
        </is>
      </c>
      <c r="E1535" t="inlineStr">
        <is>
          <t>UPPVIDINGE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13437-2020</t>
        </is>
      </c>
      <c r="B1536" s="1" t="n">
        <v>43902</v>
      </c>
      <c r="C1536" s="1" t="n">
        <v>45832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13423-2020</t>
        </is>
      </c>
      <c r="B1537" s="1" t="n">
        <v>43902</v>
      </c>
      <c r="C1537" s="1" t="n">
        <v>45832</v>
      </c>
      <c r="D1537" t="inlineStr">
        <is>
          <t>KRONOBERGS LÄN</t>
        </is>
      </c>
      <c r="E1537" t="inlineStr">
        <is>
          <t>TINGSRYD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13723-2020</t>
        </is>
      </c>
      <c r="B1538" s="1" t="n">
        <v>43903</v>
      </c>
      <c r="C1538" s="1" t="n">
        <v>45832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13721-2020</t>
        </is>
      </c>
      <c r="B1539" s="1" t="n">
        <v>43903</v>
      </c>
      <c r="C1539" s="1" t="n">
        <v>45832</v>
      </c>
      <c r="D1539" t="inlineStr">
        <is>
          <t>KRONOBERGS LÄN</t>
        </is>
      </c>
      <c r="E1539" t="inlineStr">
        <is>
          <t>LESSEBO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13772-2020</t>
        </is>
      </c>
      <c r="B1540" s="1" t="n">
        <v>43903</v>
      </c>
      <c r="C1540" s="1" t="n">
        <v>45832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13719-2020</t>
        </is>
      </c>
      <c r="B1541" s="1" t="n">
        <v>43903</v>
      </c>
      <c r="C1541" s="1" t="n">
        <v>45832</v>
      </c>
      <c r="D1541" t="inlineStr">
        <is>
          <t>KRONOBERGS LÄN</t>
        </is>
      </c>
      <c r="E1541" t="inlineStr">
        <is>
          <t>LESSEBO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13891-2020</t>
        </is>
      </c>
      <c r="B1542" s="1" t="n">
        <v>43906</v>
      </c>
      <c r="C1542" s="1" t="n">
        <v>45832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15002-2020</t>
        </is>
      </c>
      <c r="B1543" s="1" t="n">
        <v>43907</v>
      </c>
      <c r="C1543" s="1" t="n">
        <v>45832</v>
      </c>
      <c r="D1543" t="inlineStr">
        <is>
          <t>KRONOBERGS LÄN</t>
        </is>
      </c>
      <c r="E1543" t="inlineStr">
        <is>
          <t>UPPVIDINGE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14320-2020</t>
        </is>
      </c>
      <c r="B1544" s="1" t="n">
        <v>43907</v>
      </c>
      <c r="C1544" s="1" t="n">
        <v>45832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15577-2020</t>
        </is>
      </c>
      <c r="B1545" s="1" t="n">
        <v>43907</v>
      </c>
      <c r="C1545" s="1" t="n">
        <v>45832</v>
      </c>
      <c r="D1545" t="inlineStr">
        <is>
          <t>KRONOBERGS LÄN</t>
        </is>
      </c>
      <c r="E1545" t="inlineStr">
        <is>
          <t>UPPVIDINGE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16116-2020</t>
        </is>
      </c>
      <c r="B1546" s="1" t="n">
        <v>43907</v>
      </c>
      <c r="C1546" s="1" t="n">
        <v>45832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14156-2020</t>
        </is>
      </c>
      <c r="B1547" s="1" t="n">
        <v>43907</v>
      </c>
      <c r="C1547" s="1" t="n">
        <v>45832</v>
      </c>
      <c r="D1547" t="inlineStr">
        <is>
          <t>KRONOBERGS LÄN</t>
        </is>
      </c>
      <c r="E1547" t="inlineStr">
        <is>
          <t>ÄLMHULT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14264-2020</t>
        </is>
      </c>
      <c r="B1548" s="1" t="n">
        <v>43907</v>
      </c>
      <c r="C1548" s="1" t="n">
        <v>45832</v>
      </c>
      <c r="D1548" t="inlineStr">
        <is>
          <t>KRONOBERGS LÄN</t>
        </is>
      </c>
      <c r="E1548" t="inlineStr">
        <is>
          <t>VÄXJÖ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14204-2020</t>
        </is>
      </c>
      <c r="B1549" s="1" t="n">
        <v>43907</v>
      </c>
      <c r="C1549" s="1" t="n">
        <v>45832</v>
      </c>
      <c r="D1549" t="inlineStr">
        <is>
          <t>KRONOBERGS LÄN</t>
        </is>
      </c>
      <c r="E1549" t="inlineStr">
        <is>
          <t>TINGSRYD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14254-2020</t>
        </is>
      </c>
      <c r="B1550" s="1" t="n">
        <v>43907</v>
      </c>
      <c r="C1550" s="1" t="n">
        <v>45832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14443-2020</t>
        </is>
      </c>
      <c r="B1551" s="1" t="n">
        <v>43908</v>
      </c>
      <c r="C1551" s="1" t="n">
        <v>45832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14392-2020</t>
        </is>
      </c>
      <c r="B1552" s="1" t="n">
        <v>43908</v>
      </c>
      <c r="C1552" s="1" t="n">
        <v>45832</v>
      </c>
      <c r="D1552" t="inlineStr">
        <is>
          <t>KRONOBERGS LÄN</t>
        </is>
      </c>
      <c r="E1552" t="inlineStr">
        <is>
          <t>LJUNGBY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14411-2020</t>
        </is>
      </c>
      <c r="B1553" s="1" t="n">
        <v>43908</v>
      </c>
      <c r="C1553" s="1" t="n">
        <v>45832</v>
      </c>
      <c r="D1553" t="inlineStr">
        <is>
          <t>KRONOBERGS LÄN</t>
        </is>
      </c>
      <c r="E1553" t="inlineStr">
        <is>
          <t>MARKARYD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14415-2020</t>
        </is>
      </c>
      <c r="B1554" s="1" t="n">
        <v>43908</v>
      </c>
      <c r="C1554" s="1" t="n">
        <v>45832</v>
      </c>
      <c r="D1554" t="inlineStr">
        <is>
          <t>KRONOBERGS LÄN</t>
        </is>
      </c>
      <c r="E1554" t="inlineStr">
        <is>
          <t>ÄLMHULT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15349-2020</t>
        </is>
      </c>
      <c r="B1555" s="1" t="n">
        <v>43908</v>
      </c>
      <c r="C1555" s="1" t="n">
        <v>45832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15347-2020</t>
        </is>
      </c>
      <c r="B1556" s="1" t="n">
        <v>43908</v>
      </c>
      <c r="C1556" s="1" t="n">
        <v>45832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14599-2020</t>
        </is>
      </c>
      <c r="B1557" s="1" t="n">
        <v>43909</v>
      </c>
      <c r="C1557" s="1" t="n">
        <v>45832</v>
      </c>
      <c r="D1557" t="inlineStr">
        <is>
          <t>KRONOBERGS LÄN</t>
        </is>
      </c>
      <c r="E1557" t="inlineStr">
        <is>
          <t>TINGSRYD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14766-2020</t>
        </is>
      </c>
      <c r="B1558" s="1" t="n">
        <v>43909</v>
      </c>
      <c r="C1558" s="1" t="n">
        <v>45832</v>
      </c>
      <c r="D1558" t="inlineStr">
        <is>
          <t>KRONOBERGS LÄN</t>
        </is>
      </c>
      <c r="E1558" t="inlineStr">
        <is>
          <t>ÄLMHULT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16602-2020</t>
        </is>
      </c>
      <c r="B1559" s="1" t="n">
        <v>43909</v>
      </c>
      <c r="C1559" s="1" t="n">
        <v>45832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16622-2020</t>
        </is>
      </c>
      <c r="B1560" s="1" t="n">
        <v>43909</v>
      </c>
      <c r="C1560" s="1" t="n">
        <v>45832</v>
      </c>
      <c r="D1560" t="inlineStr">
        <is>
          <t>KRONOBERGS LÄN</t>
        </is>
      </c>
      <c r="E1560" t="inlineStr">
        <is>
          <t>VÄXJÖ</t>
        </is>
      </c>
      <c r="G1560" t="n">
        <v>14.3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16598-2020</t>
        </is>
      </c>
      <c r="B1561" s="1" t="n">
        <v>43909</v>
      </c>
      <c r="C1561" s="1" t="n">
        <v>45832</v>
      </c>
      <c r="D1561" t="inlineStr">
        <is>
          <t>KRONOBERGS LÄN</t>
        </is>
      </c>
      <c r="E1561" t="inlineStr">
        <is>
          <t>VÄXJÖ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15108-2020</t>
        </is>
      </c>
      <c r="B1562" s="1" t="n">
        <v>43910</v>
      </c>
      <c r="C1562" s="1" t="n">
        <v>45832</v>
      </c>
      <c r="D1562" t="inlineStr">
        <is>
          <t>KRONOBERGS LÄN</t>
        </is>
      </c>
      <c r="E1562" t="inlineStr">
        <is>
          <t>LJUNGBY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15341-2020</t>
        </is>
      </c>
      <c r="B1563" s="1" t="n">
        <v>43913</v>
      </c>
      <c r="C1563" s="1" t="n">
        <v>45832</v>
      </c>
      <c r="D1563" t="inlineStr">
        <is>
          <t>KRONOBERGS LÄN</t>
        </is>
      </c>
      <c r="E1563" t="inlineStr">
        <is>
          <t>LJUNGBY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15366-2020</t>
        </is>
      </c>
      <c r="B1564" s="1" t="n">
        <v>43913</v>
      </c>
      <c r="C1564" s="1" t="n">
        <v>45832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15192-2020</t>
        </is>
      </c>
      <c r="B1565" s="1" t="n">
        <v>43913</v>
      </c>
      <c r="C1565" s="1" t="n">
        <v>45832</v>
      </c>
      <c r="D1565" t="inlineStr">
        <is>
          <t>KRONOBERGS LÄN</t>
        </is>
      </c>
      <c r="E1565" t="inlineStr">
        <is>
          <t>TINGSRYD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15188-2020</t>
        </is>
      </c>
      <c r="B1566" s="1" t="n">
        <v>43913</v>
      </c>
      <c r="C1566" s="1" t="n">
        <v>45832</v>
      </c>
      <c r="D1566" t="inlineStr">
        <is>
          <t>KRONOBERGS LÄN</t>
        </is>
      </c>
      <c r="E1566" t="inlineStr">
        <is>
          <t>TINGSRYD</t>
        </is>
      </c>
      <c r="G1566" t="n">
        <v>16.4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15231-2020</t>
        </is>
      </c>
      <c r="B1567" s="1" t="n">
        <v>43913</v>
      </c>
      <c r="C1567" s="1" t="n">
        <v>45832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15239-2020</t>
        </is>
      </c>
      <c r="B1568" s="1" t="n">
        <v>43913</v>
      </c>
      <c r="C1568" s="1" t="n">
        <v>45832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17214-2020</t>
        </is>
      </c>
      <c r="B1569" s="1" t="n">
        <v>43913</v>
      </c>
      <c r="C1569" s="1" t="n">
        <v>45832</v>
      </c>
      <c r="D1569" t="inlineStr">
        <is>
          <t>KRONOBERGS LÄN</t>
        </is>
      </c>
      <c r="E1569" t="inlineStr">
        <is>
          <t>ÄLMHULT</t>
        </is>
      </c>
      <c r="F1569" t="inlineStr">
        <is>
          <t>Kyrkan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15487-2020</t>
        </is>
      </c>
      <c r="B1570" s="1" t="n">
        <v>43914</v>
      </c>
      <c r="C1570" s="1" t="n">
        <v>45832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15585-2020</t>
        </is>
      </c>
      <c r="B1571" s="1" t="n">
        <v>43914</v>
      </c>
      <c r="C1571" s="1" t="n">
        <v>45832</v>
      </c>
      <c r="D1571" t="inlineStr">
        <is>
          <t>KRONOBERGS LÄN</t>
        </is>
      </c>
      <c r="E1571" t="inlineStr">
        <is>
          <t>MARKARYD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15449-2020</t>
        </is>
      </c>
      <c r="B1572" s="1" t="n">
        <v>43914</v>
      </c>
      <c r="C1572" s="1" t="n">
        <v>45832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15602-2020</t>
        </is>
      </c>
      <c r="B1573" s="1" t="n">
        <v>43914</v>
      </c>
      <c r="C1573" s="1" t="n">
        <v>45832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15791-2020</t>
        </is>
      </c>
      <c r="B1574" s="1" t="n">
        <v>43915</v>
      </c>
      <c r="C1574" s="1" t="n">
        <v>45832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15773-2020</t>
        </is>
      </c>
      <c r="B1575" s="1" t="n">
        <v>43915</v>
      </c>
      <c r="C1575" s="1" t="n">
        <v>45832</v>
      </c>
      <c r="D1575" t="inlineStr">
        <is>
          <t>KRONOBERGS LÄN</t>
        </is>
      </c>
      <c r="E1575" t="inlineStr">
        <is>
          <t>ALVESTA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15718-2020</t>
        </is>
      </c>
      <c r="B1576" s="1" t="n">
        <v>43915</v>
      </c>
      <c r="C1576" s="1" t="n">
        <v>45832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15858-2020</t>
        </is>
      </c>
      <c r="B1577" s="1" t="n">
        <v>43915</v>
      </c>
      <c r="C1577" s="1" t="n">
        <v>45832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15830-2020</t>
        </is>
      </c>
      <c r="B1578" s="1" t="n">
        <v>43915</v>
      </c>
      <c r="C1578" s="1" t="n">
        <v>45832</v>
      </c>
      <c r="D1578" t="inlineStr">
        <is>
          <t>KRONOBERGS LÄN</t>
        </is>
      </c>
      <c r="E1578" t="inlineStr">
        <is>
          <t>ÄLMHULT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15881-2020</t>
        </is>
      </c>
      <c r="B1579" s="1" t="n">
        <v>43915</v>
      </c>
      <c r="C1579" s="1" t="n">
        <v>45832</v>
      </c>
      <c r="D1579" t="inlineStr">
        <is>
          <t>KRONOBERGS LÄN</t>
        </is>
      </c>
      <c r="E1579" t="inlineStr">
        <is>
          <t>TINGSRYD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15770-2020</t>
        </is>
      </c>
      <c r="B1580" s="1" t="n">
        <v>43915</v>
      </c>
      <c r="C1580" s="1" t="n">
        <v>45832</v>
      </c>
      <c r="D1580" t="inlineStr">
        <is>
          <t>KRONOBERGS LÄN</t>
        </is>
      </c>
      <c r="E1580" t="inlineStr">
        <is>
          <t>ALVESTA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15759-2020</t>
        </is>
      </c>
      <c r="B1581" s="1" t="n">
        <v>43915</v>
      </c>
      <c r="C1581" s="1" t="n">
        <v>45832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17293-2020</t>
        </is>
      </c>
      <c r="B1582" s="1" t="n">
        <v>43915</v>
      </c>
      <c r="C1582" s="1" t="n">
        <v>45832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16099-2020</t>
        </is>
      </c>
      <c r="B1583" s="1" t="n">
        <v>43916</v>
      </c>
      <c r="C1583" s="1" t="n">
        <v>45832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16117-2020</t>
        </is>
      </c>
      <c r="B1584" s="1" t="n">
        <v>43916</v>
      </c>
      <c r="C1584" s="1" t="n">
        <v>45832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17363-2020</t>
        </is>
      </c>
      <c r="B1585" s="1" t="n">
        <v>43916</v>
      </c>
      <c r="C1585" s="1" t="n">
        <v>45832</v>
      </c>
      <c r="D1585" t="inlineStr">
        <is>
          <t>KRONOBERGS LÄN</t>
        </is>
      </c>
      <c r="E1585" t="inlineStr">
        <is>
          <t>TINGSRYD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17379-2020</t>
        </is>
      </c>
      <c r="B1586" s="1" t="n">
        <v>43916</v>
      </c>
      <c r="C1586" s="1" t="n">
        <v>45832</v>
      </c>
      <c r="D1586" t="inlineStr">
        <is>
          <t>KRONOBERGS LÄN</t>
        </is>
      </c>
      <c r="E1586" t="inlineStr">
        <is>
          <t>VÄXJÖ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17359-2020</t>
        </is>
      </c>
      <c r="B1587" s="1" t="n">
        <v>43916</v>
      </c>
      <c r="C1587" s="1" t="n">
        <v>45832</v>
      </c>
      <c r="D1587" t="inlineStr">
        <is>
          <t>KRONOBERGS LÄN</t>
        </is>
      </c>
      <c r="E1587" t="inlineStr">
        <is>
          <t>TINGSRYD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17358-2020</t>
        </is>
      </c>
      <c r="B1588" s="1" t="n">
        <v>43916</v>
      </c>
      <c r="C1588" s="1" t="n">
        <v>45832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17439-2020</t>
        </is>
      </c>
      <c r="B1589" s="1" t="n">
        <v>43916</v>
      </c>
      <c r="C1589" s="1" t="n">
        <v>45832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16175-2020</t>
        </is>
      </c>
      <c r="B1590" s="1" t="n">
        <v>43917</v>
      </c>
      <c r="C1590" s="1" t="n">
        <v>45832</v>
      </c>
      <c r="D1590" t="inlineStr">
        <is>
          <t>KRONOBERGS LÄN</t>
        </is>
      </c>
      <c r="E1590" t="inlineStr">
        <is>
          <t>TINGSRYD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16324-2020</t>
        </is>
      </c>
      <c r="B1591" s="1" t="n">
        <v>43917</v>
      </c>
      <c r="C1591" s="1" t="n">
        <v>45832</v>
      </c>
      <c r="D1591" t="inlineStr">
        <is>
          <t>KRONOBERGS LÄN</t>
        </is>
      </c>
      <c r="E1591" t="inlineStr">
        <is>
          <t>TINGSRYD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16291-2020</t>
        </is>
      </c>
      <c r="B1592" s="1" t="n">
        <v>43917</v>
      </c>
      <c r="C1592" s="1" t="n">
        <v>45832</v>
      </c>
      <c r="D1592" t="inlineStr">
        <is>
          <t>KRONOBERGS LÄN</t>
        </is>
      </c>
      <c r="E1592" t="inlineStr">
        <is>
          <t>ÄLMHULT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16337-2020</t>
        </is>
      </c>
      <c r="B1593" s="1" t="n">
        <v>43917</v>
      </c>
      <c r="C1593" s="1" t="n">
        <v>45832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16272-2020</t>
        </is>
      </c>
      <c r="B1594" s="1" t="n">
        <v>43917</v>
      </c>
      <c r="C1594" s="1" t="n">
        <v>45832</v>
      </c>
      <c r="D1594" t="inlineStr">
        <is>
          <t>KRONOBERGS LÄN</t>
        </is>
      </c>
      <c r="E1594" t="inlineStr">
        <is>
          <t>MARKARYD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16328-2020</t>
        </is>
      </c>
      <c r="B1595" s="1" t="n">
        <v>43917</v>
      </c>
      <c r="C1595" s="1" t="n">
        <v>45832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16336-2020</t>
        </is>
      </c>
      <c r="B1596" s="1" t="n">
        <v>43917</v>
      </c>
      <c r="C1596" s="1" t="n">
        <v>45832</v>
      </c>
      <c r="D1596" t="inlineStr">
        <is>
          <t>KRONOBERGS LÄN</t>
        </is>
      </c>
      <c r="E1596" t="inlineStr">
        <is>
          <t>TINGSRYD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16323-2020</t>
        </is>
      </c>
      <c r="B1597" s="1" t="n">
        <v>43917</v>
      </c>
      <c r="C1597" s="1" t="n">
        <v>45832</v>
      </c>
      <c r="D1597" t="inlineStr">
        <is>
          <t>KRONOBERGS LÄN</t>
        </is>
      </c>
      <c r="E1597" t="inlineStr">
        <is>
          <t>TINGSRYD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16346-2020</t>
        </is>
      </c>
      <c r="B1598" s="1" t="n">
        <v>43917</v>
      </c>
      <c r="C1598" s="1" t="n">
        <v>45832</v>
      </c>
      <c r="D1598" t="inlineStr">
        <is>
          <t>KRONOBERGS LÄN</t>
        </is>
      </c>
      <c r="E1598" t="inlineStr">
        <is>
          <t>TINGSRYD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16360-2020</t>
        </is>
      </c>
      <c r="B1599" s="1" t="n">
        <v>43917</v>
      </c>
      <c r="C1599" s="1" t="n">
        <v>45832</v>
      </c>
      <c r="D1599" t="inlineStr">
        <is>
          <t>KRONOBERGS LÄN</t>
        </is>
      </c>
      <c r="E1599" t="inlineStr">
        <is>
          <t>TINGSRYD</t>
        </is>
      </c>
      <c r="F1599" t="inlineStr">
        <is>
          <t>Övriga Aktiebolag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16549-2020</t>
        </is>
      </c>
      <c r="B1600" s="1" t="n">
        <v>43920</v>
      </c>
      <c r="C1600" s="1" t="n">
        <v>45832</v>
      </c>
      <c r="D1600" t="inlineStr">
        <is>
          <t>KRONOBERGS LÄN</t>
        </is>
      </c>
      <c r="E1600" t="inlineStr">
        <is>
          <t>LESSEBO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16596-2020</t>
        </is>
      </c>
      <c r="B1601" s="1" t="n">
        <v>43920</v>
      </c>
      <c r="C1601" s="1" t="n">
        <v>45832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16719-2020</t>
        </is>
      </c>
      <c r="B1602" s="1" t="n">
        <v>43920</v>
      </c>
      <c r="C1602" s="1" t="n">
        <v>45832</v>
      </c>
      <c r="D1602" t="inlineStr">
        <is>
          <t>KRONOBERGS LÄN</t>
        </is>
      </c>
      <c r="E1602" t="inlineStr">
        <is>
          <t>ÄLMHULT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16735-2020</t>
        </is>
      </c>
      <c r="B1603" s="1" t="n">
        <v>43920</v>
      </c>
      <c r="C1603" s="1" t="n">
        <v>45832</v>
      </c>
      <c r="D1603" t="inlineStr">
        <is>
          <t>KRONOBERGS LÄN</t>
        </is>
      </c>
      <c r="E1603" t="inlineStr">
        <is>
          <t>VÄXJÖ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16581-2020</t>
        </is>
      </c>
      <c r="B1604" s="1" t="n">
        <v>43920</v>
      </c>
      <c r="C1604" s="1" t="n">
        <v>45832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16653-2020</t>
        </is>
      </c>
      <c r="B1605" s="1" t="n">
        <v>43920</v>
      </c>
      <c r="C1605" s="1" t="n">
        <v>45832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16683-2020</t>
        </is>
      </c>
      <c r="B1606" s="1" t="n">
        <v>43920</v>
      </c>
      <c r="C1606" s="1" t="n">
        <v>45832</v>
      </c>
      <c r="D1606" t="inlineStr">
        <is>
          <t>KRONOBERGS LÄN</t>
        </is>
      </c>
      <c r="E1606" t="inlineStr">
        <is>
          <t>LJUNGBY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16739-2020</t>
        </is>
      </c>
      <c r="B1607" s="1" t="n">
        <v>43920</v>
      </c>
      <c r="C1607" s="1" t="n">
        <v>45832</v>
      </c>
      <c r="D1607" t="inlineStr">
        <is>
          <t>KRONOBERGS LÄN</t>
        </is>
      </c>
      <c r="E1607" t="inlineStr">
        <is>
          <t>VÄXJÖ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16941-2020</t>
        </is>
      </c>
      <c r="B1608" s="1" t="n">
        <v>43921</v>
      </c>
      <c r="C1608" s="1" t="n">
        <v>45832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16954-2020</t>
        </is>
      </c>
      <c r="B1609" s="1" t="n">
        <v>43921</v>
      </c>
      <c r="C1609" s="1" t="n">
        <v>45832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16855-2020</t>
        </is>
      </c>
      <c r="B1610" s="1" t="n">
        <v>43921</v>
      </c>
      <c r="C1610" s="1" t="n">
        <v>45832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16802-2020</t>
        </is>
      </c>
      <c r="B1611" s="1" t="n">
        <v>43921</v>
      </c>
      <c r="C1611" s="1" t="n">
        <v>45832</v>
      </c>
      <c r="D1611" t="inlineStr">
        <is>
          <t>KRONOBERGS LÄN</t>
        </is>
      </c>
      <c r="E1611" t="inlineStr">
        <is>
          <t>ÄLMHULT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16945-2020</t>
        </is>
      </c>
      <c r="B1612" s="1" t="n">
        <v>43921</v>
      </c>
      <c r="C1612" s="1" t="n">
        <v>45832</v>
      </c>
      <c r="D1612" t="inlineStr">
        <is>
          <t>KRONOBERGS LÄN</t>
        </is>
      </c>
      <c r="E1612" t="inlineStr">
        <is>
          <t>ALVESTA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16957-2020</t>
        </is>
      </c>
      <c r="B1613" s="1" t="n">
        <v>43921</v>
      </c>
      <c r="C1613" s="1" t="n">
        <v>45832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16926-2020</t>
        </is>
      </c>
      <c r="B1614" s="1" t="n">
        <v>43921</v>
      </c>
      <c r="C1614" s="1" t="n">
        <v>45832</v>
      </c>
      <c r="D1614" t="inlineStr">
        <is>
          <t>KRONOBERGS LÄN</t>
        </is>
      </c>
      <c r="E1614" t="inlineStr">
        <is>
          <t>TINGSRYD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16944-2020</t>
        </is>
      </c>
      <c r="B1615" s="1" t="n">
        <v>43921</v>
      </c>
      <c r="C1615" s="1" t="n">
        <v>45832</v>
      </c>
      <c r="D1615" t="inlineStr">
        <is>
          <t>KRONOBERGS LÄN</t>
        </is>
      </c>
      <c r="E1615" t="inlineStr">
        <is>
          <t>VÄXJÖ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16956-2020</t>
        </is>
      </c>
      <c r="B1616" s="1" t="n">
        <v>43921</v>
      </c>
      <c r="C1616" s="1" t="n">
        <v>45832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16967-2020</t>
        </is>
      </c>
      <c r="B1617" s="1" t="n">
        <v>43921</v>
      </c>
      <c r="C1617" s="1" t="n">
        <v>45832</v>
      </c>
      <c r="D1617" t="inlineStr">
        <is>
          <t>KRONOBERGS LÄN</t>
        </is>
      </c>
      <c r="E1617" t="inlineStr">
        <is>
          <t>TINGSRYD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17329-2020</t>
        </is>
      </c>
      <c r="B1618" s="1" t="n">
        <v>43922</v>
      </c>
      <c r="C1618" s="1" t="n">
        <v>45832</v>
      </c>
      <c r="D1618" t="inlineStr">
        <is>
          <t>KRONOBERGS LÄN</t>
        </is>
      </c>
      <c r="E1618" t="inlineStr">
        <is>
          <t>LJUNGBY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17508-2020</t>
        </is>
      </c>
      <c r="B1619" s="1" t="n">
        <v>43923</v>
      </c>
      <c r="C1619" s="1" t="n">
        <v>45832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17705-2020</t>
        </is>
      </c>
      <c r="B1620" s="1" t="n">
        <v>43924</v>
      </c>
      <c r="C1620" s="1" t="n">
        <v>45832</v>
      </c>
      <c r="D1620" t="inlineStr">
        <is>
          <t>KRONOBERGS LÄN</t>
        </is>
      </c>
      <c r="E1620" t="inlineStr">
        <is>
          <t>LJUNGBY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17827-2020</t>
        </is>
      </c>
      <c r="B1621" s="1" t="n">
        <v>43924</v>
      </c>
      <c r="C1621" s="1" t="n">
        <v>45832</v>
      </c>
      <c r="D1621" t="inlineStr">
        <is>
          <t>KRONOBERGS LÄN</t>
        </is>
      </c>
      <c r="E1621" t="inlineStr">
        <is>
          <t>MARKARYD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17982-2020</t>
        </is>
      </c>
      <c r="B1622" s="1" t="n">
        <v>43926</v>
      </c>
      <c r="C1622" s="1" t="n">
        <v>45832</v>
      </c>
      <c r="D1622" t="inlineStr">
        <is>
          <t>KRONOBERGS LÄN</t>
        </is>
      </c>
      <c r="E1622" t="inlineStr">
        <is>
          <t>ÄLMHULT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18061-2020</t>
        </is>
      </c>
      <c r="B1623" s="1" t="n">
        <v>43927</v>
      </c>
      <c r="C1623" s="1" t="n">
        <v>45832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18072-2020</t>
        </is>
      </c>
      <c r="B1624" s="1" t="n">
        <v>43927</v>
      </c>
      <c r="C1624" s="1" t="n">
        <v>45832</v>
      </c>
      <c r="D1624" t="inlineStr">
        <is>
          <t>KRONOBERGS LÄN</t>
        </is>
      </c>
      <c r="E1624" t="inlineStr">
        <is>
          <t>UPPVIDINGE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18192-2020</t>
        </is>
      </c>
      <c r="B1625" s="1" t="n">
        <v>43927</v>
      </c>
      <c r="C1625" s="1" t="n">
        <v>45832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18028-2020</t>
        </is>
      </c>
      <c r="B1626" s="1" t="n">
        <v>43927</v>
      </c>
      <c r="C1626" s="1" t="n">
        <v>45832</v>
      </c>
      <c r="D1626" t="inlineStr">
        <is>
          <t>KRONOBERGS LÄN</t>
        </is>
      </c>
      <c r="E1626" t="inlineStr">
        <is>
          <t>VÄXJÖ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18330-2020</t>
        </is>
      </c>
      <c r="B1627" s="1" t="n">
        <v>43927</v>
      </c>
      <c r="C1627" s="1" t="n">
        <v>45832</v>
      </c>
      <c r="D1627" t="inlineStr">
        <is>
          <t>KRONOBERGS LÄN</t>
        </is>
      </c>
      <c r="E1627" t="inlineStr">
        <is>
          <t>LJUNGBY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18297-2020</t>
        </is>
      </c>
      <c r="B1628" s="1" t="n">
        <v>43928</v>
      </c>
      <c r="C1628" s="1" t="n">
        <v>45832</v>
      </c>
      <c r="D1628" t="inlineStr">
        <is>
          <t>KRONOBERGS LÄN</t>
        </is>
      </c>
      <c r="E1628" t="inlineStr">
        <is>
          <t>MARKARYD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18292-2020</t>
        </is>
      </c>
      <c r="B1629" s="1" t="n">
        <v>43928</v>
      </c>
      <c r="C1629" s="1" t="n">
        <v>45832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18373-2020</t>
        </is>
      </c>
      <c r="B1630" s="1" t="n">
        <v>43928</v>
      </c>
      <c r="C1630" s="1" t="n">
        <v>45832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18526-2020</t>
        </is>
      </c>
      <c r="B1631" s="1" t="n">
        <v>43929</v>
      </c>
      <c r="C1631" s="1" t="n">
        <v>45832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18522-2020</t>
        </is>
      </c>
      <c r="B1632" s="1" t="n">
        <v>43929</v>
      </c>
      <c r="C1632" s="1" t="n">
        <v>45832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18537-2020</t>
        </is>
      </c>
      <c r="B1633" s="1" t="n">
        <v>43929</v>
      </c>
      <c r="C1633" s="1" t="n">
        <v>45832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18574-2020</t>
        </is>
      </c>
      <c r="B1634" s="1" t="n">
        <v>43929</v>
      </c>
      <c r="C1634" s="1" t="n">
        <v>45832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18589-2020</t>
        </is>
      </c>
      <c r="B1635" s="1" t="n">
        <v>43929</v>
      </c>
      <c r="C1635" s="1" t="n">
        <v>45832</v>
      </c>
      <c r="D1635" t="inlineStr">
        <is>
          <t>KRONOBERGS LÄN</t>
        </is>
      </c>
      <c r="E1635" t="inlineStr">
        <is>
          <t>LJUNGBY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18737-2020</t>
        </is>
      </c>
      <c r="B1636" s="1" t="n">
        <v>43930</v>
      </c>
      <c r="C1636" s="1" t="n">
        <v>45832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18742-2020</t>
        </is>
      </c>
      <c r="B1637" s="1" t="n">
        <v>43930</v>
      </c>
      <c r="C1637" s="1" t="n">
        <v>45832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19105-2020</t>
        </is>
      </c>
      <c r="B1638" s="1" t="n">
        <v>43936</v>
      </c>
      <c r="C1638" s="1" t="n">
        <v>45832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19110-2020</t>
        </is>
      </c>
      <c r="B1639" s="1" t="n">
        <v>43936</v>
      </c>
      <c r="C1639" s="1" t="n">
        <v>45832</v>
      </c>
      <c r="D1639" t="inlineStr">
        <is>
          <t>KRONOBERGS LÄN</t>
        </is>
      </c>
      <c r="E1639" t="inlineStr">
        <is>
          <t>VÄXJÖ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19563-2020</t>
        </is>
      </c>
      <c r="B1640" s="1" t="n">
        <v>43936</v>
      </c>
      <c r="C1640" s="1" t="n">
        <v>45832</v>
      </c>
      <c r="D1640" t="inlineStr">
        <is>
          <t>KRONOBERGS LÄN</t>
        </is>
      </c>
      <c r="E1640" t="inlineStr">
        <is>
          <t>LESSEBO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19117-2020</t>
        </is>
      </c>
      <c r="B1641" s="1" t="n">
        <v>43936</v>
      </c>
      <c r="C1641" s="1" t="n">
        <v>45832</v>
      </c>
      <c r="D1641" t="inlineStr">
        <is>
          <t>KRONOBERGS LÄN</t>
        </is>
      </c>
      <c r="E1641" t="inlineStr">
        <is>
          <t>ÄLMHULT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19144-2020</t>
        </is>
      </c>
      <c r="B1642" s="1" t="n">
        <v>43936</v>
      </c>
      <c r="C1642" s="1" t="n">
        <v>45832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19104-2020</t>
        </is>
      </c>
      <c r="B1643" s="1" t="n">
        <v>43936</v>
      </c>
      <c r="C1643" s="1" t="n">
        <v>45832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19145-2020</t>
        </is>
      </c>
      <c r="B1644" s="1" t="n">
        <v>43936</v>
      </c>
      <c r="C1644" s="1" t="n">
        <v>45832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19326-2020</t>
        </is>
      </c>
      <c r="B1645" s="1" t="n">
        <v>43937</v>
      </c>
      <c r="C1645" s="1" t="n">
        <v>45832</v>
      </c>
      <c r="D1645" t="inlineStr">
        <is>
          <t>KRONOBERGS LÄN</t>
        </is>
      </c>
      <c r="E1645" t="inlineStr">
        <is>
          <t>LJUNGBY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19325-2020</t>
        </is>
      </c>
      <c r="B1646" s="1" t="n">
        <v>43937</v>
      </c>
      <c r="C1646" s="1" t="n">
        <v>45832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19328-2020</t>
        </is>
      </c>
      <c r="B1647" s="1" t="n">
        <v>43937</v>
      </c>
      <c r="C1647" s="1" t="n">
        <v>45832</v>
      </c>
      <c r="D1647" t="inlineStr">
        <is>
          <t>KRONOBERGS LÄN</t>
        </is>
      </c>
      <c r="E1647" t="inlineStr">
        <is>
          <t>LJUNGBY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19329-2020</t>
        </is>
      </c>
      <c r="B1648" s="1" t="n">
        <v>43937</v>
      </c>
      <c r="C1648" s="1" t="n">
        <v>45832</v>
      </c>
      <c r="D1648" t="inlineStr">
        <is>
          <t>KRONOBERGS LÄN</t>
        </is>
      </c>
      <c r="E1648" t="inlineStr">
        <is>
          <t>LJUNGBY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19420-2020</t>
        </is>
      </c>
      <c r="B1649" s="1" t="n">
        <v>43938</v>
      </c>
      <c r="C1649" s="1" t="n">
        <v>45832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19342-2020</t>
        </is>
      </c>
      <c r="B1650" s="1" t="n">
        <v>43938</v>
      </c>
      <c r="C1650" s="1" t="n">
        <v>45832</v>
      </c>
      <c r="D1650" t="inlineStr">
        <is>
          <t>KRONOBERGS LÄN</t>
        </is>
      </c>
      <c r="E1650" t="inlineStr">
        <is>
          <t>VÄXJÖ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19551-2020</t>
        </is>
      </c>
      <c r="B1651" s="1" t="n">
        <v>43941</v>
      </c>
      <c r="C1651" s="1" t="n">
        <v>45832</v>
      </c>
      <c r="D1651" t="inlineStr">
        <is>
          <t>KRONOBERGS LÄN</t>
        </is>
      </c>
      <c r="E1651" t="inlineStr">
        <is>
          <t>ALVESTA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19595-2020</t>
        </is>
      </c>
      <c r="B1652" s="1" t="n">
        <v>43941</v>
      </c>
      <c r="C1652" s="1" t="n">
        <v>45832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19555-2020</t>
        </is>
      </c>
      <c r="B1653" s="1" t="n">
        <v>43941</v>
      </c>
      <c r="C1653" s="1" t="n">
        <v>45832</v>
      </c>
      <c r="D1653" t="inlineStr">
        <is>
          <t>KRONOBERGS LÄN</t>
        </is>
      </c>
      <c r="E1653" t="inlineStr">
        <is>
          <t>ALVESTA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19586-2020</t>
        </is>
      </c>
      <c r="B1654" s="1" t="n">
        <v>43941</v>
      </c>
      <c r="C1654" s="1" t="n">
        <v>45832</v>
      </c>
      <c r="D1654" t="inlineStr">
        <is>
          <t>KRONOBERGS LÄN</t>
        </is>
      </c>
      <c r="E1654" t="inlineStr">
        <is>
          <t>VÄXJÖ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19599-2020</t>
        </is>
      </c>
      <c r="B1655" s="1" t="n">
        <v>43941</v>
      </c>
      <c r="C1655" s="1" t="n">
        <v>45832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19760-2020</t>
        </is>
      </c>
      <c r="B1656" s="1" t="n">
        <v>43942</v>
      </c>
      <c r="C1656" s="1" t="n">
        <v>45832</v>
      </c>
      <c r="D1656" t="inlineStr">
        <is>
          <t>KRONOBERGS LÄN</t>
        </is>
      </c>
      <c r="E1656" t="inlineStr">
        <is>
          <t>TINGSRYD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19896-2020</t>
        </is>
      </c>
      <c r="B1657" s="1" t="n">
        <v>43942</v>
      </c>
      <c r="C1657" s="1" t="n">
        <v>45832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19982-2020</t>
        </is>
      </c>
      <c r="B1658" s="1" t="n">
        <v>43943</v>
      </c>
      <c r="C1658" s="1" t="n">
        <v>45832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20147-2020</t>
        </is>
      </c>
      <c r="B1659" s="1" t="n">
        <v>43944</v>
      </c>
      <c r="C1659" s="1" t="n">
        <v>45832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Kommuner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20217-2020</t>
        </is>
      </c>
      <c r="B1660" s="1" t="n">
        <v>43944</v>
      </c>
      <c r="C1660" s="1" t="n">
        <v>45832</v>
      </c>
      <c r="D1660" t="inlineStr">
        <is>
          <t>KRONOBERGS LÄN</t>
        </is>
      </c>
      <c r="E1660" t="inlineStr">
        <is>
          <t>MARKARYD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20267-2020</t>
        </is>
      </c>
      <c r="B1661" s="1" t="n">
        <v>43945</v>
      </c>
      <c r="C1661" s="1" t="n">
        <v>45832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20272-2020</t>
        </is>
      </c>
      <c r="B1662" s="1" t="n">
        <v>43945</v>
      </c>
      <c r="C1662" s="1" t="n">
        <v>45832</v>
      </c>
      <c r="D1662" t="inlineStr">
        <is>
          <t>KRONOBERGS LÄN</t>
        </is>
      </c>
      <c r="E1662" t="inlineStr">
        <is>
          <t>MARKARYD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20591-2020</t>
        </is>
      </c>
      <c r="B1663" s="1" t="n">
        <v>43948</v>
      </c>
      <c r="C1663" s="1" t="n">
        <v>45832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20911-2020</t>
        </is>
      </c>
      <c r="B1664" s="1" t="n">
        <v>43948</v>
      </c>
      <c r="C1664" s="1" t="n">
        <v>45832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20460-2020</t>
        </is>
      </c>
      <c r="B1665" s="1" t="n">
        <v>43948</v>
      </c>
      <c r="C1665" s="1" t="n">
        <v>45832</v>
      </c>
      <c r="D1665" t="inlineStr">
        <is>
          <t>KRONOBERGS LÄN</t>
        </is>
      </c>
      <c r="E1665" t="inlineStr">
        <is>
          <t>MARKARYD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20679-2020</t>
        </is>
      </c>
      <c r="B1666" s="1" t="n">
        <v>43949</v>
      </c>
      <c r="C1666" s="1" t="n">
        <v>45832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21034-2020</t>
        </is>
      </c>
      <c r="B1667" s="1" t="n">
        <v>43950</v>
      </c>
      <c r="C1667" s="1" t="n">
        <v>45832</v>
      </c>
      <c r="D1667" t="inlineStr">
        <is>
          <t>KRONOBERGS LÄN</t>
        </is>
      </c>
      <c r="E1667" t="inlineStr">
        <is>
          <t>LJUNGBY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20846-2020</t>
        </is>
      </c>
      <c r="B1668" s="1" t="n">
        <v>43950</v>
      </c>
      <c r="C1668" s="1" t="n">
        <v>45832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20944-2020</t>
        </is>
      </c>
      <c r="B1669" s="1" t="n">
        <v>43950</v>
      </c>
      <c r="C1669" s="1" t="n">
        <v>45832</v>
      </c>
      <c r="D1669" t="inlineStr">
        <is>
          <t>KRONOBERGS LÄN</t>
        </is>
      </c>
      <c r="E1669" t="inlineStr">
        <is>
          <t>UPPVIDINGE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21136-2020</t>
        </is>
      </c>
      <c r="B1670" s="1" t="n">
        <v>43951</v>
      </c>
      <c r="C1670" s="1" t="n">
        <v>45832</v>
      </c>
      <c r="D1670" t="inlineStr">
        <is>
          <t>KRONOBERGS LÄN</t>
        </is>
      </c>
      <c r="E1670" t="inlineStr">
        <is>
          <t>LJUNGBY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21135-2020</t>
        </is>
      </c>
      <c r="B1671" s="1" t="n">
        <v>43951</v>
      </c>
      <c r="C1671" s="1" t="n">
        <v>45832</v>
      </c>
      <c r="D1671" t="inlineStr">
        <is>
          <t>KRONOBERGS LÄN</t>
        </is>
      </c>
      <c r="E1671" t="inlineStr">
        <is>
          <t>LJUNGBY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21366-2020</t>
        </is>
      </c>
      <c r="B1672" s="1" t="n">
        <v>43955</v>
      </c>
      <c r="C1672" s="1" t="n">
        <v>45832</v>
      </c>
      <c r="D1672" t="inlineStr">
        <is>
          <t>KRONOBERGS LÄN</t>
        </is>
      </c>
      <c r="E1672" t="inlineStr">
        <is>
          <t>ALVESTA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21272-2020</t>
        </is>
      </c>
      <c r="B1673" s="1" t="n">
        <v>43955</v>
      </c>
      <c r="C1673" s="1" t="n">
        <v>45832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21674-2020</t>
        </is>
      </c>
      <c r="B1674" s="1" t="n">
        <v>43957</v>
      </c>
      <c r="C1674" s="1" t="n">
        <v>45832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21941-2020</t>
        </is>
      </c>
      <c r="B1675" s="1" t="n">
        <v>43958</v>
      </c>
      <c r="C1675" s="1" t="n">
        <v>45832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22269-2020</t>
        </is>
      </c>
      <c r="B1676" s="1" t="n">
        <v>43962</v>
      </c>
      <c r="C1676" s="1" t="n">
        <v>45832</v>
      </c>
      <c r="D1676" t="inlineStr">
        <is>
          <t>KRONOBERGS LÄN</t>
        </is>
      </c>
      <c r="E1676" t="inlineStr">
        <is>
          <t>ALVESTA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22382-2020</t>
        </is>
      </c>
      <c r="B1677" s="1" t="n">
        <v>43962</v>
      </c>
      <c r="C1677" s="1" t="n">
        <v>45832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22393-2020</t>
        </is>
      </c>
      <c r="B1678" s="1" t="n">
        <v>43962</v>
      </c>
      <c r="C1678" s="1" t="n">
        <v>45832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22434-2020</t>
        </is>
      </c>
      <c r="B1679" s="1" t="n">
        <v>43962</v>
      </c>
      <c r="C1679" s="1" t="n">
        <v>45832</v>
      </c>
      <c r="D1679" t="inlineStr">
        <is>
          <t>KRONOBERGS LÄN</t>
        </is>
      </c>
      <c r="E1679" t="inlineStr">
        <is>
          <t>UPPVIDINGE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22537-2020</t>
        </is>
      </c>
      <c r="B1680" s="1" t="n">
        <v>43963</v>
      </c>
      <c r="C1680" s="1" t="n">
        <v>45832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22674-2020</t>
        </is>
      </c>
      <c r="B1681" s="1" t="n">
        <v>43963</v>
      </c>
      <c r="C1681" s="1" t="n">
        <v>45832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22535-2020</t>
        </is>
      </c>
      <c r="B1682" s="1" t="n">
        <v>43963</v>
      </c>
      <c r="C1682" s="1" t="n">
        <v>45832</v>
      </c>
      <c r="D1682" t="inlineStr">
        <is>
          <t>KRONOBERGS LÄN</t>
        </is>
      </c>
      <c r="E1682" t="inlineStr">
        <is>
          <t>VÄXJÖ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22862-2020</t>
        </is>
      </c>
      <c r="B1683" s="1" t="n">
        <v>43964</v>
      </c>
      <c r="C1683" s="1" t="n">
        <v>45832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22771-2020</t>
        </is>
      </c>
      <c r="B1684" s="1" t="n">
        <v>43964</v>
      </c>
      <c r="C1684" s="1" t="n">
        <v>45832</v>
      </c>
      <c r="D1684" t="inlineStr">
        <is>
          <t>KRONOBERGS LÄN</t>
        </is>
      </c>
      <c r="E1684" t="inlineStr">
        <is>
          <t>LESSEBO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22766-2020</t>
        </is>
      </c>
      <c r="B1685" s="1" t="n">
        <v>43964</v>
      </c>
      <c r="C1685" s="1" t="n">
        <v>45832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23027-2020</t>
        </is>
      </c>
      <c r="B1686" s="1" t="n">
        <v>43965</v>
      </c>
      <c r="C1686" s="1" t="n">
        <v>45832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23025-2020</t>
        </is>
      </c>
      <c r="B1687" s="1" t="n">
        <v>43965</v>
      </c>
      <c r="C1687" s="1" t="n">
        <v>45832</v>
      </c>
      <c r="D1687" t="inlineStr">
        <is>
          <t>KRONOBERGS LÄN</t>
        </is>
      </c>
      <c r="E1687" t="inlineStr">
        <is>
          <t>ÄLMHULT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23036-2020</t>
        </is>
      </c>
      <c r="B1688" s="1" t="n">
        <v>43965</v>
      </c>
      <c r="C1688" s="1" t="n">
        <v>45832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23071-2020</t>
        </is>
      </c>
      <c r="B1689" s="1" t="n">
        <v>43965</v>
      </c>
      <c r="C1689" s="1" t="n">
        <v>45832</v>
      </c>
      <c r="D1689" t="inlineStr">
        <is>
          <t>KRONOBERGS LÄN</t>
        </is>
      </c>
      <c r="E1689" t="inlineStr">
        <is>
          <t>MARKARYD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23121-2020</t>
        </is>
      </c>
      <c r="B1690" s="1" t="n">
        <v>43965</v>
      </c>
      <c r="C1690" s="1" t="n">
        <v>45832</v>
      </c>
      <c r="D1690" t="inlineStr">
        <is>
          <t>KRONOBERGS LÄN</t>
        </is>
      </c>
      <c r="E1690" t="inlineStr">
        <is>
          <t>UPPVIDINGE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23030-2020</t>
        </is>
      </c>
      <c r="B1691" s="1" t="n">
        <v>43965</v>
      </c>
      <c r="C1691" s="1" t="n">
        <v>45832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23093-2020</t>
        </is>
      </c>
      <c r="B1692" s="1" t="n">
        <v>43965</v>
      </c>
      <c r="C1692" s="1" t="n">
        <v>45832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23150-2020</t>
        </is>
      </c>
      <c r="B1693" s="1" t="n">
        <v>43966</v>
      </c>
      <c r="C1693" s="1" t="n">
        <v>45832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23184-2020</t>
        </is>
      </c>
      <c r="B1694" s="1" t="n">
        <v>43966</v>
      </c>
      <c r="C1694" s="1" t="n">
        <v>45832</v>
      </c>
      <c r="D1694" t="inlineStr">
        <is>
          <t>KRONOBERGS LÄN</t>
        </is>
      </c>
      <c r="E1694" t="inlineStr">
        <is>
          <t>MARKARYD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23163-2020</t>
        </is>
      </c>
      <c r="B1695" s="1" t="n">
        <v>43966</v>
      </c>
      <c r="C1695" s="1" t="n">
        <v>45832</v>
      </c>
      <c r="D1695" t="inlineStr">
        <is>
          <t>KRONOBERGS LÄN</t>
        </is>
      </c>
      <c r="E1695" t="inlineStr">
        <is>
          <t>LJUNGBY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23262-2020</t>
        </is>
      </c>
      <c r="B1696" s="1" t="n">
        <v>43966</v>
      </c>
      <c r="C1696" s="1" t="n">
        <v>45832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23313-2020</t>
        </is>
      </c>
      <c r="B1697" s="1" t="n">
        <v>43966</v>
      </c>
      <c r="C1697" s="1" t="n">
        <v>45832</v>
      </c>
      <c r="D1697" t="inlineStr">
        <is>
          <t>KRONOBERGS LÄN</t>
        </is>
      </c>
      <c r="E1697" t="inlineStr">
        <is>
          <t>LJUNGBY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23367-2020</t>
        </is>
      </c>
      <c r="B1698" s="1" t="n">
        <v>43967</v>
      </c>
      <c r="C1698" s="1" t="n">
        <v>45832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23727-2020</t>
        </is>
      </c>
      <c r="B1699" s="1" t="n">
        <v>43970</v>
      </c>
      <c r="C1699" s="1" t="n">
        <v>45832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23798-2020</t>
        </is>
      </c>
      <c r="B1700" s="1" t="n">
        <v>43970</v>
      </c>
      <c r="C1700" s="1" t="n">
        <v>45832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23661-2020</t>
        </is>
      </c>
      <c r="B1701" s="1" t="n">
        <v>43970</v>
      </c>
      <c r="C1701" s="1" t="n">
        <v>45832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23781-2020</t>
        </is>
      </c>
      <c r="B1702" s="1" t="n">
        <v>43970</v>
      </c>
      <c r="C1702" s="1" t="n">
        <v>45832</v>
      </c>
      <c r="D1702" t="inlineStr">
        <is>
          <t>KRONOBERGS LÄN</t>
        </is>
      </c>
      <c r="E1702" t="inlineStr">
        <is>
          <t>VÄXJÖ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23945-2020</t>
        </is>
      </c>
      <c r="B1703" s="1" t="n">
        <v>43971</v>
      </c>
      <c r="C1703" s="1" t="n">
        <v>45832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23982-2020</t>
        </is>
      </c>
      <c r="B1704" s="1" t="n">
        <v>43971</v>
      </c>
      <c r="C1704" s="1" t="n">
        <v>45832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23905-2020</t>
        </is>
      </c>
      <c r="B1705" s="1" t="n">
        <v>43971</v>
      </c>
      <c r="C1705" s="1" t="n">
        <v>45832</v>
      </c>
      <c r="D1705" t="inlineStr">
        <is>
          <t>KRONOBERGS LÄN</t>
        </is>
      </c>
      <c r="E1705" t="inlineStr">
        <is>
          <t>UPPVIDINGE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23930-2020</t>
        </is>
      </c>
      <c r="B1706" s="1" t="n">
        <v>43971</v>
      </c>
      <c r="C1706" s="1" t="n">
        <v>45832</v>
      </c>
      <c r="D1706" t="inlineStr">
        <is>
          <t>KRONOBERGS LÄN</t>
        </is>
      </c>
      <c r="E1706" t="inlineStr">
        <is>
          <t>LJUNGBY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24163-2020</t>
        </is>
      </c>
      <c r="B1707" s="1" t="n">
        <v>43974</v>
      </c>
      <c r="C1707" s="1" t="n">
        <v>45832</v>
      </c>
      <c r="D1707" t="inlineStr">
        <is>
          <t>KRONOBERGS LÄN</t>
        </is>
      </c>
      <c r="E1707" t="inlineStr">
        <is>
          <t>LESSEBO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24164-2020</t>
        </is>
      </c>
      <c r="B1708" s="1" t="n">
        <v>43974</v>
      </c>
      <c r="C1708" s="1" t="n">
        <v>45832</v>
      </c>
      <c r="D1708" t="inlineStr">
        <is>
          <t>KRONOBERGS LÄN</t>
        </is>
      </c>
      <c r="E1708" t="inlineStr">
        <is>
          <t>LESSEBO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24347-2020</t>
        </is>
      </c>
      <c r="B1709" s="1" t="n">
        <v>43976</v>
      </c>
      <c r="C1709" s="1" t="n">
        <v>45832</v>
      </c>
      <c r="D1709" t="inlineStr">
        <is>
          <t>KRONOBERGS LÄN</t>
        </is>
      </c>
      <c r="E1709" t="inlineStr">
        <is>
          <t>MARKARYD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24471-2020</t>
        </is>
      </c>
      <c r="B1710" s="1" t="n">
        <v>43976</v>
      </c>
      <c r="C1710" s="1" t="n">
        <v>45832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24530-2020</t>
        </is>
      </c>
      <c r="B1711" s="1" t="n">
        <v>43977</v>
      </c>
      <c r="C1711" s="1" t="n">
        <v>45832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24581-2020</t>
        </is>
      </c>
      <c r="B1712" s="1" t="n">
        <v>43977</v>
      </c>
      <c r="C1712" s="1" t="n">
        <v>45832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24592-2020</t>
        </is>
      </c>
      <c r="B1713" s="1" t="n">
        <v>43977</v>
      </c>
      <c r="C1713" s="1" t="n">
        <v>45832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24708-2020</t>
        </is>
      </c>
      <c r="B1714" s="1" t="n">
        <v>43978</v>
      </c>
      <c r="C1714" s="1" t="n">
        <v>45832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24836-2020</t>
        </is>
      </c>
      <c r="B1715" s="1" t="n">
        <v>43978</v>
      </c>
      <c r="C1715" s="1" t="n">
        <v>45832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25197-2020</t>
        </is>
      </c>
      <c r="B1716" s="1" t="n">
        <v>43979</v>
      </c>
      <c r="C1716" s="1" t="n">
        <v>45832</v>
      </c>
      <c r="D1716" t="inlineStr">
        <is>
          <t>KRONOBERGS LÄN</t>
        </is>
      </c>
      <c r="E1716" t="inlineStr">
        <is>
          <t>UPPVIDINGE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24913-2020</t>
        </is>
      </c>
      <c r="B1717" s="1" t="n">
        <v>43979</v>
      </c>
      <c r="C1717" s="1" t="n">
        <v>45832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24946-2020</t>
        </is>
      </c>
      <c r="B1718" s="1" t="n">
        <v>43979</v>
      </c>
      <c r="C1718" s="1" t="n">
        <v>45832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24944-2020</t>
        </is>
      </c>
      <c r="B1719" s="1" t="n">
        <v>43979</v>
      </c>
      <c r="C1719" s="1" t="n">
        <v>45832</v>
      </c>
      <c r="D1719" t="inlineStr">
        <is>
          <t>KRONOBERGS LÄN</t>
        </is>
      </c>
      <c r="E1719" t="inlineStr">
        <is>
          <t>ALVESTA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24917-2020</t>
        </is>
      </c>
      <c r="B1720" s="1" t="n">
        <v>43979</v>
      </c>
      <c r="C1720" s="1" t="n">
        <v>45832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24924-2020</t>
        </is>
      </c>
      <c r="B1721" s="1" t="n">
        <v>43979</v>
      </c>
      <c r="C1721" s="1" t="n">
        <v>45832</v>
      </c>
      <c r="D1721" t="inlineStr">
        <is>
          <t>KRONOBERGS LÄN</t>
        </is>
      </c>
      <c r="E1721" t="inlineStr">
        <is>
          <t>UPPVIDINGE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24977-2020</t>
        </is>
      </c>
      <c r="B1722" s="1" t="n">
        <v>43979</v>
      </c>
      <c r="C1722" s="1" t="n">
        <v>45832</v>
      </c>
      <c r="D1722" t="inlineStr">
        <is>
          <t>KRONOBERGS LÄN</t>
        </is>
      </c>
      <c r="E1722" t="inlineStr">
        <is>
          <t>VÄXJÖ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25335-2020</t>
        </is>
      </c>
      <c r="B1723" s="1" t="n">
        <v>43980</v>
      </c>
      <c r="C1723" s="1" t="n">
        <v>45832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25351-2020</t>
        </is>
      </c>
      <c r="B1724" s="1" t="n">
        <v>43980</v>
      </c>
      <c r="C1724" s="1" t="n">
        <v>45832</v>
      </c>
      <c r="D1724" t="inlineStr">
        <is>
          <t>KRONOBERGS LÄN</t>
        </is>
      </c>
      <c r="E1724" t="inlineStr">
        <is>
          <t>VÄXJÖ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25510-2020</t>
        </is>
      </c>
      <c r="B1725" s="1" t="n">
        <v>43983</v>
      </c>
      <c r="C1725" s="1" t="n">
        <v>45832</v>
      </c>
      <c r="D1725" t="inlineStr">
        <is>
          <t>KRONOBERGS LÄN</t>
        </is>
      </c>
      <c r="E1725" t="inlineStr">
        <is>
          <t>VÄXJÖ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25507-2020</t>
        </is>
      </c>
      <c r="B1726" s="1" t="n">
        <v>43983</v>
      </c>
      <c r="C1726" s="1" t="n">
        <v>45832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25845-2020</t>
        </is>
      </c>
      <c r="B1727" s="1" t="n">
        <v>43984</v>
      </c>
      <c r="C1727" s="1" t="n">
        <v>45832</v>
      </c>
      <c r="D1727" t="inlineStr">
        <is>
          <t>KRONOBERGS LÄN</t>
        </is>
      </c>
      <c r="E1727" t="inlineStr">
        <is>
          <t>TINGSRYD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25767-2020</t>
        </is>
      </c>
      <c r="B1728" s="1" t="n">
        <v>43984</v>
      </c>
      <c r="C1728" s="1" t="n">
        <v>45832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25838-2020</t>
        </is>
      </c>
      <c r="B1729" s="1" t="n">
        <v>43984</v>
      </c>
      <c r="C1729" s="1" t="n">
        <v>45832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26143-2020</t>
        </is>
      </c>
      <c r="B1730" s="1" t="n">
        <v>43985</v>
      </c>
      <c r="C1730" s="1" t="n">
        <v>45832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26158-2020</t>
        </is>
      </c>
      <c r="B1731" s="1" t="n">
        <v>43985</v>
      </c>
      <c r="C1731" s="1" t="n">
        <v>45832</v>
      </c>
      <c r="D1731" t="inlineStr">
        <is>
          <t>KRONOBERGS LÄN</t>
        </is>
      </c>
      <c r="E1731" t="inlineStr">
        <is>
          <t>TINGSRYD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25982-2020</t>
        </is>
      </c>
      <c r="B1732" s="1" t="n">
        <v>43985</v>
      </c>
      <c r="C1732" s="1" t="n">
        <v>45832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26142-2020</t>
        </is>
      </c>
      <c r="B1733" s="1" t="n">
        <v>43985</v>
      </c>
      <c r="C1733" s="1" t="n">
        <v>45832</v>
      </c>
      <c r="D1733" t="inlineStr">
        <is>
          <t>KRONOBERGS LÄN</t>
        </is>
      </c>
      <c r="E1733" t="inlineStr">
        <is>
          <t>LESSEBO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26120-2020</t>
        </is>
      </c>
      <c r="B1734" s="1" t="n">
        <v>43985</v>
      </c>
      <c r="C1734" s="1" t="n">
        <v>45832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26208-2020</t>
        </is>
      </c>
      <c r="B1735" s="1" t="n">
        <v>43986</v>
      </c>
      <c r="C1735" s="1" t="n">
        <v>45832</v>
      </c>
      <c r="D1735" t="inlineStr">
        <is>
          <t>KRONOBERGS LÄN</t>
        </is>
      </c>
      <c r="E1735" t="inlineStr">
        <is>
          <t>VÄXJÖ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26360-2020</t>
        </is>
      </c>
      <c r="B1736" s="1" t="n">
        <v>43986</v>
      </c>
      <c r="C1736" s="1" t="n">
        <v>45832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26497-2020</t>
        </is>
      </c>
      <c r="B1737" s="1" t="n">
        <v>43987</v>
      </c>
      <c r="C1737" s="1" t="n">
        <v>45832</v>
      </c>
      <c r="D1737" t="inlineStr">
        <is>
          <t>KRONOBERGS LÄN</t>
        </is>
      </c>
      <c r="E1737" t="inlineStr">
        <is>
          <t>VÄXJÖ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26504-2020</t>
        </is>
      </c>
      <c r="B1738" s="1" t="n">
        <v>43987</v>
      </c>
      <c r="C1738" s="1" t="n">
        <v>45832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26675-2020</t>
        </is>
      </c>
      <c r="B1739" s="1" t="n">
        <v>43989</v>
      </c>
      <c r="C1739" s="1" t="n">
        <v>45832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26851-2020</t>
        </is>
      </c>
      <c r="B1740" s="1" t="n">
        <v>43990</v>
      </c>
      <c r="C1740" s="1" t="n">
        <v>45832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26939-2020</t>
        </is>
      </c>
      <c r="B1741" s="1" t="n">
        <v>43990</v>
      </c>
      <c r="C1741" s="1" t="n">
        <v>45832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26845-2020</t>
        </is>
      </c>
      <c r="B1742" s="1" t="n">
        <v>43990</v>
      </c>
      <c r="C1742" s="1" t="n">
        <v>45832</v>
      </c>
      <c r="D1742" t="inlineStr">
        <is>
          <t>KRONOBERGS LÄN</t>
        </is>
      </c>
      <c r="E1742" t="inlineStr">
        <is>
          <t>VÄXJÖ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26934-2020</t>
        </is>
      </c>
      <c r="B1743" s="1" t="n">
        <v>43990</v>
      </c>
      <c r="C1743" s="1" t="n">
        <v>45832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27001-2020</t>
        </is>
      </c>
      <c r="B1744" s="1" t="n">
        <v>43990</v>
      </c>
      <c r="C1744" s="1" t="n">
        <v>45832</v>
      </c>
      <c r="D1744" t="inlineStr">
        <is>
          <t>KRONOBERGS LÄN</t>
        </is>
      </c>
      <c r="E1744" t="inlineStr">
        <is>
          <t>LESSEBO</t>
        </is>
      </c>
      <c r="G1744" t="n">
        <v>18.7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27216-2020</t>
        </is>
      </c>
      <c r="B1745" s="1" t="n">
        <v>43991</v>
      </c>
      <c r="C1745" s="1" t="n">
        <v>45832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27362-2020</t>
        </is>
      </c>
      <c r="B1746" s="1" t="n">
        <v>43991</v>
      </c>
      <c r="C1746" s="1" t="n">
        <v>45832</v>
      </c>
      <c r="D1746" t="inlineStr">
        <is>
          <t>KRONOBERGS LÄN</t>
        </is>
      </c>
      <c r="E1746" t="inlineStr">
        <is>
          <t>MARKARYD</t>
        </is>
      </c>
      <c r="F1746" t="inlineStr">
        <is>
          <t>Kyrkan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27349-2020</t>
        </is>
      </c>
      <c r="B1747" s="1" t="n">
        <v>43992</v>
      </c>
      <c r="C1747" s="1" t="n">
        <v>45832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27367-2020</t>
        </is>
      </c>
      <c r="B1748" s="1" t="n">
        <v>43992</v>
      </c>
      <c r="C1748" s="1" t="n">
        <v>45832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27381-2020</t>
        </is>
      </c>
      <c r="B1749" s="1" t="n">
        <v>43992</v>
      </c>
      <c r="C1749" s="1" t="n">
        <v>45832</v>
      </c>
      <c r="D1749" t="inlineStr">
        <is>
          <t>KRONOBERGS LÄN</t>
        </is>
      </c>
      <c r="E1749" t="inlineStr">
        <is>
          <t>UPPVIDINGE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27751-2020</t>
        </is>
      </c>
      <c r="B1750" s="1" t="n">
        <v>43992</v>
      </c>
      <c r="C1750" s="1" t="n">
        <v>45832</v>
      </c>
      <c r="D1750" t="inlineStr">
        <is>
          <t>KRONOBERGS LÄN</t>
        </is>
      </c>
      <c r="E1750" t="inlineStr">
        <is>
          <t>ALVESTA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27221-2020</t>
        </is>
      </c>
      <c r="B1751" s="1" t="n">
        <v>43992</v>
      </c>
      <c r="C1751" s="1" t="n">
        <v>45832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27753-2020</t>
        </is>
      </c>
      <c r="B1752" s="1" t="n">
        <v>43992</v>
      </c>
      <c r="C1752" s="1" t="n">
        <v>45832</v>
      </c>
      <c r="D1752" t="inlineStr">
        <is>
          <t>KRONOBERGS LÄN</t>
        </is>
      </c>
      <c r="E1752" t="inlineStr">
        <is>
          <t>ALVESTA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27702-2020</t>
        </is>
      </c>
      <c r="B1753" s="1" t="n">
        <v>43992</v>
      </c>
      <c r="C1753" s="1" t="n">
        <v>45832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27711-2020</t>
        </is>
      </c>
      <c r="B1754" s="1" t="n">
        <v>43994</v>
      </c>
      <c r="C1754" s="1" t="n">
        <v>45832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27856-2020</t>
        </is>
      </c>
      <c r="B1755" s="1" t="n">
        <v>43994</v>
      </c>
      <c r="C1755" s="1" t="n">
        <v>45832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28150-2020</t>
        </is>
      </c>
      <c r="B1756" s="1" t="n">
        <v>43997</v>
      </c>
      <c r="C1756" s="1" t="n">
        <v>45832</v>
      </c>
      <c r="D1756" t="inlineStr">
        <is>
          <t>KRONOBERGS LÄN</t>
        </is>
      </c>
      <c r="E1756" t="inlineStr">
        <is>
          <t>VÄXJÖ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28464-2020</t>
        </is>
      </c>
      <c r="B1757" s="1" t="n">
        <v>43998</v>
      </c>
      <c r="C1757" s="1" t="n">
        <v>45832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28470-2020</t>
        </is>
      </c>
      <c r="B1758" s="1" t="n">
        <v>43998</v>
      </c>
      <c r="C1758" s="1" t="n">
        <v>45832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28468-2020</t>
        </is>
      </c>
      <c r="B1759" s="1" t="n">
        <v>43998</v>
      </c>
      <c r="C1759" s="1" t="n">
        <v>45832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28469-2020</t>
        </is>
      </c>
      <c r="B1760" s="1" t="n">
        <v>43998</v>
      </c>
      <c r="C1760" s="1" t="n">
        <v>45832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28668-2020</t>
        </is>
      </c>
      <c r="B1761" s="1" t="n">
        <v>43999</v>
      </c>
      <c r="C1761" s="1" t="n">
        <v>45832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28614-2020</t>
        </is>
      </c>
      <c r="B1762" s="1" t="n">
        <v>43999</v>
      </c>
      <c r="C1762" s="1" t="n">
        <v>45832</v>
      </c>
      <c r="D1762" t="inlineStr">
        <is>
          <t>KRONOBERGS LÄN</t>
        </is>
      </c>
      <c r="E1762" t="inlineStr">
        <is>
          <t>ÄLMHULT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28626-2020</t>
        </is>
      </c>
      <c r="B1763" s="1" t="n">
        <v>43999</v>
      </c>
      <c r="C1763" s="1" t="n">
        <v>45832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28607-2020</t>
        </is>
      </c>
      <c r="B1764" s="1" t="n">
        <v>43999</v>
      </c>
      <c r="C1764" s="1" t="n">
        <v>45832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28818-2020</t>
        </is>
      </c>
      <c r="B1765" s="1" t="n">
        <v>44000</v>
      </c>
      <c r="C1765" s="1" t="n">
        <v>45832</v>
      </c>
      <c r="D1765" t="inlineStr">
        <is>
          <t>KRONOBERGS LÄN</t>
        </is>
      </c>
      <c r="E1765" t="inlineStr">
        <is>
          <t>ALVESTA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28820-2020</t>
        </is>
      </c>
      <c r="B1766" s="1" t="n">
        <v>44000</v>
      </c>
      <c r="C1766" s="1" t="n">
        <v>45832</v>
      </c>
      <c r="D1766" t="inlineStr">
        <is>
          <t>KRONOBERGS LÄN</t>
        </is>
      </c>
      <c r="E1766" t="inlineStr">
        <is>
          <t>ALVESTA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28848-2020</t>
        </is>
      </c>
      <c r="B1767" s="1" t="n">
        <v>44000</v>
      </c>
      <c r="C1767" s="1" t="n">
        <v>45832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28908-2020</t>
        </is>
      </c>
      <c r="B1768" s="1" t="n">
        <v>44000</v>
      </c>
      <c r="C1768" s="1" t="n">
        <v>45832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28846-2020</t>
        </is>
      </c>
      <c r="B1769" s="1" t="n">
        <v>44000</v>
      </c>
      <c r="C1769" s="1" t="n">
        <v>45832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29348-2020</t>
        </is>
      </c>
      <c r="B1770" s="1" t="n">
        <v>44000</v>
      </c>
      <c r="C1770" s="1" t="n">
        <v>45832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29342-2020</t>
        </is>
      </c>
      <c r="B1771" s="1" t="n">
        <v>44000</v>
      </c>
      <c r="C1771" s="1" t="n">
        <v>45832</v>
      </c>
      <c r="D1771" t="inlineStr">
        <is>
          <t>KRONOBERGS LÄN</t>
        </is>
      </c>
      <c r="E1771" t="inlineStr">
        <is>
          <t>ALVESTA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29332-2020</t>
        </is>
      </c>
      <c r="B1772" s="1" t="n">
        <v>44000</v>
      </c>
      <c r="C1772" s="1" t="n">
        <v>45832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29077-2020</t>
        </is>
      </c>
      <c r="B1773" s="1" t="n">
        <v>44002</v>
      </c>
      <c r="C1773" s="1" t="n">
        <v>45832</v>
      </c>
      <c r="D1773" t="inlineStr">
        <is>
          <t>KRONOBERGS LÄN</t>
        </is>
      </c>
      <c r="E1773" t="inlineStr">
        <is>
          <t>ÄLMHULT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29079-2020</t>
        </is>
      </c>
      <c r="B1774" s="1" t="n">
        <v>44002</v>
      </c>
      <c r="C1774" s="1" t="n">
        <v>45832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29078-2020</t>
        </is>
      </c>
      <c r="B1775" s="1" t="n">
        <v>44002</v>
      </c>
      <c r="C1775" s="1" t="n">
        <v>45832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29351-2020</t>
        </is>
      </c>
      <c r="B1776" s="1" t="n">
        <v>44004</v>
      </c>
      <c r="C1776" s="1" t="n">
        <v>45832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29357-2020</t>
        </is>
      </c>
      <c r="B1777" s="1" t="n">
        <v>44004</v>
      </c>
      <c r="C1777" s="1" t="n">
        <v>45832</v>
      </c>
      <c r="D1777" t="inlineStr">
        <is>
          <t>KRONOBERGS LÄN</t>
        </is>
      </c>
      <c r="E1777" t="inlineStr">
        <is>
          <t>UPPVIDINGE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29120-2020</t>
        </is>
      </c>
      <c r="B1778" s="1" t="n">
        <v>44004</v>
      </c>
      <c r="C1778" s="1" t="n">
        <v>45832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29349-2020</t>
        </is>
      </c>
      <c r="B1779" s="1" t="n">
        <v>44004</v>
      </c>
      <c r="C1779" s="1" t="n">
        <v>45832</v>
      </c>
      <c r="D1779" t="inlineStr">
        <is>
          <t>KRONOBERGS LÄN</t>
        </is>
      </c>
      <c r="E1779" t="inlineStr">
        <is>
          <t>UPPVIDINGE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29305-2020</t>
        </is>
      </c>
      <c r="B1780" s="1" t="n">
        <v>44004</v>
      </c>
      <c r="C1780" s="1" t="n">
        <v>45832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29352-2020</t>
        </is>
      </c>
      <c r="B1781" s="1" t="n">
        <v>44004</v>
      </c>
      <c r="C1781" s="1" t="n">
        <v>45832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29450-2020</t>
        </is>
      </c>
      <c r="B1782" s="1" t="n">
        <v>44004</v>
      </c>
      <c r="C1782" s="1" t="n">
        <v>45832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29466-2020</t>
        </is>
      </c>
      <c r="B1783" s="1" t="n">
        <v>44004</v>
      </c>
      <c r="C1783" s="1" t="n">
        <v>45832</v>
      </c>
      <c r="D1783" t="inlineStr">
        <is>
          <t>KRONOBERGS LÄN</t>
        </is>
      </c>
      <c r="E1783" t="inlineStr">
        <is>
          <t>MARKARYD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29524-2020</t>
        </is>
      </c>
      <c r="B1784" s="1" t="n">
        <v>44005</v>
      </c>
      <c r="C1784" s="1" t="n">
        <v>45832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29651-2020</t>
        </is>
      </c>
      <c r="B1785" s="1" t="n">
        <v>44005</v>
      </c>
      <c r="C1785" s="1" t="n">
        <v>45832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29561-2020</t>
        </is>
      </c>
      <c r="B1786" s="1" t="n">
        <v>44005</v>
      </c>
      <c r="C1786" s="1" t="n">
        <v>45832</v>
      </c>
      <c r="D1786" t="inlineStr">
        <is>
          <t>KRONOBERGS LÄN</t>
        </is>
      </c>
      <c r="E1786" t="inlineStr">
        <is>
          <t>LJUNGBY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29677-2020</t>
        </is>
      </c>
      <c r="B1787" s="1" t="n">
        <v>44005</v>
      </c>
      <c r="C1787" s="1" t="n">
        <v>45832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29765-2020</t>
        </is>
      </c>
      <c r="B1788" s="1" t="n">
        <v>44005</v>
      </c>
      <c r="C1788" s="1" t="n">
        <v>45832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30246-2020</t>
        </is>
      </c>
      <c r="B1789" s="1" t="n">
        <v>44007</v>
      </c>
      <c r="C1789" s="1" t="n">
        <v>45832</v>
      </c>
      <c r="D1789" t="inlineStr">
        <is>
          <t>KRONOBERGS LÄN</t>
        </is>
      </c>
      <c r="E1789" t="inlineStr">
        <is>
          <t>VÄXJÖ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30379-2020</t>
        </is>
      </c>
      <c r="B1790" s="1" t="n">
        <v>44007</v>
      </c>
      <c r="C1790" s="1" t="n">
        <v>45832</v>
      </c>
      <c r="D1790" t="inlineStr">
        <is>
          <t>KRONOBERGS LÄN</t>
        </is>
      </c>
      <c r="E1790" t="inlineStr">
        <is>
          <t>LJUNGBY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30438-2020</t>
        </is>
      </c>
      <c r="B1791" s="1" t="n">
        <v>44007</v>
      </c>
      <c r="C1791" s="1" t="n">
        <v>45832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30151-2020</t>
        </is>
      </c>
      <c r="B1792" s="1" t="n">
        <v>44007</v>
      </c>
      <c r="C1792" s="1" t="n">
        <v>45832</v>
      </c>
      <c r="D1792" t="inlineStr">
        <is>
          <t>KRONOBERGS LÄN</t>
        </is>
      </c>
      <c r="E1792" t="inlineStr">
        <is>
          <t>MARKARYD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30700-2020</t>
        </is>
      </c>
      <c r="B1793" s="1" t="n">
        <v>44008</v>
      </c>
      <c r="C1793" s="1" t="n">
        <v>45832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30551-2020</t>
        </is>
      </c>
      <c r="B1794" s="1" t="n">
        <v>44008</v>
      </c>
      <c r="C1794" s="1" t="n">
        <v>45832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30607-2020</t>
        </is>
      </c>
      <c r="B1795" s="1" t="n">
        <v>44008</v>
      </c>
      <c r="C1795" s="1" t="n">
        <v>45832</v>
      </c>
      <c r="D1795" t="inlineStr">
        <is>
          <t>KRONOBERGS LÄN</t>
        </is>
      </c>
      <c r="E1795" t="inlineStr">
        <is>
          <t>ÄLMHULT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30702-2020</t>
        </is>
      </c>
      <c r="B1796" s="1" t="n">
        <v>44008</v>
      </c>
      <c r="C1796" s="1" t="n">
        <v>45832</v>
      </c>
      <c r="D1796" t="inlineStr">
        <is>
          <t>KRONOBERGS LÄN</t>
        </is>
      </c>
      <c r="E1796" t="inlineStr">
        <is>
          <t>LJUNGBY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30769-2020</t>
        </is>
      </c>
      <c r="B1797" s="1" t="n">
        <v>44009</v>
      </c>
      <c r="C1797" s="1" t="n">
        <v>45832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30862-2020</t>
        </is>
      </c>
      <c r="B1798" s="1" t="n">
        <v>44011</v>
      </c>
      <c r="C1798" s="1" t="n">
        <v>45832</v>
      </c>
      <c r="D1798" t="inlineStr">
        <is>
          <t>KRONOBERGS LÄN</t>
        </is>
      </c>
      <c r="E1798" t="inlineStr">
        <is>
          <t>MARKARYD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30827-2020</t>
        </is>
      </c>
      <c r="B1799" s="1" t="n">
        <v>44011</v>
      </c>
      <c r="C1799" s="1" t="n">
        <v>45832</v>
      </c>
      <c r="D1799" t="inlineStr">
        <is>
          <t>KRONOBERGS LÄN</t>
        </is>
      </c>
      <c r="E1799" t="inlineStr">
        <is>
          <t>LJUNGBY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31140-2020</t>
        </is>
      </c>
      <c r="B1800" s="1" t="n">
        <v>44012</v>
      </c>
      <c r="C1800" s="1" t="n">
        <v>45832</v>
      </c>
      <c r="D1800" t="inlineStr">
        <is>
          <t>KRONOBERGS LÄN</t>
        </is>
      </c>
      <c r="E1800" t="inlineStr">
        <is>
          <t>ALVESTA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31133-2020</t>
        </is>
      </c>
      <c r="B1801" s="1" t="n">
        <v>44012</v>
      </c>
      <c r="C1801" s="1" t="n">
        <v>45832</v>
      </c>
      <c r="D1801" t="inlineStr">
        <is>
          <t>KRONOBERGS LÄN</t>
        </is>
      </c>
      <c r="E1801" t="inlineStr">
        <is>
          <t>ALVESTA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31124-2020</t>
        </is>
      </c>
      <c r="B1802" s="1" t="n">
        <v>44012</v>
      </c>
      <c r="C1802" s="1" t="n">
        <v>45832</v>
      </c>
      <c r="D1802" t="inlineStr">
        <is>
          <t>KRONOBERGS LÄN</t>
        </is>
      </c>
      <c r="E1802" t="inlineStr">
        <is>
          <t>ALVESTA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31518-2020</t>
        </is>
      </c>
      <c r="B1803" s="1" t="n">
        <v>44013</v>
      </c>
      <c r="C1803" s="1" t="n">
        <v>45832</v>
      </c>
      <c r="D1803" t="inlineStr">
        <is>
          <t>KRONOBERGS LÄN</t>
        </is>
      </c>
      <c r="E1803" t="inlineStr">
        <is>
          <t>TINGSRYD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31495-2020</t>
        </is>
      </c>
      <c r="B1804" s="1" t="n">
        <v>44013</v>
      </c>
      <c r="C1804" s="1" t="n">
        <v>45832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31900-2020</t>
        </is>
      </c>
      <c r="B1805" s="1" t="n">
        <v>44014</v>
      </c>
      <c r="C1805" s="1" t="n">
        <v>45832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31913-2020</t>
        </is>
      </c>
      <c r="B1806" s="1" t="n">
        <v>44014</v>
      </c>
      <c r="C1806" s="1" t="n">
        <v>45832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31679-2020</t>
        </is>
      </c>
      <c r="B1807" s="1" t="n">
        <v>44014</v>
      </c>
      <c r="C1807" s="1" t="n">
        <v>45832</v>
      </c>
      <c r="D1807" t="inlineStr">
        <is>
          <t>KRONOBERGS LÄN</t>
        </is>
      </c>
      <c r="E1807" t="inlineStr">
        <is>
          <t>TINGSRYD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31726-2020</t>
        </is>
      </c>
      <c r="B1808" s="1" t="n">
        <v>44014</v>
      </c>
      <c r="C1808" s="1" t="n">
        <v>45832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31778-2020</t>
        </is>
      </c>
      <c r="B1809" s="1" t="n">
        <v>44014</v>
      </c>
      <c r="C1809" s="1" t="n">
        <v>45832</v>
      </c>
      <c r="D1809" t="inlineStr">
        <is>
          <t>KRONOBERGS LÄN</t>
        </is>
      </c>
      <c r="E1809" t="inlineStr">
        <is>
          <t>ALVESTA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31898-2020</t>
        </is>
      </c>
      <c r="B1810" s="1" t="n">
        <v>44014</v>
      </c>
      <c r="C1810" s="1" t="n">
        <v>45832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31911-2020</t>
        </is>
      </c>
      <c r="B1811" s="1" t="n">
        <v>44014</v>
      </c>
      <c r="C1811" s="1" t="n">
        <v>45832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31923-2020</t>
        </is>
      </c>
      <c r="B1812" s="1" t="n">
        <v>44014</v>
      </c>
      <c r="C1812" s="1" t="n">
        <v>45832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31925-2020</t>
        </is>
      </c>
      <c r="B1813" s="1" t="n">
        <v>44014</v>
      </c>
      <c r="C1813" s="1" t="n">
        <v>45832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31902-2020</t>
        </is>
      </c>
      <c r="B1814" s="1" t="n">
        <v>44014</v>
      </c>
      <c r="C1814" s="1" t="n">
        <v>45832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31915-2020</t>
        </is>
      </c>
      <c r="B1815" s="1" t="n">
        <v>44014</v>
      </c>
      <c r="C1815" s="1" t="n">
        <v>45832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32052-2020</t>
        </is>
      </c>
      <c r="B1816" s="1" t="n">
        <v>44015</v>
      </c>
      <c r="C1816" s="1" t="n">
        <v>45832</v>
      </c>
      <c r="D1816" t="inlineStr">
        <is>
          <t>KRONOBERGS LÄN</t>
        </is>
      </c>
      <c r="E1816" t="inlineStr">
        <is>
          <t>TINGSRYD</t>
        </is>
      </c>
      <c r="G1816" t="n">
        <v>15.3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32345-2020</t>
        </is>
      </c>
      <c r="B1817" s="1" t="n">
        <v>44016</v>
      </c>
      <c r="C1817" s="1" t="n">
        <v>45832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32346-2020</t>
        </is>
      </c>
      <c r="B1818" s="1" t="n">
        <v>44016</v>
      </c>
      <c r="C1818" s="1" t="n">
        <v>45832</v>
      </c>
      <c r="D1818" t="inlineStr">
        <is>
          <t>KRONOBERGS LÄN</t>
        </is>
      </c>
      <c r="E1818" t="inlineStr">
        <is>
          <t>ALVESTA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32347-2020</t>
        </is>
      </c>
      <c r="B1819" s="1" t="n">
        <v>44016</v>
      </c>
      <c r="C1819" s="1" t="n">
        <v>45832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32492-2020</t>
        </is>
      </c>
      <c r="B1820" s="1" t="n">
        <v>44018</v>
      </c>
      <c r="C1820" s="1" t="n">
        <v>45832</v>
      </c>
      <c r="D1820" t="inlineStr">
        <is>
          <t>KRONOBERGS LÄN</t>
        </is>
      </c>
      <c r="E1820" t="inlineStr">
        <is>
          <t>ALVESTA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32496-2020</t>
        </is>
      </c>
      <c r="B1821" s="1" t="n">
        <v>44018</v>
      </c>
      <c r="C1821" s="1" t="n">
        <v>45832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32824-2020</t>
        </is>
      </c>
      <c r="B1822" s="1" t="n">
        <v>44018</v>
      </c>
      <c r="C1822" s="1" t="n">
        <v>45832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32839-2020</t>
        </is>
      </c>
      <c r="B1823" s="1" t="n">
        <v>44018</v>
      </c>
      <c r="C1823" s="1" t="n">
        <v>45832</v>
      </c>
      <c r="D1823" t="inlineStr">
        <is>
          <t>KRONOBERGS LÄN</t>
        </is>
      </c>
      <c r="E1823" t="inlineStr">
        <is>
          <t>ALVESTA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32686-2020</t>
        </is>
      </c>
      <c r="B1824" s="1" t="n">
        <v>44019</v>
      </c>
      <c r="C1824" s="1" t="n">
        <v>45832</v>
      </c>
      <c r="D1824" t="inlineStr">
        <is>
          <t>KRONOBERGS LÄN</t>
        </is>
      </c>
      <c r="E1824" t="inlineStr">
        <is>
          <t>VÄXJÖ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32674-2020</t>
        </is>
      </c>
      <c r="B1825" s="1" t="n">
        <v>44019</v>
      </c>
      <c r="C1825" s="1" t="n">
        <v>45832</v>
      </c>
      <c r="D1825" t="inlineStr">
        <is>
          <t>KRONOBERGS LÄN</t>
        </is>
      </c>
      <c r="E1825" t="inlineStr">
        <is>
          <t>TINGSRYD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32856-2020</t>
        </is>
      </c>
      <c r="B1826" s="1" t="n">
        <v>44020</v>
      </c>
      <c r="C1826" s="1" t="n">
        <v>45832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32926-2020</t>
        </is>
      </c>
      <c r="B1827" s="1" t="n">
        <v>44020</v>
      </c>
      <c r="C1827" s="1" t="n">
        <v>45832</v>
      </c>
      <c r="D1827" t="inlineStr">
        <is>
          <t>KRONOBERGS LÄN</t>
        </is>
      </c>
      <c r="E1827" t="inlineStr">
        <is>
          <t>VÄXJÖ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32967-2020</t>
        </is>
      </c>
      <c r="B1828" s="1" t="n">
        <v>44020</v>
      </c>
      <c r="C1828" s="1" t="n">
        <v>45832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32971-2020</t>
        </is>
      </c>
      <c r="B1829" s="1" t="n">
        <v>44020</v>
      </c>
      <c r="C1829" s="1" t="n">
        <v>45832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32792-2020</t>
        </is>
      </c>
      <c r="B1830" s="1" t="n">
        <v>44020</v>
      </c>
      <c r="C1830" s="1" t="n">
        <v>45832</v>
      </c>
      <c r="D1830" t="inlineStr">
        <is>
          <t>KRONOBERGS LÄN</t>
        </is>
      </c>
      <c r="E1830" t="inlineStr">
        <is>
          <t>LJUNGBY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33234-2020</t>
        </is>
      </c>
      <c r="B1831" s="1" t="n">
        <v>44022</v>
      </c>
      <c r="C1831" s="1" t="n">
        <v>45832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33710-2020</t>
        </is>
      </c>
      <c r="B1832" s="1" t="n">
        <v>44022</v>
      </c>
      <c r="C1832" s="1" t="n">
        <v>45832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33314-2020</t>
        </is>
      </c>
      <c r="B1833" s="1" t="n">
        <v>44022</v>
      </c>
      <c r="C1833" s="1" t="n">
        <v>45832</v>
      </c>
      <c r="D1833" t="inlineStr">
        <is>
          <t>KRONOBERGS LÄN</t>
        </is>
      </c>
      <c r="E1833" t="inlineStr">
        <is>
          <t>ALVESTA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33525-2020</t>
        </is>
      </c>
      <c r="B1834" s="1" t="n">
        <v>44025</v>
      </c>
      <c r="C1834" s="1" t="n">
        <v>45832</v>
      </c>
      <c r="D1834" t="inlineStr">
        <is>
          <t>KRONOBERGS LÄN</t>
        </is>
      </c>
      <c r="E1834" t="inlineStr">
        <is>
          <t>VÄXJÖ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33549-2020</t>
        </is>
      </c>
      <c r="B1835" s="1" t="n">
        <v>44025</v>
      </c>
      <c r="C1835" s="1" t="n">
        <v>45832</v>
      </c>
      <c r="D1835" t="inlineStr">
        <is>
          <t>KRONOBERGS LÄN</t>
        </is>
      </c>
      <c r="E1835" t="inlineStr">
        <is>
          <t>VÄXJÖ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33522-2020</t>
        </is>
      </c>
      <c r="B1836" s="1" t="n">
        <v>44025</v>
      </c>
      <c r="C1836" s="1" t="n">
        <v>45832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33958-2020</t>
        </is>
      </c>
      <c r="B1837" s="1" t="n">
        <v>44026</v>
      </c>
      <c r="C1837" s="1" t="n">
        <v>45832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33829-2020</t>
        </is>
      </c>
      <c r="B1838" s="1" t="n">
        <v>44027</v>
      </c>
      <c r="C1838" s="1" t="n">
        <v>45832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34019-2020</t>
        </is>
      </c>
      <c r="B1839" s="1" t="n">
        <v>44027</v>
      </c>
      <c r="C1839" s="1" t="n">
        <v>45832</v>
      </c>
      <c r="D1839" t="inlineStr">
        <is>
          <t>KRONOBERGS LÄN</t>
        </is>
      </c>
      <c r="E1839" t="inlineStr">
        <is>
          <t>TINGSRYD</t>
        </is>
      </c>
      <c r="G1839" t="n">
        <v>14.4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33984-2020</t>
        </is>
      </c>
      <c r="B1840" s="1" t="n">
        <v>44028</v>
      </c>
      <c r="C1840" s="1" t="n">
        <v>45832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34326-2020</t>
        </is>
      </c>
      <c r="B1841" s="1" t="n">
        <v>44028</v>
      </c>
      <c r="C1841" s="1" t="n">
        <v>45832</v>
      </c>
      <c r="D1841" t="inlineStr">
        <is>
          <t>KRONOBERGS LÄN</t>
        </is>
      </c>
      <c r="E1841" t="inlineStr">
        <is>
          <t>VÄXJÖ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34195-2020</t>
        </is>
      </c>
      <c r="B1842" s="1" t="n">
        <v>44029</v>
      </c>
      <c r="C1842" s="1" t="n">
        <v>45832</v>
      </c>
      <c r="D1842" t="inlineStr">
        <is>
          <t>KRONOBERGS LÄN</t>
        </is>
      </c>
      <c r="E1842" t="inlineStr">
        <is>
          <t>UPPVIDINGE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34153-2020</t>
        </is>
      </c>
      <c r="B1843" s="1" t="n">
        <v>44029</v>
      </c>
      <c r="C1843" s="1" t="n">
        <v>45832</v>
      </c>
      <c r="D1843" t="inlineStr">
        <is>
          <t>KRONOBERGS LÄN</t>
        </is>
      </c>
      <c r="E1843" t="inlineStr">
        <is>
          <t>UPPVIDINGE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34146-2020</t>
        </is>
      </c>
      <c r="B1844" s="1" t="n">
        <v>44029</v>
      </c>
      <c r="C1844" s="1" t="n">
        <v>45832</v>
      </c>
      <c r="D1844" t="inlineStr">
        <is>
          <t>KRONOBERGS LÄN</t>
        </is>
      </c>
      <c r="E1844" t="inlineStr">
        <is>
          <t>ÄLMHULT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34384-2020</t>
        </is>
      </c>
      <c r="B1845" s="1" t="n">
        <v>44032</v>
      </c>
      <c r="C1845" s="1" t="n">
        <v>45832</v>
      </c>
      <c r="D1845" t="inlineStr">
        <is>
          <t>KRONOBERGS LÄN</t>
        </is>
      </c>
      <c r="E1845" t="inlineStr">
        <is>
          <t>TINGSRYD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34377-2020</t>
        </is>
      </c>
      <c r="B1846" s="1" t="n">
        <v>44032</v>
      </c>
      <c r="C1846" s="1" t="n">
        <v>45832</v>
      </c>
      <c r="D1846" t="inlineStr">
        <is>
          <t>KRONOBERGS LÄN</t>
        </is>
      </c>
      <c r="E1846" t="inlineStr">
        <is>
          <t>ALVESTA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34487-2020</t>
        </is>
      </c>
      <c r="B1847" s="1" t="n">
        <v>44033</v>
      </c>
      <c r="C1847" s="1" t="n">
        <v>45832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34745-2020</t>
        </is>
      </c>
      <c r="B1848" s="1" t="n">
        <v>44035</v>
      </c>
      <c r="C1848" s="1" t="n">
        <v>45832</v>
      </c>
      <c r="D1848" t="inlineStr">
        <is>
          <t>KRONOBERGS LÄN</t>
        </is>
      </c>
      <c r="E1848" t="inlineStr">
        <is>
          <t>UPPVIDINGE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34728-2020</t>
        </is>
      </c>
      <c r="B1849" s="1" t="n">
        <v>44035</v>
      </c>
      <c r="C1849" s="1" t="n">
        <v>45832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34727-2020</t>
        </is>
      </c>
      <c r="B1850" s="1" t="n">
        <v>44035</v>
      </c>
      <c r="C1850" s="1" t="n">
        <v>45832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34829-2020</t>
        </is>
      </c>
      <c r="B1851" s="1" t="n">
        <v>44036</v>
      </c>
      <c r="C1851" s="1" t="n">
        <v>45832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34809-2020</t>
        </is>
      </c>
      <c r="B1852" s="1" t="n">
        <v>44036</v>
      </c>
      <c r="C1852" s="1" t="n">
        <v>45832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34883-2020</t>
        </is>
      </c>
      <c r="B1853" s="1" t="n">
        <v>44036</v>
      </c>
      <c r="C1853" s="1" t="n">
        <v>45832</v>
      </c>
      <c r="D1853" t="inlineStr">
        <is>
          <t>KRONOBERGS LÄN</t>
        </is>
      </c>
      <c r="E1853" t="inlineStr">
        <is>
          <t>UPPVIDINGE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34914-2020</t>
        </is>
      </c>
      <c r="B1854" s="1" t="n">
        <v>44036</v>
      </c>
      <c r="C1854" s="1" t="n">
        <v>45832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35055-2020</t>
        </is>
      </c>
      <c r="B1855" s="1" t="n">
        <v>44039</v>
      </c>
      <c r="C1855" s="1" t="n">
        <v>45832</v>
      </c>
      <c r="D1855" t="inlineStr">
        <is>
          <t>KRONOBERGS LÄN</t>
        </is>
      </c>
      <c r="E1855" t="inlineStr">
        <is>
          <t>ÄLMHULT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35030-2020</t>
        </is>
      </c>
      <c r="B1856" s="1" t="n">
        <v>44039</v>
      </c>
      <c r="C1856" s="1" t="n">
        <v>45832</v>
      </c>
      <c r="D1856" t="inlineStr">
        <is>
          <t>KRONOBERGS LÄN</t>
        </is>
      </c>
      <c r="E1856" t="inlineStr">
        <is>
          <t>ÄLMHULT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34978-2020</t>
        </is>
      </c>
      <c r="B1857" s="1" t="n">
        <v>44039</v>
      </c>
      <c r="C1857" s="1" t="n">
        <v>45832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35236-2020</t>
        </is>
      </c>
      <c r="B1858" s="1" t="n">
        <v>44041</v>
      </c>
      <c r="C1858" s="1" t="n">
        <v>45832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35238-2020</t>
        </is>
      </c>
      <c r="B1859" s="1" t="n">
        <v>44041</v>
      </c>
      <c r="C1859" s="1" t="n">
        <v>45832</v>
      </c>
      <c r="D1859" t="inlineStr">
        <is>
          <t>KRONOBERGS LÄN</t>
        </is>
      </c>
      <c r="E1859" t="inlineStr">
        <is>
          <t>MARKARYD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35241-2020</t>
        </is>
      </c>
      <c r="B1860" s="1" t="n">
        <v>44041</v>
      </c>
      <c r="C1860" s="1" t="n">
        <v>45832</v>
      </c>
      <c r="D1860" t="inlineStr">
        <is>
          <t>KRONOBERGS LÄN</t>
        </is>
      </c>
      <c r="E1860" t="inlineStr">
        <is>
          <t>MARKARYD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35455-2020</t>
        </is>
      </c>
      <c r="B1861" s="1" t="n">
        <v>44042</v>
      </c>
      <c r="C1861" s="1" t="n">
        <v>45832</v>
      </c>
      <c r="D1861" t="inlineStr">
        <is>
          <t>KRONOBERGS LÄN</t>
        </is>
      </c>
      <c r="E1861" t="inlineStr">
        <is>
          <t>TINGSRYD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35529-2020</t>
        </is>
      </c>
      <c r="B1862" s="1" t="n">
        <v>44043</v>
      </c>
      <c r="C1862" s="1" t="n">
        <v>45832</v>
      </c>
      <c r="D1862" t="inlineStr">
        <is>
          <t>KRONOBERGS LÄN</t>
        </is>
      </c>
      <c r="E1862" t="inlineStr">
        <is>
          <t>LJUNGBY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35634-2020</t>
        </is>
      </c>
      <c r="B1863" s="1" t="n">
        <v>44046</v>
      </c>
      <c r="C1863" s="1" t="n">
        <v>45832</v>
      </c>
      <c r="D1863" t="inlineStr">
        <is>
          <t>KRONOBERGS LÄN</t>
        </is>
      </c>
      <c r="E1863" t="inlineStr">
        <is>
          <t>ÄLMHULT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35636-2020</t>
        </is>
      </c>
      <c r="B1864" s="1" t="n">
        <v>44046</v>
      </c>
      <c r="C1864" s="1" t="n">
        <v>45832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35717-2020</t>
        </is>
      </c>
      <c r="B1865" s="1" t="n">
        <v>44046</v>
      </c>
      <c r="C1865" s="1" t="n">
        <v>45832</v>
      </c>
      <c r="D1865" t="inlineStr">
        <is>
          <t>KRONOBERGS LÄN</t>
        </is>
      </c>
      <c r="E1865" t="inlineStr">
        <is>
          <t>ALVESTA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35947-2020</t>
        </is>
      </c>
      <c r="B1866" s="1" t="n">
        <v>44047</v>
      </c>
      <c r="C1866" s="1" t="n">
        <v>45832</v>
      </c>
      <c r="D1866" t="inlineStr">
        <is>
          <t>KRONOBERGS LÄN</t>
        </is>
      </c>
      <c r="E1866" t="inlineStr">
        <is>
          <t>VÄXJÖ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35972-2020</t>
        </is>
      </c>
      <c r="B1867" s="1" t="n">
        <v>44047</v>
      </c>
      <c r="C1867" s="1" t="n">
        <v>45832</v>
      </c>
      <c r="D1867" t="inlineStr">
        <is>
          <t>KRONOBERGS LÄN</t>
        </is>
      </c>
      <c r="E1867" t="inlineStr">
        <is>
          <t>ALVESTA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36093-2020</t>
        </is>
      </c>
      <c r="B1868" s="1" t="n">
        <v>44048</v>
      </c>
      <c r="C1868" s="1" t="n">
        <v>45832</v>
      </c>
      <c r="D1868" t="inlineStr">
        <is>
          <t>KRONOBERGS LÄN</t>
        </is>
      </c>
      <c r="E1868" t="inlineStr">
        <is>
          <t>ALVESTA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36263-2020</t>
        </is>
      </c>
      <c r="B1869" s="1" t="n">
        <v>44048</v>
      </c>
      <c r="C1869" s="1" t="n">
        <v>45832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36125-2020</t>
        </is>
      </c>
      <c r="B1870" s="1" t="n">
        <v>44048</v>
      </c>
      <c r="C1870" s="1" t="n">
        <v>45832</v>
      </c>
      <c r="D1870" t="inlineStr">
        <is>
          <t>KRONOBERGS LÄN</t>
        </is>
      </c>
      <c r="E1870" t="inlineStr">
        <is>
          <t>VÄXJÖ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36087-2020</t>
        </is>
      </c>
      <c r="B1871" s="1" t="n">
        <v>44048</v>
      </c>
      <c r="C1871" s="1" t="n">
        <v>45832</v>
      </c>
      <c r="D1871" t="inlineStr">
        <is>
          <t>KRONOBERGS LÄN</t>
        </is>
      </c>
      <c r="E1871" t="inlineStr">
        <is>
          <t>ALVESTA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36251-2020</t>
        </is>
      </c>
      <c r="B1872" s="1" t="n">
        <v>44049</v>
      </c>
      <c r="C1872" s="1" t="n">
        <v>45832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36420-2020</t>
        </is>
      </c>
      <c r="B1873" s="1" t="n">
        <v>44049</v>
      </c>
      <c r="C1873" s="1" t="n">
        <v>45832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statliga verk och myndigheter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36246-2020</t>
        </is>
      </c>
      <c r="B1874" s="1" t="n">
        <v>44049</v>
      </c>
      <c r="C1874" s="1" t="n">
        <v>45832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36353-2020</t>
        </is>
      </c>
      <c r="B1875" s="1" t="n">
        <v>44049</v>
      </c>
      <c r="C1875" s="1" t="n">
        <v>45832</v>
      </c>
      <c r="D1875" t="inlineStr">
        <is>
          <t>KRONOBERGS LÄN</t>
        </is>
      </c>
      <c r="E1875" t="inlineStr">
        <is>
          <t>ALVESTA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36623-2020</t>
        </is>
      </c>
      <c r="B1876" s="1" t="n">
        <v>44050</v>
      </c>
      <c r="C1876" s="1" t="n">
        <v>45832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36679-2020</t>
        </is>
      </c>
      <c r="B1877" s="1" t="n">
        <v>44051</v>
      </c>
      <c r="C1877" s="1" t="n">
        <v>45832</v>
      </c>
      <c r="D1877" t="inlineStr">
        <is>
          <t>KRONOBERGS LÄN</t>
        </is>
      </c>
      <c r="E1877" t="inlineStr">
        <is>
          <t>ALVESTA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36861-2020</t>
        </is>
      </c>
      <c r="B1878" s="1" t="n">
        <v>44053</v>
      </c>
      <c r="C1878" s="1" t="n">
        <v>45832</v>
      </c>
      <c r="D1878" t="inlineStr">
        <is>
          <t>KRONOBERGS LÄN</t>
        </is>
      </c>
      <c r="E1878" t="inlineStr">
        <is>
          <t>TINGSRYD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36863-2020</t>
        </is>
      </c>
      <c r="B1879" s="1" t="n">
        <v>44053</v>
      </c>
      <c r="C1879" s="1" t="n">
        <v>45832</v>
      </c>
      <c r="D1879" t="inlineStr">
        <is>
          <t>KRONOBERGS LÄN</t>
        </is>
      </c>
      <c r="E1879" t="inlineStr">
        <is>
          <t>TINGSRYD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36886-2020</t>
        </is>
      </c>
      <c r="B1880" s="1" t="n">
        <v>44053</v>
      </c>
      <c r="C1880" s="1" t="n">
        <v>45832</v>
      </c>
      <c r="D1880" t="inlineStr">
        <is>
          <t>KRONOBERGS LÄN</t>
        </is>
      </c>
      <c r="E1880" t="inlineStr">
        <is>
          <t>ALVESTA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37047-2020</t>
        </is>
      </c>
      <c r="B1881" s="1" t="n">
        <v>44054</v>
      </c>
      <c r="C1881" s="1" t="n">
        <v>45832</v>
      </c>
      <c r="D1881" t="inlineStr">
        <is>
          <t>KRONOBERGS LÄN</t>
        </is>
      </c>
      <c r="E1881" t="inlineStr">
        <is>
          <t>ÄLMHULT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37048-2020</t>
        </is>
      </c>
      <c r="B1882" s="1" t="n">
        <v>44054</v>
      </c>
      <c r="C1882" s="1" t="n">
        <v>45832</v>
      </c>
      <c r="D1882" t="inlineStr">
        <is>
          <t>KRONOBERGS LÄN</t>
        </is>
      </c>
      <c r="E1882" t="inlineStr">
        <is>
          <t>TINGSRYD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37061-2020</t>
        </is>
      </c>
      <c r="B1883" s="1" t="n">
        <v>44054</v>
      </c>
      <c r="C1883" s="1" t="n">
        <v>45832</v>
      </c>
      <c r="D1883" t="inlineStr">
        <is>
          <t>KRONOBERGS LÄN</t>
        </is>
      </c>
      <c r="E1883" t="inlineStr">
        <is>
          <t>ÄLMHULT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37043-2020</t>
        </is>
      </c>
      <c r="B1884" s="1" t="n">
        <v>44054</v>
      </c>
      <c r="C1884" s="1" t="n">
        <v>45832</v>
      </c>
      <c r="D1884" t="inlineStr">
        <is>
          <t>KRONOBERGS LÄN</t>
        </is>
      </c>
      <c r="E1884" t="inlineStr">
        <is>
          <t>ÄLMHULT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37066-2020</t>
        </is>
      </c>
      <c r="B1885" s="1" t="n">
        <v>44054</v>
      </c>
      <c r="C1885" s="1" t="n">
        <v>45832</v>
      </c>
      <c r="D1885" t="inlineStr">
        <is>
          <t>KRONOBERGS LÄN</t>
        </is>
      </c>
      <c r="E1885" t="inlineStr">
        <is>
          <t>ÄLMHULT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37088-2020</t>
        </is>
      </c>
      <c r="B1886" s="1" t="n">
        <v>44054</v>
      </c>
      <c r="C1886" s="1" t="n">
        <v>45832</v>
      </c>
      <c r="D1886" t="inlineStr">
        <is>
          <t>KRONOBERGS LÄN</t>
        </is>
      </c>
      <c r="E1886" t="inlineStr">
        <is>
          <t>TINGSRYD</t>
        </is>
      </c>
      <c r="F1886" t="inlineStr">
        <is>
          <t>Övriga Aktiebolag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37100-2020</t>
        </is>
      </c>
      <c r="B1887" s="1" t="n">
        <v>44054</v>
      </c>
      <c r="C1887" s="1" t="n">
        <v>45832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37105-2020</t>
        </is>
      </c>
      <c r="B1888" s="1" t="n">
        <v>44054</v>
      </c>
      <c r="C1888" s="1" t="n">
        <v>45832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37262-2020</t>
        </is>
      </c>
      <c r="B1889" s="1" t="n">
        <v>44054</v>
      </c>
      <c r="C1889" s="1" t="n">
        <v>45832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37036-2020</t>
        </is>
      </c>
      <c r="B1890" s="1" t="n">
        <v>44054</v>
      </c>
      <c r="C1890" s="1" t="n">
        <v>45832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37109-2020</t>
        </is>
      </c>
      <c r="B1891" s="1" t="n">
        <v>44054</v>
      </c>
      <c r="C1891" s="1" t="n">
        <v>45832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37306-2020</t>
        </is>
      </c>
      <c r="B1892" s="1" t="n">
        <v>44055</v>
      </c>
      <c r="C1892" s="1" t="n">
        <v>45832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37414-2020</t>
        </is>
      </c>
      <c r="B1893" s="1" t="n">
        <v>44055</v>
      </c>
      <c r="C1893" s="1" t="n">
        <v>45832</v>
      </c>
      <c r="D1893" t="inlineStr">
        <is>
          <t>KRONOBERGS LÄN</t>
        </is>
      </c>
      <c r="E1893" t="inlineStr">
        <is>
          <t>TINGSRYD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37463-2020</t>
        </is>
      </c>
      <c r="B1894" s="1" t="n">
        <v>44055</v>
      </c>
      <c r="C1894" s="1" t="n">
        <v>45832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37695-2020</t>
        </is>
      </c>
      <c r="B1895" s="1" t="n">
        <v>44056</v>
      </c>
      <c r="C1895" s="1" t="n">
        <v>45832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37725-2020</t>
        </is>
      </c>
      <c r="B1896" s="1" t="n">
        <v>44056</v>
      </c>
      <c r="C1896" s="1" t="n">
        <v>45832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37750-2020</t>
        </is>
      </c>
      <c r="B1897" s="1" t="n">
        <v>44056</v>
      </c>
      <c r="C1897" s="1" t="n">
        <v>45832</v>
      </c>
      <c r="D1897" t="inlineStr">
        <is>
          <t>KRONOBERGS LÄN</t>
        </is>
      </c>
      <c r="E1897" t="inlineStr">
        <is>
          <t>ALVESTA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37718-2020</t>
        </is>
      </c>
      <c r="B1898" s="1" t="n">
        <v>44056</v>
      </c>
      <c r="C1898" s="1" t="n">
        <v>45832</v>
      </c>
      <c r="D1898" t="inlineStr">
        <is>
          <t>KRONOBERGS LÄN</t>
        </is>
      </c>
      <c r="E1898" t="inlineStr">
        <is>
          <t>MARKARYD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37744-2020</t>
        </is>
      </c>
      <c r="B1899" s="1" t="n">
        <v>44056</v>
      </c>
      <c r="C1899" s="1" t="n">
        <v>45832</v>
      </c>
      <c r="D1899" t="inlineStr">
        <is>
          <t>KRONOBERGS LÄN</t>
        </is>
      </c>
      <c r="E1899" t="inlineStr">
        <is>
          <t>ALVESTA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37808-2020</t>
        </is>
      </c>
      <c r="B1900" s="1" t="n">
        <v>44057</v>
      </c>
      <c r="C1900" s="1" t="n">
        <v>45832</v>
      </c>
      <c r="D1900" t="inlineStr">
        <is>
          <t>KRONOBERGS LÄN</t>
        </is>
      </c>
      <c r="E1900" t="inlineStr">
        <is>
          <t>ÄLMHULT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37802-2020</t>
        </is>
      </c>
      <c r="B1901" s="1" t="n">
        <v>44057</v>
      </c>
      <c r="C1901" s="1" t="n">
        <v>45832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38363-2020</t>
        </is>
      </c>
      <c r="B1902" s="1" t="n">
        <v>44060</v>
      </c>
      <c r="C1902" s="1" t="n">
        <v>45832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38383-2020</t>
        </is>
      </c>
      <c r="B1903" s="1" t="n">
        <v>44060</v>
      </c>
      <c r="C1903" s="1" t="n">
        <v>45832</v>
      </c>
      <c r="D1903" t="inlineStr">
        <is>
          <t>KRONOBERGS LÄN</t>
        </is>
      </c>
      <c r="E1903" t="inlineStr">
        <is>
          <t>LJUNGBY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38157-2020</t>
        </is>
      </c>
      <c r="B1904" s="1" t="n">
        <v>44060</v>
      </c>
      <c r="C1904" s="1" t="n">
        <v>45832</v>
      </c>
      <c r="D1904" t="inlineStr">
        <is>
          <t>KRONOBERGS LÄN</t>
        </is>
      </c>
      <c r="E1904" t="inlineStr">
        <is>
          <t>ALVESTA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38430-2020</t>
        </is>
      </c>
      <c r="B1905" s="1" t="n">
        <v>44060</v>
      </c>
      <c r="C1905" s="1" t="n">
        <v>45832</v>
      </c>
      <c r="D1905" t="inlineStr">
        <is>
          <t>KRONOBERGS LÄN</t>
        </is>
      </c>
      <c r="E1905" t="inlineStr">
        <is>
          <t>VÄXJÖ</t>
        </is>
      </c>
      <c r="F1905" t="inlineStr">
        <is>
          <t>Övriga Aktiebolag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38537-2020</t>
        </is>
      </c>
      <c r="B1906" s="1" t="n">
        <v>44061</v>
      </c>
      <c r="C1906" s="1" t="n">
        <v>45832</v>
      </c>
      <c r="D1906" t="inlineStr">
        <is>
          <t>KRONOBERGS LÄN</t>
        </is>
      </c>
      <c r="E1906" t="inlineStr">
        <is>
          <t>ALVESTA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38507-2020</t>
        </is>
      </c>
      <c r="B1907" s="1" t="n">
        <v>44061</v>
      </c>
      <c r="C1907" s="1" t="n">
        <v>45832</v>
      </c>
      <c r="D1907" t="inlineStr">
        <is>
          <t>KRONOBERGS LÄN</t>
        </is>
      </c>
      <c r="E1907" t="inlineStr">
        <is>
          <t>LJUNGBY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38616-2020</t>
        </is>
      </c>
      <c r="B1908" s="1" t="n">
        <v>44061</v>
      </c>
      <c r="C1908" s="1" t="n">
        <v>45832</v>
      </c>
      <c r="D1908" t="inlineStr">
        <is>
          <t>KRONOBERGS LÄN</t>
        </is>
      </c>
      <c r="E1908" t="inlineStr">
        <is>
          <t>VÄXJÖ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38669-2020</t>
        </is>
      </c>
      <c r="B1909" s="1" t="n">
        <v>44061</v>
      </c>
      <c r="C1909" s="1" t="n">
        <v>45832</v>
      </c>
      <c r="D1909" t="inlineStr">
        <is>
          <t>KRONOBERGS LÄN</t>
        </is>
      </c>
      <c r="E1909" t="inlineStr">
        <is>
          <t>ALVESTA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38755-2020</t>
        </is>
      </c>
      <c r="B1910" s="1" t="n">
        <v>44061</v>
      </c>
      <c r="C1910" s="1" t="n">
        <v>45832</v>
      </c>
      <c r="D1910" t="inlineStr">
        <is>
          <t>KRONOBERGS LÄN</t>
        </is>
      </c>
      <c r="E1910" t="inlineStr">
        <is>
          <t>ÄLMHULT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38758-2020</t>
        </is>
      </c>
      <c r="B1911" s="1" t="n">
        <v>44061</v>
      </c>
      <c r="C1911" s="1" t="n">
        <v>45832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38851-2020</t>
        </is>
      </c>
      <c r="B1912" s="1" t="n">
        <v>44062</v>
      </c>
      <c r="C1912" s="1" t="n">
        <v>45832</v>
      </c>
      <c r="D1912" t="inlineStr">
        <is>
          <t>KRONOBERGS LÄN</t>
        </is>
      </c>
      <c r="E1912" t="inlineStr">
        <is>
          <t>MARKARYD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38925-2020</t>
        </is>
      </c>
      <c r="B1913" s="1" t="n">
        <v>44062</v>
      </c>
      <c r="C1913" s="1" t="n">
        <v>45832</v>
      </c>
      <c r="D1913" t="inlineStr">
        <is>
          <t>KRONOBERGS LÄN</t>
        </is>
      </c>
      <c r="E1913" t="inlineStr">
        <is>
          <t>TINGSRYD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39030-2020</t>
        </is>
      </c>
      <c r="B1914" s="1" t="n">
        <v>44062</v>
      </c>
      <c r="C1914" s="1" t="n">
        <v>45832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39098-2020</t>
        </is>
      </c>
      <c r="B1915" s="1" t="n">
        <v>44063</v>
      </c>
      <c r="C1915" s="1" t="n">
        <v>45832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39254-2020</t>
        </is>
      </c>
      <c r="B1916" s="1" t="n">
        <v>44063</v>
      </c>
      <c r="C1916" s="1" t="n">
        <v>45832</v>
      </c>
      <c r="D1916" t="inlineStr">
        <is>
          <t>KRONOBERGS LÄN</t>
        </is>
      </c>
      <c r="E1916" t="inlineStr">
        <is>
          <t>VÄXJÖ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39270-2020</t>
        </is>
      </c>
      <c r="B1917" s="1" t="n">
        <v>44063</v>
      </c>
      <c r="C1917" s="1" t="n">
        <v>45832</v>
      </c>
      <c r="D1917" t="inlineStr">
        <is>
          <t>KRONOBERGS LÄN</t>
        </is>
      </c>
      <c r="E1917" t="inlineStr">
        <is>
          <t>TINGSRYD</t>
        </is>
      </c>
      <c r="F1917" t="inlineStr">
        <is>
          <t>Kommuner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39336-2020</t>
        </is>
      </c>
      <c r="B1918" s="1" t="n">
        <v>44063</v>
      </c>
      <c r="C1918" s="1" t="n">
        <v>45832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39468-2020</t>
        </is>
      </c>
      <c r="B1919" s="1" t="n">
        <v>44064</v>
      </c>
      <c r="C1919" s="1" t="n">
        <v>45832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39368-2020</t>
        </is>
      </c>
      <c r="B1920" s="1" t="n">
        <v>44064</v>
      </c>
      <c r="C1920" s="1" t="n">
        <v>45832</v>
      </c>
      <c r="D1920" t="inlineStr">
        <is>
          <t>KRONOBERGS LÄN</t>
        </is>
      </c>
      <c r="E1920" t="inlineStr">
        <is>
          <t>ALVESTA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39504-2020</t>
        </is>
      </c>
      <c r="B1921" s="1" t="n">
        <v>44064</v>
      </c>
      <c r="C1921" s="1" t="n">
        <v>45832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39556-2020</t>
        </is>
      </c>
      <c r="B1922" s="1" t="n">
        <v>44064</v>
      </c>
      <c r="C1922" s="1" t="n">
        <v>45832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39638-2020</t>
        </is>
      </c>
      <c r="B1923" s="1" t="n">
        <v>44064</v>
      </c>
      <c r="C1923" s="1" t="n">
        <v>45832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39366-2020</t>
        </is>
      </c>
      <c r="B1924" s="1" t="n">
        <v>44064</v>
      </c>
      <c r="C1924" s="1" t="n">
        <v>45832</v>
      </c>
      <c r="D1924" t="inlineStr">
        <is>
          <t>KRONOBERGS LÄN</t>
        </is>
      </c>
      <c r="E1924" t="inlineStr">
        <is>
          <t>VÄXJÖ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39679-2020</t>
        </is>
      </c>
      <c r="B1925" s="1" t="n">
        <v>44065</v>
      </c>
      <c r="C1925" s="1" t="n">
        <v>45832</v>
      </c>
      <c r="D1925" t="inlineStr">
        <is>
          <t>KRONOBERGS LÄN</t>
        </is>
      </c>
      <c r="E1925" t="inlineStr">
        <is>
          <t>TINGSRYD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39733-2020</t>
        </is>
      </c>
      <c r="B1926" s="1" t="n">
        <v>44067</v>
      </c>
      <c r="C1926" s="1" t="n">
        <v>45832</v>
      </c>
      <c r="D1926" t="inlineStr">
        <is>
          <t>KRONOBERGS LÄN</t>
        </is>
      </c>
      <c r="E1926" t="inlineStr">
        <is>
          <t>LESSEBO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40014-2020</t>
        </is>
      </c>
      <c r="B1927" s="1" t="n">
        <v>44067</v>
      </c>
      <c r="C1927" s="1" t="n">
        <v>45832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39736-2020</t>
        </is>
      </c>
      <c r="B1928" s="1" t="n">
        <v>44067</v>
      </c>
      <c r="C1928" s="1" t="n">
        <v>45832</v>
      </c>
      <c r="D1928" t="inlineStr">
        <is>
          <t>KRONOBERGS LÄN</t>
        </is>
      </c>
      <c r="E1928" t="inlineStr">
        <is>
          <t>LESSEBO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39776-2020</t>
        </is>
      </c>
      <c r="B1929" s="1" t="n">
        <v>44067</v>
      </c>
      <c r="C1929" s="1" t="n">
        <v>45832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39951-2020</t>
        </is>
      </c>
      <c r="B1930" s="1" t="n">
        <v>44067</v>
      </c>
      <c r="C1930" s="1" t="n">
        <v>45832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40104-2020</t>
        </is>
      </c>
      <c r="B1931" s="1" t="n">
        <v>44067</v>
      </c>
      <c r="C1931" s="1" t="n">
        <v>45832</v>
      </c>
      <c r="D1931" t="inlineStr">
        <is>
          <t>KRONOBERGS LÄN</t>
        </is>
      </c>
      <c r="E1931" t="inlineStr">
        <is>
          <t>ALVESTA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40145-2020</t>
        </is>
      </c>
      <c r="B1932" s="1" t="n">
        <v>44068</v>
      </c>
      <c r="C1932" s="1" t="n">
        <v>45832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40201-2020</t>
        </is>
      </c>
      <c r="B1933" s="1" t="n">
        <v>44068</v>
      </c>
      <c r="C1933" s="1" t="n">
        <v>45832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40214-2020</t>
        </is>
      </c>
      <c r="B1934" s="1" t="n">
        <v>44068</v>
      </c>
      <c r="C1934" s="1" t="n">
        <v>45832</v>
      </c>
      <c r="D1934" t="inlineStr">
        <is>
          <t>KRONOBERGS LÄN</t>
        </is>
      </c>
      <c r="E1934" t="inlineStr">
        <is>
          <t>TINGSRYD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40194-2020</t>
        </is>
      </c>
      <c r="B1935" s="1" t="n">
        <v>44068</v>
      </c>
      <c r="C1935" s="1" t="n">
        <v>45832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40208-2020</t>
        </is>
      </c>
      <c r="B1936" s="1" t="n">
        <v>44068</v>
      </c>
      <c r="C1936" s="1" t="n">
        <v>45832</v>
      </c>
      <c r="D1936" t="inlineStr">
        <is>
          <t>KRONOBERGS LÄN</t>
        </is>
      </c>
      <c r="E1936" t="inlineStr">
        <is>
          <t>TINGSRYD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40334-2020</t>
        </is>
      </c>
      <c r="B1937" s="1" t="n">
        <v>44068</v>
      </c>
      <c r="C1937" s="1" t="n">
        <v>45832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40364-2020</t>
        </is>
      </c>
      <c r="B1938" s="1" t="n">
        <v>44068</v>
      </c>
      <c r="C1938" s="1" t="n">
        <v>45832</v>
      </c>
      <c r="D1938" t="inlineStr">
        <is>
          <t>KRONOBERGS LÄN</t>
        </is>
      </c>
      <c r="E1938" t="inlineStr">
        <is>
          <t>UPPVIDINGE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40216-2020</t>
        </is>
      </c>
      <c r="B1939" s="1" t="n">
        <v>44068</v>
      </c>
      <c r="C1939" s="1" t="n">
        <v>45832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40452-2020</t>
        </is>
      </c>
      <c r="B1940" s="1" t="n">
        <v>44069</v>
      </c>
      <c r="C1940" s="1" t="n">
        <v>45832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40464-2020</t>
        </is>
      </c>
      <c r="B1941" s="1" t="n">
        <v>44069</v>
      </c>
      <c r="C1941" s="1" t="n">
        <v>45832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40458-2020</t>
        </is>
      </c>
      <c r="B1942" s="1" t="n">
        <v>44069</v>
      </c>
      <c r="C1942" s="1" t="n">
        <v>45832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40539-2020</t>
        </is>
      </c>
      <c r="B1943" s="1" t="n">
        <v>44069</v>
      </c>
      <c r="C1943" s="1" t="n">
        <v>45832</v>
      </c>
      <c r="D1943" t="inlineStr">
        <is>
          <t>KRONOBERGS LÄN</t>
        </is>
      </c>
      <c r="E1943" t="inlineStr">
        <is>
          <t>MARKARYD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40451-2020</t>
        </is>
      </c>
      <c r="B1944" s="1" t="n">
        <v>44069</v>
      </c>
      <c r="C1944" s="1" t="n">
        <v>45832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40463-2020</t>
        </is>
      </c>
      <c r="B1945" s="1" t="n">
        <v>44069</v>
      </c>
      <c r="C1945" s="1" t="n">
        <v>45832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40443-2020</t>
        </is>
      </c>
      <c r="B1946" s="1" t="n">
        <v>44069</v>
      </c>
      <c r="C1946" s="1" t="n">
        <v>45832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40465-2020</t>
        </is>
      </c>
      <c r="B1947" s="1" t="n">
        <v>44069</v>
      </c>
      <c r="C1947" s="1" t="n">
        <v>45832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40475-2020</t>
        </is>
      </c>
      <c r="B1948" s="1" t="n">
        <v>44069</v>
      </c>
      <c r="C1948" s="1" t="n">
        <v>45832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40533-2020</t>
        </is>
      </c>
      <c r="B1949" s="1" t="n">
        <v>44069</v>
      </c>
      <c r="C1949" s="1" t="n">
        <v>45832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40701-2020</t>
        </is>
      </c>
      <c r="B1950" s="1" t="n">
        <v>44069</v>
      </c>
      <c r="C1950" s="1" t="n">
        <v>45832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40449-2020</t>
        </is>
      </c>
      <c r="B1951" s="1" t="n">
        <v>44069</v>
      </c>
      <c r="C1951" s="1" t="n">
        <v>45832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40716-2020</t>
        </is>
      </c>
      <c r="B1952" s="1" t="n">
        <v>44069</v>
      </c>
      <c r="C1952" s="1" t="n">
        <v>45832</v>
      </c>
      <c r="D1952" t="inlineStr">
        <is>
          <t>KRONOBERGS LÄN</t>
        </is>
      </c>
      <c r="E1952" t="inlineStr">
        <is>
          <t>LESSEBO</t>
        </is>
      </c>
      <c r="F1952" t="inlineStr">
        <is>
          <t>Sveaskog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40893-2020</t>
        </is>
      </c>
      <c r="B1953" s="1" t="n">
        <v>44070</v>
      </c>
      <c r="C1953" s="1" t="n">
        <v>45832</v>
      </c>
      <c r="D1953" t="inlineStr">
        <is>
          <t>KRONOBERGS LÄN</t>
        </is>
      </c>
      <c r="E1953" t="inlineStr">
        <is>
          <t>ÄLMHULT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40775-2020</t>
        </is>
      </c>
      <c r="B1954" s="1" t="n">
        <v>44070</v>
      </c>
      <c r="C1954" s="1" t="n">
        <v>45832</v>
      </c>
      <c r="D1954" t="inlineStr">
        <is>
          <t>KRONOBERGS LÄN</t>
        </is>
      </c>
      <c r="E1954" t="inlineStr">
        <is>
          <t>LJUNGBY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40851-2020</t>
        </is>
      </c>
      <c r="B1955" s="1" t="n">
        <v>44070</v>
      </c>
      <c r="C1955" s="1" t="n">
        <v>45832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41478-2020</t>
        </is>
      </c>
      <c r="B1956" s="1" t="n">
        <v>44070</v>
      </c>
      <c r="C1956" s="1" t="n">
        <v>45832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40807-2020</t>
        </is>
      </c>
      <c r="B1957" s="1" t="n">
        <v>44070</v>
      </c>
      <c r="C1957" s="1" t="n">
        <v>45832</v>
      </c>
      <c r="D1957" t="inlineStr">
        <is>
          <t>KRONOBERGS LÄN</t>
        </is>
      </c>
      <c r="E1957" t="inlineStr">
        <is>
          <t>TINGSRYD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40895-2020</t>
        </is>
      </c>
      <c r="B1958" s="1" t="n">
        <v>44070</v>
      </c>
      <c r="C1958" s="1" t="n">
        <v>45832</v>
      </c>
      <c r="D1958" t="inlineStr">
        <is>
          <t>KRONOBERGS LÄN</t>
        </is>
      </c>
      <c r="E1958" t="inlineStr">
        <is>
          <t>ÄLMHULT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41107-2020</t>
        </is>
      </c>
      <c r="B1959" s="1" t="n">
        <v>44071</v>
      </c>
      <c r="C1959" s="1" t="n">
        <v>45832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42020-2020</t>
        </is>
      </c>
      <c r="B1960" s="1" t="n">
        <v>44071</v>
      </c>
      <c r="C1960" s="1" t="n">
        <v>45832</v>
      </c>
      <c r="D1960" t="inlineStr">
        <is>
          <t>KRONOBERGS LÄN</t>
        </is>
      </c>
      <c r="E1960" t="inlineStr">
        <is>
          <t>TINGSRYD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41412-2020</t>
        </is>
      </c>
      <c r="B1961" s="1" t="n">
        <v>44073</v>
      </c>
      <c r="C1961" s="1" t="n">
        <v>45832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41403-2020</t>
        </is>
      </c>
      <c r="B1962" s="1" t="n">
        <v>44073</v>
      </c>
      <c r="C1962" s="1" t="n">
        <v>45832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41413-2020</t>
        </is>
      </c>
      <c r="B1963" s="1" t="n">
        <v>44073</v>
      </c>
      <c r="C1963" s="1" t="n">
        <v>45832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41484-2020</t>
        </is>
      </c>
      <c r="B1964" s="1" t="n">
        <v>44074</v>
      </c>
      <c r="C1964" s="1" t="n">
        <v>45832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41482-2020</t>
        </is>
      </c>
      <c r="B1965" s="1" t="n">
        <v>44074</v>
      </c>
      <c r="C1965" s="1" t="n">
        <v>45832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41487-2020</t>
        </is>
      </c>
      <c r="B1966" s="1" t="n">
        <v>44074</v>
      </c>
      <c r="C1966" s="1" t="n">
        <v>45832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41764-2020</t>
        </is>
      </c>
      <c r="B1967" s="1" t="n">
        <v>44074</v>
      </c>
      <c r="C1967" s="1" t="n">
        <v>45832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41854-2020</t>
        </is>
      </c>
      <c r="B1968" s="1" t="n">
        <v>44074</v>
      </c>
      <c r="C1968" s="1" t="n">
        <v>45832</v>
      </c>
      <c r="D1968" t="inlineStr">
        <is>
          <t>KRONOBERGS LÄN</t>
        </is>
      </c>
      <c r="E1968" t="inlineStr">
        <is>
          <t>VÄXJÖ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41998-2020</t>
        </is>
      </c>
      <c r="B1969" s="1" t="n">
        <v>44074</v>
      </c>
      <c r="C1969" s="1" t="n">
        <v>45832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42004-2020</t>
        </is>
      </c>
      <c r="B1970" s="1" t="n">
        <v>44074</v>
      </c>
      <c r="C1970" s="1" t="n">
        <v>45832</v>
      </c>
      <c r="D1970" t="inlineStr">
        <is>
          <t>KRONOBERGS LÄN</t>
        </is>
      </c>
      <c r="E1970" t="inlineStr">
        <is>
          <t>UPPVIDINGE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42059-2020</t>
        </is>
      </c>
      <c r="B1971" s="1" t="n">
        <v>44075</v>
      </c>
      <c r="C1971" s="1" t="n">
        <v>45832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42171-2020</t>
        </is>
      </c>
      <c r="B1972" s="1" t="n">
        <v>44075</v>
      </c>
      <c r="C1972" s="1" t="n">
        <v>45832</v>
      </c>
      <c r="D1972" t="inlineStr">
        <is>
          <t>KRONOBERGS LÄN</t>
        </is>
      </c>
      <c r="E1972" t="inlineStr">
        <is>
          <t>ÄLMHULT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42185-2020</t>
        </is>
      </c>
      <c r="B1973" s="1" t="n">
        <v>44075</v>
      </c>
      <c r="C1973" s="1" t="n">
        <v>45832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42063-2020</t>
        </is>
      </c>
      <c r="B1974" s="1" t="n">
        <v>44075</v>
      </c>
      <c r="C1974" s="1" t="n">
        <v>45832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42017-2020</t>
        </is>
      </c>
      <c r="B1975" s="1" t="n">
        <v>44075</v>
      </c>
      <c r="C1975" s="1" t="n">
        <v>45832</v>
      </c>
      <c r="D1975" t="inlineStr">
        <is>
          <t>KRONOBERGS LÄN</t>
        </is>
      </c>
      <c r="E1975" t="inlineStr">
        <is>
          <t>LJUNGBY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42215-2020</t>
        </is>
      </c>
      <c r="B1976" s="1" t="n">
        <v>44075</v>
      </c>
      <c r="C1976" s="1" t="n">
        <v>45832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42191-2020</t>
        </is>
      </c>
      <c r="B1977" s="1" t="n">
        <v>44075</v>
      </c>
      <c r="C1977" s="1" t="n">
        <v>45832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42189-2020</t>
        </is>
      </c>
      <c r="B1978" s="1" t="n">
        <v>44075</v>
      </c>
      <c r="C1978" s="1" t="n">
        <v>45832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42265-2020</t>
        </is>
      </c>
      <c r="B1979" s="1" t="n">
        <v>44076</v>
      </c>
      <c r="C1979" s="1" t="n">
        <v>45832</v>
      </c>
      <c r="D1979" t="inlineStr">
        <is>
          <t>KRONOBERGS LÄN</t>
        </is>
      </c>
      <c r="E1979" t="inlineStr">
        <is>
          <t>ALVESTA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42486-2020</t>
        </is>
      </c>
      <c r="B1980" s="1" t="n">
        <v>44077</v>
      </c>
      <c r="C1980" s="1" t="n">
        <v>45832</v>
      </c>
      <c r="D1980" t="inlineStr">
        <is>
          <t>KRONOBERGS LÄN</t>
        </is>
      </c>
      <c r="E1980" t="inlineStr">
        <is>
          <t>LESSEBO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42543-2020</t>
        </is>
      </c>
      <c r="B1981" s="1" t="n">
        <v>44077</v>
      </c>
      <c r="C1981" s="1" t="n">
        <v>45832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42891-2020</t>
        </is>
      </c>
      <c r="B1982" s="1" t="n">
        <v>44078</v>
      </c>
      <c r="C1982" s="1" t="n">
        <v>45832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42912-2020</t>
        </is>
      </c>
      <c r="B1983" s="1" t="n">
        <v>44078</v>
      </c>
      <c r="C1983" s="1" t="n">
        <v>45832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42842-2020</t>
        </is>
      </c>
      <c r="B1984" s="1" t="n">
        <v>44078</v>
      </c>
      <c r="C1984" s="1" t="n">
        <v>45832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42886-2020</t>
        </is>
      </c>
      <c r="B1985" s="1" t="n">
        <v>44078</v>
      </c>
      <c r="C1985" s="1" t="n">
        <v>45832</v>
      </c>
      <c r="D1985" t="inlineStr">
        <is>
          <t>KRONOBERGS LÄN</t>
        </is>
      </c>
      <c r="E1985" t="inlineStr">
        <is>
          <t>MARKARYD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42896-2020</t>
        </is>
      </c>
      <c r="B1986" s="1" t="n">
        <v>44078</v>
      </c>
      <c r="C1986" s="1" t="n">
        <v>45832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42977-2020</t>
        </is>
      </c>
      <c r="B1987" s="1" t="n">
        <v>44078</v>
      </c>
      <c r="C1987" s="1" t="n">
        <v>45832</v>
      </c>
      <c r="D1987" t="inlineStr">
        <is>
          <t>KRONOBERGS LÄN</t>
        </is>
      </c>
      <c r="E1987" t="inlineStr">
        <is>
          <t>LJUNGBY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42994-2020</t>
        </is>
      </c>
      <c r="B1988" s="1" t="n">
        <v>44078</v>
      </c>
      <c r="C1988" s="1" t="n">
        <v>45832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43018-2020</t>
        </is>
      </c>
      <c r="B1989" s="1" t="n">
        <v>44078</v>
      </c>
      <c r="C1989" s="1" t="n">
        <v>45832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42991-2020</t>
        </is>
      </c>
      <c r="B1990" s="1" t="n">
        <v>44078</v>
      </c>
      <c r="C1990" s="1" t="n">
        <v>45832</v>
      </c>
      <c r="D1990" t="inlineStr">
        <is>
          <t>KRONOBERGS LÄN</t>
        </is>
      </c>
      <c r="E1990" t="inlineStr">
        <is>
          <t>ALVESTA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43012-2020</t>
        </is>
      </c>
      <c r="B1991" s="1" t="n">
        <v>44078</v>
      </c>
      <c r="C1991" s="1" t="n">
        <v>45832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43311-2020</t>
        </is>
      </c>
      <c r="B1992" s="1" t="n">
        <v>44081</v>
      </c>
      <c r="C1992" s="1" t="n">
        <v>45832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43630-2020</t>
        </is>
      </c>
      <c r="B1993" s="1" t="n">
        <v>44082</v>
      </c>
      <c r="C1993" s="1" t="n">
        <v>45832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43747-2020</t>
        </is>
      </c>
      <c r="B1994" s="1" t="n">
        <v>44082</v>
      </c>
      <c r="C1994" s="1" t="n">
        <v>45832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43772-2020</t>
        </is>
      </c>
      <c r="B1995" s="1" t="n">
        <v>44082</v>
      </c>
      <c r="C1995" s="1" t="n">
        <v>45832</v>
      </c>
      <c r="D1995" t="inlineStr">
        <is>
          <t>KRONOBERGS LÄN</t>
        </is>
      </c>
      <c r="E1995" t="inlineStr">
        <is>
          <t>VÄXJÖ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43776-2020</t>
        </is>
      </c>
      <c r="B1996" s="1" t="n">
        <v>44082</v>
      </c>
      <c r="C1996" s="1" t="n">
        <v>45832</v>
      </c>
      <c r="D1996" t="inlineStr">
        <is>
          <t>KRONOBERGS LÄN</t>
        </is>
      </c>
      <c r="E1996" t="inlineStr">
        <is>
          <t>TINGSRYD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44073-2020</t>
        </is>
      </c>
      <c r="B1997" s="1" t="n">
        <v>44083</v>
      </c>
      <c r="C1997" s="1" t="n">
        <v>45832</v>
      </c>
      <c r="D1997" t="inlineStr">
        <is>
          <t>KRONOBERGS LÄN</t>
        </is>
      </c>
      <c r="E1997" t="inlineStr">
        <is>
          <t>TINGSRYD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44242-2020</t>
        </is>
      </c>
      <c r="B1998" s="1" t="n">
        <v>44084</v>
      </c>
      <c r="C1998" s="1" t="n">
        <v>45832</v>
      </c>
      <c r="D1998" t="inlineStr">
        <is>
          <t>KRONOBERGS LÄN</t>
        </is>
      </c>
      <c r="E1998" t="inlineStr">
        <is>
          <t>ALVESTA</t>
        </is>
      </c>
      <c r="F1998" t="inlineStr">
        <is>
          <t>Kyrkan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44433-2020</t>
        </is>
      </c>
      <c r="B1999" s="1" t="n">
        <v>44084</v>
      </c>
      <c r="C1999" s="1" t="n">
        <v>45832</v>
      </c>
      <c r="D1999" t="inlineStr">
        <is>
          <t>KRONOBERGS LÄN</t>
        </is>
      </c>
      <c r="E1999" t="inlineStr">
        <is>
          <t>LESSEBO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44439-2020</t>
        </is>
      </c>
      <c r="B2000" s="1" t="n">
        <v>44084</v>
      </c>
      <c r="C2000" s="1" t="n">
        <v>45832</v>
      </c>
      <c r="D2000" t="inlineStr">
        <is>
          <t>KRONOBERGS LÄN</t>
        </is>
      </c>
      <c r="E2000" t="inlineStr">
        <is>
          <t>LESSEBO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44362-2020</t>
        </is>
      </c>
      <c r="B2001" s="1" t="n">
        <v>44084</v>
      </c>
      <c r="C2001" s="1" t="n">
        <v>45832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44374-2020</t>
        </is>
      </c>
      <c r="B2002" s="1" t="n">
        <v>44084</v>
      </c>
      <c r="C2002" s="1" t="n">
        <v>45832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44342-2020</t>
        </is>
      </c>
      <c r="B2003" s="1" t="n">
        <v>44084</v>
      </c>
      <c r="C2003" s="1" t="n">
        <v>45832</v>
      </c>
      <c r="D2003" t="inlineStr">
        <is>
          <t>KRONOBERGS LÄN</t>
        </is>
      </c>
      <c r="E2003" t="inlineStr">
        <is>
          <t>LJUNGBY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44355-2020</t>
        </is>
      </c>
      <c r="B2004" s="1" t="n">
        <v>44084</v>
      </c>
      <c r="C2004" s="1" t="n">
        <v>45832</v>
      </c>
      <c r="D2004" t="inlineStr">
        <is>
          <t>KRONOBERGS LÄN</t>
        </is>
      </c>
      <c r="E2004" t="inlineStr">
        <is>
          <t>VÄXJÖ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44601-2020</t>
        </is>
      </c>
      <c r="B2005" s="1" t="n">
        <v>44085</v>
      </c>
      <c r="C2005" s="1" t="n">
        <v>45832</v>
      </c>
      <c r="D2005" t="inlineStr">
        <is>
          <t>KRONOBERGS LÄN</t>
        </is>
      </c>
      <c r="E2005" t="inlineStr">
        <is>
          <t>ALVESTA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44774-2020</t>
        </is>
      </c>
      <c r="B2006" s="1" t="n">
        <v>44085</v>
      </c>
      <c r="C2006" s="1" t="n">
        <v>45832</v>
      </c>
      <c r="D2006" t="inlineStr">
        <is>
          <t>KRONOBERGS LÄN</t>
        </is>
      </c>
      <c r="E2006" t="inlineStr">
        <is>
          <t>VÄXJÖ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44789-2020</t>
        </is>
      </c>
      <c r="B2007" s="1" t="n">
        <v>44085</v>
      </c>
      <c r="C2007" s="1" t="n">
        <v>45832</v>
      </c>
      <c r="D2007" t="inlineStr">
        <is>
          <t>KRONOBERGS LÄN</t>
        </is>
      </c>
      <c r="E2007" t="inlineStr">
        <is>
          <t>UPPVIDINGE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45113-2020</t>
        </is>
      </c>
      <c r="B2008" s="1" t="n">
        <v>44088</v>
      </c>
      <c r="C2008" s="1" t="n">
        <v>45832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45109-2020</t>
        </is>
      </c>
      <c r="B2009" s="1" t="n">
        <v>44088</v>
      </c>
      <c r="C2009" s="1" t="n">
        <v>45832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45202-2020</t>
        </is>
      </c>
      <c r="B2010" s="1" t="n">
        <v>44088</v>
      </c>
      <c r="C2010" s="1" t="n">
        <v>45832</v>
      </c>
      <c r="D2010" t="inlineStr">
        <is>
          <t>KRONOBERGS LÄN</t>
        </is>
      </c>
      <c r="E2010" t="inlineStr">
        <is>
          <t>UPPVIDINGE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45256-2020</t>
        </is>
      </c>
      <c r="B2011" s="1" t="n">
        <v>44089</v>
      </c>
      <c r="C2011" s="1" t="n">
        <v>45832</v>
      </c>
      <c r="D2011" t="inlineStr">
        <is>
          <t>KRONOBERGS LÄN</t>
        </is>
      </c>
      <c r="E2011" t="inlineStr">
        <is>
          <t>ALVESTA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45295-2020</t>
        </is>
      </c>
      <c r="B2012" s="1" t="n">
        <v>44089</v>
      </c>
      <c r="C2012" s="1" t="n">
        <v>45832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45288-2020</t>
        </is>
      </c>
      <c r="B2013" s="1" t="n">
        <v>44089</v>
      </c>
      <c r="C2013" s="1" t="n">
        <v>45832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45365-2020</t>
        </is>
      </c>
      <c r="B2014" s="1" t="n">
        <v>44089</v>
      </c>
      <c r="C2014" s="1" t="n">
        <v>45832</v>
      </c>
      <c r="D2014" t="inlineStr">
        <is>
          <t>KRONOBERGS LÄN</t>
        </is>
      </c>
      <c r="E2014" t="inlineStr">
        <is>
          <t>MARKARYD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45260-2020</t>
        </is>
      </c>
      <c r="B2015" s="1" t="n">
        <v>44089</v>
      </c>
      <c r="C2015" s="1" t="n">
        <v>45832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45287-2020</t>
        </is>
      </c>
      <c r="B2016" s="1" t="n">
        <v>44089</v>
      </c>
      <c r="C2016" s="1" t="n">
        <v>45832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45349-2020</t>
        </is>
      </c>
      <c r="B2017" s="1" t="n">
        <v>44089</v>
      </c>
      <c r="C2017" s="1" t="n">
        <v>45832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45285-2020</t>
        </is>
      </c>
      <c r="B2018" s="1" t="n">
        <v>44089</v>
      </c>
      <c r="C2018" s="1" t="n">
        <v>45832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45495-2020</t>
        </is>
      </c>
      <c r="B2019" s="1" t="n">
        <v>44089</v>
      </c>
      <c r="C2019" s="1" t="n">
        <v>45832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45629-2020</t>
        </is>
      </c>
      <c r="B2020" s="1" t="n">
        <v>44090</v>
      </c>
      <c r="C2020" s="1" t="n">
        <v>45832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45669-2020</t>
        </is>
      </c>
      <c r="B2021" s="1" t="n">
        <v>44090</v>
      </c>
      <c r="C2021" s="1" t="n">
        <v>45832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45566-2020</t>
        </is>
      </c>
      <c r="B2022" s="1" t="n">
        <v>44090</v>
      </c>
      <c r="C2022" s="1" t="n">
        <v>45832</v>
      </c>
      <c r="D2022" t="inlineStr">
        <is>
          <t>KRONOBERGS LÄN</t>
        </is>
      </c>
      <c r="E2022" t="inlineStr">
        <is>
          <t>ÄLMHULT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45561-2020</t>
        </is>
      </c>
      <c r="B2023" s="1" t="n">
        <v>44090</v>
      </c>
      <c r="C2023" s="1" t="n">
        <v>45832</v>
      </c>
      <c r="D2023" t="inlineStr">
        <is>
          <t>KRONOBERGS LÄN</t>
        </is>
      </c>
      <c r="E2023" t="inlineStr">
        <is>
          <t>TINGSRYD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45597-2020</t>
        </is>
      </c>
      <c r="B2024" s="1" t="n">
        <v>44090</v>
      </c>
      <c r="C2024" s="1" t="n">
        <v>45832</v>
      </c>
      <c r="D2024" t="inlineStr">
        <is>
          <t>KRONOBERGS LÄN</t>
        </is>
      </c>
      <c r="E2024" t="inlineStr">
        <is>
          <t>VÄXJÖ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45750-2020</t>
        </is>
      </c>
      <c r="B2025" s="1" t="n">
        <v>44090</v>
      </c>
      <c r="C2025" s="1" t="n">
        <v>45832</v>
      </c>
      <c r="D2025" t="inlineStr">
        <is>
          <t>KRONOBERGS LÄN</t>
        </is>
      </c>
      <c r="E2025" t="inlineStr">
        <is>
          <t>LJUNGBY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45932-2020</t>
        </is>
      </c>
      <c r="B2026" s="1" t="n">
        <v>44091</v>
      </c>
      <c r="C2026" s="1" t="n">
        <v>45832</v>
      </c>
      <c r="D2026" t="inlineStr">
        <is>
          <t>KRONOBERGS LÄN</t>
        </is>
      </c>
      <c r="E2026" t="inlineStr">
        <is>
          <t>TINGSRYD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45900-2020</t>
        </is>
      </c>
      <c r="B2027" s="1" t="n">
        <v>44091</v>
      </c>
      <c r="C2027" s="1" t="n">
        <v>45832</v>
      </c>
      <c r="D2027" t="inlineStr">
        <is>
          <t>KRONOBERGS LÄN</t>
        </is>
      </c>
      <c r="E2027" t="inlineStr">
        <is>
          <t>TINGSRYD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46990-2020</t>
        </is>
      </c>
      <c r="B2028" s="1" t="n">
        <v>44091</v>
      </c>
      <c r="C2028" s="1" t="n">
        <v>45832</v>
      </c>
      <c r="D2028" t="inlineStr">
        <is>
          <t>KRONOBERGS LÄN</t>
        </is>
      </c>
      <c r="E2028" t="inlineStr">
        <is>
          <t>TINGSRYD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46422-2020</t>
        </is>
      </c>
      <c r="B2029" s="1" t="n">
        <v>44094</v>
      </c>
      <c r="C2029" s="1" t="n">
        <v>45832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46477-2020</t>
        </is>
      </c>
      <c r="B2030" s="1" t="n">
        <v>44095</v>
      </c>
      <c r="C2030" s="1" t="n">
        <v>45832</v>
      </c>
      <c r="D2030" t="inlineStr">
        <is>
          <t>KRONOBERGS LÄN</t>
        </is>
      </c>
      <c r="E2030" t="inlineStr">
        <is>
          <t>VÄXJÖ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46510-2020</t>
        </is>
      </c>
      <c r="B2031" s="1" t="n">
        <v>44095</v>
      </c>
      <c r="C2031" s="1" t="n">
        <v>45832</v>
      </c>
      <c r="D2031" t="inlineStr">
        <is>
          <t>KRONOBERGS LÄN</t>
        </is>
      </c>
      <c r="E2031" t="inlineStr">
        <is>
          <t>ALVESTA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46688-2020</t>
        </is>
      </c>
      <c r="B2032" s="1" t="n">
        <v>44095</v>
      </c>
      <c r="C2032" s="1" t="n">
        <v>45832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46756-2020</t>
        </is>
      </c>
      <c r="B2033" s="1" t="n">
        <v>44095</v>
      </c>
      <c r="C2033" s="1" t="n">
        <v>45832</v>
      </c>
      <c r="D2033" t="inlineStr">
        <is>
          <t>KRONOBERGS LÄN</t>
        </is>
      </c>
      <c r="E2033" t="inlineStr">
        <is>
          <t>MARKARYD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46867-2020</t>
        </is>
      </c>
      <c r="B2034" s="1" t="n">
        <v>44096</v>
      </c>
      <c r="C2034" s="1" t="n">
        <v>45832</v>
      </c>
      <c r="D2034" t="inlineStr">
        <is>
          <t>KRONOBERGS LÄN</t>
        </is>
      </c>
      <c r="E2034" t="inlineStr">
        <is>
          <t>ÄLMHULT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46791-2020</t>
        </is>
      </c>
      <c r="B2035" s="1" t="n">
        <v>44096</v>
      </c>
      <c r="C2035" s="1" t="n">
        <v>45832</v>
      </c>
      <c r="D2035" t="inlineStr">
        <is>
          <t>KRONOBERGS LÄN</t>
        </is>
      </c>
      <c r="E2035" t="inlineStr">
        <is>
          <t>ÄLMHULT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46853-2020</t>
        </is>
      </c>
      <c r="B2036" s="1" t="n">
        <v>44096</v>
      </c>
      <c r="C2036" s="1" t="n">
        <v>45832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47117-2020</t>
        </is>
      </c>
      <c r="B2037" s="1" t="n">
        <v>44096</v>
      </c>
      <c r="C2037" s="1" t="n">
        <v>45832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47371-2020</t>
        </is>
      </c>
      <c r="B2038" s="1" t="n">
        <v>44097</v>
      </c>
      <c r="C2038" s="1" t="n">
        <v>45832</v>
      </c>
      <c r="D2038" t="inlineStr">
        <is>
          <t>KRONOBERGS LÄN</t>
        </is>
      </c>
      <c r="E2038" t="inlineStr">
        <is>
          <t>UPPVIDINGE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47435-2020</t>
        </is>
      </c>
      <c r="B2039" s="1" t="n">
        <v>44097</v>
      </c>
      <c r="C2039" s="1" t="n">
        <v>45832</v>
      </c>
      <c r="D2039" t="inlineStr">
        <is>
          <t>KRONOBERGS LÄN</t>
        </is>
      </c>
      <c r="E2039" t="inlineStr">
        <is>
          <t>UPPVIDINGE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47403-2020</t>
        </is>
      </c>
      <c r="B2040" s="1" t="n">
        <v>44097</v>
      </c>
      <c r="C2040" s="1" t="n">
        <v>45832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47547-2020</t>
        </is>
      </c>
      <c r="B2041" s="1" t="n">
        <v>44098</v>
      </c>
      <c r="C2041" s="1" t="n">
        <v>45832</v>
      </c>
      <c r="D2041" t="inlineStr">
        <is>
          <t>KRONOBERGS LÄN</t>
        </is>
      </c>
      <c r="E2041" t="inlineStr">
        <is>
          <t>ÄLMHULT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47576-2020</t>
        </is>
      </c>
      <c r="B2042" s="1" t="n">
        <v>44098</v>
      </c>
      <c r="C2042" s="1" t="n">
        <v>45832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47760-2020</t>
        </is>
      </c>
      <c r="B2043" s="1" t="n">
        <v>44098</v>
      </c>
      <c r="C2043" s="1" t="n">
        <v>45832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47777-2020</t>
        </is>
      </c>
      <c r="B2044" s="1" t="n">
        <v>44098</v>
      </c>
      <c r="C2044" s="1" t="n">
        <v>45832</v>
      </c>
      <c r="D2044" t="inlineStr">
        <is>
          <t>KRONOBERGS LÄN</t>
        </is>
      </c>
      <c r="E2044" t="inlineStr">
        <is>
          <t>ÄLMHULT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47782-2020</t>
        </is>
      </c>
      <c r="B2045" s="1" t="n">
        <v>44098</v>
      </c>
      <c r="C2045" s="1" t="n">
        <v>45832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48646-2020</t>
        </is>
      </c>
      <c r="B2046" s="1" t="n">
        <v>44098</v>
      </c>
      <c r="C2046" s="1" t="n">
        <v>45832</v>
      </c>
      <c r="D2046" t="inlineStr">
        <is>
          <t>KRONOBERGS LÄN</t>
        </is>
      </c>
      <c r="E2046" t="inlineStr">
        <is>
          <t>UPPVIDINGE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48631-2020</t>
        </is>
      </c>
      <c r="B2047" s="1" t="n">
        <v>44098</v>
      </c>
      <c r="C2047" s="1" t="n">
        <v>45832</v>
      </c>
      <c r="D2047" t="inlineStr">
        <is>
          <t>KRONOBERGS LÄN</t>
        </is>
      </c>
      <c r="E2047" t="inlineStr">
        <is>
          <t>VÄXJÖ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48641-2020</t>
        </is>
      </c>
      <c r="B2048" s="1" t="n">
        <v>44098</v>
      </c>
      <c r="C2048" s="1" t="n">
        <v>45832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47983-2020</t>
        </is>
      </c>
      <c r="B2049" s="1" t="n">
        <v>44099</v>
      </c>
      <c r="C2049" s="1" t="n">
        <v>45832</v>
      </c>
      <c r="D2049" t="inlineStr">
        <is>
          <t>KRONOBERGS LÄN</t>
        </is>
      </c>
      <c r="E2049" t="inlineStr">
        <is>
          <t>MARKARYD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47977-2020</t>
        </is>
      </c>
      <c r="B2050" s="1" t="n">
        <v>44099</v>
      </c>
      <c r="C2050" s="1" t="n">
        <v>45832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HYPERLINK("https://klasma.github.io/Logging_0760/knärot/A 47977-2020 karta knärot.png", "A 47977-2020")</f>
        <v/>
      </c>
      <c r="V2050">
        <f>HYPERLINK("https://klasma.github.io/Logging_0760/klagomål/A 47977-2020 FSC-klagomål.docx", "A 47977-2020")</f>
        <v/>
      </c>
      <c r="W2050">
        <f>HYPERLINK("https://klasma.github.io/Logging_0760/klagomålsmail/A 47977-2020 FSC-klagomål mail.docx", "A 47977-2020")</f>
        <v/>
      </c>
      <c r="X2050">
        <f>HYPERLINK("https://klasma.github.io/Logging_0760/tillsyn/A 47977-2020 tillsynsbegäran.docx", "A 47977-2020")</f>
        <v/>
      </c>
      <c r="Y2050">
        <f>HYPERLINK("https://klasma.github.io/Logging_0760/tillsynsmail/A 47977-2020 tillsynsbegäran mail.docx", "A 47977-2020")</f>
        <v/>
      </c>
    </row>
    <row r="2051" ht="15" customHeight="1">
      <c r="A2051" t="inlineStr">
        <is>
          <t>A 48162-2020</t>
        </is>
      </c>
      <c r="B2051" s="1" t="n">
        <v>44102</v>
      </c>
      <c r="C2051" s="1" t="n">
        <v>45832</v>
      </c>
      <c r="D2051" t="inlineStr">
        <is>
          <t>KRONOBERGS LÄN</t>
        </is>
      </c>
      <c r="E2051" t="inlineStr">
        <is>
          <t>UPPVIDINGE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48413-2020</t>
        </is>
      </c>
      <c r="B2052" s="1" t="n">
        <v>44102</v>
      </c>
      <c r="C2052" s="1" t="n">
        <v>45832</v>
      </c>
      <c r="D2052" t="inlineStr">
        <is>
          <t>KRONOBERGS LÄN</t>
        </is>
      </c>
      <c r="E2052" t="inlineStr">
        <is>
          <t>VÄXJÖ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48431-2020</t>
        </is>
      </c>
      <c r="B2053" s="1" t="n">
        <v>44102</v>
      </c>
      <c r="C2053" s="1" t="n">
        <v>45832</v>
      </c>
      <c r="D2053" t="inlineStr">
        <is>
          <t>KRONOBERGS LÄN</t>
        </is>
      </c>
      <c r="E2053" t="inlineStr">
        <is>
          <t>VÄXJÖ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48430-2020</t>
        </is>
      </c>
      <c r="B2054" s="1" t="n">
        <v>44102</v>
      </c>
      <c r="C2054" s="1" t="n">
        <v>45832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48517-2020</t>
        </is>
      </c>
      <c r="B2055" s="1" t="n">
        <v>44102</v>
      </c>
      <c r="C2055" s="1" t="n">
        <v>45832</v>
      </c>
      <c r="D2055" t="inlineStr">
        <is>
          <t>KRONOBERGS LÄN</t>
        </is>
      </c>
      <c r="E2055" t="inlineStr">
        <is>
          <t>TINGSRYD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49262-2020</t>
        </is>
      </c>
      <c r="B2056" s="1" t="n">
        <v>44102</v>
      </c>
      <c r="C2056" s="1" t="n">
        <v>45832</v>
      </c>
      <c r="D2056" t="inlineStr">
        <is>
          <t>KRONOBERGS LÄN</t>
        </is>
      </c>
      <c r="E2056" t="inlineStr">
        <is>
          <t>TINGSRYD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48442-2020</t>
        </is>
      </c>
      <c r="B2057" s="1" t="n">
        <v>44102</v>
      </c>
      <c r="C2057" s="1" t="n">
        <v>45832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49385-2020</t>
        </is>
      </c>
      <c r="B2058" s="1" t="n">
        <v>44102</v>
      </c>
      <c r="C2058" s="1" t="n">
        <v>45832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49452-2020</t>
        </is>
      </c>
      <c r="B2059" s="1" t="n">
        <v>44102</v>
      </c>
      <c r="C2059" s="1" t="n">
        <v>45832</v>
      </c>
      <c r="D2059" t="inlineStr">
        <is>
          <t>KRONOBERGS LÄN</t>
        </is>
      </c>
      <c r="E2059" t="inlineStr">
        <is>
          <t>TINGSRYD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48923-2020</t>
        </is>
      </c>
      <c r="B2060" s="1" t="n">
        <v>44104</v>
      </c>
      <c r="C2060" s="1" t="n">
        <v>45832</v>
      </c>
      <c r="D2060" t="inlineStr">
        <is>
          <t>KRONOBERGS LÄN</t>
        </is>
      </c>
      <c r="E2060" t="inlineStr">
        <is>
          <t>LJUNGBY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49145-2020</t>
        </is>
      </c>
      <c r="B2061" s="1" t="n">
        <v>44104</v>
      </c>
      <c r="C2061" s="1" t="n">
        <v>45832</v>
      </c>
      <c r="D2061" t="inlineStr">
        <is>
          <t>KRONOBERGS LÄN</t>
        </is>
      </c>
      <c r="E2061" t="inlineStr">
        <is>
          <t>ÄLMHULT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48996-2020</t>
        </is>
      </c>
      <c r="B2062" s="1" t="n">
        <v>44104</v>
      </c>
      <c r="C2062" s="1" t="n">
        <v>45832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49299-2020</t>
        </is>
      </c>
      <c r="B2063" s="1" t="n">
        <v>44105</v>
      </c>
      <c r="C2063" s="1" t="n">
        <v>45832</v>
      </c>
      <c r="D2063" t="inlineStr">
        <is>
          <t>KRONOBERGS LÄN</t>
        </is>
      </c>
      <c r="E2063" t="inlineStr">
        <is>
          <t>VÄXJÖ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49268-2020</t>
        </is>
      </c>
      <c r="B2064" s="1" t="n">
        <v>44105</v>
      </c>
      <c r="C2064" s="1" t="n">
        <v>45832</v>
      </c>
      <c r="D2064" t="inlineStr">
        <is>
          <t>KRONOBERGS LÄN</t>
        </is>
      </c>
      <c r="E2064" t="inlineStr">
        <is>
          <t>VÄXJÖ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49285-2020</t>
        </is>
      </c>
      <c r="B2065" s="1" t="n">
        <v>44105</v>
      </c>
      <c r="C2065" s="1" t="n">
        <v>45832</v>
      </c>
      <c r="D2065" t="inlineStr">
        <is>
          <t>KRONOBERGS LÄN</t>
        </is>
      </c>
      <c r="E2065" t="inlineStr">
        <is>
          <t>UPPVIDINGE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49283-2020</t>
        </is>
      </c>
      <c r="B2066" s="1" t="n">
        <v>44105</v>
      </c>
      <c r="C2066" s="1" t="n">
        <v>45832</v>
      </c>
      <c r="D2066" t="inlineStr">
        <is>
          <t>KRONOBERGS LÄN</t>
        </is>
      </c>
      <c r="E2066" t="inlineStr">
        <is>
          <t>UPPVIDINGE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49308-2020</t>
        </is>
      </c>
      <c r="B2067" s="1" t="n">
        <v>44105</v>
      </c>
      <c r="C2067" s="1" t="n">
        <v>45832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49473-2020</t>
        </is>
      </c>
      <c r="B2068" s="1" t="n">
        <v>44105</v>
      </c>
      <c r="C2068" s="1" t="n">
        <v>45832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49476-2020</t>
        </is>
      </c>
      <c r="B2069" s="1" t="n">
        <v>44105</v>
      </c>
      <c r="C2069" s="1" t="n">
        <v>45832</v>
      </c>
      <c r="D2069" t="inlineStr">
        <is>
          <t>KRONOBERGS LÄN</t>
        </is>
      </c>
      <c r="E2069" t="inlineStr">
        <is>
          <t>VÄXJÖ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49674-2020</t>
        </is>
      </c>
      <c r="B2070" s="1" t="n">
        <v>44106</v>
      </c>
      <c r="C2070" s="1" t="n">
        <v>45832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49681-2020</t>
        </is>
      </c>
      <c r="B2071" s="1" t="n">
        <v>44106</v>
      </c>
      <c r="C2071" s="1" t="n">
        <v>45832</v>
      </c>
      <c r="D2071" t="inlineStr">
        <is>
          <t>KRONOBERGS LÄN</t>
        </is>
      </c>
      <c r="E2071" t="inlineStr">
        <is>
          <t>ÄLMHULT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49673-2020</t>
        </is>
      </c>
      <c r="B2072" s="1" t="n">
        <v>44106</v>
      </c>
      <c r="C2072" s="1" t="n">
        <v>45832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49787-2020</t>
        </is>
      </c>
      <c r="B2073" s="1" t="n">
        <v>44106</v>
      </c>
      <c r="C2073" s="1" t="n">
        <v>45832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49890-2020</t>
        </is>
      </c>
      <c r="B2074" s="1" t="n">
        <v>44108</v>
      </c>
      <c r="C2074" s="1" t="n">
        <v>45832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49901-2020</t>
        </is>
      </c>
      <c r="B2075" s="1" t="n">
        <v>44108</v>
      </c>
      <c r="C2075" s="1" t="n">
        <v>45832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50239-2020</t>
        </is>
      </c>
      <c r="B2076" s="1" t="n">
        <v>44109</v>
      </c>
      <c r="C2076" s="1" t="n">
        <v>45832</v>
      </c>
      <c r="D2076" t="inlineStr">
        <is>
          <t>KRONOBERGS LÄN</t>
        </is>
      </c>
      <c r="E2076" t="inlineStr">
        <is>
          <t>ÄLMHULT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50021-2020</t>
        </is>
      </c>
      <c r="B2077" s="1" t="n">
        <v>44109</v>
      </c>
      <c r="C2077" s="1" t="n">
        <v>45832</v>
      </c>
      <c r="D2077" t="inlineStr">
        <is>
          <t>KRONOBERGS LÄN</t>
        </is>
      </c>
      <c r="E2077" t="inlineStr">
        <is>
          <t>TINGSRYD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51915-2020</t>
        </is>
      </c>
      <c r="B2078" s="1" t="n">
        <v>44109</v>
      </c>
      <c r="C2078" s="1" t="n">
        <v>45832</v>
      </c>
      <c r="D2078" t="inlineStr">
        <is>
          <t>KRONOBERGS LÄN</t>
        </is>
      </c>
      <c r="E2078" t="inlineStr">
        <is>
          <t>MARKARYD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49950-2020</t>
        </is>
      </c>
      <c r="B2079" s="1" t="n">
        <v>44109</v>
      </c>
      <c r="C2079" s="1" t="n">
        <v>45832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51640-2020</t>
        </is>
      </c>
      <c r="B2080" s="1" t="n">
        <v>44109</v>
      </c>
      <c r="C2080" s="1" t="n">
        <v>45832</v>
      </c>
      <c r="D2080" t="inlineStr">
        <is>
          <t>KRONOBERGS LÄN</t>
        </is>
      </c>
      <c r="E2080" t="inlineStr">
        <is>
          <t>LJUNGBY</t>
        </is>
      </c>
      <c r="G2080" t="n">
        <v>11.8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50418-2020</t>
        </is>
      </c>
      <c r="B2081" s="1" t="n">
        <v>44110</v>
      </c>
      <c r="C2081" s="1" t="n">
        <v>45832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50518-2020</t>
        </is>
      </c>
      <c r="B2082" s="1" t="n">
        <v>44110</v>
      </c>
      <c r="C2082" s="1" t="n">
        <v>45832</v>
      </c>
      <c r="D2082" t="inlineStr">
        <is>
          <t>KRONOBERGS LÄN</t>
        </is>
      </c>
      <c r="E2082" t="inlineStr">
        <is>
          <t>TINGSRYD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50337-2020</t>
        </is>
      </c>
      <c r="B2083" s="1" t="n">
        <v>44110</v>
      </c>
      <c r="C2083" s="1" t="n">
        <v>45832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50473-2020</t>
        </is>
      </c>
      <c r="B2084" s="1" t="n">
        <v>44110</v>
      </c>
      <c r="C2084" s="1" t="n">
        <v>45832</v>
      </c>
      <c r="D2084" t="inlineStr">
        <is>
          <t>KRONOBERGS LÄN</t>
        </is>
      </c>
      <c r="E2084" t="inlineStr">
        <is>
          <t>ÄLMHULT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50550-2020</t>
        </is>
      </c>
      <c r="B2085" s="1" t="n">
        <v>44110</v>
      </c>
      <c r="C2085" s="1" t="n">
        <v>45832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51987-2020</t>
        </is>
      </c>
      <c r="B2086" s="1" t="n">
        <v>44110</v>
      </c>
      <c r="C2086" s="1" t="n">
        <v>45832</v>
      </c>
      <c r="D2086" t="inlineStr">
        <is>
          <t>KRONOBERGS LÄN</t>
        </is>
      </c>
      <c r="E2086" t="inlineStr">
        <is>
          <t>TINGSRYD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50747-2020</t>
        </is>
      </c>
      <c r="B2087" s="1" t="n">
        <v>44111</v>
      </c>
      <c r="C2087" s="1" t="n">
        <v>45832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50785-2020</t>
        </is>
      </c>
      <c r="B2088" s="1" t="n">
        <v>44111</v>
      </c>
      <c r="C2088" s="1" t="n">
        <v>45832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50855-2020</t>
        </is>
      </c>
      <c r="B2089" s="1" t="n">
        <v>44111</v>
      </c>
      <c r="C2089" s="1" t="n">
        <v>45832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50934-2020</t>
        </is>
      </c>
      <c r="B2090" s="1" t="n">
        <v>44111</v>
      </c>
      <c r="C2090" s="1" t="n">
        <v>45832</v>
      </c>
      <c r="D2090" t="inlineStr">
        <is>
          <t>KRONOBERGS LÄN</t>
        </is>
      </c>
      <c r="E2090" t="inlineStr">
        <is>
          <t>ÄLMHULT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52164-2020</t>
        </is>
      </c>
      <c r="B2091" s="1" t="n">
        <v>44111</v>
      </c>
      <c r="C2091" s="1" t="n">
        <v>45832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52170-2020</t>
        </is>
      </c>
      <c r="B2092" s="1" t="n">
        <v>44111</v>
      </c>
      <c r="C2092" s="1" t="n">
        <v>45832</v>
      </c>
      <c r="D2092" t="inlineStr">
        <is>
          <t>KRONOBERGS LÄN</t>
        </is>
      </c>
      <c r="E2092" t="inlineStr">
        <is>
          <t>TINGSRYD</t>
        </is>
      </c>
      <c r="F2092" t="inlineStr">
        <is>
          <t>Övriga Aktiebolag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52105-2020</t>
        </is>
      </c>
      <c r="B2093" s="1" t="n">
        <v>44111</v>
      </c>
      <c r="C2093" s="1" t="n">
        <v>45832</v>
      </c>
      <c r="D2093" t="inlineStr">
        <is>
          <t>KRONOBERGS LÄN</t>
        </is>
      </c>
      <c r="E2093" t="inlineStr">
        <is>
          <t>TINGSRYD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51137-2020</t>
        </is>
      </c>
      <c r="B2094" s="1" t="n">
        <v>44112</v>
      </c>
      <c r="C2094" s="1" t="n">
        <v>45832</v>
      </c>
      <c r="D2094" t="inlineStr">
        <is>
          <t>KRONOBERGS LÄN</t>
        </is>
      </c>
      <c r="E2094" t="inlineStr">
        <is>
          <t>LJUNGBY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51149-2020</t>
        </is>
      </c>
      <c r="B2095" s="1" t="n">
        <v>44112</v>
      </c>
      <c r="C2095" s="1" t="n">
        <v>45832</v>
      </c>
      <c r="D2095" t="inlineStr">
        <is>
          <t>KRONOBERGS LÄN</t>
        </is>
      </c>
      <c r="E2095" t="inlineStr">
        <is>
          <t>ÄLMHULT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51310-2020</t>
        </is>
      </c>
      <c r="B2096" s="1" t="n">
        <v>44112</v>
      </c>
      <c r="C2096" s="1" t="n">
        <v>45832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51641-2020</t>
        </is>
      </c>
      <c r="B2097" s="1" t="n">
        <v>44113</v>
      </c>
      <c r="C2097" s="1" t="n">
        <v>45832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51614-2020</t>
        </is>
      </c>
      <c r="B2098" s="1" t="n">
        <v>44113</v>
      </c>
      <c r="C2098" s="1" t="n">
        <v>45832</v>
      </c>
      <c r="D2098" t="inlineStr">
        <is>
          <t>KRONOBERGS LÄN</t>
        </is>
      </c>
      <c r="E2098" t="inlineStr">
        <is>
          <t>ALVESTA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51772-2020</t>
        </is>
      </c>
      <c r="B2099" s="1" t="n">
        <v>44115</v>
      </c>
      <c r="C2099" s="1" t="n">
        <v>45832</v>
      </c>
      <c r="D2099" t="inlineStr">
        <is>
          <t>KRONOBERGS LÄN</t>
        </is>
      </c>
      <c r="E2099" t="inlineStr">
        <is>
          <t>ALVESTA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51771-2020</t>
        </is>
      </c>
      <c r="B2100" s="1" t="n">
        <v>44115</v>
      </c>
      <c r="C2100" s="1" t="n">
        <v>45832</v>
      </c>
      <c r="D2100" t="inlineStr">
        <is>
          <t>KRONOBERGS LÄN</t>
        </is>
      </c>
      <c r="E2100" t="inlineStr">
        <is>
          <t>ALVESTA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51804-2020</t>
        </is>
      </c>
      <c r="B2101" s="1" t="n">
        <v>44116</v>
      </c>
      <c r="C2101" s="1" t="n">
        <v>45832</v>
      </c>
      <c r="D2101" t="inlineStr">
        <is>
          <t>KRONOBERGS LÄN</t>
        </is>
      </c>
      <c r="E2101" t="inlineStr">
        <is>
          <t>ÄLMHULT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51834-2020</t>
        </is>
      </c>
      <c r="B2102" s="1" t="n">
        <v>44116</v>
      </c>
      <c r="C2102" s="1" t="n">
        <v>45832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51789-2020</t>
        </is>
      </c>
      <c r="B2103" s="1" t="n">
        <v>44116</v>
      </c>
      <c r="C2103" s="1" t="n">
        <v>45832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51931-2020</t>
        </is>
      </c>
      <c r="B2104" s="1" t="n">
        <v>44116</v>
      </c>
      <c r="C2104" s="1" t="n">
        <v>45832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52082-2020</t>
        </is>
      </c>
      <c r="B2105" s="1" t="n">
        <v>44117</v>
      </c>
      <c r="C2105" s="1" t="n">
        <v>45832</v>
      </c>
      <c r="D2105" t="inlineStr">
        <is>
          <t>KRONOBERGS LÄN</t>
        </is>
      </c>
      <c r="E2105" t="inlineStr">
        <is>
          <t>ALVESTA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52296-2020</t>
        </is>
      </c>
      <c r="B2106" s="1" t="n">
        <v>44117</v>
      </c>
      <c r="C2106" s="1" t="n">
        <v>45832</v>
      </c>
      <c r="D2106" t="inlineStr">
        <is>
          <t>KRONOBERGS LÄN</t>
        </is>
      </c>
      <c r="E2106" t="inlineStr">
        <is>
          <t>ÄLMHULT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52331-2020</t>
        </is>
      </c>
      <c r="B2107" s="1" t="n">
        <v>44117</v>
      </c>
      <c r="C2107" s="1" t="n">
        <v>45832</v>
      </c>
      <c r="D2107" t="inlineStr">
        <is>
          <t>KRONOBERGS LÄN</t>
        </is>
      </c>
      <c r="E2107" t="inlineStr">
        <is>
          <t>ÄLMHULT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52381-2020</t>
        </is>
      </c>
      <c r="B2108" s="1" t="n">
        <v>44118</v>
      </c>
      <c r="C2108" s="1" t="n">
        <v>45832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52428-2020</t>
        </is>
      </c>
      <c r="B2109" s="1" t="n">
        <v>44118</v>
      </c>
      <c r="C2109" s="1" t="n">
        <v>45832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52562-2020</t>
        </is>
      </c>
      <c r="B2110" s="1" t="n">
        <v>44118</v>
      </c>
      <c r="C2110" s="1" t="n">
        <v>45832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52775-2020</t>
        </is>
      </c>
      <c r="B2111" s="1" t="n">
        <v>44118</v>
      </c>
      <c r="C2111" s="1" t="n">
        <v>45832</v>
      </c>
      <c r="D2111" t="inlineStr">
        <is>
          <t>KRONOBERGS LÄN</t>
        </is>
      </c>
      <c r="E2111" t="inlineStr">
        <is>
          <t>TINGSRYD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52770-2020</t>
        </is>
      </c>
      <c r="B2112" s="1" t="n">
        <v>44118</v>
      </c>
      <c r="C2112" s="1" t="n">
        <v>45832</v>
      </c>
      <c r="D2112" t="inlineStr">
        <is>
          <t>KRONOBERGS LÄN</t>
        </is>
      </c>
      <c r="E2112" t="inlineStr">
        <is>
          <t>TINGSRYD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HYPERLINK("https://klasma.github.io/Logging_0763/knärot/A 52770-2020 karta knärot.png", "A 52770-2020")</f>
        <v/>
      </c>
      <c r="V2112">
        <f>HYPERLINK("https://klasma.github.io/Logging_0763/klagomål/A 52770-2020 FSC-klagomål.docx", "A 52770-2020")</f>
        <v/>
      </c>
      <c r="W2112">
        <f>HYPERLINK("https://klasma.github.io/Logging_0763/klagomålsmail/A 52770-2020 FSC-klagomål mail.docx", "A 52770-2020")</f>
        <v/>
      </c>
      <c r="X2112">
        <f>HYPERLINK("https://klasma.github.io/Logging_0763/tillsyn/A 52770-2020 tillsynsbegäran.docx", "A 52770-2020")</f>
        <v/>
      </c>
      <c r="Y2112">
        <f>HYPERLINK("https://klasma.github.io/Logging_0763/tillsynsmail/A 52770-2020 tillsynsbegäran mail.docx", "A 52770-2020")</f>
        <v/>
      </c>
    </row>
    <row r="2113" ht="15" customHeight="1">
      <c r="A2113" t="inlineStr">
        <is>
          <t>A 52781-2020</t>
        </is>
      </c>
      <c r="B2113" s="1" t="n">
        <v>44119</v>
      </c>
      <c r="C2113" s="1" t="n">
        <v>45832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52977-2020</t>
        </is>
      </c>
      <c r="B2114" s="1" t="n">
        <v>44119</v>
      </c>
      <c r="C2114" s="1" t="n">
        <v>45832</v>
      </c>
      <c r="D2114" t="inlineStr">
        <is>
          <t>KRONOBERGS LÄN</t>
        </is>
      </c>
      <c r="E2114" t="inlineStr">
        <is>
          <t>LJUNGBY</t>
        </is>
      </c>
      <c r="F2114" t="inlineStr">
        <is>
          <t>Bergvik skog väst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53002-2020</t>
        </is>
      </c>
      <c r="B2115" s="1" t="n">
        <v>44119</v>
      </c>
      <c r="C2115" s="1" t="n">
        <v>45832</v>
      </c>
      <c r="D2115" t="inlineStr">
        <is>
          <t>KRONOBERGS LÄN</t>
        </is>
      </c>
      <c r="E2115" t="inlineStr">
        <is>
          <t>UPPVIDINGE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52868-2020</t>
        </is>
      </c>
      <c r="B2116" s="1" t="n">
        <v>44119</v>
      </c>
      <c r="C2116" s="1" t="n">
        <v>45832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52987-2020</t>
        </is>
      </c>
      <c r="B2117" s="1" t="n">
        <v>44119</v>
      </c>
      <c r="C2117" s="1" t="n">
        <v>45832</v>
      </c>
      <c r="D2117" t="inlineStr">
        <is>
          <t>KRONOBERGS LÄN</t>
        </is>
      </c>
      <c r="E2117" t="inlineStr">
        <is>
          <t>UPPVIDINGE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53050-2020</t>
        </is>
      </c>
      <c r="B2118" s="1" t="n">
        <v>44120</v>
      </c>
      <c r="C2118" s="1" t="n">
        <v>45832</v>
      </c>
      <c r="D2118" t="inlineStr">
        <is>
          <t>KRONOBERGS LÄN</t>
        </is>
      </c>
      <c r="E2118" t="inlineStr">
        <is>
          <t>UPPVIDINGE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53082-2020</t>
        </is>
      </c>
      <c r="B2119" s="1" t="n">
        <v>44120</v>
      </c>
      <c r="C2119" s="1" t="n">
        <v>45832</v>
      </c>
      <c r="D2119" t="inlineStr">
        <is>
          <t>KRONOBERGS LÄN</t>
        </is>
      </c>
      <c r="E2119" t="inlineStr">
        <is>
          <t>UPPVIDINGE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53336-2020</t>
        </is>
      </c>
      <c r="B2120" s="1" t="n">
        <v>44123</v>
      </c>
      <c r="C2120" s="1" t="n">
        <v>45832</v>
      </c>
      <c r="D2120" t="inlineStr">
        <is>
          <t>KRONOBERGS LÄN</t>
        </is>
      </c>
      <c r="E2120" t="inlineStr">
        <is>
          <t>LESSEBO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53376-2020</t>
        </is>
      </c>
      <c r="B2121" s="1" t="n">
        <v>44123</v>
      </c>
      <c r="C2121" s="1" t="n">
        <v>45832</v>
      </c>
      <c r="D2121" t="inlineStr">
        <is>
          <t>KRONOBERGS LÄN</t>
        </is>
      </c>
      <c r="E2121" t="inlineStr">
        <is>
          <t>VÄXJÖ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53325-2020</t>
        </is>
      </c>
      <c r="B2122" s="1" t="n">
        <v>44123</v>
      </c>
      <c r="C2122" s="1" t="n">
        <v>45832</v>
      </c>
      <c r="D2122" t="inlineStr">
        <is>
          <t>KRONOBERGS LÄN</t>
        </is>
      </c>
      <c r="E2122" t="inlineStr">
        <is>
          <t>ALVESTA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53553-2020</t>
        </is>
      </c>
      <c r="B2123" s="1" t="n">
        <v>44124</v>
      </c>
      <c r="C2123" s="1" t="n">
        <v>45832</v>
      </c>
      <c r="D2123" t="inlineStr">
        <is>
          <t>KRONOBERGS LÄN</t>
        </is>
      </c>
      <c r="E2123" t="inlineStr">
        <is>
          <t>ALVESTA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53624-2020</t>
        </is>
      </c>
      <c r="B2124" s="1" t="n">
        <v>44124</v>
      </c>
      <c r="C2124" s="1" t="n">
        <v>45832</v>
      </c>
      <c r="D2124" t="inlineStr">
        <is>
          <t>KRONOBERGS LÄN</t>
        </is>
      </c>
      <c r="E2124" t="inlineStr">
        <is>
          <t>TINGSRYD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53722-2020</t>
        </is>
      </c>
      <c r="B2125" s="1" t="n">
        <v>44124</v>
      </c>
      <c r="C2125" s="1" t="n">
        <v>45832</v>
      </c>
      <c r="D2125" t="inlineStr">
        <is>
          <t>KRONOBERGS LÄN</t>
        </is>
      </c>
      <c r="E2125" t="inlineStr">
        <is>
          <t>MARKARYD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53536-2020</t>
        </is>
      </c>
      <c r="B2126" s="1" t="n">
        <v>44124</v>
      </c>
      <c r="C2126" s="1" t="n">
        <v>45832</v>
      </c>
      <c r="D2126" t="inlineStr">
        <is>
          <t>KRONOBERGS LÄN</t>
        </is>
      </c>
      <c r="E2126" t="inlineStr">
        <is>
          <t>TINGSRYD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53547-2020</t>
        </is>
      </c>
      <c r="B2127" s="1" t="n">
        <v>44124</v>
      </c>
      <c r="C2127" s="1" t="n">
        <v>45832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53534-2020</t>
        </is>
      </c>
      <c r="B2128" s="1" t="n">
        <v>44124</v>
      </c>
      <c r="C2128" s="1" t="n">
        <v>45832</v>
      </c>
      <c r="D2128" t="inlineStr">
        <is>
          <t>KRONOBERGS LÄN</t>
        </is>
      </c>
      <c r="E2128" t="inlineStr">
        <is>
          <t>LESSEBO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53546-2020</t>
        </is>
      </c>
      <c r="B2129" s="1" t="n">
        <v>44124</v>
      </c>
      <c r="C2129" s="1" t="n">
        <v>45832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53638-2020</t>
        </is>
      </c>
      <c r="B2130" s="1" t="n">
        <v>44124</v>
      </c>
      <c r="C2130" s="1" t="n">
        <v>45832</v>
      </c>
      <c r="D2130" t="inlineStr">
        <is>
          <t>KRONOBERGS LÄN</t>
        </is>
      </c>
      <c r="E2130" t="inlineStr">
        <is>
          <t>LJUNGBY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53772-2020</t>
        </is>
      </c>
      <c r="B2131" s="1" t="n">
        <v>44124</v>
      </c>
      <c r="C2131" s="1" t="n">
        <v>45832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53793-2020</t>
        </is>
      </c>
      <c r="B2132" s="1" t="n">
        <v>44124</v>
      </c>
      <c r="C2132" s="1" t="n">
        <v>45832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54329-2020</t>
        </is>
      </c>
      <c r="B2133" s="1" t="n">
        <v>44124</v>
      </c>
      <c r="C2133" s="1" t="n">
        <v>45832</v>
      </c>
      <c r="D2133" t="inlineStr">
        <is>
          <t>KRONOBERGS LÄN</t>
        </is>
      </c>
      <c r="E2133" t="inlineStr">
        <is>
          <t>UPPVIDINGE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53797-2020</t>
        </is>
      </c>
      <c r="B2134" s="1" t="n">
        <v>44124</v>
      </c>
      <c r="C2134" s="1" t="n">
        <v>45832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53865-2020</t>
        </is>
      </c>
      <c r="B2135" s="1" t="n">
        <v>44124</v>
      </c>
      <c r="C2135" s="1" t="n">
        <v>45832</v>
      </c>
      <c r="D2135" t="inlineStr">
        <is>
          <t>KRONOBERGS LÄN</t>
        </is>
      </c>
      <c r="E2135" t="inlineStr">
        <is>
          <t>UPPVIDINGE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53972-2020</t>
        </is>
      </c>
      <c r="B2136" s="1" t="n">
        <v>44125</v>
      </c>
      <c r="C2136" s="1" t="n">
        <v>45832</v>
      </c>
      <c r="D2136" t="inlineStr">
        <is>
          <t>KRONOBERGS LÄN</t>
        </is>
      </c>
      <c r="E2136" t="inlineStr">
        <is>
          <t>VÄXJÖ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54091-2020</t>
        </is>
      </c>
      <c r="B2137" s="1" t="n">
        <v>44125</v>
      </c>
      <c r="C2137" s="1" t="n">
        <v>45832</v>
      </c>
      <c r="D2137" t="inlineStr">
        <is>
          <t>KRONOBERGS LÄN</t>
        </is>
      </c>
      <c r="E2137" t="inlineStr">
        <is>
          <t>LJUNGBY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53980-2020</t>
        </is>
      </c>
      <c r="B2138" s="1" t="n">
        <v>44125</v>
      </c>
      <c r="C2138" s="1" t="n">
        <v>45832</v>
      </c>
      <c r="D2138" t="inlineStr">
        <is>
          <t>KRONOBERGS LÄN</t>
        </is>
      </c>
      <c r="E2138" t="inlineStr">
        <is>
          <t>VÄXJÖ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54087-2020</t>
        </is>
      </c>
      <c r="B2139" s="1" t="n">
        <v>44125</v>
      </c>
      <c r="C2139" s="1" t="n">
        <v>45832</v>
      </c>
      <c r="D2139" t="inlineStr">
        <is>
          <t>KRONOBERGS LÄN</t>
        </is>
      </c>
      <c r="E2139" t="inlineStr">
        <is>
          <t>LJUNGBY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54146-2020</t>
        </is>
      </c>
      <c r="B2140" s="1" t="n">
        <v>44125</v>
      </c>
      <c r="C2140" s="1" t="n">
        <v>45832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54061-2020</t>
        </is>
      </c>
      <c r="B2141" s="1" t="n">
        <v>44125</v>
      </c>
      <c r="C2141" s="1" t="n">
        <v>45832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53941-2020</t>
        </is>
      </c>
      <c r="B2142" s="1" t="n">
        <v>44125</v>
      </c>
      <c r="C2142" s="1" t="n">
        <v>45832</v>
      </c>
      <c r="D2142" t="inlineStr">
        <is>
          <t>KRONOBERGS LÄN</t>
        </is>
      </c>
      <c r="E2142" t="inlineStr">
        <is>
          <t>VÄXJÖ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54236-2020</t>
        </is>
      </c>
      <c r="B2143" s="1" t="n">
        <v>44126</v>
      </c>
      <c r="C2143" s="1" t="n">
        <v>45832</v>
      </c>
      <c r="D2143" t="inlineStr">
        <is>
          <t>KRONOBERGS LÄN</t>
        </is>
      </c>
      <c r="E2143" t="inlineStr">
        <is>
          <t>TINGSRYD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54547-2020</t>
        </is>
      </c>
      <c r="B2144" s="1" t="n">
        <v>44126</v>
      </c>
      <c r="C2144" s="1" t="n">
        <v>45832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54791-2020</t>
        </is>
      </c>
      <c r="B2145" s="1" t="n">
        <v>44127</v>
      </c>
      <c r="C2145" s="1" t="n">
        <v>45832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54799-2020</t>
        </is>
      </c>
      <c r="B2146" s="1" t="n">
        <v>44127</v>
      </c>
      <c r="C2146" s="1" t="n">
        <v>45832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54787-2020</t>
        </is>
      </c>
      <c r="B2147" s="1" t="n">
        <v>44127</v>
      </c>
      <c r="C2147" s="1" t="n">
        <v>45832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54806-2020</t>
        </is>
      </c>
      <c r="B2148" s="1" t="n">
        <v>44127</v>
      </c>
      <c r="C2148" s="1" t="n">
        <v>45832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54696-2020</t>
        </is>
      </c>
      <c r="B2149" s="1" t="n">
        <v>44127</v>
      </c>
      <c r="C2149" s="1" t="n">
        <v>45832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54798-2020</t>
        </is>
      </c>
      <c r="B2150" s="1" t="n">
        <v>44127</v>
      </c>
      <c r="C2150" s="1" t="n">
        <v>45832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54820-2020</t>
        </is>
      </c>
      <c r="B2151" s="1" t="n">
        <v>44127</v>
      </c>
      <c r="C2151" s="1" t="n">
        <v>45832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54953-2020</t>
        </is>
      </c>
      <c r="B2152" s="1" t="n">
        <v>44129</v>
      </c>
      <c r="C2152" s="1" t="n">
        <v>45832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54983-2020</t>
        </is>
      </c>
      <c r="B2153" s="1" t="n">
        <v>44130</v>
      </c>
      <c r="C2153" s="1" t="n">
        <v>45832</v>
      </c>
      <c r="D2153" t="inlineStr">
        <is>
          <t>KRONOBERGS LÄN</t>
        </is>
      </c>
      <c r="E2153" t="inlineStr">
        <is>
          <t>MARKARYD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55282-2020</t>
        </is>
      </c>
      <c r="B2154" s="1" t="n">
        <v>44130</v>
      </c>
      <c r="C2154" s="1" t="n">
        <v>45832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55825-2020</t>
        </is>
      </c>
      <c r="B2155" s="1" t="n">
        <v>44132</v>
      </c>
      <c r="C2155" s="1" t="n">
        <v>45832</v>
      </c>
      <c r="D2155" t="inlineStr">
        <is>
          <t>KRONOBERGS LÄN</t>
        </is>
      </c>
      <c r="E2155" t="inlineStr">
        <is>
          <t>MARKARYD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55794-2020</t>
        </is>
      </c>
      <c r="B2156" s="1" t="n">
        <v>44132</v>
      </c>
      <c r="C2156" s="1" t="n">
        <v>45832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56264-2020</t>
        </is>
      </c>
      <c r="B2157" s="1" t="n">
        <v>44134</v>
      </c>
      <c r="C2157" s="1" t="n">
        <v>45832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56284-2020</t>
        </is>
      </c>
      <c r="B2158" s="1" t="n">
        <v>44134</v>
      </c>
      <c r="C2158" s="1" t="n">
        <v>45832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56305-2020</t>
        </is>
      </c>
      <c r="B2159" s="1" t="n">
        <v>44134</v>
      </c>
      <c r="C2159" s="1" t="n">
        <v>45832</v>
      </c>
      <c r="D2159" t="inlineStr">
        <is>
          <t>KRONOBERGS LÄN</t>
        </is>
      </c>
      <c r="E2159" t="inlineStr">
        <is>
          <t>TINGSRYD</t>
        </is>
      </c>
      <c r="G2159" t="n">
        <v>23.3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56396-2020</t>
        </is>
      </c>
      <c r="B2160" s="1" t="n">
        <v>44137</v>
      </c>
      <c r="C2160" s="1" t="n">
        <v>45832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56485-2020</t>
        </is>
      </c>
      <c r="B2161" s="1" t="n">
        <v>44137</v>
      </c>
      <c r="C2161" s="1" t="n">
        <v>45832</v>
      </c>
      <c r="D2161" t="inlineStr">
        <is>
          <t>KRONOBERGS LÄN</t>
        </is>
      </c>
      <c r="E2161" t="inlineStr">
        <is>
          <t>MARKARYD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56563-2020</t>
        </is>
      </c>
      <c r="B2162" s="1" t="n">
        <v>44137</v>
      </c>
      <c r="C2162" s="1" t="n">
        <v>45832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56708-2020</t>
        </is>
      </c>
      <c r="B2163" s="1" t="n">
        <v>44137</v>
      </c>
      <c r="C2163" s="1" t="n">
        <v>45832</v>
      </c>
      <c r="D2163" t="inlineStr">
        <is>
          <t>KRONOBERGS LÄN</t>
        </is>
      </c>
      <c r="E2163" t="inlineStr">
        <is>
          <t>LJUNGBY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56958-2020</t>
        </is>
      </c>
      <c r="B2164" s="1" t="n">
        <v>44138</v>
      </c>
      <c r="C2164" s="1" t="n">
        <v>45832</v>
      </c>
      <c r="D2164" t="inlineStr">
        <is>
          <t>KRONOBERGS LÄN</t>
        </is>
      </c>
      <c r="E2164" t="inlineStr">
        <is>
          <t>VÄXJÖ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57163-2020</t>
        </is>
      </c>
      <c r="B2165" s="1" t="n">
        <v>44139</v>
      </c>
      <c r="C2165" s="1" t="n">
        <v>45832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57182-2020</t>
        </is>
      </c>
      <c r="B2166" s="1" t="n">
        <v>44139</v>
      </c>
      <c r="C2166" s="1" t="n">
        <v>45832</v>
      </c>
      <c r="D2166" t="inlineStr">
        <is>
          <t>KRONOBERGS LÄN</t>
        </is>
      </c>
      <c r="E2166" t="inlineStr">
        <is>
          <t>TINGSRYD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57269-2020</t>
        </is>
      </c>
      <c r="B2167" s="1" t="n">
        <v>44139</v>
      </c>
      <c r="C2167" s="1" t="n">
        <v>45832</v>
      </c>
      <c r="D2167" t="inlineStr">
        <is>
          <t>KRONOBERGS LÄN</t>
        </is>
      </c>
      <c r="E2167" t="inlineStr">
        <is>
          <t>TINGSRYD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57228-2020</t>
        </is>
      </c>
      <c r="B2168" s="1" t="n">
        <v>44139</v>
      </c>
      <c r="C2168" s="1" t="n">
        <v>45832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57290-2020</t>
        </is>
      </c>
      <c r="B2169" s="1" t="n">
        <v>44139</v>
      </c>
      <c r="C2169" s="1" t="n">
        <v>45832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57486-2020</t>
        </is>
      </c>
      <c r="B2170" s="1" t="n">
        <v>44140</v>
      </c>
      <c r="C2170" s="1" t="n">
        <v>45832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57493-2020</t>
        </is>
      </c>
      <c r="B2171" s="1" t="n">
        <v>44140</v>
      </c>
      <c r="C2171" s="1" t="n">
        <v>45832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57531-2020</t>
        </is>
      </c>
      <c r="B2172" s="1" t="n">
        <v>44140</v>
      </c>
      <c r="C2172" s="1" t="n">
        <v>45832</v>
      </c>
      <c r="D2172" t="inlineStr">
        <is>
          <t>KRONOBERGS LÄN</t>
        </is>
      </c>
      <c r="E2172" t="inlineStr">
        <is>
          <t>UPPVIDINGE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57654-2020</t>
        </is>
      </c>
      <c r="B2173" s="1" t="n">
        <v>44140</v>
      </c>
      <c r="C2173" s="1" t="n">
        <v>45832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57484-2020</t>
        </is>
      </c>
      <c r="B2174" s="1" t="n">
        <v>44140</v>
      </c>
      <c r="C2174" s="1" t="n">
        <v>45832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57490-2020</t>
        </is>
      </c>
      <c r="B2175" s="1" t="n">
        <v>44140</v>
      </c>
      <c r="C2175" s="1" t="n">
        <v>45832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57525-2020</t>
        </is>
      </c>
      <c r="B2176" s="1" t="n">
        <v>44140</v>
      </c>
      <c r="C2176" s="1" t="n">
        <v>45832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57597-2020</t>
        </is>
      </c>
      <c r="B2177" s="1" t="n">
        <v>44140</v>
      </c>
      <c r="C2177" s="1" t="n">
        <v>45832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57637-2020</t>
        </is>
      </c>
      <c r="B2178" s="1" t="n">
        <v>44140</v>
      </c>
      <c r="C2178" s="1" t="n">
        <v>45832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57514-2020</t>
        </is>
      </c>
      <c r="B2179" s="1" t="n">
        <v>44140</v>
      </c>
      <c r="C2179" s="1" t="n">
        <v>45832</v>
      </c>
      <c r="D2179" t="inlineStr">
        <is>
          <t>KRONOBERGS LÄN</t>
        </is>
      </c>
      <c r="E2179" t="inlineStr">
        <is>
          <t>UPPVIDINGE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57660-2020</t>
        </is>
      </c>
      <c r="B2180" s="1" t="n">
        <v>44140</v>
      </c>
      <c r="C2180" s="1" t="n">
        <v>45832</v>
      </c>
      <c r="D2180" t="inlineStr">
        <is>
          <t>KRONOBERGS LÄN</t>
        </is>
      </c>
      <c r="E2180" t="inlineStr">
        <is>
          <t>UPPVIDINGE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57870-2020</t>
        </is>
      </c>
      <c r="B2181" s="1" t="n">
        <v>44141</v>
      </c>
      <c r="C2181" s="1" t="n">
        <v>45832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57853-2020</t>
        </is>
      </c>
      <c r="B2182" s="1" t="n">
        <v>44141</v>
      </c>
      <c r="C2182" s="1" t="n">
        <v>45832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58059-2020</t>
        </is>
      </c>
      <c r="B2183" s="1" t="n">
        <v>44144</v>
      </c>
      <c r="C2183" s="1" t="n">
        <v>45832</v>
      </c>
      <c r="D2183" t="inlineStr">
        <is>
          <t>KRONOBERGS LÄN</t>
        </is>
      </c>
      <c r="E2183" t="inlineStr">
        <is>
          <t>ALVESTA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58135-2020</t>
        </is>
      </c>
      <c r="B2184" s="1" t="n">
        <v>44144</v>
      </c>
      <c r="C2184" s="1" t="n">
        <v>45832</v>
      </c>
      <c r="D2184" t="inlineStr">
        <is>
          <t>KRONOBERGS LÄN</t>
        </is>
      </c>
      <c r="E2184" t="inlineStr">
        <is>
          <t>MARKARYD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57995-2020</t>
        </is>
      </c>
      <c r="B2185" s="1" t="n">
        <v>44144</v>
      </c>
      <c r="C2185" s="1" t="n">
        <v>45832</v>
      </c>
      <c r="D2185" t="inlineStr">
        <is>
          <t>KRONOBERGS LÄN</t>
        </is>
      </c>
      <c r="E2185" t="inlineStr">
        <is>
          <t>LJUNGBY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58114-2020</t>
        </is>
      </c>
      <c r="B2186" s="1" t="n">
        <v>44144</v>
      </c>
      <c r="C2186" s="1" t="n">
        <v>45832</v>
      </c>
      <c r="D2186" t="inlineStr">
        <is>
          <t>KRONOBERGS LÄN</t>
        </is>
      </c>
      <c r="E2186" t="inlineStr">
        <is>
          <t>TINGSRYD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58259-2020</t>
        </is>
      </c>
      <c r="B2187" s="1" t="n">
        <v>44144</v>
      </c>
      <c r="C2187" s="1" t="n">
        <v>45832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58264-2020</t>
        </is>
      </c>
      <c r="B2188" s="1" t="n">
        <v>44144</v>
      </c>
      <c r="C2188" s="1" t="n">
        <v>45832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58440-2020</t>
        </is>
      </c>
      <c r="B2189" s="1" t="n">
        <v>44145</v>
      </c>
      <c r="C2189" s="1" t="n">
        <v>45832</v>
      </c>
      <c r="D2189" t="inlineStr">
        <is>
          <t>KRONOBERGS LÄN</t>
        </is>
      </c>
      <c r="E2189" t="inlineStr">
        <is>
          <t>VÄXJÖ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58446-2020</t>
        </is>
      </c>
      <c r="B2190" s="1" t="n">
        <v>44145</v>
      </c>
      <c r="C2190" s="1" t="n">
        <v>45832</v>
      </c>
      <c r="D2190" t="inlineStr">
        <is>
          <t>KRONOBERGS LÄN</t>
        </is>
      </c>
      <c r="E2190" t="inlineStr">
        <is>
          <t>LJUNGBY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58449-2020</t>
        </is>
      </c>
      <c r="B2191" s="1" t="n">
        <v>44145</v>
      </c>
      <c r="C2191" s="1" t="n">
        <v>45832</v>
      </c>
      <c r="D2191" t="inlineStr">
        <is>
          <t>KRONOBERGS LÄN</t>
        </is>
      </c>
      <c r="E2191" t="inlineStr">
        <is>
          <t>LJUNGBY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58555-2020</t>
        </is>
      </c>
      <c r="B2192" s="1" t="n">
        <v>44145</v>
      </c>
      <c r="C2192" s="1" t="n">
        <v>45832</v>
      </c>
      <c r="D2192" t="inlineStr">
        <is>
          <t>KRONOBERGS LÄN</t>
        </is>
      </c>
      <c r="E2192" t="inlineStr">
        <is>
          <t>MARKARYD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58582-2020</t>
        </is>
      </c>
      <c r="B2193" s="1" t="n">
        <v>44145</v>
      </c>
      <c r="C2193" s="1" t="n">
        <v>45832</v>
      </c>
      <c r="D2193" t="inlineStr">
        <is>
          <t>KRONOBERGS LÄN</t>
        </is>
      </c>
      <c r="E2193" t="inlineStr">
        <is>
          <t>TINGSRYD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58830-2020</t>
        </is>
      </c>
      <c r="B2194" s="1" t="n">
        <v>44146</v>
      </c>
      <c r="C2194" s="1" t="n">
        <v>45832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59018-2020</t>
        </is>
      </c>
      <c r="B2195" s="1" t="n">
        <v>44146</v>
      </c>
      <c r="C2195" s="1" t="n">
        <v>45832</v>
      </c>
      <c r="D2195" t="inlineStr">
        <is>
          <t>KRONOBERGS LÄN</t>
        </is>
      </c>
      <c r="E2195" t="inlineStr">
        <is>
          <t>LJUNGBY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58944-2020</t>
        </is>
      </c>
      <c r="B2196" s="1" t="n">
        <v>44146</v>
      </c>
      <c r="C2196" s="1" t="n">
        <v>45832</v>
      </c>
      <c r="D2196" t="inlineStr">
        <is>
          <t>KRONOBERGS LÄN</t>
        </is>
      </c>
      <c r="E2196" t="inlineStr">
        <is>
          <t>LJUNGBY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59041-2020</t>
        </is>
      </c>
      <c r="B2197" s="1" t="n">
        <v>44147</v>
      </c>
      <c r="C2197" s="1" t="n">
        <v>45832</v>
      </c>
      <c r="D2197" t="inlineStr">
        <is>
          <t>KRONOBERGS LÄN</t>
        </is>
      </c>
      <c r="E2197" t="inlineStr">
        <is>
          <t>TINGSRYD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59169-2020</t>
        </is>
      </c>
      <c r="B2198" s="1" t="n">
        <v>44147</v>
      </c>
      <c r="C2198" s="1" t="n">
        <v>45832</v>
      </c>
      <c r="D2198" t="inlineStr">
        <is>
          <t>KRONOBERGS LÄN</t>
        </is>
      </c>
      <c r="E2198" t="inlineStr">
        <is>
          <t>MARKARYD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59279-2020</t>
        </is>
      </c>
      <c r="B2199" s="1" t="n">
        <v>44147</v>
      </c>
      <c r="C2199" s="1" t="n">
        <v>45832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59178-2020</t>
        </is>
      </c>
      <c r="B2200" s="1" t="n">
        <v>44147</v>
      </c>
      <c r="C2200" s="1" t="n">
        <v>45832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59361-2020</t>
        </is>
      </c>
      <c r="B2201" s="1" t="n">
        <v>44148</v>
      </c>
      <c r="C2201" s="1" t="n">
        <v>45832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59688-2020</t>
        </is>
      </c>
      <c r="B2202" s="1" t="n">
        <v>44151</v>
      </c>
      <c r="C2202" s="1" t="n">
        <v>45832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59681-2020</t>
        </is>
      </c>
      <c r="B2203" s="1" t="n">
        <v>44151</v>
      </c>
      <c r="C2203" s="1" t="n">
        <v>45832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59697-2020</t>
        </is>
      </c>
      <c r="B2204" s="1" t="n">
        <v>44151</v>
      </c>
      <c r="C2204" s="1" t="n">
        <v>45832</v>
      </c>
      <c r="D2204" t="inlineStr">
        <is>
          <t>KRONOBERGS LÄN</t>
        </is>
      </c>
      <c r="E2204" t="inlineStr">
        <is>
          <t>LJUNGBY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60108-2020</t>
        </is>
      </c>
      <c r="B2205" s="1" t="n">
        <v>44152</v>
      </c>
      <c r="C2205" s="1" t="n">
        <v>45832</v>
      </c>
      <c r="D2205" t="inlineStr">
        <is>
          <t>KRONOBERGS LÄN</t>
        </is>
      </c>
      <c r="E2205" t="inlineStr">
        <is>
          <t>VÄXJÖ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60179-2020</t>
        </is>
      </c>
      <c r="B2206" s="1" t="n">
        <v>44152</v>
      </c>
      <c r="C2206" s="1" t="n">
        <v>45832</v>
      </c>
      <c r="D2206" t="inlineStr">
        <is>
          <t>KRONOBERGS LÄN</t>
        </is>
      </c>
      <c r="E2206" t="inlineStr">
        <is>
          <t>UPPVIDINGE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60097-2020</t>
        </is>
      </c>
      <c r="B2207" s="1" t="n">
        <v>44152</v>
      </c>
      <c r="C2207" s="1" t="n">
        <v>45832</v>
      </c>
      <c r="D2207" t="inlineStr">
        <is>
          <t>KRONOBERGS LÄN</t>
        </is>
      </c>
      <c r="E2207" t="inlineStr">
        <is>
          <t>ÄLMHULT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60229-2020</t>
        </is>
      </c>
      <c r="B2208" s="1" t="n">
        <v>44152</v>
      </c>
      <c r="C2208" s="1" t="n">
        <v>45832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60190-2020</t>
        </is>
      </c>
      <c r="B2209" s="1" t="n">
        <v>44152</v>
      </c>
      <c r="C2209" s="1" t="n">
        <v>45832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60237-2020</t>
        </is>
      </c>
      <c r="B2210" s="1" t="n">
        <v>44152</v>
      </c>
      <c r="C2210" s="1" t="n">
        <v>45832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60335-2020</t>
        </is>
      </c>
      <c r="B2211" s="1" t="n">
        <v>44152</v>
      </c>
      <c r="C2211" s="1" t="n">
        <v>45832</v>
      </c>
      <c r="D2211" t="inlineStr">
        <is>
          <t>KRONOBERGS LÄN</t>
        </is>
      </c>
      <c r="E2211" t="inlineStr">
        <is>
          <t>LJUNGBY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60357-2020</t>
        </is>
      </c>
      <c r="B2212" s="1" t="n">
        <v>44152</v>
      </c>
      <c r="C2212" s="1" t="n">
        <v>45832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60380-2020</t>
        </is>
      </c>
      <c r="B2213" s="1" t="n">
        <v>44152</v>
      </c>
      <c r="C2213" s="1" t="n">
        <v>45832</v>
      </c>
      <c r="D2213" t="inlineStr">
        <is>
          <t>KRONOBERGS LÄN</t>
        </is>
      </c>
      <c r="E2213" t="inlineStr">
        <is>
          <t>MARKARYD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60160-2020</t>
        </is>
      </c>
      <c r="B2214" s="1" t="n">
        <v>44152</v>
      </c>
      <c r="C2214" s="1" t="n">
        <v>45832</v>
      </c>
      <c r="D2214" t="inlineStr">
        <is>
          <t>KRONOBERGS LÄN</t>
        </is>
      </c>
      <c r="E2214" t="inlineStr">
        <is>
          <t>LJUNGBY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60667-2020</t>
        </is>
      </c>
      <c r="B2215" s="1" t="n">
        <v>44153</v>
      </c>
      <c r="C2215" s="1" t="n">
        <v>45832</v>
      </c>
      <c r="D2215" t="inlineStr">
        <is>
          <t>KRONOBERGS LÄN</t>
        </is>
      </c>
      <c r="E2215" t="inlineStr">
        <is>
          <t>LJUNGBY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60563-2020</t>
        </is>
      </c>
      <c r="B2216" s="1" t="n">
        <v>44153</v>
      </c>
      <c r="C2216" s="1" t="n">
        <v>45832</v>
      </c>
      <c r="D2216" t="inlineStr">
        <is>
          <t>KRONOBERGS LÄN</t>
        </is>
      </c>
      <c r="E2216" t="inlineStr">
        <is>
          <t>ÄLMHULT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60588-2020</t>
        </is>
      </c>
      <c r="B2217" s="1" t="n">
        <v>44153</v>
      </c>
      <c r="C2217" s="1" t="n">
        <v>45832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60417-2020</t>
        </is>
      </c>
      <c r="B2218" s="1" t="n">
        <v>44153</v>
      </c>
      <c r="C2218" s="1" t="n">
        <v>45832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60432-2020</t>
        </is>
      </c>
      <c r="B2219" s="1" t="n">
        <v>44153</v>
      </c>
      <c r="C2219" s="1" t="n">
        <v>45832</v>
      </c>
      <c r="D2219" t="inlineStr">
        <is>
          <t>KRONOBERGS LÄN</t>
        </is>
      </c>
      <c r="E2219" t="inlineStr">
        <is>
          <t>ÄLMHULT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60520-2020</t>
        </is>
      </c>
      <c r="B2220" s="1" t="n">
        <v>44153</v>
      </c>
      <c r="C2220" s="1" t="n">
        <v>45832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60513-2020</t>
        </is>
      </c>
      <c r="B2221" s="1" t="n">
        <v>44153</v>
      </c>
      <c r="C2221" s="1" t="n">
        <v>45832</v>
      </c>
      <c r="D2221" t="inlineStr">
        <is>
          <t>KRONOBERGS LÄN</t>
        </is>
      </c>
      <c r="E2221" t="inlineStr">
        <is>
          <t>UPPVIDINGE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60655-2020</t>
        </is>
      </c>
      <c r="B2222" s="1" t="n">
        <v>44153</v>
      </c>
      <c r="C2222" s="1" t="n">
        <v>45832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60584-2020</t>
        </is>
      </c>
      <c r="B2223" s="1" t="n">
        <v>44153</v>
      </c>
      <c r="C2223" s="1" t="n">
        <v>45832</v>
      </c>
      <c r="D2223" t="inlineStr">
        <is>
          <t>KRONOBERGS LÄN</t>
        </is>
      </c>
      <c r="E2223" t="inlineStr">
        <is>
          <t>ÄLMHULT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60768-2020</t>
        </is>
      </c>
      <c r="B2224" s="1" t="n">
        <v>44154</v>
      </c>
      <c r="C2224" s="1" t="n">
        <v>45832</v>
      </c>
      <c r="D2224" t="inlineStr">
        <is>
          <t>KRONOBERGS LÄN</t>
        </is>
      </c>
      <c r="E2224" t="inlineStr">
        <is>
          <t>ÄLMHULT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60850-2020</t>
        </is>
      </c>
      <c r="B2225" s="1" t="n">
        <v>44154</v>
      </c>
      <c r="C2225" s="1" t="n">
        <v>45832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60867-2020</t>
        </is>
      </c>
      <c r="B2226" s="1" t="n">
        <v>44154</v>
      </c>
      <c r="C2226" s="1" t="n">
        <v>45832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60849-2020</t>
        </is>
      </c>
      <c r="B2227" s="1" t="n">
        <v>44154</v>
      </c>
      <c r="C2227" s="1" t="n">
        <v>45832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60865-2020</t>
        </is>
      </c>
      <c r="B2228" s="1" t="n">
        <v>44154</v>
      </c>
      <c r="C2228" s="1" t="n">
        <v>45832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60927-2020</t>
        </is>
      </c>
      <c r="B2229" s="1" t="n">
        <v>44154</v>
      </c>
      <c r="C2229" s="1" t="n">
        <v>45832</v>
      </c>
      <c r="D2229" t="inlineStr">
        <is>
          <t>KRONOBERGS LÄN</t>
        </is>
      </c>
      <c r="E2229" t="inlineStr">
        <is>
          <t>UPPVIDINGE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60940-2020</t>
        </is>
      </c>
      <c r="B2230" s="1" t="n">
        <v>44154</v>
      </c>
      <c r="C2230" s="1" t="n">
        <v>45832</v>
      </c>
      <c r="D2230" t="inlineStr">
        <is>
          <t>KRONOBERGS LÄN</t>
        </is>
      </c>
      <c r="E2230" t="inlineStr">
        <is>
          <t>UPPVIDINGE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60945-2020</t>
        </is>
      </c>
      <c r="B2231" s="1" t="n">
        <v>44154</v>
      </c>
      <c r="C2231" s="1" t="n">
        <v>45832</v>
      </c>
      <c r="D2231" t="inlineStr">
        <is>
          <t>KRONOBERGS LÄN</t>
        </is>
      </c>
      <c r="E2231" t="inlineStr">
        <is>
          <t>UPPVIDINGE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60929-2020</t>
        </is>
      </c>
      <c r="B2232" s="1" t="n">
        <v>44154</v>
      </c>
      <c r="C2232" s="1" t="n">
        <v>45832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60942-2020</t>
        </is>
      </c>
      <c r="B2233" s="1" t="n">
        <v>44154</v>
      </c>
      <c r="C2233" s="1" t="n">
        <v>45832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60939-2020</t>
        </is>
      </c>
      <c r="B2234" s="1" t="n">
        <v>44154</v>
      </c>
      <c r="C2234" s="1" t="n">
        <v>45832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60943-2020</t>
        </is>
      </c>
      <c r="B2235" s="1" t="n">
        <v>44154</v>
      </c>
      <c r="C2235" s="1" t="n">
        <v>45832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61087-2020</t>
        </is>
      </c>
      <c r="B2236" s="1" t="n">
        <v>44154</v>
      </c>
      <c r="C2236" s="1" t="n">
        <v>45832</v>
      </c>
      <c r="D2236" t="inlineStr">
        <is>
          <t>KRONOBERGS LÄN</t>
        </is>
      </c>
      <c r="E2236" t="inlineStr">
        <is>
          <t>UPPVIDINGE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61086-2020</t>
        </is>
      </c>
      <c r="B2237" s="1" t="n">
        <v>44154</v>
      </c>
      <c r="C2237" s="1" t="n">
        <v>45832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61058-2020</t>
        </is>
      </c>
      <c r="B2238" s="1" t="n">
        <v>44154</v>
      </c>
      <c r="C2238" s="1" t="n">
        <v>45832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60947-2020</t>
        </is>
      </c>
      <c r="B2239" s="1" t="n">
        <v>44154</v>
      </c>
      <c r="C2239" s="1" t="n">
        <v>45832</v>
      </c>
      <c r="D2239" t="inlineStr">
        <is>
          <t>KRONOBERGS LÄN</t>
        </is>
      </c>
      <c r="E2239" t="inlineStr">
        <is>
          <t>UPPVIDINGE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61187-2020</t>
        </is>
      </c>
      <c r="B2240" s="1" t="n">
        <v>44155</v>
      </c>
      <c r="C2240" s="1" t="n">
        <v>45832</v>
      </c>
      <c r="D2240" t="inlineStr">
        <is>
          <t>KRONOBERGS LÄN</t>
        </is>
      </c>
      <c r="E2240" t="inlineStr">
        <is>
          <t>MARKARYD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61247-2020</t>
        </is>
      </c>
      <c r="B2241" s="1" t="n">
        <v>44155</v>
      </c>
      <c r="C2241" s="1" t="n">
        <v>45832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61255-2020</t>
        </is>
      </c>
      <c r="B2242" s="1" t="n">
        <v>44155</v>
      </c>
      <c r="C2242" s="1" t="n">
        <v>45832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61434-2020</t>
        </is>
      </c>
      <c r="B2243" s="1" t="n">
        <v>44157</v>
      </c>
      <c r="C2243" s="1" t="n">
        <v>45832</v>
      </c>
      <c r="D2243" t="inlineStr">
        <is>
          <t>KRONOBERGS LÄN</t>
        </is>
      </c>
      <c r="E2243" t="inlineStr">
        <is>
          <t>LJUNGBY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61538-2020</t>
        </is>
      </c>
      <c r="B2244" s="1" t="n">
        <v>44158</v>
      </c>
      <c r="C2244" s="1" t="n">
        <v>45832</v>
      </c>
      <c r="D2244" t="inlineStr">
        <is>
          <t>KRONOBERGS LÄN</t>
        </is>
      </c>
      <c r="E2244" t="inlineStr">
        <is>
          <t>ÄLMHULT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61620-2020</t>
        </is>
      </c>
      <c r="B2245" s="1" t="n">
        <v>44158</v>
      </c>
      <c r="C2245" s="1" t="n">
        <v>45832</v>
      </c>
      <c r="D2245" t="inlineStr">
        <is>
          <t>KRONOBERGS LÄN</t>
        </is>
      </c>
      <c r="E2245" t="inlineStr">
        <is>
          <t>VÄXJÖ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61534-2020</t>
        </is>
      </c>
      <c r="B2246" s="1" t="n">
        <v>44158</v>
      </c>
      <c r="C2246" s="1" t="n">
        <v>45832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61675-2020</t>
        </is>
      </c>
      <c r="B2247" s="1" t="n">
        <v>44158</v>
      </c>
      <c r="C2247" s="1" t="n">
        <v>45832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61793-2020</t>
        </is>
      </c>
      <c r="B2248" s="1" t="n">
        <v>44158</v>
      </c>
      <c r="C2248" s="1" t="n">
        <v>45832</v>
      </c>
      <c r="D2248" t="inlineStr">
        <is>
          <t>KRONOBERGS LÄN</t>
        </is>
      </c>
      <c r="E2248" t="inlineStr">
        <is>
          <t>UPPVIDINGE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61792-2020</t>
        </is>
      </c>
      <c r="B2249" s="1" t="n">
        <v>44158</v>
      </c>
      <c r="C2249" s="1" t="n">
        <v>45832</v>
      </c>
      <c r="D2249" t="inlineStr">
        <is>
          <t>KRONOBERGS LÄN</t>
        </is>
      </c>
      <c r="E2249" t="inlineStr">
        <is>
          <t>UPPVIDINGE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61794-2020</t>
        </is>
      </c>
      <c r="B2250" s="1" t="n">
        <v>44158</v>
      </c>
      <c r="C2250" s="1" t="n">
        <v>45832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61885-2020</t>
        </is>
      </c>
      <c r="B2251" s="1" t="n">
        <v>44159</v>
      </c>
      <c r="C2251" s="1" t="n">
        <v>45832</v>
      </c>
      <c r="D2251" t="inlineStr">
        <is>
          <t>KRONOBERGS LÄN</t>
        </is>
      </c>
      <c r="E2251" t="inlineStr">
        <is>
          <t>VÄXJÖ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61899-2020</t>
        </is>
      </c>
      <c r="B2252" s="1" t="n">
        <v>44159</v>
      </c>
      <c r="C2252" s="1" t="n">
        <v>45832</v>
      </c>
      <c r="D2252" t="inlineStr">
        <is>
          <t>KRONOBERGS LÄN</t>
        </is>
      </c>
      <c r="E2252" t="inlineStr">
        <is>
          <t>VÄXJÖ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61909-2020</t>
        </is>
      </c>
      <c r="B2253" s="1" t="n">
        <v>44159</v>
      </c>
      <c r="C2253" s="1" t="n">
        <v>45832</v>
      </c>
      <c r="D2253" t="inlineStr">
        <is>
          <t>KRONOBERGS LÄN</t>
        </is>
      </c>
      <c r="E2253" t="inlineStr">
        <is>
          <t>MARKARYD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62220-2020</t>
        </is>
      </c>
      <c r="B2254" s="1" t="n">
        <v>44159</v>
      </c>
      <c r="C2254" s="1" t="n">
        <v>45832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62090-2020</t>
        </is>
      </c>
      <c r="B2255" s="1" t="n">
        <v>44159</v>
      </c>
      <c r="C2255" s="1" t="n">
        <v>45832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62419-2020</t>
        </is>
      </c>
      <c r="B2256" s="1" t="n">
        <v>44159</v>
      </c>
      <c r="C2256" s="1" t="n">
        <v>45832</v>
      </c>
      <c r="D2256" t="inlineStr">
        <is>
          <t>KRONOBERGS LÄN</t>
        </is>
      </c>
      <c r="E2256" t="inlineStr">
        <is>
          <t>ALVESTA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62427-2020</t>
        </is>
      </c>
      <c r="B2257" s="1" t="n">
        <v>44159</v>
      </c>
      <c r="C2257" s="1" t="n">
        <v>45832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62262-2020</t>
        </is>
      </c>
      <c r="B2258" s="1" t="n">
        <v>44160</v>
      </c>
      <c r="C2258" s="1" t="n">
        <v>45832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62283-2020</t>
        </is>
      </c>
      <c r="B2259" s="1" t="n">
        <v>44160</v>
      </c>
      <c r="C2259" s="1" t="n">
        <v>45832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62346-2020</t>
        </is>
      </c>
      <c r="B2260" s="1" t="n">
        <v>44160</v>
      </c>
      <c r="C2260" s="1" t="n">
        <v>45832</v>
      </c>
      <c r="D2260" t="inlineStr">
        <is>
          <t>KRONOBERGS LÄN</t>
        </is>
      </c>
      <c r="E2260" t="inlineStr">
        <is>
          <t>UPPVIDINGE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62534-2020</t>
        </is>
      </c>
      <c r="B2261" s="1" t="n">
        <v>44160</v>
      </c>
      <c r="C2261" s="1" t="n">
        <v>45832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62299-2020</t>
        </is>
      </c>
      <c r="B2262" s="1" t="n">
        <v>44160</v>
      </c>
      <c r="C2262" s="1" t="n">
        <v>45832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62521-2020</t>
        </is>
      </c>
      <c r="B2263" s="1" t="n">
        <v>44160</v>
      </c>
      <c r="C2263" s="1" t="n">
        <v>45832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62505-2020</t>
        </is>
      </c>
      <c r="B2264" s="1" t="n">
        <v>44160</v>
      </c>
      <c r="C2264" s="1" t="n">
        <v>45832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62571-2020</t>
        </is>
      </c>
      <c r="B2265" s="1" t="n">
        <v>44160</v>
      </c>
      <c r="C2265" s="1" t="n">
        <v>45832</v>
      </c>
      <c r="D2265" t="inlineStr">
        <is>
          <t>KRONOBERGS LÄN</t>
        </is>
      </c>
      <c r="E2265" t="inlineStr">
        <is>
          <t>MARKARYD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62821-2020</t>
        </is>
      </c>
      <c r="B2266" s="1" t="n">
        <v>44161</v>
      </c>
      <c r="C2266" s="1" t="n">
        <v>45832</v>
      </c>
      <c r="D2266" t="inlineStr">
        <is>
          <t>KRONOBERGS LÄN</t>
        </is>
      </c>
      <c r="E2266" t="inlineStr">
        <is>
          <t>ÄLMHULT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62639-2020</t>
        </is>
      </c>
      <c r="B2267" s="1" t="n">
        <v>44161</v>
      </c>
      <c r="C2267" s="1" t="n">
        <v>45832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62722-2020</t>
        </is>
      </c>
      <c r="B2268" s="1" t="n">
        <v>44161</v>
      </c>
      <c r="C2268" s="1" t="n">
        <v>45832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63517-2020</t>
        </is>
      </c>
      <c r="B2269" s="1" t="n">
        <v>44161</v>
      </c>
      <c r="C2269" s="1" t="n">
        <v>45832</v>
      </c>
      <c r="D2269" t="inlineStr">
        <is>
          <t>KRONOBERGS LÄN</t>
        </is>
      </c>
      <c r="E2269" t="inlineStr">
        <is>
          <t>VÄXJÖ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63095-2020</t>
        </is>
      </c>
      <c r="B2270" s="1" t="n">
        <v>44162</v>
      </c>
      <c r="C2270" s="1" t="n">
        <v>45832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63129-2020</t>
        </is>
      </c>
      <c r="B2271" s="1" t="n">
        <v>44162</v>
      </c>
      <c r="C2271" s="1" t="n">
        <v>45832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63355-2020</t>
        </is>
      </c>
      <c r="B2272" s="1" t="n">
        <v>44165</v>
      </c>
      <c r="C2272" s="1" t="n">
        <v>45832</v>
      </c>
      <c r="D2272" t="inlineStr">
        <is>
          <t>KRONOBERGS LÄN</t>
        </is>
      </c>
      <c r="E2272" t="inlineStr">
        <is>
          <t>ALVESTA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63381-2020</t>
        </is>
      </c>
      <c r="B2273" s="1" t="n">
        <v>44165</v>
      </c>
      <c r="C2273" s="1" t="n">
        <v>45832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63509-2020</t>
        </is>
      </c>
      <c r="B2274" s="1" t="n">
        <v>44165</v>
      </c>
      <c r="C2274" s="1" t="n">
        <v>45832</v>
      </c>
      <c r="D2274" t="inlineStr">
        <is>
          <t>KRONOBERGS LÄN</t>
        </is>
      </c>
      <c r="E2274" t="inlineStr">
        <is>
          <t>LESSEBO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63386-2020</t>
        </is>
      </c>
      <c r="B2275" s="1" t="n">
        <v>44165</v>
      </c>
      <c r="C2275" s="1" t="n">
        <v>45832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63479-2020</t>
        </is>
      </c>
      <c r="B2276" s="1" t="n">
        <v>44165</v>
      </c>
      <c r="C2276" s="1" t="n">
        <v>45832</v>
      </c>
      <c r="D2276" t="inlineStr">
        <is>
          <t>KRONOBERGS LÄN</t>
        </is>
      </c>
      <c r="E2276" t="inlineStr">
        <is>
          <t>UPPVIDINGE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63506-2020</t>
        </is>
      </c>
      <c r="B2277" s="1" t="n">
        <v>44165</v>
      </c>
      <c r="C2277" s="1" t="n">
        <v>45832</v>
      </c>
      <c r="D2277" t="inlineStr">
        <is>
          <t>KRONOBERGS LÄN</t>
        </is>
      </c>
      <c r="E2277" t="inlineStr">
        <is>
          <t>UPPVIDINGE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63586-2020</t>
        </is>
      </c>
      <c r="B2278" s="1" t="n">
        <v>44165</v>
      </c>
      <c r="C2278" s="1" t="n">
        <v>45832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63594-2020</t>
        </is>
      </c>
      <c r="B2279" s="1" t="n">
        <v>44165</v>
      </c>
      <c r="C2279" s="1" t="n">
        <v>45832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63588-2020</t>
        </is>
      </c>
      <c r="B2280" s="1" t="n">
        <v>44165</v>
      </c>
      <c r="C2280" s="1" t="n">
        <v>45832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63661-2020</t>
        </is>
      </c>
      <c r="B2281" s="1" t="n">
        <v>44166</v>
      </c>
      <c r="C2281" s="1" t="n">
        <v>45832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63670-2020</t>
        </is>
      </c>
      <c r="B2282" s="1" t="n">
        <v>44166</v>
      </c>
      <c r="C2282" s="1" t="n">
        <v>45832</v>
      </c>
      <c r="D2282" t="inlineStr">
        <is>
          <t>KRONOBERGS LÄN</t>
        </is>
      </c>
      <c r="E2282" t="inlineStr">
        <is>
          <t>LESSEBO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63659-2020</t>
        </is>
      </c>
      <c r="B2283" s="1" t="n">
        <v>44166</v>
      </c>
      <c r="C2283" s="1" t="n">
        <v>45832</v>
      </c>
      <c r="D2283" t="inlineStr">
        <is>
          <t>KRONOBERGS LÄN</t>
        </is>
      </c>
      <c r="E2283" t="inlineStr">
        <is>
          <t>LESSEBO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63665-2020</t>
        </is>
      </c>
      <c r="B2284" s="1" t="n">
        <v>44166</v>
      </c>
      <c r="C2284" s="1" t="n">
        <v>45832</v>
      </c>
      <c r="D2284" t="inlineStr">
        <is>
          <t>KRONOBERGS LÄN</t>
        </is>
      </c>
      <c r="E2284" t="inlineStr">
        <is>
          <t>LESSEBO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63674-2020</t>
        </is>
      </c>
      <c r="B2285" s="1" t="n">
        <v>44166</v>
      </c>
      <c r="C2285" s="1" t="n">
        <v>45832</v>
      </c>
      <c r="D2285" t="inlineStr">
        <is>
          <t>KRONOBERGS LÄN</t>
        </is>
      </c>
      <c r="E2285" t="inlineStr">
        <is>
          <t>LESSEBO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63873-2020</t>
        </is>
      </c>
      <c r="B2286" s="1" t="n">
        <v>44166</v>
      </c>
      <c r="C2286" s="1" t="n">
        <v>45832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63658-2020</t>
        </is>
      </c>
      <c r="B2287" s="1" t="n">
        <v>44166</v>
      </c>
      <c r="C2287" s="1" t="n">
        <v>45832</v>
      </c>
      <c r="D2287" t="inlineStr">
        <is>
          <t>KRONOBERGS LÄN</t>
        </is>
      </c>
      <c r="E2287" t="inlineStr">
        <is>
          <t>LESSEBO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63668-2020</t>
        </is>
      </c>
      <c r="B2288" s="1" t="n">
        <v>44166</v>
      </c>
      <c r="C2288" s="1" t="n">
        <v>45832</v>
      </c>
      <c r="D2288" t="inlineStr">
        <is>
          <t>KRONOBERGS LÄN</t>
        </is>
      </c>
      <c r="E2288" t="inlineStr">
        <is>
          <t>LESSEBO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63995-2020</t>
        </is>
      </c>
      <c r="B2289" s="1" t="n">
        <v>44167</v>
      </c>
      <c r="C2289" s="1" t="n">
        <v>45832</v>
      </c>
      <c r="D2289" t="inlineStr">
        <is>
          <t>KRONOBERGS LÄN</t>
        </is>
      </c>
      <c r="E2289" t="inlineStr">
        <is>
          <t>UPPVIDINGE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64083-2020</t>
        </is>
      </c>
      <c r="B2290" s="1" t="n">
        <v>44167</v>
      </c>
      <c r="C2290" s="1" t="n">
        <v>45832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63973-2020</t>
        </is>
      </c>
      <c r="B2291" s="1" t="n">
        <v>44167</v>
      </c>
      <c r="C2291" s="1" t="n">
        <v>45832</v>
      </c>
      <c r="D2291" t="inlineStr">
        <is>
          <t>KRONOBERGS LÄN</t>
        </is>
      </c>
      <c r="E2291" t="inlineStr">
        <is>
          <t>TINGSRYD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64089-2020</t>
        </is>
      </c>
      <c r="B2292" s="1" t="n">
        <v>44167</v>
      </c>
      <c r="C2292" s="1" t="n">
        <v>45832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64125-2020</t>
        </is>
      </c>
      <c r="B2293" s="1" t="n">
        <v>44167</v>
      </c>
      <c r="C2293" s="1" t="n">
        <v>45832</v>
      </c>
      <c r="D2293" t="inlineStr">
        <is>
          <t>KRONOBERGS LÄN</t>
        </is>
      </c>
      <c r="E2293" t="inlineStr">
        <is>
          <t>VÄXJÖ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64371-2020</t>
        </is>
      </c>
      <c r="B2294" s="1" t="n">
        <v>44168</v>
      </c>
      <c r="C2294" s="1" t="n">
        <v>45832</v>
      </c>
      <c r="D2294" t="inlineStr">
        <is>
          <t>KRONOBERGS LÄN</t>
        </is>
      </c>
      <c r="E2294" t="inlineStr">
        <is>
          <t>UPPVIDINGE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65151-2020</t>
        </is>
      </c>
      <c r="B2295" s="1" t="n">
        <v>44168</v>
      </c>
      <c r="C2295" s="1" t="n">
        <v>45832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64572-2020</t>
        </is>
      </c>
      <c r="B2296" s="1" t="n">
        <v>44168</v>
      </c>
      <c r="C2296" s="1" t="n">
        <v>45832</v>
      </c>
      <c r="D2296" t="inlineStr">
        <is>
          <t>KRONOBERGS LÄN</t>
        </is>
      </c>
      <c r="E2296" t="inlineStr">
        <is>
          <t>VÄXJÖ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65153-2020</t>
        </is>
      </c>
      <c r="B2297" s="1" t="n">
        <v>44168</v>
      </c>
      <c r="C2297" s="1" t="n">
        <v>45832</v>
      </c>
      <c r="D2297" t="inlineStr">
        <is>
          <t>KRONOBERGS LÄN</t>
        </is>
      </c>
      <c r="E2297" t="inlineStr">
        <is>
          <t>TINGSRYD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65338-2020</t>
        </is>
      </c>
      <c r="B2298" s="1" t="n">
        <v>44168</v>
      </c>
      <c r="C2298" s="1" t="n">
        <v>45832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64656-2020</t>
        </is>
      </c>
      <c r="B2299" s="1" t="n">
        <v>44169</v>
      </c>
      <c r="C2299" s="1" t="n">
        <v>45832</v>
      </c>
      <c r="D2299" t="inlineStr">
        <is>
          <t>KRONOBERGS LÄN</t>
        </is>
      </c>
      <c r="E2299" t="inlineStr">
        <is>
          <t>LJUNGBY</t>
        </is>
      </c>
      <c r="G2299" t="n">
        <v>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64662-2020</t>
        </is>
      </c>
      <c r="B2300" s="1" t="n">
        <v>44169</v>
      </c>
      <c r="C2300" s="1" t="n">
        <v>45832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64660-2020</t>
        </is>
      </c>
      <c r="B2301" s="1" t="n">
        <v>44169</v>
      </c>
      <c r="C2301" s="1" t="n">
        <v>45832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64752-2020</t>
        </is>
      </c>
      <c r="B2302" s="1" t="n">
        <v>44169</v>
      </c>
      <c r="C2302" s="1" t="n">
        <v>45832</v>
      </c>
      <c r="D2302" t="inlineStr">
        <is>
          <t>KRONOBERGS LÄN</t>
        </is>
      </c>
      <c r="E2302" t="inlineStr">
        <is>
          <t>VÄXJÖ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64659-2020</t>
        </is>
      </c>
      <c r="B2303" s="1" t="n">
        <v>44169</v>
      </c>
      <c r="C2303" s="1" t="n">
        <v>45832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64743-2020</t>
        </is>
      </c>
      <c r="B2304" s="1" t="n">
        <v>44169</v>
      </c>
      <c r="C2304" s="1" t="n">
        <v>45832</v>
      </c>
      <c r="D2304" t="inlineStr">
        <is>
          <t>KRONOBERGS LÄN</t>
        </is>
      </c>
      <c r="E2304" t="inlineStr">
        <is>
          <t>VÄXJÖ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64769-2020</t>
        </is>
      </c>
      <c r="B2305" s="1" t="n">
        <v>44169</v>
      </c>
      <c r="C2305" s="1" t="n">
        <v>45832</v>
      </c>
      <c r="D2305" t="inlineStr">
        <is>
          <t>KRONOBERGS LÄN</t>
        </is>
      </c>
      <c r="E2305" t="inlineStr">
        <is>
          <t>TINGSRYD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65022-2020</t>
        </is>
      </c>
      <c r="B2306" s="1" t="n">
        <v>44172</v>
      </c>
      <c r="C2306" s="1" t="n">
        <v>45832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65191-2020</t>
        </is>
      </c>
      <c r="B2307" s="1" t="n">
        <v>44172</v>
      </c>
      <c r="C2307" s="1" t="n">
        <v>45832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65244-2020</t>
        </is>
      </c>
      <c r="B2308" s="1" t="n">
        <v>44172</v>
      </c>
      <c r="C2308" s="1" t="n">
        <v>45832</v>
      </c>
      <c r="D2308" t="inlineStr">
        <is>
          <t>KRONOBERGS LÄN</t>
        </is>
      </c>
      <c r="E2308" t="inlineStr">
        <is>
          <t>LJUNGBY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65249-2020</t>
        </is>
      </c>
      <c r="B2309" s="1" t="n">
        <v>44172</v>
      </c>
      <c r="C2309" s="1" t="n">
        <v>45832</v>
      </c>
      <c r="D2309" t="inlineStr">
        <is>
          <t>KRONOBERGS LÄN</t>
        </is>
      </c>
      <c r="E2309" t="inlineStr">
        <is>
          <t>VÄXJÖ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64966-2020</t>
        </is>
      </c>
      <c r="B2310" s="1" t="n">
        <v>44172</v>
      </c>
      <c r="C2310" s="1" t="n">
        <v>45832</v>
      </c>
      <c r="D2310" t="inlineStr">
        <is>
          <t>KRONOBERGS LÄN</t>
        </is>
      </c>
      <c r="E2310" t="inlineStr">
        <is>
          <t>LESSEBO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65026-2020</t>
        </is>
      </c>
      <c r="B2311" s="1" t="n">
        <v>44172</v>
      </c>
      <c r="C2311" s="1" t="n">
        <v>45832</v>
      </c>
      <c r="D2311" t="inlineStr">
        <is>
          <t>KRONOBERGS LÄN</t>
        </is>
      </c>
      <c r="E2311" t="inlineStr">
        <is>
          <t>LESSEBO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65251-2020</t>
        </is>
      </c>
      <c r="B2312" s="1" t="n">
        <v>44172</v>
      </c>
      <c r="C2312" s="1" t="n">
        <v>45832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65213-2020</t>
        </is>
      </c>
      <c r="B2313" s="1" t="n">
        <v>44172</v>
      </c>
      <c r="C2313" s="1" t="n">
        <v>45832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65238-2020</t>
        </is>
      </c>
      <c r="B2314" s="1" t="n">
        <v>44172</v>
      </c>
      <c r="C2314" s="1" t="n">
        <v>45832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65388-2020</t>
        </is>
      </c>
      <c r="B2315" s="1" t="n">
        <v>44173</v>
      </c>
      <c r="C2315" s="1" t="n">
        <v>45832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65989-2020</t>
        </is>
      </c>
      <c r="B2316" s="1" t="n">
        <v>44173</v>
      </c>
      <c r="C2316" s="1" t="n">
        <v>45832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66008-2020</t>
        </is>
      </c>
      <c r="B2317" s="1" t="n">
        <v>44173</v>
      </c>
      <c r="C2317" s="1" t="n">
        <v>45832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65644-2020</t>
        </is>
      </c>
      <c r="B2318" s="1" t="n">
        <v>44174</v>
      </c>
      <c r="C2318" s="1" t="n">
        <v>45832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65734-2020</t>
        </is>
      </c>
      <c r="B2319" s="1" t="n">
        <v>44174</v>
      </c>
      <c r="C2319" s="1" t="n">
        <v>45832</v>
      </c>
      <c r="D2319" t="inlineStr">
        <is>
          <t>KRONOBERGS LÄN</t>
        </is>
      </c>
      <c r="E2319" t="inlineStr">
        <is>
          <t>LJUNGBY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65664-2020</t>
        </is>
      </c>
      <c r="B2320" s="1" t="n">
        <v>44174</v>
      </c>
      <c r="C2320" s="1" t="n">
        <v>45832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65701-2020</t>
        </is>
      </c>
      <c r="B2321" s="1" t="n">
        <v>44174</v>
      </c>
      <c r="C2321" s="1" t="n">
        <v>45832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65731-2020</t>
        </is>
      </c>
      <c r="B2322" s="1" t="n">
        <v>44174</v>
      </c>
      <c r="C2322" s="1" t="n">
        <v>45832</v>
      </c>
      <c r="D2322" t="inlineStr">
        <is>
          <t>KRONOBERGS LÄN</t>
        </is>
      </c>
      <c r="E2322" t="inlineStr">
        <is>
          <t>LESSEBO</t>
        </is>
      </c>
      <c r="F2322" t="inlineStr">
        <is>
          <t>Kommuner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65798-2020</t>
        </is>
      </c>
      <c r="B2323" s="1" t="n">
        <v>44174</v>
      </c>
      <c r="C2323" s="1" t="n">
        <v>45832</v>
      </c>
      <c r="D2323" t="inlineStr">
        <is>
          <t>KRONOBERGS LÄN</t>
        </is>
      </c>
      <c r="E2323" t="inlineStr">
        <is>
          <t>ALVESTA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66743-2020</t>
        </is>
      </c>
      <c r="B2324" s="1" t="n">
        <v>44174</v>
      </c>
      <c r="C2324" s="1" t="n">
        <v>45832</v>
      </c>
      <c r="D2324" t="inlineStr">
        <is>
          <t>KRONOBERGS LÄN</t>
        </is>
      </c>
      <c r="E2324" t="inlineStr">
        <is>
          <t>TINGSRYD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65894-2020</t>
        </is>
      </c>
      <c r="B2325" s="1" t="n">
        <v>44174</v>
      </c>
      <c r="C2325" s="1" t="n">
        <v>45832</v>
      </c>
      <c r="D2325" t="inlineStr">
        <is>
          <t>KRONOBERGS LÄN</t>
        </is>
      </c>
      <c r="E2325" t="inlineStr">
        <is>
          <t>ÄLMHULT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65875-2020</t>
        </is>
      </c>
      <c r="B2326" s="1" t="n">
        <v>44174</v>
      </c>
      <c r="C2326" s="1" t="n">
        <v>45832</v>
      </c>
      <c r="D2326" t="inlineStr">
        <is>
          <t>KRONOBERGS LÄN</t>
        </is>
      </c>
      <c r="E2326" t="inlineStr">
        <is>
          <t>ALVESTA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66026-2020</t>
        </is>
      </c>
      <c r="B2327" s="1" t="n">
        <v>44175</v>
      </c>
      <c r="C2327" s="1" t="n">
        <v>45832</v>
      </c>
      <c r="D2327" t="inlineStr">
        <is>
          <t>KRONOBERGS LÄN</t>
        </is>
      </c>
      <c r="E2327" t="inlineStr">
        <is>
          <t>ALVESTA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66105-2020</t>
        </is>
      </c>
      <c r="B2328" s="1" t="n">
        <v>44175</v>
      </c>
      <c r="C2328" s="1" t="n">
        <v>45832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66116-2020</t>
        </is>
      </c>
      <c r="B2329" s="1" t="n">
        <v>44175</v>
      </c>
      <c r="C2329" s="1" t="n">
        <v>45832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66024-2020</t>
        </is>
      </c>
      <c r="B2330" s="1" t="n">
        <v>44175</v>
      </c>
      <c r="C2330" s="1" t="n">
        <v>45832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66032-2020</t>
        </is>
      </c>
      <c r="B2331" s="1" t="n">
        <v>44175</v>
      </c>
      <c r="C2331" s="1" t="n">
        <v>45832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65937-2020</t>
        </is>
      </c>
      <c r="B2332" s="1" t="n">
        <v>44175</v>
      </c>
      <c r="C2332" s="1" t="n">
        <v>45832</v>
      </c>
      <c r="D2332" t="inlineStr">
        <is>
          <t>KRONOBERGS LÄN</t>
        </is>
      </c>
      <c r="E2332" t="inlineStr">
        <is>
          <t>VÄXJÖ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66023-2020</t>
        </is>
      </c>
      <c r="B2333" s="1" t="n">
        <v>44175</v>
      </c>
      <c r="C2333" s="1" t="n">
        <v>45832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66029-2020</t>
        </is>
      </c>
      <c r="B2334" s="1" t="n">
        <v>44175</v>
      </c>
      <c r="C2334" s="1" t="n">
        <v>45832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66137-2020</t>
        </is>
      </c>
      <c r="B2335" s="1" t="n">
        <v>44175</v>
      </c>
      <c r="C2335" s="1" t="n">
        <v>45832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66115-2020</t>
        </is>
      </c>
      <c r="B2336" s="1" t="n">
        <v>44175</v>
      </c>
      <c r="C2336" s="1" t="n">
        <v>45832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66198-2020</t>
        </is>
      </c>
      <c r="B2337" s="1" t="n">
        <v>44175</v>
      </c>
      <c r="C2337" s="1" t="n">
        <v>45832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66223-2020</t>
        </is>
      </c>
      <c r="B2338" s="1" t="n">
        <v>44175</v>
      </c>
      <c r="C2338" s="1" t="n">
        <v>45832</v>
      </c>
      <c r="D2338" t="inlineStr">
        <is>
          <t>KRONOBERGS LÄN</t>
        </is>
      </c>
      <c r="E2338" t="inlineStr">
        <is>
          <t>UPPVIDINGE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66216-2020</t>
        </is>
      </c>
      <c r="B2339" s="1" t="n">
        <v>44175</v>
      </c>
      <c r="C2339" s="1" t="n">
        <v>45832</v>
      </c>
      <c r="D2339" t="inlineStr">
        <is>
          <t>KRONOBERGS LÄN</t>
        </is>
      </c>
      <c r="E2339" t="inlineStr">
        <is>
          <t>ÄLMHULT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66368-2020</t>
        </is>
      </c>
      <c r="B2340" s="1" t="n">
        <v>44176</v>
      </c>
      <c r="C2340" s="1" t="n">
        <v>45832</v>
      </c>
      <c r="D2340" t="inlineStr">
        <is>
          <t>KRONOBERGS LÄN</t>
        </is>
      </c>
      <c r="E2340" t="inlineStr">
        <is>
          <t>MARKARYD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66440-2020</t>
        </is>
      </c>
      <c r="B2341" s="1" t="n">
        <v>44176</v>
      </c>
      <c r="C2341" s="1" t="n">
        <v>45832</v>
      </c>
      <c r="D2341" t="inlineStr">
        <is>
          <t>KRONOBERGS LÄN</t>
        </is>
      </c>
      <c r="E2341" t="inlineStr">
        <is>
          <t>UPPVIDINGE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66432-2020</t>
        </is>
      </c>
      <c r="B2342" s="1" t="n">
        <v>44176</v>
      </c>
      <c r="C2342" s="1" t="n">
        <v>45832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66664-2020</t>
        </is>
      </c>
      <c r="B2343" s="1" t="n">
        <v>44179</v>
      </c>
      <c r="C2343" s="1" t="n">
        <v>45832</v>
      </c>
      <c r="D2343" t="inlineStr">
        <is>
          <t>KRONOBERGS LÄN</t>
        </is>
      </c>
      <c r="E2343" t="inlineStr">
        <is>
          <t>UPPVIDINGE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66756-2020</t>
        </is>
      </c>
      <c r="B2344" s="1" t="n">
        <v>44179</v>
      </c>
      <c r="C2344" s="1" t="n">
        <v>45832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66771-2020</t>
        </is>
      </c>
      <c r="B2345" s="1" t="n">
        <v>44179</v>
      </c>
      <c r="C2345" s="1" t="n">
        <v>45832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66937-2020</t>
        </is>
      </c>
      <c r="B2346" s="1" t="n">
        <v>44180</v>
      </c>
      <c r="C2346" s="1" t="n">
        <v>45832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67045-2020</t>
        </is>
      </c>
      <c r="B2347" s="1" t="n">
        <v>44180</v>
      </c>
      <c r="C2347" s="1" t="n">
        <v>45832</v>
      </c>
      <c r="D2347" t="inlineStr">
        <is>
          <t>KRONOBERGS LÄN</t>
        </is>
      </c>
      <c r="E2347" t="inlineStr">
        <is>
          <t>TINGSRYD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67051-2020</t>
        </is>
      </c>
      <c r="B2348" s="1" t="n">
        <v>44180</v>
      </c>
      <c r="C2348" s="1" t="n">
        <v>45832</v>
      </c>
      <c r="D2348" t="inlineStr">
        <is>
          <t>KRONOBERGS LÄN</t>
        </is>
      </c>
      <c r="E2348" t="inlineStr">
        <is>
          <t>TINGSRYD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66942-2020</t>
        </is>
      </c>
      <c r="B2349" s="1" t="n">
        <v>44180</v>
      </c>
      <c r="C2349" s="1" t="n">
        <v>45832</v>
      </c>
      <c r="D2349" t="inlineStr">
        <is>
          <t>KRONOBERGS LÄN</t>
        </is>
      </c>
      <c r="E2349" t="inlineStr">
        <is>
          <t>LJUNGBY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67169-2020</t>
        </is>
      </c>
      <c r="B2350" s="1" t="n">
        <v>44180</v>
      </c>
      <c r="C2350" s="1" t="n">
        <v>45832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67201-2020</t>
        </is>
      </c>
      <c r="B2351" s="1" t="n">
        <v>44180</v>
      </c>
      <c r="C2351" s="1" t="n">
        <v>45832</v>
      </c>
      <c r="D2351" t="inlineStr">
        <is>
          <t>KRONOBERGS LÄN</t>
        </is>
      </c>
      <c r="E2351" t="inlineStr">
        <is>
          <t>LESSEBO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67160-2020</t>
        </is>
      </c>
      <c r="B2352" s="1" t="n">
        <v>44180</v>
      </c>
      <c r="C2352" s="1" t="n">
        <v>45832</v>
      </c>
      <c r="D2352" t="inlineStr">
        <is>
          <t>KRONOBERGS LÄN</t>
        </is>
      </c>
      <c r="E2352" t="inlineStr">
        <is>
          <t>TINGSRYD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67181-2020</t>
        </is>
      </c>
      <c r="B2353" s="1" t="n">
        <v>44180</v>
      </c>
      <c r="C2353" s="1" t="n">
        <v>45832</v>
      </c>
      <c r="D2353" t="inlineStr">
        <is>
          <t>KRONOBERGS LÄN</t>
        </is>
      </c>
      <c r="E2353" t="inlineStr">
        <is>
          <t>VÄXJÖ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67214-2020</t>
        </is>
      </c>
      <c r="B2354" s="1" t="n">
        <v>44180</v>
      </c>
      <c r="C2354" s="1" t="n">
        <v>45832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67228-2020</t>
        </is>
      </c>
      <c r="B2355" s="1" t="n">
        <v>44180</v>
      </c>
      <c r="C2355" s="1" t="n">
        <v>45832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67247-2020</t>
        </is>
      </c>
      <c r="B2356" s="1" t="n">
        <v>44181</v>
      </c>
      <c r="C2356" s="1" t="n">
        <v>45832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67346-2020</t>
        </is>
      </c>
      <c r="B2357" s="1" t="n">
        <v>44181</v>
      </c>
      <c r="C2357" s="1" t="n">
        <v>45832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67366-2020</t>
        </is>
      </c>
      <c r="B2358" s="1" t="n">
        <v>44181</v>
      </c>
      <c r="C2358" s="1" t="n">
        <v>45832</v>
      </c>
      <c r="D2358" t="inlineStr">
        <is>
          <t>KRONOBERGS LÄN</t>
        </is>
      </c>
      <c r="E2358" t="inlineStr">
        <is>
          <t>TINGSRYD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67511-2020</t>
        </is>
      </c>
      <c r="B2359" s="1" t="n">
        <v>44181</v>
      </c>
      <c r="C2359" s="1" t="n">
        <v>45832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67310-2020</t>
        </is>
      </c>
      <c r="B2360" s="1" t="n">
        <v>44181</v>
      </c>
      <c r="C2360" s="1" t="n">
        <v>45832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67311-2020</t>
        </is>
      </c>
      <c r="B2361" s="1" t="n">
        <v>44181</v>
      </c>
      <c r="C2361" s="1" t="n">
        <v>45832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67363-2020</t>
        </is>
      </c>
      <c r="B2362" s="1" t="n">
        <v>44181</v>
      </c>
      <c r="C2362" s="1" t="n">
        <v>45832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67569-2020</t>
        </is>
      </c>
      <c r="B2363" s="1" t="n">
        <v>44181</v>
      </c>
      <c r="C2363" s="1" t="n">
        <v>45832</v>
      </c>
      <c r="D2363" t="inlineStr">
        <is>
          <t>KRONOBERGS LÄN</t>
        </is>
      </c>
      <c r="E2363" t="inlineStr">
        <is>
          <t>LJUNGBY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67638-2020</t>
        </is>
      </c>
      <c r="B2364" s="1" t="n">
        <v>44182</v>
      </c>
      <c r="C2364" s="1" t="n">
        <v>45832</v>
      </c>
      <c r="D2364" t="inlineStr">
        <is>
          <t>KRONOBERGS LÄN</t>
        </is>
      </c>
      <c r="E2364" t="inlineStr">
        <is>
          <t>TINGSRYD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67984-2020</t>
        </is>
      </c>
      <c r="B2365" s="1" t="n">
        <v>44182</v>
      </c>
      <c r="C2365" s="1" t="n">
        <v>45832</v>
      </c>
      <c r="D2365" t="inlineStr">
        <is>
          <t>KRONOBERGS LÄN</t>
        </is>
      </c>
      <c r="E2365" t="inlineStr">
        <is>
          <t>ÄLMHULT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67927-2020</t>
        </is>
      </c>
      <c r="B2366" s="1" t="n">
        <v>44182</v>
      </c>
      <c r="C2366" s="1" t="n">
        <v>45832</v>
      </c>
      <c r="D2366" t="inlineStr">
        <is>
          <t>KRONOBERGS LÄN</t>
        </is>
      </c>
      <c r="E2366" t="inlineStr">
        <is>
          <t>ALVESTA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68208-2020</t>
        </is>
      </c>
      <c r="B2367" s="1" t="n">
        <v>44183</v>
      </c>
      <c r="C2367" s="1" t="n">
        <v>45832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68255-2020</t>
        </is>
      </c>
      <c r="B2368" s="1" t="n">
        <v>44183</v>
      </c>
      <c r="C2368" s="1" t="n">
        <v>45832</v>
      </c>
      <c r="D2368" t="inlineStr">
        <is>
          <t>KRONOBERGS LÄN</t>
        </is>
      </c>
      <c r="E2368" t="inlineStr">
        <is>
          <t>ÄLMHULT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68185-2020</t>
        </is>
      </c>
      <c r="B2369" s="1" t="n">
        <v>44183</v>
      </c>
      <c r="C2369" s="1" t="n">
        <v>45832</v>
      </c>
      <c r="D2369" t="inlineStr">
        <is>
          <t>KRONOBERGS LÄN</t>
        </is>
      </c>
      <c r="E2369" t="inlineStr">
        <is>
          <t>TINGSRYD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68506-2020</t>
        </is>
      </c>
      <c r="B2370" s="1" t="n">
        <v>44183</v>
      </c>
      <c r="C2370" s="1" t="n">
        <v>45832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68337-2020</t>
        </is>
      </c>
      <c r="B2371" s="1" t="n">
        <v>44186</v>
      </c>
      <c r="C2371" s="1" t="n">
        <v>45832</v>
      </c>
      <c r="D2371" t="inlineStr">
        <is>
          <t>KRONOBERGS LÄN</t>
        </is>
      </c>
      <c r="E2371" t="inlineStr">
        <is>
          <t>LJUNGBY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68335-2020</t>
        </is>
      </c>
      <c r="B2372" s="1" t="n">
        <v>44186</v>
      </c>
      <c r="C2372" s="1" t="n">
        <v>45832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68343-2020</t>
        </is>
      </c>
      <c r="B2373" s="1" t="n">
        <v>44186</v>
      </c>
      <c r="C2373" s="1" t="n">
        <v>45832</v>
      </c>
      <c r="D2373" t="inlineStr">
        <is>
          <t>KRONOBERGS LÄN</t>
        </is>
      </c>
      <c r="E2373" t="inlineStr">
        <is>
          <t>ALVESTA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68401-2020</t>
        </is>
      </c>
      <c r="B2374" s="1" t="n">
        <v>44186</v>
      </c>
      <c r="C2374" s="1" t="n">
        <v>45832</v>
      </c>
      <c r="D2374" t="inlineStr">
        <is>
          <t>KRONOBERGS LÄN</t>
        </is>
      </c>
      <c r="E2374" t="inlineStr">
        <is>
          <t>TINGSRYD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68336-2020</t>
        </is>
      </c>
      <c r="B2375" s="1" t="n">
        <v>44186</v>
      </c>
      <c r="C2375" s="1" t="n">
        <v>45832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68541-2020</t>
        </is>
      </c>
      <c r="B2376" s="1" t="n">
        <v>44186</v>
      </c>
      <c r="C2376" s="1" t="n">
        <v>45832</v>
      </c>
      <c r="D2376" t="inlineStr">
        <is>
          <t>KRONOBERGS LÄN</t>
        </is>
      </c>
      <c r="E2376" t="inlineStr">
        <is>
          <t>ALVESTA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68742-2020</t>
        </is>
      </c>
      <c r="B2377" s="1" t="n">
        <v>44186</v>
      </c>
      <c r="C2377" s="1" t="n">
        <v>45832</v>
      </c>
      <c r="D2377" t="inlineStr">
        <is>
          <t>KRONOBERGS LÄN</t>
        </is>
      </c>
      <c r="E2377" t="inlineStr">
        <is>
          <t>TINGSRYD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68334-2020</t>
        </is>
      </c>
      <c r="B2378" s="1" t="n">
        <v>44186</v>
      </c>
      <c r="C2378" s="1" t="n">
        <v>45832</v>
      </c>
      <c r="D2378" t="inlineStr">
        <is>
          <t>KRONOBERGS LÄN</t>
        </is>
      </c>
      <c r="E2378" t="inlineStr">
        <is>
          <t>LJUNGBY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68804-2020</t>
        </is>
      </c>
      <c r="B2379" s="1" t="n">
        <v>44187</v>
      </c>
      <c r="C2379" s="1" t="n">
        <v>45832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68683-2020</t>
        </is>
      </c>
      <c r="B2380" s="1" t="n">
        <v>44187</v>
      </c>
      <c r="C2380" s="1" t="n">
        <v>45832</v>
      </c>
      <c r="D2380" t="inlineStr">
        <is>
          <t>KRONOBERGS LÄN</t>
        </is>
      </c>
      <c r="E2380" t="inlineStr">
        <is>
          <t>TINGSRYD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68802-2020</t>
        </is>
      </c>
      <c r="B2381" s="1" t="n">
        <v>44187</v>
      </c>
      <c r="C2381" s="1" t="n">
        <v>45832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68761-2020</t>
        </is>
      </c>
      <c r="B2382" s="1" t="n">
        <v>44187</v>
      </c>
      <c r="C2382" s="1" t="n">
        <v>45832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68940-2020</t>
        </is>
      </c>
      <c r="B2383" s="1" t="n">
        <v>44187</v>
      </c>
      <c r="C2383" s="1" t="n">
        <v>45832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68952-2020</t>
        </is>
      </c>
      <c r="B2384" s="1" t="n">
        <v>44187</v>
      </c>
      <c r="C2384" s="1" t="n">
        <v>45832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69127-2020</t>
        </is>
      </c>
      <c r="B2385" s="1" t="n">
        <v>44188</v>
      </c>
      <c r="C2385" s="1" t="n">
        <v>45832</v>
      </c>
      <c r="D2385" t="inlineStr">
        <is>
          <t>KRONOBERGS LÄN</t>
        </is>
      </c>
      <c r="E2385" t="inlineStr">
        <is>
          <t>ALVESTA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69236-2020</t>
        </is>
      </c>
      <c r="B2386" s="1" t="n">
        <v>44192</v>
      </c>
      <c r="C2386" s="1" t="n">
        <v>45832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69274-2020</t>
        </is>
      </c>
      <c r="B2387" s="1" t="n">
        <v>44193</v>
      </c>
      <c r="C2387" s="1" t="n">
        <v>45832</v>
      </c>
      <c r="D2387" t="inlineStr">
        <is>
          <t>KRONOBERGS LÄN</t>
        </is>
      </c>
      <c r="E2387" t="inlineStr">
        <is>
          <t>MARKARYD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69272-2020</t>
        </is>
      </c>
      <c r="B2388" s="1" t="n">
        <v>44193</v>
      </c>
      <c r="C2388" s="1" t="n">
        <v>45832</v>
      </c>
      <c r="D2388" t="inlineStr">
        <is>
          <t>KRONOBERGS LÄN</t>
        </is>
      </c>
      <c r="E2388" t="inlineStr">
        <is>
          <t>MARKARYD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69280-2020</t>
        </is>
      </c>
      <c r="B2389" s="1" t="n">
        <v>44193</v>
      </c>
      <c r="C2389" s="1" t="n">
        <v>45832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69396-2020</t>
        </is>
      </c>
      <c r="B2390" s="1" t="n">
        <v>44193</v>
      </c>
      <c r="C2390" s="1" t="n">
        <v>45832</v>
      </c>
      <c r="D2390" t="inlineStr">
        <is>
          <t>KRONOBERGS LÄN</t>
        </is>
      </c>
      <c r="E2390" t="inlineStr">
        <is>
          <t>VÄXJÖ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69278-2020</t>
        </is>
      </c>
      <c r="B2391" s="1" t="n">
        <v>44193</v>
      </c>
      <c r="C2391" s="1" t="n">
        <v>45832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69357-2020</t>
        </is>
      </c>
      <c r="B2392" s="1" t="n">
        <v>44193</v>
      </c>
      <c r="C2392" s="1" t="n">
        <v>45832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69400-2020</t>
        </is>
      </c>
      <c r="B2393" s="1" t="n">
        <v>44193</v>
      </c>
      <c r="C2393" s="1" t="n">
        <v>45832</v>
      </c>
      <c r="D2393" t="inlineStr">
        <is>
          <t>KRONOBERGS LÄN</t>
        </is>
      </c>
      <c r="E2393" t="inlineStr">
        <is>
          <t>VÄXJÖ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69521-2020</t>
        </is>
      </c>
      <c r="B2394" s="1" t="n">
        <v>44194</v>
      </c>
      <c r="C2394" s="1" t="n">
        <v>45832</v>
      </c>
      <c r="D2394" t="inlineStr">
        <is>
          <t>KRONOBERGS LÄN</t>
        </is>
      </c>
      <c r="E2394" t="inlineStr">
        <is>
          <t>VÄXJÖ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69427-2020</t>
        </is>
      </c>
      <c r="B2395" s="1" t="n">
        <v>44194</v>
      </c>
      <c r="C2395" s="1" t="n">
        <v>45832</v>
      </c>
      <c r="D2395" t="inlineStr">
        <is>
          <t>KRONOBERGS LÄN</t>
        </is>
      </c>
      <c r="E2395" t="inlineStr">
        <is>
          <t>ÄLMHULT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69518-2020</t>
        </is>
      </c>
      <c r="B2396" s="1" t="n">
        <v>44194</v>
      </c>
      <c r="C2396" s="1" t="n">
        <v>45832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69524-2020</t>
        </is>
      </c>
      <c r="B2397" s="1" t="n">
        <v>44194</v>
      </c>
      <c r="C2397" s="1" t="n">
        <v>45832</v>
      </c>
      <c r="D2397" t="inlineStr">
        <is>
          <t>KRONOBERGS LÄN</t>
        </is>
      </c>
      <c r="E2397" t="inlineStr">
        <is>
          <t>VÄXJÖ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69541-2020</t>
        </is>
      </c>
      <c r="B2398" s="1" t="n">
        <v>44194</v>
      </c>
      <c r="C2398" s="1" t="n">
        <v>45832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69558-2020</t>
        </is>
      </c>
      <c r="B2399" s="1" t="n">
        <v>44194</v>
      </c>
      <c r="C2399" s="1" t="n">
        <v>45832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69652-2020</t>
        </is>
      </c>
      <c r="B2400" s="1" t="n">
        <v>44195</v>
      </c>
      <c r="C2400" s="1" t="n">
        <v>45832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44-2021</t>
        </is>
      </c>
      <c r="B2401" s="1" t="n">
        <v>44199</v>
      </c>
      <c r="C2401" s="1" t="n">
        <v>45832</v>
      </c>
      <c r="D2401" t="inlineStr">
        <is>
          <t>KRONOBERGS LÄN</t>
        </is>
      </c>
      <c r="E2401" t="inlineStr">
        <is>
          <t>TINGSRYD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134-2021</t>
        </is>
      </c>
      <c r="B2402" s="1" t="n">
        <v>44200</v>
      </c>
      <c r="C2402" s="1" t="n">
        <v>45832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165-2021</t>
        </is>
      </c>
      <c r="B2403" s="1" t="n">
        <v>44200</v>
      </c>
      <c r="C2403" s="1" t="n">
        <v>45832</v>
      </c>
      <c r="D2403" t="inlineStr">
        <is>
          <t>KRONOBERGS LÄN</t>
        </is>
      </c>
      <c r="E2403" t="inlineStr">
        <is>
          <t>ALVESTA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186-2021</t>
        </is>
      </c>
      <c r="B2404" s="1" t="n">
        <v>44200</v>
      </c>
      <c r="C2404" s="1" t="n">
        <v>45832</v>
      </c>
      <c r="D2404" t="inlineStr">
        <is>
          <t>KRONOBERGS LÄN</t>
        </is>
      </c>
      <c r="E2404" t="inlineStr">
        <is>
          <t>ALVESTA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182-2021</t>
        </is>
      </c>
      <c r="B2405" s="1" t="n">
        <v>44200</v>
      </c>
      <c r="C2405" s="1" t="n">
        <v>45832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187-2021</t>
        </is>
      </c>
      <c r="B2406" s="1" t="n">
        <v>44200</v>
      </c>
      <c r="C2406" s="1" t="n">
        <v>45832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178-2021</t>
        </is>
      </c>
      <c r="B2407" s="1" t="n">
        <v>44200</v>
      </c>
      <c r="C2407" s="1" t="n">
        <v>45832</v>
      </c>
      <c r="D2407" t="inlineStr">
        <is>
          <t>KRONOBERGS LÄN</t>
        </is>
      </c>
      <c r="E2407" t="inlineStr">
        <is>
          <t>MARKARYD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192-2021</t>
        </is>
      </c>
      <c r="B2408" s="1" t="n">
        <v>44200</v>
      </c>
      <c r="C2408" s="1" t="n">
        <v>45832</v>
      </c>
      <c r="D2408" t="inlineStr">
        <is>
          <t>KRONOBERGS LÄN</t>
        </is>
      </c>
      <c r="E2408" t="inlineStr">
        <is>
          <t>MARKARYD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295-2021</t>
        </is>
      </c>
      <c r="B2409" s="1" t="n">
        <v>44200</v>
      </c>
      <c r="C2409" s="1" t="n">
        <v>45832</v>
      </c>
      <c r="D2409" t="inlineStr">
        <is>
          <t>KRONOBERGS LÄN</t>
        </is>
      </c>
      <c r="E2409" t="inlineStr">
        <is>
          <t>LESSEBO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292-2021</t>
        </is>
      </c>
      <c r="B2410" s="1" t="n">
        <v>44200</v>
      </c>
      <c r="C2410" s="1" t="n">
        <v>45832</v>
      </c>
      <c r="D2410" t="inlineStr">
        <is>
          <t>KRONOBERGS LÄN</t>
        </is>
      </c>
      <c r="E2410" t="inlineStr">
        <is>
          <t>LESSEBO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908-2021</t>
        </is>
      </c>
      <c r="B2411" s="1" t="n">
        <v>44200</v>
      </c>
      <c r="C2411" s="1" t="n">
        <v>45832</v>
      </c>
      <c r="D2411" t="inlineStr">
        <is>
          <t>KRONOBERGS LÄN</t>
        </is>
      </c>
      <c r="E2411" t="inlineStr">
        <is>
          <t>MARKARYD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431-2021</t>
        </is>
      </c>
      <c r="B2412" s="1" t="n">
        <v>44201</v>
      </c>
      <c r="C2412" s="1" t="n">
        <v>45832</v>
      </c>
      <c r="D2412" t="inlineStr">
        <is>
          <t>KRONOBERGS LÄN</t>
        </is>
      </c>
      <c r="E2412" t="inlineStr">
        <is>
          <t>VÄXJÖ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474-2021</t>
        </is>
      </c>
      <c r="B2413" s="1" t="n">
        <v>44201</v>
      </c>
      <c r="C2413" s="1" t="n">
        <v>45832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482-2021</t>
        </is>
      </c>
      <c r="B2414" s="1" t="n">
        <v>44201</v>
      </c>
      <c r="C2414" s="1" t="n">
        <v>45832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422-2021</t>
        </is>
      </c>
      <c r="B2415" s="1" t="n">
        <v>44201</v>
      </c>
      <c r="C2415" s="1" t="n">
        <v>45832</v>
      </c>
      <c r="D2415" t="inlineStr">
        <is>
          <t>KRONOBERGS LÄN</t>
        </is>
      </c>
      <c r="E2415" t="inlineStr">
        <is>
          <t>VÄXJÖ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480-2021</t>
        </is>
      </c>
      <c r="B2416" s="1" t="n">
        <v>44201</v>
      </c>
      <c r="C2416" s="1" t="n">
        <v>45832</v>
      </c>
      <c r="D2416" t="inlineStr">
        <is>
          <t>KRONOBERGS LÄN</t>
        </is>
      </c>
      <c r="E2416" t="inlineStr">
        <is>
          <t>UPPVIDINGE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328-2021</t>
        </is>
      </c>
      <c r="B2417" s="1" t="n">
        <v>44201</v>
      </c>
      <c r="C2417" s="1" t="n">
        <v>45832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476-2021</t>
        </is>
      </c>
      <c r="B2418" s="1" t="n">
        <v>44201</v>
      </c>
      <c r="C2418" s="1" t="n">
        <v>45832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483-2021</t>
        </is>
      </c>
      <c r="B2419" s="1" t="n">
        <v>44201</v>
      </c>
      <c r="C2419" s="1" t="n">
        <v>45832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479-2021</t>
        </is>
      </c>
      <c r="B2420" s="1" t="n">
        <v>44201</v>
      </c>
      <c r="C2420" s="1" t="n">
        <v>45832</v>
      </c>
      <c r="D2420" t="inlineStr">
        <is>
          <t>KRONOBERGS LÄN</t>
        </is>
      </c>
      <c r="E2420" t="inlineStr">
        <is>
          <t>UPPVIDINGE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486-2021</t>
        </is>
      </c>
      <c r="B2421" s="1" t="n">
        <v>44201</v>
      </c>
      <c r="C2421" s="1" t="n">
        <v>45832</v>
      </c>
      <c r="D2421" t="inlineStr">
        <is>
          <t>KRONOBERGS LÄN</t>
        </is>
      </c>
      <c r="E2421" t="inlineStr">
        <is>
          <t>UPPVIDINGE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632-2021</t>
        </is>
      </c>
      <c r="B2422" s="1" t="n">
        <v>44202</v>
      </c>
      <c r="C2422" s="1" t="n">
        <v>45832</v>
      </c>
      <c r="D2422" t="inlineStr">
        <is>
          <t>KRONOBERGS LÄN</t>
        </is>
      </c>
      <c r="E2422" t="inlineStr">
        <is>
          <t>UPPVIDINGE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706-2021</t>
        </is>
      </c>
      <c r="B2423" s="1" t="n">
        <v>44203</v>
      </c>
      <c r="C2423" s="1" t="n">
        <v>45832</v>
      </c>
      <c r="D2423" t="inlineStr">
        <is>
          <t>KRONOBERGS LÄN</t>
        </is>
      </c>
      <c r="E2423" t="inlineStr">
        <is>
          <t>LJUNGBY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851-2021</t>
        </is>
      </c>
      <c r="B2424" s="1" t="n">
        <v>44204</v>
      </c>
      <c r="C2424" s="1" t="n">
        <v>45832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850-2021</t>
        </is>
      </c>
      <c r="B2425" s="1" t="n">
        <v>44204</v>
      </c>
      <c r="C2425" s="1" t="n">
        <v>45832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1117-2021</t>
        </is>
      </c>
      <c r="B2426" s="1" t="n">
        <v>44207</v>
      </c>
      <c r="C2426" s="1" t="n">
        <v>45832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926-2021</t>
        </is>
      </c>
      <c r="B2427" s="1" t="n">
        <v>44207</v>
      </c>
      <c r="C2427" s="1" t="n">
        <v>45832</v>
      </c>
      <c r="D2427" t="inlineStr">
        <is>
          <t>KRONOBERGS LÄN</t>
        </is>
      </c>
      <c r="E2427" t="inlineStr">
        <is>
          <t>ALVESTA</t>
        </is>
      </c>
      <c r="F2427" t="inlineStr">
        <is>
          <t>Kommuner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914-2021</t>
        </is>
      </c>
      <c r="B2428" s="1" t="n">
        <v>44207</v>
      </c>
      <c r="C2428" s="1" t="n">
        <v>45832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923-2021</t>
        </is>
      </c>
      <c r="B2429" s="1" t="n">
        <v>44207</v>
      </c>
      <c r="C2429" s="1" t="n">
        <v>45832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1092-2021</t>
        </is>
      </c>
      <c r="B2430" s="1" t="n">
        <v>44207</v>
      </c>
      <c r="C2430" s="1" t="n">
        <v>45832</v>
      </c>
      <c r="D2430" t="inlineStr">
        <is>
          <t>KRONOBERGS LÄN</t>
        </is>
      </c>
      <c r="E2430" t="inlineStr">
        <is>
          <t>TINGSRYD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924-2021</t>
        </is>
      </c>
      <c r="B2431" s="1" t="n">
        <v>44207</v>
      </c>
      <c r="C2431" s="1" t="n">
        <v>45832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1116-2021</t>
        </is>
      </c>
      <c r="B2432" s="1" t="n">
        <v>44207</v>
      </c>
      <c r="C2432" s="1" t="n">
        <v>45832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1099-2021</t>
        </is>
      </c>
      <c r="B2433" s="1" t="n">
        <v>44207</v>
      </c>
      <c r="C2433" s="1" t="n">
        <v>45832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1115-2021</t>
        </is>
      </c>
      <c r="B2434" s="1" t="n">
        <v>44207</v>
      </c>
      <c r="C2434" s="1" t="n">
        <v>45832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1163-2021</t>
        </is>
      </c>
      <c r="B2435" s="1" t="n">
        <v>44207</v>
      </c>
      <c r="C2435" s="1" t="n">
        <v>45832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1361-2021</t>
        </is>
      </c>
      <c r="B2436" s="1" t="n">
        <v>44208</v>
      </c>
      <c r="C2436" s="1" t="n">
        <v>45832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1360-2021</t>
        </is>
      </c>
      <c r="B2437" s="1" t="n">
        <v>44208</v>
      </c>
      <c r="C2437" s="1" t="n">
        <v>45832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1663-2021</t>
        </is>
      </c>
      <c r="B2438" s="1" t="n">
        <v>44209</v>
      </c>
      <c r="C2438" s="1" t="n">
        <v>45832</v>
      </c>
      <c r="D2438" t="inlineStr">
        <is>
          <t>KRONOBERGS LÄN</t>
        </is>
      </c>
      <c r="E2438" t="inlineStr">
        <is>
          <t>VÄXJÖ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1548-2021</t>
        </is>
      </c>
      <c r="B2439" s="1" t="n">
        <v>44209</v>
      </c>
      <c r="C2439" s="1" t="n">
        <v>45832</v>
      </c>
      <c r="D2439" t="inlineStr">
        <is>
          <t>KRONOBERGS LÄN</t>
        </is>
      </c>
      <c r="E2439" t="inlineStr">
        <is>
          <t>LJUNGBY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1647-2021</t>
        </is>
      </c>
      <c r="B2440" s="1" t="n">
        <v>44209</v>
      </c>
      <c r="C2440" s="1" t="n">
        <v>45832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1692-2021</t>
        </is>
      </c>
      <c r="B2441" s="1" t="n">
        <v>44209</v>
      </c>
      <c r="C2441" s="1" t="n">
        <v>45832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1511-2021</t>
        </is>
      </c>
      <c r="B2442" s="1" t="n">
        <v>44209</v>
      </c>
      <c r="C2442" s="1" t="n">
        <v>45832</v>
      </c>
      <c r="D2442" t="inlineStr">
        <is>
          <t>KRONOBERGS LÄN</t>
        </is>
      </c>
      <c r="E2442" t="inlineStr">
        <is>
          <t>ÄLMHULT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1576-2021</t>
        </is>
      </c>
      <c r="B2443" s="1" t="n">
        <v>44209</v>
      </c>
      <c r="C2443" s="1" t="n">
        <v>45832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1668-2021</t>
        </is>
      </c>
      <c r="B2444" s="1" t="n">
        <v>44209</v>
      </c>
      <c r="C2444" s="1" t="n">
        <v>45832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1813-2021</t>
        </is>
      </c>
      <c r="B2445" s="1" t="n">
        <v>44209</v>
      </c>
      <c r="C2445" s="1" t="n">
        <v>45832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Kyrkan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1798-2021</t>
        </is>
      </c>
      <c r="B2446" s="1" t="n">
        <v>44210</v>
      </c>
      <c r="C2446" s="1" t="n">
        <v>45832</v>
      </c>
      <c r="D2446" t="inlineStr">
        <is>
          <t>KRONOBERGS LÄN</t>
        </is>
      </c>
      <c r="E2446" t="inlineStr">
        <is>
          <t>LESSEBO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1805-2021</t>
        </is>
      </c>
      <c r="B2447" s="1" t="n">
        <v>44210</v>
      </c>
      <c r="C2447" s="1" t="n">
        <v>45832</v>
      </c>
      <c r="D2447" t="inlineStr">
        <is>
          <t>KRONOBERGS LÄN</t>
        </is>
      </c>
      <c r="E2447" t="inlineStr">
        <is>
          <t>LESSEBO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1788-2021</t>
        </is>
      </c>
      <c r="B2448" s="1" t="n">
        <v>44210</v>
      </c>
      <c r="C2448" s="1" t="n">
        <v>45832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1786-2021</t>
        </is>
      </c>
      <c r="B2449" s="1" t="n">
        <v>44210</v>
      </c>
      <c r="C2449" s="1" t="n">
        <v>45832</v>
      </c>
      <c r="D2449" t="inlineStr">
        <is>
          <t>KRONOBERGS LÄN</t>
        </is>
      </c>
      <c r="E2449" t="inlineStr">
        <is>
          <t>LESSEBO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1952-2021</t>
        </is>
      </c>
      <c r="B2450" s="1" t="n">
        <v>44210</v>
      </c>
      <c r="C2450" s="1" t="n">
        <v>45832</v>
      </c>
      <c r="D2450" t="inlineStr">
        <is>
          <t>KRONOBERGS LÄN</t>
        </is>
      </c>
      <c r="E2450" t="inlineStr">
        <is>
          <t>VÄXJÖ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1972-2021</t>
        </is>
      </c>
      <c r="B2451" s="1" t="n">
        <v>44210</v>
      </c>
      <c r="C2451" s="1" t="n">
        <v>45832</v>
      </c>
      <c r="D2451" t="inlineStr">
        <is>
          <t>KRONOBERGS LÄN</t>
        </is>
      </c>
      <c r="E2451" t="inlineStr">
        <is>
          <t>VÄXJÖ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1981-2021</t>
        </is>
      </c>
      <c r="B2452" s="1" t="n">
        <v>44210</v>
      </c>
      <c r="C2452" s="1" t="n">
        <v>45832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2146-2021</t>
        </is>
      </c>
      <c r="B2453" s="1" t="n">
        <v>44211</v>
      </c>
      <c r="C2453" s="1" t="n">
        <v>45832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2111-2021</t>
        </is>
      </c>
      <c r="B2454" s="1" t="n">
        <v>44211</v>
      </c>
      <c r="C2454" s="1" t="n">
        <v>45832</v>
      </c>
      <c r="D2454" t="inlineStr">
        <is>
          <t>KRONOBERGS LÄN</t>
        </is>
      </c>
      <c r="E2454" t="inlineStr">
        <is>
          <t>ÄLMHULT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2255-2021</t>
        </is>
      </c>
      <c r="B2455" s="1" t="n">
        <v>44211</v>
      </c>
      <c r="C2455" s="1" t="n">
        <v>45832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2056-2021</t>
        </is>
      </c>
      <c r="B2456" s="1" t="n">
        <v>44211</v>
      </c>
      <c r="C2456" s="1" t="n">
        <v>45832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2257-2021</t>
        </is>
      </c>
      <c r="B2457" s="1" t="n">
        <v>44211</v>
      </c>
      <c r="C2457" s="1" t="n">
        <v>45832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2277-2021</t>
        </is>
      </c>
      <c r="B2458" s="1" t="n">
        <v>44211</v>
      </c>
      <c r="C2458" s="1" t="n">
        <v>45832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2475-2021</t>
        </is>
      </c>
      <c r="B2459" s="1" t="n">
        <v>44214</v>
      </c>
      <c r="C2459" s="1" t="n">
        <v>45832</v>
      </c>
      <c r="D2459" t="inlineStr">
        <is>
          <t>KRONOBERGS LÄN</t>
        </is>
      </c>
      <c r="E2459" t="inlineStr">
        <is>
          <t>UPPVIDINGE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2459-2021</t>
        </is>
      </c>
      <c r="B2460" s="1" t="n">
        <v>44214</v>
      </c>
      <c r="C2460" s="1" t="n">
        <v>45832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2785-2021</t>
        </is>
      </c>
      <c r="B2461" s="1" t="n">
        <v>44215</v>
      </c>
      <c r="C2461" s="1" t="n">
        <v>45832</v>
      </c>
      <c r="D2461" t="inlineStr">
        <is>
          <t>KRONOBERGS LÄN</t>
        </is>
      </c>
      <c r="E2461" t="inlineStr">
        <is>
          <t>MARKARYD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2795-2021</t>
        </is>
      </c>
      <c r="B2462" s="1" t="n">
        <v>44215</v>
      </c>
      <c r="C2462" s="1" t="n">
        <v>45832</v>
      </c>
      <c r="D2462" t="inlineStr">
        <is>
          <t>KRONOBERGS LÄN</t>
        </is>
      </c>
      <c r="E2462" t="inlineStr">
        <is>
          <t>MARKARYD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2906-2021</t>
        </is>
      </c>
      <c r="B2463" s="1" t="n">
        <v>44216</v>
      </c>
      <c r="C2463" s="1" t="n">
        <v>45832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2895-2021</t>
        </is>
      </c>
      <c r="B2464" s="1" t="n">
        <v>44216</v>
      </c>
      <c r="C2464" s="1" t="n">
        <v>45832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3083-2021</t>
        </is>
      </c>
      <c r="B2465" s="1" t="n">
        <v>44216</v>
      </c>
      <c r="C2465" s="1" t="n">
        <v>45832</v>
      </c>
      <c r="D2465" t="inlineStr">
        <is>
          <t>KRONOBERGS LÄN</t>
        </is>
      </c>
      <c r="E2465" t="inlineStr">
        <is>
          <t>ALVESTA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3020-2021</t>
        </is>
      </c>
      <c r="B2466" s="1" t="n">
        <v>44216</v>
      </c>
      <c r="C2466" s="1" t="n">
        <v>45832</v>
      </c>
      <c r="D2466" t="inlineStr">
        <is>
          <t>KRONOBERGS LÄN</t>
        </is>
      </c>
      <c r="E2466" t="inlineStr">
        <is>
          <t>LESSEBO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2898-2021</t>
        </is>
      </c>
      <c r="B2467" s="1" t="n">
        <v>44216</v>
      </c>
      <c r="C2467" s="1" t="n">
        <v>45832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3105-2021</t>
        </is>
      </c>
      <c r="B2468" s="1" t="n">
        <v>44217</v>
      </c>
      <c r="C2468" s="1" t="n">
        <v>45832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3168-2021</t>
        </is>
      </c>
      <c r="B2469" s="1" t="n">
        <v>44217</v>
      </c>
      <c r="C2469" s="1" t="n">
        <v>45832</v>
      </c>
      <c r="D2469" t="inlineStr">
        <is>
          <t>KRONOBERGS LÄN</t>
        </is>
      </c>
      <c r="E2469" t="inlineStr">
        <is>
          <t>UPPVIDINGE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3379-2021</t>
        </is>
      </c>
      <c r="B2470" s="1" t="n">
        <v>44218</v>
      </c>
      <c r="C2470" s="1" t="n">
        <v>45832</v>
      </c>
      <c r="D2470" t="inlineStr">
        <is>
          <t>KRONOBERGS LÄN</t>
        </is>
      </c>
      <c r="E2470" t="inlineStr">
        <is>
          <t>LESSEBO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3415-2021</t>
        </is>
      </c>
      <c r="B2471" s="1" t="n">
        <v>44218</v>
      </c>
      <c r="C2471" s="1" t="n">
        <v>45832</v>
      </c>
      <c r="D2471" t="inlineStr">
        <is>
          <t>KRONOBERGS LÄN</t>
        </is>
      </c>
      <c r="E2471" t="inlineStr">
        <is>
          <t>UPPVIDINGE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4190-2021</t>
        </is>
      </c>
      <c r="B2472" s="1" t="n">
        <v>44218</v>
      </c>
      <c r="C2472" s="1" t="n">
        <v>45832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3587-2021</t>
        </is>
      </c>
      <c r="B2473" s="1" t="n">
        <v>44220</v>
      </c>
      <c r="C2473" s="1" t="n">
        <v>45832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3623-2021</t>
        </is>
      </c>
      <c r="B2474" s="1" t="n">
        <v>44221</v>
      </c>
      <c r="C2474" s="1" t="n">
        <v>45832</v>
      </c>
      <c r="D2474" t="inlineStr">
        <is>
          <t>KRONOBERGS LÄN</t>
        </is>
      </c>
      <c r="E2474" t="inlineStr">
        <is>
          <t>LJUNGBY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3636-2021</t>
        </is>
      </c>
      <c r="B2475" s="1" t="n">
        <v>44221</v>
      </c>
      <c r="C2475" s="1" t="n">
        <v>45832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4163-2021</t>
        </is>
      </c>
      <c r="B2476" s="1" t="n">
        <v>44221</v>
      </c>
      <c r="C2476" s="1" t="n">
        <v>45832</v>
      </c>
      <c r="D2476" t="inlineStr">
        <is>
          <t>KRONOBERGS LÄN</t>
        </is>
      </c>
      <c r="E2476" t="inlineStr">
        <is>
          <t>ÄLMHULT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4156-2021</t>
        </is>
      </c>
      <c r="B2477" s="1" t="n">
        <v>44221</v>
      </c>
      <c r="C2477" s="1" t="n">
        <v>45832</v>
      </c>
      <c r="D2477" t="inlineStr">
        <is>
          <t>KRONOBERGS LÄN</t>
        </is>
      </c>
      <c r="E2477" t="inlineStr">
        <is>
          <t>ÄLMHULT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4152-2021</t>
        </is>
      </c>
      <c r="B2478" s="1" t="n">
        <v>44221</v>
      </c>
      <c r="C2478" s="1" t="n">
        <v>45832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4170-2021</t>
        </is>
      </c>
      <c r="B2479" s="1" t="n">
        <v>44221</v>
      </c>
      <c r="C2479" s="1" t="n">
        <v>45832</v>
      </c>
      <c r="D2479" t="inlineStr">
        <is>
          <t>KRONOBERGS LÄN</t>
        </is>
      </c>
      <c r="E2479" t="inlineStr">
        <is>
          <t>ÄLMHULT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3819-2021</t>
        </is>
      </c>
      <c r="B2480" s="1" t="n">
        <v>44222</v>
      </c>
      <c r="C2480" s="1" t="n">
        <v>45832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4089-2021</t>
        </is>
      </c>
      <c r="B2481" s="1" t="n">
        <v>44222</v>
      </c>
      <c r="C2481" s="1" t="n">
        <v>45832</v>
      </c>
      <c r="D2481" t="inlineStr">
        <is>
          <t>KRONOBERGS LÄN</t>
        </is>
      </c>
      <c r="E2481" t="inlineStr">
        <is>
          <t>MARKARYD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4383-2021</t>
        </is>
      </c>
      <c r="B2482" s="1" t="n">
        <v>44223</v>
      </c>
      <c r="C2482" s="1" t="n">
        <v>45832</v>
      </c>
      <c r="D2482" t="inlineStr">
        <is>
          <t>KRONOBERGS LÄN</t>
        </is>
      </c>
      <c r="E2482" t="inlineStr">
        <is>
          <t>LESSEBO</t>
        </is>
      </c>
      <c r="F2482" t="inlineStr">
        <is>
          <t>Sveaskog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4269-2021</t>
        </is>
      </c>
      <c r="B2483" s="1" t="n">
        <v>44223</v>
      </c>
      <c r="C2483" s="1" t="n">
        <v>45832</v>
      </c>
      <c r="D2483" t="inlineStr">
        <is>
          <t>KRONOBERGS LÄN</t>
        </is>
      </c>
      <c r="E2483" t="inlineStr">
        <is>
          <t>TINGSRYD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4144-2021</t>
        </is>
      </c>
      <c r="B2484" s="1" t="n">
        <v>44223</v>
      </c>
      <c r="C2484" s="1" t="n">
        <v>45832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4403-2021</t>
        </is>
      </c>
      <c r="B2485" s="1" t="n">
        <v>44223</v>
      </c>
      <c r="C2485" s="1" t="n">
        <v>45832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4402-2021</t>
        </is>
      </c>
      <c r="B2486" s="1" t="n">
        <v>44223</v>
      </c>
      <c r="C2486" s="1" t="n">
        <v>45832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4482-2021</t>
        </is>
      </c>
      <c r="B2487" s="1" t="n">
        <v>44224</v>
      </c>
      <c r="C2487" s="1" t="n">
        <v>45832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4587-2021</t>
        </is>
      </c>
      <c r="B2488" s="1" t="n">
        <v>44224</v>
      </c>
      <c r="C2488" s="1" t="n">
        <v>45832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4645-2021</t>
        </is>
      </c>
      <c r="B2489" s="1" t="n">
        <v>44224</v>
      </c>
      <c r="C2489" s="1" t="n">
        <v>45832</v>
      </c>
      <c r="D2489" t="inlineStr">
        <is>
          <t>KRONOBERGS LÄN</t>
        </is>
      </c>
      <c r="E2489" t="inlineStr">
        <is>
          <t>VÄXJÖ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4655-2021</t>
        </is>
      </c>
      <c r="B2490" s="1" t="n">
        <v>44224</v>
      </c>
      <c r="C2490" s="1" t="n">
        <v>45832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4636-2021</t>
        </is>
      </c>
      <c r="B2491" s="1" t="n">
        <v>44224</v>
      </c>
      <c r="C2491" s="1" t="n">
        <v>45832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4665-2021</t>
        </is>
      </c>
      <c r="B2492" s="1" t="n">
        <v>44224</v>
      </c>
      <c r="C2492" s="1" t="n">
        <v>45832</v>
      </c>
      <c r="D2492" t="inlineStr">
        <is>
          <t>KRONOBERGS LÄN</t>
        </is>
      </c>
      <c r="E2492" t="inlineStr">
        <is>
          <t>VÄXJÖ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4649-2021</t>
        </is>
      </c>
      <c r="B2493" s="1" t="n">
        <v>44224</v>
      </c>
      <c r="C2493" s="1" t="n">
        <v>45832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4666-2021</t>
        </is>
      </c>
      <c r="B2494" s="1" t="n">
        <v>44224</v>
      </c>
      <c r="C2494" s="1" t="n">
        <v>45832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4668-2021</t>
        </is>
      </c>
      <c r="B2495" s="1" t="n">
        <v>44224</v>
      </c>
      <c r="C2495" s="1" t="n">
        <v>45832</v>
      </c>
      <c r="D2495" t="inlineStr">
        <is>
          <t>KRONOBERGS LÄN</t>
        </is>
      </c>
      <c r="E2495" t="inlineStr">
        <is>
          <t>VÄXJÖ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4670-2021</t>
        </is>
      </c>
      <c r="B2496" s="1" t="n">
        <v>44224</v>
      </c>
      <c r="C2496" s="1" t="n">
        <v>45832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4667-2021</t>
        </is>
      </c>
      <c r="B2497" s="1" t="n">
        <v>44224</v>
      </c>
      <c r="C2497" s="1" t="n">
        <v>45832</v>
      </c>
      <c r="D2497" t="inlineStr">
        <is>
          <t>KRONOBERGS LÄN</t>
        </is>
      </c>
      <c r="E2497" t="inlineStr">
        <is>
          <t>VÄXJÖ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4741-2021</t>
        </is>
      </c>
      <c r="B2498" s="1" t="n">
        <v>44225</v>
      </c>
      <c r="C2498" s="1" t="n">
        <v>45832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4700-2021</t>
        </is>
      </c>
      <c r="B2499" s="1" t="n">
        <v>44225</v>
      </c>
      <c r="C2499" s="1" t="n">
        <v>45832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4739-2021</t>
        </is>
      </c>
      <c r="B2500" s="1" t="n">
        <v>44225</v>
      </c>
      <c r="C2500" s="1" t="n">
        <v>45832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4750-2021</t>
        </is>
      </c>
      <c r="B2501" s="1" t="n">
        <v>44225</v>
      </c>
      <c r="C2501" s="1" t="n">
        <v>45832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4743-2021</t>
        </is>
      </c>
      <c r="B2502" s="1" t="n">
        <v>44225</v>
      </c>
      <c r="C2502" s="1" t="n">
        <v>45832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4904-2021</t>
        </is>
      </c>
      <c r="B2503" s="1" t="n">
        <v>44225</v>
      </c>
      <c r="C2503" s="1" t="n">
        <v>45832</v>
      </c>
      <c r="D2503" t="inlineStr">
        <is>
          <t>KRONOBERGS LÄN</t>
        </is>
      </c>
      <c r="E2503" t="inlineStr">
        <is>
          <t>UPPVIDINGE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4690-2021</t>
        </is>
      </c>
      <c r="B2504" s="1" t="n">
        <v>44225</v>
      </c>
      <c r="C2504" s="1" t="n">
        <v>45832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4987-2021</t>
        </is>
      </c>
      <c r="B2505" s="1" t="n">
        <v>44228</v>
      </c>
      <c r="C2505" s="1" t="n">
        <v>45832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4980-2021</t>
        </is>
      </c>
      <c r="B2506" s="1" t="n">
        <v>44228</v>
      </c>
      <c r="C2506" s="1" t="n">
        <v>45832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4977-2021</t>
        </is>
      </c>
      <c r="B2507" s="1" t="n">
        <v>44228</v>
      </c>
      <c r="C2507" s="1" t="n">
        <v>45832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4995-2021</t>
        </is>
      </c>
      <c r="B2508" s="1" t="n">
        <v>44228</v>
      </c>
      <c r="C2508" s="1" t="n">
        <v>45832</v>
      </c>
      <c r="D2508" t="inlineStr">
        <is>
          <t>KRONOBERGS LÄN</t>
        </is>
      </c>
      <c r="E2508" t="inlineStr">
        <is>
          <t>LJUNGBY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5119-2021</t>
        </is>
      </c>
      <c r="B2509" s="1" t="n">
        <v>44228</v>
      </c>
      <c r="C2509" s="1" t="n">
        <v>45832</v>
      </c>
      <c r="D2509" t="inlineStr">
        <is>
          <t>KRONOBERGS LÄN</t>
        </is>
      </c>
      <c r="E2509" t="inlineStr">
        <is>
          <t>LJUNGBY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5185-2021</t>
        </is>
      </c>
      <c r="B2510" s="1" t="n">
        <v>44228</v>
      </c>
      <c r="C2510" s="1" t="n">
        <v>45832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5186-2021</t>
        </is>
      </c>
      <c r="B2511" s="1" t="n">
        <v>44228</v>
      </c>
      <c r="C2511" s="1" t="n">
        <v>45832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5409-2021</t>
        </is>
      </c>
      <c r="B2512" s="1" t="n">
        <v>44228</v>
      </c>
      <c r="C2512" s="1" t="n">
        <v>45832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5568-2021</t>
        </is>
      </c>
      <c r="B2513" s="1" t="n">
        <v>44228</v>
      </c>
      <c r="C2513" s="1" t="n">
        <v>45832</v>
      </c>
      <c r="D2513" t="inlineStr">
        <is>
          <t>KRONOBERGS LÄN</t>
        </is>
      </c>
      <c r="E2513" t="inlineStr">
        <is>
          <t>UPPVIDINGE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5297-2021</t>
        </is>
      </c>
      <c r="B2514" s="1" t="n">
        <v>44229</v>
      </c>
      <c r="C2514" s="1" t="n">
        <v>45832</v>
      </c>
      <c r="D2514" t="inlineStr">
        <is>
          <t>KRONOBERGS LÄN</t>
        </is>
      </c>
      <c r="E2514" t="inlineStr">
        <is>
          <t>ÄLMHULT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5346-2021</t>
        </is>
      </c>
      <c r="B2515" s="1" t="n">
        <v>44229</v>
      </c>
      <c r="C2515" s="1" t="n">
        <v>45832</v>
      </c>
      <c r="D2515" t="inlineStr">
        <is>
          <t>KRONOBERGS LÄN</t>
        </is>
      </c>
      <c r="E2515" t="inlineStr">
        <is>
          <t>MARKARYD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5403-2021</t>
        </is>
      </c>
      <c r="B2516" s="1" t="n">
        <v>44229</v>
      </c>
      <c r="C2516" s="1" t="n">
        <v>45832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5442-2021</t>
        </is>
      </c>
      <c r="B2517" s="1" t="n">
        <v>44229</v>
      </c>
      <c r="C2517" s="1" t="n">
        <v>45832</v>
      </c>
      <c r="D2517" t="inlineStr">
        <is>
          <t>KRONOBERGS LÄN</t>
        </is>
      </c>
      <c r="E2517" t="inlineStr">
        <is>
          <t>UPPVIDINGE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5475-2021</t>
        </is>
      </c>
      <c r="B2518" s="1" t="n">
        <v>44229</v>
      </c>
      <c r="C2518" s="1" t="n">
        <v>45832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5308-2021</t>
        </is>
      </c>
      <c r="B2519" s="1" t="n">
        <v>44229</v>
      </c>
      <c r="C2519" s="1" t="n">
        <v>45832</v>
      </c>
      <c r="D2519" t="inlineStr">
        <is>
          <t>KRONOBERGS LÄN</t>
        </is>
      </c>
      <c r="E2519" t="inlineStr">
        <is>
          <t>TINGSRYD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5320-2021</t>
        </is>
      </c>
      <c r="B2520" s="1" t="n">
        <v>44229</v>
      </c>
      <c r="C2520" s="1" t="n">
        <v>45832</v>
      </c>
      <c r="D2520" t="inlineStr">
        <is>
          <t>KRONOBERGS LÄN</t>
        </is>
      </c>
      <c r="E2520" t="inlineStr">
        <is>
          <t>TINGSRYD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5371-2021</t>
        </is>
      </c>
      <c r="B2521" s="1" t="n">
        <v>44229</v>
      </c>
      <c r="C2521" s="1" t="n">
        <v>45832</v>
      </c>
      <c r="D2521" t="inlineStr">
        <is>
          <t>KRONOBERGS LÄN</t>
        </is>
      </c>
      <c r="E2521" t="inlineStr">
        <is>
          <t>UPPVIDINGE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5453-2021</t>
        </is>
      </c>
      <c r="B2522" s="1" t="n">
        <v>44229</v>
      </c>
      <c r="C2522" s="1" t="n">
        <v>45832</v>
      </c>
      <c r="D2522" t="inlineStr">
        <is>
          <t>KRONOBERGS LÄN</t>
        </is>
      </c>
      <c r="E2522" t="inlineStr">
        <is>
          <t>ÄLMHULT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5474-2021</t>
        </is>
      </c>
      <c r="B2523" s="1" t="n">
        <v>44229</v>
      </c>
      <c r="C2523" s="1" t="n">
        <v>45832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5257-2021</t>
        </is>
      </c>
      <c r="B2524" s="1" t="n">
        <v>44229</v>
      </c>
      <c r="C2524" s="1" t="n">
        <v>45832</v>
      </c>
      <c r="D2524" t="inlineStr">
        <is>
          <t>KRONOBERGS LÄN</t>
        </is>
      </c>
      <c r="E2524" t="inlineStr">
        <is>
          <t>UPPVIDINGE</t>
        </is>
      </c>
      <c r="G2524" t="n">
        <v>14.2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5631-2021</t>
        </is>
      </c>
      <c r="B2525" s="1" t="n">
        <v>44230</v>
      </c>
      <c r="C2525" s="1" t="n">
        <v>45832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5677-2021</t>
        </is>
      </c>
      <c r="B2526" s="1" t="n">
        <v>44230</v>
      </c>
      <c r="C2526" s="1" t="n">
        <v>45832</v>
      </c>
      <c r="D2526" t="inlineStr">
        <is>
          <t>KRONOBERGS LÄN</t>
        </is>
      </c>
      <c r="E2526" t="inlineStr">
        <is>
          <t>VÄXJÖ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5676-2021</t>
        </is>
      </c>
      <c r="B2527" s="1" t="n">
        <v>44230</v>
      </c>
      <c r="C2527" s="1" t="n">
        <v>45832</v>
      </c>
      <c r="D2527" t="inlineStr">
        <is>
          <t>KRONOBERGS LÄN</t>
        </is>
      </c>
      <c r="E2527" t="inlineStr">
        <is>
          <t>TINGSRYD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5627-2021</t>
        </is>
      </c>
      <c r="B2528" s="1" t="n">
        <v>44230</v>
      </c>
      <c r="C2528" s="1" t="n">
        <v>45832</v>
      </c>
      <c r="D2528" t="inlineStr">
        <is>
          <t>KRONOBERGS LÄN</t>
        </is>
      </c>
      <c r="E2528" t="inlineStr">
        <is>
          <t>LJUNGBY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5690-2021</t>
        </is>
      </c>
      <c r="B2529" s="1" t="n">
        <v>44230</v>
      </c>
      <c r="C2529" s="1" t="n">
        <v>45832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5740-2021</t>
        </is>
      </c>
      <c r="B2530" s="1" t="n">
        <v>44230</v>
      </c>
      <c r="C2530" s="1" t="n">
        <v>45832</v>
      </c>
      <c r="D2530" t="inlineStr">
        <is>
          <t>KRONOBERGS LÄN</t>
        </is>
      </c>
      <c r="E2530" t="inlineStr">
        <is>
          <t>TINGSRYD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5980-2021</t>
        </is>
      </c>
      <c r="B2531" s="1" t="n">
        <v>44231</v>
      </c>
      <c r="C2531" s="1" t="n">
        <v>45832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5846-2021</t>
        </is>
      </c>
      <c r="B2532" s="1" t="n">
        <v>44231</v>
      </c>
      <c r="C2532" s="1" t="n">
        <v>45832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5866-2021</t>
        </is>
      </c>
      <c r="B2533" s="1" t="n">
        <v>44231</v>
      </c>
      <c r="C2533" s="1" t="n">
        <v>45832</v>
      </c>
      <c r="D2533" t="inlineStr">
        <is>
          <t>KRONOBERGS LÄN</t>
        </is>
      </c>
      <c r="E2533" t="inlineStr">
        <is>
          <t>VÄXJÖ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5831-2021</t>
        </is>
      </c>
      <c r="B2534" s="1" t="n">
        <v>44231</v>
      </c>
      <c r="C2534" s="1" t="n">
        <v>45832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5838-2021</t>
        </is>
      </c>
      <c r="B2535" s="1" t="n">
        <v>44231</v>
      </c>
      <c r="C2535" s="1" t="n">
        <v>45832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6002-2021</t>
        </is>
      </c>
      <c r="B2536" s="1" t="n">
        <v>44231</v>
      </c>
      <c r="C2536" s="1" t="n">
        <v>45832</v>
      </c>
      <c r="D2536" t="inlineStr">
        <is>
          <t>KRONOBERGS LÄN</t>
        </is>
      </c>
      <c r="E2536" t="inlineStr">
        <is>
          <t>MARKARYD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5974-2021</t>
        </is>
      </c>
      <c r="B2537" s="1" t="n">
        <v>44231</v>
      </c>
      <c r="C2537" s="1" t="n">
        <v>45832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5977-2021</t>
        </is>
      </c>
      <c r="B2538" s="1" t="n">
        <v>44231</v>
      </c>
      <c r="C2538" s="1" t="n">
        <v>45832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6052-2021</t>
        </is>
      </c>
      <c r="B2539" s="1" t="n">
        <v>44232</v>
      </c>
      <c r="C2539" s="1" t="n">
        <v>45832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6188-2021</t>
        </is>
      </c>
      <c r="B2540" s="1" t="n">
        <v>44234</v>
      </c>
      <c r="C2540" s="1" t="n">
        <v>45832</v>
      </c>
      <c r="D2540" t="inlineStr">
        <is>
          <t>KRONOBERGS LÄN</t>
        </is>
      </c>
      <c r="E2540" t="inlineStr">
        <is>
          <t>ÄLMHULT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6449-2021</t>
        </is>
      </c>
      <c r="B2541" s="1" t="n">
        <v>44235</v>
      </c>
      <c r="C2541" s="1" t="n">
        <v>45832</v>
      </c>
      <c r="D2541" t="inlineStr">
        <is>
          <t>KRONOBERGS LÄN</t>
        </is>
      </c>
      <c r="E2541" t="inlineStr">
        <is>
          <t>VÄXJÖ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6453-2021</t>
        </is>
      </c>
      <c r="B2542" s="1" t="n">
        <v>44235</v>
      </c>
      <c r="C2542" s="1" t="n">
        <v>45832</v>
      </c>
      <c r="D2542" t="inlineStr">
        <is>
          <t>KRONOBERGS LÄN</t>
        </is>
      </c>
      <c r="E2542" t="inlineStr">
        <is>
          <t>LJUNGBY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6451-2021</t>
        </is>
      </c>
      <c r="B2543" s="1" t="n">
        <v>44235</v>
      </c>
      <c r="C2543" s="1" t="n">
        <v>45832</v>
      </c>
      <c r="D2543" t="inlineStr">
        <is>
          <t>KRONOBERGS LÄN</t>
        </is>
      </c>
      <c r="E2543" t="inlineStr">
        <is>
          <t>VÄXJÖ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6464-2021</t>
        </is>
      </c>
      <c r="B2544" s="1" t="n">
        <v>44235</v>
      </c>
      <c r="C2544" s="1" t="n">
        <v>45832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6670-2021</t>
        </is>
      </c>
      <c r="B2545" s="1" t="n">
        <v>44236</v>
      </c>
      <c r="C2545" s="1" t="n">
        <v>45832</v>
      </c>
      <c r="D2545" t="inlineStr">
        <is>
          <t>KRONOBERGS LÄN</t>
        </is>
      </c>
      <c r="E2545" t="inlineStr">
        <is>
          <t>ALVESTA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6677-2021</t>
        </is>
      </c>
      <c r="B2546" s="1" t="n">
        <v>44236</v>
      </c>
      <c r="C2546" s="1" t="n">
        <v>45832</v>
      </c>
      <c r="D2546" t="inlineStr">
        <is>
          <t>KRONOBERGS LÄN</t>
        </is>
      </c>
      <c r="E2546" t="inlineStr">
        <is>
          <t>UPPVIDINGE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6662-2021</t>
        </is>
      </c>
      <c r="B2547" s="1" t="n">
        <v>44236</v>
      </c>
      <c r="C2547" s="1" t="n">
        <v>45832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6762-2021</t>
        </is>
      </c>
      <c r="B2548" s="1" t="n">
        <v>44236</v>
      </c>
      <c r="C2548" s="1" t="n">
        <v>45832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6751-2021</t>
        </is>
      </c>
      <c r="B2549" s="1" t="n">
        <v>44236</v>
      </c>
      <c r="C2549" s="1" t="n">
        <v>45832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6931-2021</t>
        </is>
      </c>
      <c r="B2550" s="1" t="n">
        <v>44237</v>
      </c>
      <c r="C2550" s="1" t="n">
        <v>45832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6814-2021</t>
        </is>
      </c>
      <c r="B2551" s="1" t="n">
        <v>44237</v>
      </c>
      <c r="C2551" s="1" t="n">
        <v>45832</v>
      </c>
      <c r="D2551" t="inlineStr">
        <is>
          <t>KRONOBERGS LÄN</t>
        </is>
      </c>
      <c r="E2551" t="inlineStr">
        <is>
          <t>VÄXJÖ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6889-2021</t>
        </is>
      </c>
      <c r="B2552" s="1" t="n">
        <v>44237</v>
      </c>
      <c r="C2552" s="1" t="n">
        <v>45832</v>
      </c>
      <c r="D2552" t="inlineStr">
        <is>
          <t>KRONOBERGS LÄN</t>
        </is>
      </c>
      <c r="E2552" t="inlineStr">
        <is>
          <t>ÄLMHULT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7173-2021</t>
        </is>
      </c>
      <c r="B2553" s="1" t="n">
        <v>44237</v>
      </c>
      <c r="C2553" s="1" t="n">
        <v>45832</v>
      </c>
      <c r="D2553" t="inlineStr">
        <is>
          <t>KRONOBERGS LÄN</t>
        </is>
      </c>
      <c r="E2553" t="inlineStr">
        <is>
          <t>UPPVIDINGE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7150-2021</t>
        </is>
      </c>
      <c r="B2554" s="1" t="n">
        <v>44238</v>
      </c>
      <c r="C2554" s="1" t="n">
        <v>45832</v>
      </c>
      <c r="D2554" t="inlineStr">
        <is>
          <t>KRONOBERGS LÄN</t>
        </is>
      </c>
      <c r="E2554" t="inlineStr">
        <is>
          <t>TINGSRYD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7083-2021</t>
        </is>
      </c>
      <c r="B2555" s="1" t="n">
        <v>44238</v>
      </c>
      <c r="C2555" s="1" t="n">
        <v>45832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7287-2021</t>
        </is>
      </c>
      <c r="B2556" s="1" t="n">
        <v>44238</v>
      </c>
      <c r="C2556" s="1" t="n">
        <v>45832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7343-2021</t>
        </is>
      </c>
      <c r="B2557" s="1" t="n">
        <v>44238</v>
      </c>
      <c r="C2557" s="1" t="n">
        <v>45832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7465-2021</t>
        </is>
      </c>
      <c r="B2558" s="1" t="n">
        <v>44239</v>
      </c>
      <c r="C2558" s="1" t="n">
        <v>45832</v>
      </c>
      <c r="D2558" t="inlineStr">
        <is>
          <t>KRONOBERGS LÄN</t>
        </is>
      </c>
      <c r="E2558" t="inlineStr">
        <is>
          <t>ALVESTA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7324-2021</t>
        </is>
      </c>
      <c r="B2559" s="1" t="n">
        <v>44239</v>
      </c>
      <c r="C2559" s="1" t="n">
        <v>45832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7448-2021</t>
        </is>
      </c>
      <c r="B2560" s="1" t="n">
        <v>44239</v>
      </c>
      <c r="C2560" s="1" t="n">
        <v>45832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7612-2021</t>
        </is>
      </c>
      <c r="B2561" s="1" t="n">
        <v>44242</v>
      </c>
      <c r="C2561" s="1" t="n">
        <v>45832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7686-2021</t>
        </is>
      </c>
      <c r="B2562" s="1" t="n">
        <v>44242</v>
      </c>
      <c r="C2562" s="1" t="n">
        <v>45832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7611-2021</t>
        </is>
      </c>
      <c r="B2563" s="1" t="n">
        <v>44242</v>
      </c>
      <c r="C2563" s="1" t="n">
        <v>45832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7623-2021</t>
        </is>
      </c>
      <c r="B2564" s="1" t="n">
        <v>44242</v>
      </c>
      <c r="C2564" s="1" t="n">
        <v>45832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7622-2021</t>
        </is>
      </c>
      <c r="B2565" s="1" t="n">
        <v>44242</v>
      </c>
      <c r="C2565" s="1" t="n">
        <v>45832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7784-2021</t>
        </is>
      </c>
      <c r="B2566" s="1" t="n">
        <v>44242</v>
      </c>
      <c r="C2566" s="1" t="n">
        <v>45832</v>
      </c>
      <c r="D2566" t="inlineStr">
        <is>
          <t>KRONOBERGS LÄN</t>
        </is>
      </c>
      <c r="E2566" t="inlineStr">
        <is>
          <t>VÄXJÖ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7703-2021</t>
        </is>
      </c>
      <c r="B2567" s="1" t="n">
        <v>44242</v>
      </c>
      <c r="C2567" s="1" t="n">
        <v>45832</v>
      </c>
      <c r="D2567" t="inlineStr">
        <is>
          <t>KRONOBERGS LÄN</t>
        </is>
      </c>
      <c r="E2567" t="inlineStr">
        <is>
          <t>MARKARYD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7866-2021</t>
        </is>
      </c>
      <c r="B2568" s="1" t="n">
        <v>44242</v>
      </c>
      <c r="C2568" s="1" t="n">
        <v>45832</v>
      </c>
      <c r="D2568" t="inlineStr">
        <is>
          <t>KRONOBERGS LÄN</t>
        </is>
      </c>
      <c r="E2568" t="inlineStr">
        <is>
          <t>TINGSRYD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7892-2021</t>
        </is>
      </c>
      <c r="B2569" s="1" t="n">
        <v>44243</v>
      </c>
      <c r="C2569" s="1" t="n">
        <v>45832</v>
      </c>
      <c r="D2569" t="inlineStr">
        <is>
          <t>KRONOBERGS LÄN</t>
        </is>
      </c>
      <c r="E2569" t="inlineStr">
        <is>
          <t>UPPVIDINGE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7954-2021</t>
        </is>
      </c>
      <c r="B2570" s="1" t="n">
        <v>44243</v>
      </c>
      <c r="C2570" s="1" t="n">
        <v>45832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8094-2021</t>
        </is>
      </c>
      <c r="B2571" s="1" t="n">
        <v>44243</v>
      </c>
      <c r="C2571" s="1" t="n">
        <v>45832</v>
      </c>
      <c r="D2571" t="inlineStr">
        <is>
          <t>KRONOBERGS LÄN</t>
        </is>
      </c>
      <c r="E2571" t="inlineStr">
        <is>
          <t>ALVESTA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7895-2021</t>
        </is>
      </c>
      <c r="B2572" s="1" t="n">
        <v>44243</v>
      </c>
      <c r="C2572" s="1" t="n">
        <v>45832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7949-2021</t>
        </is>
      </c>
      <c r="B2573" s="1" t="n">
        <v>44243</v>
      </c>
      <c r="C2573" s="1" t="n">
        <v>45832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8178-2021</t>
        </is>
      </c>
      <c r="B2574" s="1" t="n">
        <v>44243</v>
      </c>
      <c r="C2574" s="1" t="n">
        <v>45832</v>
      </c>
      <c r="D2574" t="inlineStr">
        <is>
          <t>KRONOBERGS LÄN</t>
        </is>
      </c>
      <c r="E2574" t="inlineStr">
        <is>
          <t>ÄLMHULT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8165-2021</t>
        </is>
      </c>
      <c r="B2575" s="1" t="n">
        <v>44244</v>
      </c>
      <c r="C2575" s="1" t="n">
        <v>45832</v>
      </c>
      <c r="D2575" t="inlineStr">
        <is>
          <t>KRONOBERGS LÄN</t>
        </is>
      </c>
      <c r="E2575" t="inlineStr">
        <is>
          <t>VÄXJÖ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8239-2021</t>
        </is>
      </c>
      <c r="B2576" s="1" t="n">
        <v>44244</v>
      </c>
      <c r="C2576" s="1" t="n">
        <v>45832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8277-2021</t>
        </is>
      </c>
      <c r="B2577" s="1" t="n">
        <v>44244</v>
      </c>
      <c r="C2577" s="1" t="n">
        <v>45832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8310-2021</t>
        </is>
      </c>
      <c r="B2578" s="1" t="n">
        <v>44244</v>
      </c>
      <c r="C2578" s="1" t="n">
        <v>45832</v>
      </c>
      <c r="D2578" t="inlineStr">
        <is>
          <t>KRONOBERGS LÄN</t>
        </is>
      </c>
      <c r="E2578" t="inlineStr">
        <is>
          <t>ÄLMHULT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8259-2021</t>
        </is>
      </c>
      <c r="B2579" s="1" t="n">
        <v>44244</v>
      </c>
      <c r="C2579" s="1" t="n">
        <v>45832</v>
      </c>
      <c r="D2579" t="inlineStr">
        <is>
          <t>KRONOBERGS LÄN</t>
        </is>
      </c>
      <c r="E2579" t="inlineStr">
        <is>
          <t>VÄXJÖ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8281-2021</t>
        </is>
      </c>
      <c r="B2580" s="1" t="n">
        <v>44244</v>
      </c>
      <c r="C2580" s="1" t="n">
        <v>45832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8355-2021</t>
        </is>
      </c>
      <c r="B2581" s="1" t="n">
        <v>44244</v>
      </c>
      <c r="C2581" s="1" t="n">
        <v>45832</v>
      </c>
      <c r="D2581" t="inlineStr">
        <is>
          <t>KRONOBERGS LÄN</t>
        </is>
      </c>
      <c r="E2581" t="inlineStr">
        <is>
          <t>VÄXJÖ</t>
        </is>
      </c>
      <c r="G2581" t="n">
        <v>15.8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8367-2021</t>
        </is>
      </c>
      <c r="B2582" s="1" t="n">
        <v>44244</v>
      </c>
      <c r="C2582" s="1" t="n">
        <v>45832</v>
      </c>
      <c r="D2582" t="inlineStr">
        <is>
          <t>KRONOBERGS LÄN</t>
        </is>
      </c>
      <c r="E2582" t="inlineStr">
        <is>
          <t>VÄXJÖ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8386-2021</t>
        </is>
      </c>
      <c r="B2583" s="1" t="n">
        <v>44245</v>
      </c>
      <c r="C2583" s="1" t="n">
        <v>45832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8497-2021</t>
        </is>
      </c>
      <c r="B2584" s="1" t="n">
        <v>44245</v>
      </c>
      <c r="C2584" s="1" t="n">
        <v>45832</v>
      </c>
      <c r="D2584" t="inlineStr">
        <is>
          <t>KRONOBERGS LÄN</t>
        </is>
      </c>
      <c r="E2584" t="inlineStr">
        <is>
          <t>ÄLMHULT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8530-2021</t>
        </is>
      </c>
      <c r="B2585" s="1" t="n">
        <v>44245</v>
      </c>
      <c r="C2585" s="1" t="n">
        <v>45832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8395-2021</t>
        </is>
      </c>
      <c r="B2586" s="1" t="n">
        <v>44245</v>
      </c>
      <c r="C2586" s="1" t="n">
        <v>45832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8389-2021</t>
        </is>
      </c>
      <c r="B2587" s="1" t="n">
        <v>44245</v>
      </c>
      <c r="C2587" s="1" t="n">
        <v>45832</v>
      </c>
      <c r="D2587" t="inlineStr">
        <is>
          <t>KRONOBERGS LÄN</t>
        </is>
      </c>
      <c r="E2587" t="inlineStr">
        <is>
          <t>ÄLMHULT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8488-2021</t>
        </is>
      </c>
      <c r="B2588" s="1" t="n">
        <v>44245</v>
      </c>
      <c r="C2588" s="1" t="n">
        <v>45832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8514-2021</t>
        </is>
      </c>
      <c r="B2589" s="1" t="n">
        <v>44245</v>
      </c>
      <c r="C2589" s="1" t="n">
        <v>45832</v>
      </c>
      <c r="D2589" t="inlineStr">
        <is>
          <t>KRONOBERGS LÄN</t>
        </is>
      </c>
      <c r="E2589" t="inlineStr">
        <is>
          <t>ÄLMHULT</t>
        </is>
      </c>
      <c r="G2589" t="n">
        <v>17.3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8525-2021</t>
        </is>
      </c>
      <c r="B2590" s="1" t="n">
        <v>44245</v>
      </c>
      <c r="C2590" s="1" t="n">
        <v>45832</v>
      </c>
      <c r="D2590" t="inlineStr">
        <is>
          <t>KRONOBERGS LÄN</t>
        </is>
      </c>
      <c r="E2590" t="inlineStr">
        <is>
          <t>ÄLMHULT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8501-2021</t>
        </is>
      </c>
      <c r="B2591" s="1" t="n">
        <v>44245</v>
      </c>
      <c r="C2591" s="1" t="n">
        <v>45832</v>
      </c>
      <c r="D2591" t="inlineStr">
        <is>
          <t>KRONOBERGS LÄN</t>
        </is>
      </c>
      <c r="E2591" t="inlineStr">
        <is>
          <t>ÄLMHULT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8533-2021</t>
        </is>
      </c>
      <c r="B2592" s="1" t="n">
        <v>44245</v>
      </c>
      <c r="C2592" s="1" t="n">
        <v>45832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8516-2021</t>
        </is>
      </c>
      <c r="B2593" s="1" t="n">
        <v>44245</v>
      </c>
      <c r="C2593" s="1" t="n">
        <v>45832</v>
      </c>
      <c r="D2593" t="inlineStr">
        <is>
          <t>KRONOBERGS LÄN</t>
        </is>
      </c>
      <c r="E2593" t="inlineStr">
        <is>
          <t>ÄLMHULT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8529-2021</t>
        </is>
      </c>
      <c r="B2594" s="1" t="n">
        <v>44245</v>
      </c>
      <c r="C2594" s="1" t="n">
        <v>45832</v>
      </c>
      <c r="D2594" t="inlineStr">
        <is>
          <t>KRONOBERGS LÄN</t>
        </is>
      </c>
      <c r="E2594" t="inlineStr">
        <is>
          <t>ÄLMHULT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8624-2021</t>
        </is>
      </c>
      <c r="B2595" s="1" t="n">
        <v>44245</v>
      </c>
      <c r="C2595" s="1" t="n">
        <v>45832</v>
      </c>
      <c r="D2595" t="inlineStr">
        <is>
          <t>KRONOBERGS LÄN</t>
        </is>
      </c>
      <c r="E2595" t="inlineStr">
        <is>
          <t>LJUNGBY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8599-2021</t>
        </is>
      </c>
      <c r="B2596" s="1" t="n">
        <v>44245</v>
      </c>
      <c r="C2596" s="1" t="n">
        <v>45832</v>
      </c>
      <c r="D2596" t="inlineStr">
        <is>
          <t>KRONOBERGS LÄN</t>
        </is>
      </c>
      <c r="E2596" t="inlineStr">
        <is>
          <t>VÄXJÖ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8622-2021</t>
        </is>
      </c>
      <c r="B2597" s="1" t="n">
        <v>44245</v>
      </c>
      <c r="C2597" s="1" t="n">
        <v>45832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8676-2021</t>
        </is>
      </c>
      <c r="B2598" s="1" t="n">
        <v>44246</v>
      </c>
      <c r="C2598" s="1" t="n">
        <v>45832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8730-2021</t>
        </is>
      </c>
      <c r="B2599" s="1" t="n">
        <v>44246</v>
      </c>
      <c r="C2599" s="1" t="n">
        <v>45832</v>
      </c>
      <c r="D2599" t="inlineStr">
        <is>
          <t>KRONOBERGS LÄN</t>
        </is>
      </c>
      <c r="E2599" t="inlineStr">
        <is>
          <t>VÄXJÖ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8754-2021</t>
        </is>
      </c>
      <c r="B2600" s="1" t="n">
        <v>44246</v>
      </c>
      <c r="C2600" s="1" t="n">
        <v>45832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8868-2021</t>
        </is>
      </c>
      <c r="B2601" s="1" t="n">
        <v>44247</v>
      </c>
      <c r="C2601" s="1" t="n">
        <v>45832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8929-2021</t>
        </is>
      </c>
      <c r="B2602" s="1" t="n">
        <v>44249</v>
      </c>
      <c r="C2602" s="1" t="n">
        <v>45832</v>
      </c>
      <c r="D2602" t="inlineStr">
        <is>
          <t>KRONOBERGS LÄN</t>
        </is>
      </c>
      <c r="E2602" t="inlineStr">
        <is>
          <t>ALVESTA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9321-2021</t>
        </is>
      </c>
      <c r="B2603" s="1" t="n">
        <v>44250</v>
      </c>
      <c r="C2603" s="1" t="n">
        <v>45832</v>
      </c>
      <c r="D2603" t="inlineStr">
        <is>
          <t>KRONOBERGS LÄN</t>
        </is>
      </c>
      <c r="E2603" t="inlineStr">
        <is>
          <t>UPPVIDINGE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9482-2021</t>
        </is>
      </c>
      <c r="B2604" s="1" t="n">
        <v>44250</v>
      </c>
      <c r="C2604" s="1" t="n">
        <v>45832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9224-2021</t>
        </is>
      </c>
      <c r="B2605" s="1" t="n">
        <v>44250</v>
      </c>
      <c r="C2605" s="1" t="n">
        <v>45832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9263-2021</t>
        </is>
      </c>
      <c r="B2606" s="1" t="n">
        <v>44250</v>
      </c>
      <c r="C2606" s="1" t="n">
        <v>45832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9583-2021</t>
        </is>
      </c>
      <c r="B2607" s="1" t="n">
        <v>44251</v>
      </c>
      <c r="C2607" s="1" t="n">
        <v>45832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9581-2021</t>
        </is>
      </c>
      <c r="B2608" s="1" t="n">
        <v>44251</v>
      </c>
      <c r="C2608" s="1" t="n">
        <v>45832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9422-2021</t>
        </is>
      </c>
      <c r="B2609" s="1" t="n">
        <v>44251</v>
      </c>
      <c r="C2609" s="1" t="n">
        <v>45832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9528-2021</t>
        </is>
      </c>
      <c r="B2610" s="1" t="n">
        <v>44251</v>
      </c>
      <c r="C2610" s="1" t="n">
        <v>45832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9609-2021</t>
        </is>
      </c>
      <c r="B2611" s="1" t="n">
        <v>44251</v>
      </c>
      <c r="C2611" s="1" t="n">
        <v>45832</v>
      </c>
      <c r="D2611" t="inlineStr">
        <is>
          <t>KRONOBERGS LÄN</t>
        </is>
      </c>
      <c r="E2611" t="inlineStr">
        <is>
          <t>LJUNGBY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9644-2021</t>
        </is>
      </c>
      <c r="B2612" s="1" t="n">
        <v>44252</v>
      </c>
      <c r="C2612" s="1" t="n">
        <v>45832</v>
      </c>
      <c r="D2612" t="inlineStr">
        <is>
          <t>KRONOBERGS LÄN</t>
        </is>
      </c>
      <c r="E2612" t="inlineStr">
        <is>
          <t>ALVESTA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9696-2021</t>
        </is>
      </c>
      <c r="B2613" s="1" t="n">
        <v>44252</v>
      </c>
      <c r="C2613" s="1" t="n">
        <v>45832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9975-2021</t>
        </is>
      </c>
      <c r="B2614" s="1" t="n">
        <v>44253</v>
      </c>
      <c r="C2614" s="1" t="n">
        <v>45832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9855-2021</t>
        </is>
      </c>
      <c r="B2615" s="1" t="n">
        <v>44253</v>
      </c>
      <c r="C2615" s="1" t="n">
        <v>45832</v>
      </c>
      <c r="D2615" t="inlineStr">
        <is>
          <t>KRONOBERGS LÄN</t>
        </is>
      </c>
      <c r="E2615" t="inlineStr">
        <is>
          <t>UPPVIDINGE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9910-2021</t>
        </is>
      </c>
      <c r="B2616" s="1" t="n">
        <v>44253</v>
      </c>
      <c r="C2616" s="1" t="n">
        <v>45832</v>
      </c>
      <c r="D2616" t="inlineStr">
        <is>
          <t>KRONOBERGS LÄN</t>
        </is>
      </c>
      <c r="E2616" t="inlineStr">
        <is>
          <t>ÄLMHULT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9974-2021</t>
        </is>
      </c>
      <c r="B2617" s="1" t="n">
        <v>44253</v>
      </c>
      <c r="C2617" s="1" t="n">
        <v>45832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9991-2021</t>
        </is>
      </c>
      <c r="B2618" s="1" t="n">
        <v>44254</v>
      </c>
      <c r="C2618" s="1" t="n">
        <v>45832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9990-2021</t>
        </is>
      </c>
      <c r="B2619" s="1" t="n">
        <v>44254</v>
      </c>
      <c r="C2619" s="1" t="n">
        <v>45832</v>
      </c>
      <c r="D2619" t="inlineStr">
        <is>
          <t>KRONOBERGS LÄN</t>
        </is>
      </c>
      <c r="E2619" t="inlineStr">
        <is>
          <t>VÄXJÖ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9988-2021</t>
        </is>
      </c>
      <c r="B2620" s="1" t="n">
        <v>44254</v>
      </c>
      <c r="C2620" s="1" t="n">
        <v>45832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9992-2021</t>
        </is>
      </c>
      <c r="B2621" s="1" t="n">
        <v>44254</v>
      </c>
      <c r="C2621" s="1" t="n">
        <v>45832</v>
      </c>
      <c r="D2621" t="inlineStr">
        <is>
          <t>KRONOBERGS LÄN</t>
        </is>
      </c>
      <c r="E2621" t="inlineStr">
        <is>
          <t>VÄXJÖ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10192-2021</t>
        </is>
      </c>
      <c r="B2622" s="1" t="n">
        <v>44256</v>
      </c>
      <c r="C2622" s="1" t="n">
        <v>45832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10272-2021</t>
        </is>
      </c>
      <c r="B2623" s="1" t="n">
        <v>44256</v>
      </c>
      <c r="C2623" s="1" t="n">
        <v>45832</v>
      </c>
      <c r="D2623" t="inlineStr">
        <is>
          <t>KRONOBERGS LÄN</t>
        </is>
      </c>
      <c r="E2623" t="inlineStr">
        <is>
          <t>ALVESTA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10228-2021</t>
        </is>
      </c>
      <c r="B2624" s="1" t="n">
        <v>44256</v>
      </c>
      <c r="C2624" s="1" t="n">
        <v>45832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10216-2021</t>
        </is>
      </c>
      <c r="B2625" s="1" t="n">
        <v>44256</v>
      </c>
      <c r="C2625" s="1" t="n">
        <v>45832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10273-2021</t>
        </is>
      </c>
      <c r="B2626" s="1" t="n">
        <v>44256</v>
      </c>
      <c r="C2626" s="1" t="n">
        <v>45832</v>
      </c>
      <c r="D2626" t="inlineStr">
        <is>
          <t>KRONOBERGS LÄN</t>
        </is>
      </c>
      <c r="E2626" t="inlineStr">
        <is>
          <t>ALVESTA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10319-2021</t>
        </is>
      </c>
      <c r="B2627" s="1" t="n">
        <v>44257</v>
      </c>
      <c r="C2627" s="1" t="n">
        <v>45832</v>
      </c>
      <c r="D2627" t="inlineStr">
        <is>
          <t>KRONOBERGS LÄN</t>
        </is>
      </c>
      <c r="E2627" t="inlineStr">
        <is>
          <t>ALVESTA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10365-2021</t>
        </is>
      </c>
      <c r="B2628" s="1" t="n">
        <v>44257</v>
      </c>
      <c r="C2628" s="1" t="n">
        <v>45832</v>
      </c>
      <c r="D2628" t="inlineStr">
        <is>
          <t>KRONOBERGS LÄN</t>
        </is>
      </c>
      <c r="E2628" t="inlineStr">
        <is>
          <t>MARKARYD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10428-2021</t>
        </is>
      </c>
      <c r="B2629" s="1" t="n">
        <v>44257</v>
      </c>
      <c r="C2629" s="1" t="n">
        <v>45832</v>
      </c>
      <c r="D2629" t="inlineStr">
        <is>
          <t>KRONOBERGS LÄN</t>
        </is>
      </c>
      <c r="E2629" t="inlineStr">
        <is>
          <t>ALVESTA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10468-2021</t>
        </is>
      </c>
      <c r="B2630" s="1" t="n">
        <v>44257</v>
      </c>
      <c r="C2630" s="1" t="n">
        <v>45832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10516-2021</t>
        </is>
      </c>
      <c r="B2631" s="1" t="n">
        <v>44258</v>
      </c>
      <c r="C2631" s="1" t="n">
        <v>45832</v>
      </c>
      <c r="D2631" t="inlineStr">
        <is>
          <t>KRONOBERGS LÄN</t>
        </is>
      </c>
      <c r="E2631" t="inlineStr">
        <is>
          <t>LJUNGBY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10549-2021</t>
        </is>
      </c>
      <c r="B2632" s="1" t="n">
        <v>44258</v>
      </c>
      <c r="C2632" s="1" t="n">
        <v>45832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10664-2021</t>
        </is>
      </c>
      <c r="B2633" s="1" t="n">
        <v>44258</v>
      </c>
      <c r="C2633" s="1" t="n">
        <v>45832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10667-2021</t>
        </is>
      </c>
      <c r="B2634" s="1" t="n">
        <v>44258</v>
      </c>
      <c r="C2634" s="1" t="n">
        <v>45832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10676-2021</t>
        </is>
      </c>
      <c r="B2635" s="1" t="n">
        <v>44258</v>
      </c>
      <c r="C2635" s="1" t="n">
        <v>45832</v>
      </c>
      <c r="D2635" t="inlineStr">
        <is>
          <t>KRONOBERGS LÄN</t>
        </is>
      </c>
      <c r="E2635" t="inlineStr">
        <is>
          <t>TINGSRYD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10672-2021</t>
        </is>
      </c>
      <c r="B2636" s="1" t="n">
        <v>44258</v>
      </c>
      <c r="C2636" s="1" t="n">
        <v>45832</v>
      </c>
      <c r="D2636" t="inlineStr">
        <is>
          <t>KRONOBERGS LÄN</t>
        </is>
      </c>
      <c r="E2636" t="inlineStr">
        <is>
          <t>TINGSRYD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10789-2021</t>
        </is>
      </c>
      <c r="B2637" s="1" t="n">
        <v>44259</v>
      </c>
      <c r="C2637" s="1" t="n">
        <v>45832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10785-2021</t>
        </is>
      </c>
      <c r="B2638" s="1" t="n">
        <v>44259</v>
      </c>
      <c r="C2638" s="1" t="n">
        <v>45832</v>
      </c>
      <c r="D2638" t="inlineStr">
        <is>
          <t>KRONOBERGS LÄN</t>
        </is>
      </c>
      <c r="E2638" t="inlineStr">
        <is>
          <t>TINGSRYD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10804-2021</t>
        </is>
      </c>
      <c r="B2639" s="1" t="n">
        <v>44259</v>
      </c>
      <c r="C2639" s="1" t="n">
        <v>45832</v>
      </c>
      <c r="D2639" t="inlineStr">
        <is>
          <t>KRONOBERGS LÄN</t>
        </is>
      </c>
      <c r="E2639" t="inlineStr">
        <is>
          <t>VÄXJÖ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10847-2021</t>
        </is>
      </c>
      <c r="B2640" s="1" t="n">
        <v>44259</v>
      </c>
      <c r="C2640" s="1" t="n">
        <v>45832</v>
      </c>
      <c r="D2640" t="inlineStr">
        <is>
          <t>KRONOBERGS LÄN</t>
        </is>
      </c>
      <c r="E2640" t="inlineStr">
        <is>
          <t>UPPVIDINGE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10927-2021</t>
        </is>
      </c>
      <c r="B2641" s="1" t="n">
        <v>44259</v>
      </c>
      <c r="C2641" s="1" t="n">
        <v>45832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10842-2021</t>
        </is>
      </c>
      <c r="B2642" s="1" t="n">
        <v>44259</v>
      </c>
      <c r="C2642" s="1" t="n">
        <v>45832</v>
      </c>
      <c r="D2642" t="inlineStr">
        <is>
          <t>KRONOBERGS LÄN</t>
        </is>
      </c>
      <c r="E2642" t="inlineStr">
        <is>
          <t>LJUNGBY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10967-2021</t>
        </is>
      </c>
      <c r="B2643" s="1" t="n">
        <v>44260</v>
      </c>
      <c r="C2643" s="1" t="n">
        <v>45832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11128-2021</t>
        </is>
      </c>
      <c r="B2644" s="1" t="n">
        <v>44260</v>
      </c>
      <c r="C2644" s="1" t="n">
        <v>45832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11131-2021</t>
        </is>
      </c>
      <c r="B2645" s="1" t="n">
        <v>44260</v>
      </c>
      <c r="C2645" s="1" t="n">
        <v>45832</v>
      </c>
      <c r="D2645" t="inlineStr">
        <is>
          <t>KRONOBERGS LÄN</t>
        </is>
      </c>
      <c r="E2645" t="inlineStr">
        <is>
          <t>MARKARYD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11132-2021</t>
        </is>
      </c>
      <c r="B2646" s="1" t="n">
        <v>44260</v>
      </c>
      <c r="C2646" s="1" t="n">
        <v>45832</v>
      </c>
      <c r="D2646" t="inlineStr">
        <is>
          <t>KRONOBERGS LÄN</t>
        </is>
      </c>
      <c r="E2646" t="inlineStr">
        <is>
          <t>MARKARYD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11182-2021</t>
        </is>
      </c>
      <c r="B2647" s="1" t="n">
        <v>44262</v>
      </c>
      <c r="C2647" s="1" t="n">
        <v>45832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11187-2021</t>
        </is>
      </c>
      <c r="B2648" s="1" t="n">
        <v>44263</v>
      </c>
      <c r="C2648" s="1" t="n">
        <v>45832</v>
      </c>
      <c r="D2648" t="inlineStr">
        <is>
          <t>KRONOBERGS LÄN</t>
        </is>
      </c>
      <c r="E2648" t="inlineStr">
        <is>
          <t>UPPVIDINGE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11547-2021</t>
        </is>
      </c>
      <c r="B2649" s="1" t="n">
        <v>44264</v>
      </c>
      <c r="C2649" s="1" t="n">
        <v>45832</v>
      </c>
      <c r="D2649" t="inlineStr">
        <is>
          <t>KRONOBERGS LÄN</t>
        </is>
      </c>
      <c r="E2649" t="inlineStr">
        <is>
          <t>ALVESTA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11601-2021</t>
        </is>
      </c>
      <c r="B2650" s="1" t="n">
        <v>44264</v>
      </c>
      <c r="C2650" s="1" t="n">
        <v>45832</v>
      </c>
      <c r="D2650" t="inlineStr">
        <is>
          <t>KRONOBERGS LÄN</t>
        </is>
      </c>
      <c r="E2650" t="inlineStr">
        <is>
          <t>VÄXJÖ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11619-2021</t>
        </is>
      </c>
      <c r="B2651" s="1" t="n">
        <v>44264</v>
      </c>
      <c r="C2651" s="1" t="n">
        <v>45832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11652-2021</t>
        </is>
      </c>
      <c r="B2652" s="1" t="n">
        <v>44264</v>
      </c>
      <c r="C2652" s="1" t="n">
        <v>45832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11680-2021</t>
        </is>
      </c>
      <c r="B2653" s="1" t="n">
        <v>44264</v>
      </c>
      <c r="C2653" s="1" t="n">
        <v>45832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11649-2021</t>
        </is>
      </c>
      <c r="B2654" s="1" t="n">
        <v>44264</v>
      </c>
      <c r="C2654" s="1" t="n">
        <v>45832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11651-2021</t>
        </is>
      </c>
      <c r="B2655" s="1" t="n">
        <v>44264</v>
      </c>
      <c r="C2655" s="1" t="n">
        <v>45832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11800-2021</t>
        </is>
      </c>
      <c r="B2656" s="1" t="n">
        <v>44265</v>
      </c>
      <c r="C2656" s="1" t="n">
        <v>45832</v>
      </c>
      <c r="D2656" t="inlineStr">
        <is>
          <t>KRONOBERGS LÄN</t>
        </is>
      </c>
      <c r="E2656" t="inlineStr">
        <is>
          <t>TINGSRYD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11803-2021</t>
        </is>
      </c>
      <c r="B2657" s="1" t="n">
        <v>44265</v>
      </c>
      <c r="C2657" s="1" t="n">
        <v>45832</v>
      </c>
      <c r="D2657" t="inlineStr">
        <is>
          <t>KRONOBERGS LÄN</t>
        </is>
      </c>
      <c r="E2657" t="inlineStr">
        <is>
          <t>VÄXJÖ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11801-2021</t>
        </is>
      </c>
      <c r="B2658" s="1" t="n">
        <v>44265</v>
      </c>
      <c r="C2658" s="1" t="n">
        <v>45832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11884-2021</t>
        </is>
      </c>
      <c r="B2659" s="1" t="n">
        <v>44265</v>
      </c>
      <c r="C2659" s="1" t="n">
        <v>45832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11914-2021</t>
        </is>
      </c>
      <c r="B2660" s="1" t="n">
        <v>44265</v>
      </c>
      <c r="C2660" s="1" t="n">
        <v>45832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11975-2021</t>
        </is>
      </c>
      <c r="B2661" s="1" t="n">
        <v>44266</v>
      </c>
      <c r="C2661" s="1" t="n">
        <v>45832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11997-2021</t>
        </is>
      </c>
      <c r="B2662" s="1" t="n">
        <v>44266</v>
      </c>
      <c r="C2662" s="1" t="n">
        <v>45832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12131-2021</t>
        </is>
      </c>
      <c r="B2663" s="1" t="n">
        <v>44266</v>
      </c>
      <c r="C2663" s="1" t="n">
        <v>45832</v>
      </c>
      <c r="D2663" t="inlineStr">
        <is>
          <t>KRONOBERGS LÄN</t>
        </is>
      </c>
      <c r="E2663" t="inlineStr">
        <is>
          <t>LJUNGBY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12200-2021</t>
        </is>
      </c>
      <c r="B2664" s="1" t="n">
        <v>44266</v>
      </c>
      <c r="C2664" s="1" t="n">
        <v>45832</v>
      </c>
      <c r="D2664" t="inlineStr">
        <is>
          <t>KRONOBERGS LÄN</t>
        </is>
      </c>
      <c r="E2664" t="inlineStr">
        <is>
          <t>TINGSRYD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12253-2021</t>
        </is>
      </c>
      <c r="B2665" s="1" t="n">
        <v>44266</v>
      </c>
      <c r="C2665" s="1" t="n">
        <v>45832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12248-2021</t>
        </is>
      </c>
      <c r="B2666" s="1" t="n">
        <v>44266</v>
      </c>
      <c r="C2666" s="1" t="n">
        <v>45832</v>
      </c>
      <c r="D2666" t="inlineStr">
        <is>
          <t>KRONOBERGS LÄN</t>
        </is>
      </c>
      <c r="E2666" t="inlineStr">
        <is>
          <t>ÄLMHULT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12377-2021</t>
        </is>
      </c>
      <c r="B2667" s="1" t="n">
        <v>44267</v>
      </c>
      <c r="C2667" s="1" t="n">
        <v>45832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12386-2021</t>
        </is>
      </c>
      <c r="B2668" s="1" t="n">
        <v>44267</v>
      </c>
      <c r="C2668" s="1" t="n">
        <v>45832</v>
      </c>
      <c r="D2668" t="inlineStr">
        <is>
          <t>KRONOBERGS LÄN</t>
        </is>
      </c>
      <c r="E2668" t="inlineStr">
        <is>
          <t>TINGSRYD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12297-2021</t>
        </is>
      </c>
      <c r="B2669" s="1" t="n">
        <v>44267</v>
      </c>
      <c r="C2669" s="1" t="n">
        <v>45832</v>
      </c>
      <c r="D2669" t="inlineStr">
        <is>
          <t>KRONOBERGS LÄN</t>
        </is>
      </c>
      <c r="E2669" t="inlineStr">
        <is>
          <t>LJUNGBY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12404-2021</t>
        </is>
      </c>
      <c r="B2670" s="1" t="n">
        <v>44267</v>
      </c>
      <c r="C2670" s="1" t="n">
        <v>45832</v>
      </c>
      <c r="D2670" t="inlineStr">
        <is>
          <t>KRONOBERGS LÄN</t>
        </is>
      </c>
      <c r="E2670" t="inlineStr">
        <is>
          <t>VÄXJÖ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12448-2021</t>
        </is>
      </c>
      <c r="B2671" s="1" t="n">
        <v>44267</v>
      </c>
      <c r="C2671" s="1" t="n">
        <v>45832</v>
      </c>
      <c r="D2671" t="inlineStr">
        <is>
          <t>KRONOBERGS LÄN</t>
        </is>
      </c>
      <c r="E2671" t="inlineStr">
        <is>
          <t>UPPVIDINGE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12449-2021</t>
        </is>
      </c>
      <c r="B2672" s="1" t="n">
        <v>44267</v>
      </c>
      <c r="C2672" s="1" t="n">
        <v>45832</v>
      </c>
      <c r="D2672" t="inlineStr">
        <is>
          <t>KRONOBERGS LÄN</t>
        </is>
      </c>
      <c r="E2672" t="inlineStr">
        <is>
          <t>LJUNGBY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12613-2021</t>
        </is>
      </c>
      <c r="B2673" s="1" t="n">
        <v>44270</v>
      </c>
      <c r="C2673" s="1" t="n">
        <v>45832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12694-2021</t>
        </is>
      </c>
      <c r="B2674" s="1" t="n">
        <v>44270</v>
      </c>
      <c r="C2674" s="1" t="n">
        <v>45832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12689-2021</t>
        </is>
      </c>
      <c r="B2675" s="1" t="n">
        <v>44270</v>
      </c>
      <c r="C2675" s="1" t="n">
        <v>45832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12838-2021</t>
        </is>
      </c>
      <c r="B2676" s="1" t="n">
        <v>44271</v>
      </c>
      <c r="C2676" s="1" t="n">
        <v>45832</v>
      </c>
      <c r="D2676" t="inlineStr">
        <is>
          <t>KRONOBERGS LÄN</t>
        </is>
      </c>
      <c r="E2676" t="inlineStr">
        <is>
          <t>ALVESTA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13015-2021</t>
        </is>
      </c>
      <c r="B2677" s="1" t="n">
        <v>44271</v>
      </c>
      <c r="C2677" s="1" t="n">
        <v>45832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13027-2021</t>
        </is>
      </c>
      <c r="B2678" s="1" t="n">
        <v>44271</v>
      </c>
      <c r="C2678" s="1" t="n">
        <v>45832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13075-2021</t>
        </is>
      </c>
      <c r="B2679" s="1" t="n">
        <v>44272</v>
      </c>
      <c r="C2679" s="1" t="n">
        <v>45832</v>
      </c>
      <c r="D2679" t="inlineStr">
        <is>
          <t>KRONOBERGS LÄN</t>
        </is>
      </c>
      <c r="E2679" t="inlineStr">
        <is>
          <t>TINGSRYD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13073-2021</t>
        </is>
      </c>
      <c r="B2680" s="1" t="n">
        <v>44272</v>
      </c>
      <c r="C2680" s="1" t="n">
        <v>45832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13287-2021</t>
        </is>
      </c>
      <c r="B2681" s="1" t="n">
        <v>44272</v>
      </c>
      <c r="C2681" s="1" t="n">
        <v>45832</v>
      </c>
      <c r="D2681" t="inlineStr">
        <is>
          <t>KRONOBERGS LÄN</t>
        </is>
      </c>
      <c r="E2681" t="inlineStr">
        <is>
          <t>LJUNGBY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13330-2021</t>
        </is>
      </c>
      <c r="B2682" s="1" t="n">
        <v>44273</v>
      </c>
      <c r="C2682" s="1" t="n">
        <v>45832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13327-2021</t>
        </is>
      </c>
      <c r="B2683" s="1" t="n">
        <v>44273</v>
      </c>
      <c r="C2683" s="1" t="n">
        <v>45832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13477-2021</t>
        </is>
      </c>
      <c r="B2684" s="1" t="n">
        <v>44273</v>
      </c>
      <c r="C2684" s="1" t="n">
        <v>45832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13371-2021</t>
        </is>
      </c>
      <c r="B2685" s="1" t="n">
        <v>44273</v>
      </c>
      <c r="C2685" s="1" t="n">
        <v>45832</v>
      </c>
      <c r="D2685" t="inlineStr">
        <is>
          <t>KRONOBERGS LÄN</t>
        </is>
      </c>
      <c r="E2685" t="inlineStr">
        <is>
          <t>UPPVIDINGE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13672-2021</t>
        </is>
      </c>
      <c r="B2686" s="1" t="n">
        <v>44274</v>
      </c>
      <c r="C2686" s="1" t="n">
        <v>45832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13779-2021</t>
        </is>
      </c>
      <c r="B2687" s="1" t="n">
        <v>44274</v>
      </c>
      <c r="C2687" s="1" t="n">
        <v>45832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13677-2021</t>
        </is>
      </c>
      <c r="B2688" s="1" t="n">
        <v>44274</v>
      </c>
      <c r="C2688" s="1" t="n">
        <v>45832</v>
      </c>
      <c r="D2688" t="inlineStr">
        <is>
          <t>KRONOBERGS LÄN</t>
        </is>
      </c>
      <c r="E2688" t="inlineStr">
        <is>
          <t>UPPVIDINGE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13722-2021</t>
        </is>
      </c>
      <c r="B2689" s="1" t="n">
        <v>44274</v>
      </c>
      <c r="C2689" s="1" t="n">
        <v>45832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13817-2021</t>
        </is>
      </c>
      <c r="B2690" s="1" t="n">
        <v>44276</v>
      </c>
      <c r="C2690" s="1" t="n">
        <v>45832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13892-2021</t>
        </is>
      </c>
      <c r="B2691" s="1" t="n">
        <v>44277</v>
      </c>
      <c r="C2691" s="1" t="n">
        <v>45832</v>
      </c>
      <c r="D2691" t="inlineStr">
        <is>
          <t>KRONOBERGS LÄN</t>
        </is>
      </c>
      <c r="E2691" t="inlineStr">
        <is>
          <t>VÄXJÖ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13977-2021</t>
        </is>
      </c>
      <c r="B2692" s="1" t="n">
        <v>44277</v>
      </c>
      <c r="C2692" s="1" t="n">
        <v>45832</v>
      </c>
      <c r="D2692" t="inlineStr">
        <is>
          <t>KRONOBERGS LÄN</t>
        </is>
      </c>
      <c r="E2692" t="inlineStr">
        <is>
          <t>ÄLMHULT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13999-2021</t>
        </is>
      </c>
      <c r="B2693" s="1" t="n">
        <v>44277</v>
      </c>
      <c r="C2693" s="1" t="n">
        <v>45832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14002-2021</t>
        </is>
      </c>
      <c r="B2694" s="1" t="n">
        <v>44277</v>
      </c>
      <c r="C2694" s="1" t="n">
        <v>45832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14184-2021</t>
        </is>
      </c>
      <c r="B2695" s="1" t="n">
        <v>44278</v>
      </c>
      <c r="C2695" s="1" t="n">
        <v>45832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14209-2021</t>
        </is>
      </c>
      <c r="B2696" s="1" t="n">
        <v>44278</v>
      </c>
      <c r="C2696" s="1" t="n">
        <v>45832</v>
      </c>
      <c r="D2696" t="inlineStr">
        <is>
          <t>KRONOBERGS LÄN</t>
        </is>
      </c>
      <c r="E2696" t="inlineStr">
        <is>
          <t>UPPVIDINGE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14140-2021</t>
        </is>
      </c>
      <c r="B2697" s="1" t="n">
        <v>44278</v>
      </c>
      <c r="C2697" s="1" t="n">
        <v>45832</v>
      </c>
      <c r="D2697" t="inlineStr">
        <is>
          <t>KRONOBERGS LÄN</t>
        </is>
      </c>
      <c r="E2697" t="inlineStr">
        <is>
          <t>ÄLMHULT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14339-2021</t>
        </is>
      </c>
      <c r="B2698" s="1" t="n">
        <v>44279</v>
      </c>
      <c r="C2698" s="1" t="n">
        <v>45832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14384-2021</t>
        </is>
      </c>
      <c r="B2699" s="1" t="n">
        <v>44279</v>
      </c>
      <c r="C2699" s="1" t="n">
        <v>45832</v>
      </c>
      <c r="D2699" t="inlineStr">
        <is>
          <t>KRONOBERGS LÄN</t>
        </is>
      </c>
      <c r="E2699" t="inlineStr">
        <is>
          <t>ÄLMHULT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14670-2021</t>
        </is>
      </c>
      <c r="B2700" s="1" t="n">
        <v>44279</v>
      </c>
      <c r="C2700" s="1" t="n">
        <v>45832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Kyrkan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14749-2021</t>
        </is>
      </c>
      <c r="B2701" s="1" t="n">
        <v>44280</v>
      </c>
      <c r="C2701" s="1" t="n">
        <v>45832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14612-2021</t>
        </is>
      </c>
      <c r="B2702" s="1" t="n">
        <v>44280</v>
      </c>
      <c r="C2702" s="1" t="n">
        <v>45832</v>
      </c>
      <c r="D2702" t="inlineStr">
        <is>
          <t>KRONOBERGS LÄN</t>
        </is>
      </c>
      <c r="E2702" t="inlineStr">
        <is>
          <t>ÄLMHULT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14695-2021</t>
        </is>
      </c>
      <c r="B2703" s="1" t="n">
        <v>44280</v>
      </c>
      <c r="C2703" s="1" t="n">
        <v>45832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14893-2021</t>
        </is>
      </c>
      <c r="B2704" s="1" t="n">
        <v>44281</v>
      </c>
      <c r="C2704" s="1" t="n">
        <v>45832</v>
      </c>
      <c r="D2704" t="inlineStr">
        <is>
          <t>KRONOBERGS LÄN</t>
        </is>
      </c>
      <c r="E2704" t="inlineStr">
        <is>
          <t>LESSEBO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14923-2021</t>
        </is>
      </c>
      <c r="B2705" s="1" t="n">
        <v>44281</v>
      </c>
      <c r="C2705" s="1" t="n">
        <v>45832</v>
      </c>
      <c r="D2705" t="inlineStr">
        <is>
          <t>KRONOBERGS LÄN</t>
        </is>
      </c>
      <c r="E2705" t="inlineStr">
        <is>
          <t>LJUNGBY</t>
        </is>
      </c>
      <c r="F2705" t="inlineStr">
        <is>
          <t>Kommuner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15128-2021</t>
        </is>
      </c>
      <c r="B2706" s="1" t="n">
        <v>44283</v>
      </c>
      <c r="C2706" s="1" t="n">
        <v>45832</v>
      </c>
      <c r="D2706" t="inlineStr">
        <is>
          <t>KRONOBERGS LÄN</t>
        </is>
      </c>
      <c r="E2706" t="inlineStr">
        <is>
          <t>MARKARYD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15165-2021</t>
        </is>
      </c>
      <c r="B2707" s="1" t="n">
        <v>44284</v>
      </c>
      <c r="C2707" s="1" t="n">
        <v>45832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15176-2021</t>
        </is>
      </c>
      <c r="B2708" s="1" t="n">
        <v>44284</v>
      </c>
      <c r="C2708" s="1" t="n">
        <v>45832</v>
      </c>
      <c r="D2708" t="inlineStr">
        <is>
          <t>KRONOBERGS LÄN</t>
        </is>
      </c>
      <c r="E2708" t="inlineStr">
        <is>
          <t>UPPVIDINGE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15272-2021</t>
        </is>
      </c>
      <c r="B2709" s="1" t="n">
        <v>44284</v>
      </c>
      <c r="C2709" s="1" t="n">
        <v>45832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15350-2021</t>
        </is>
      </c>
      <c r="B2710" s="1" t="n">
        <v>44284</v>
      </c>
      <c r="C2710" s="1" t="n">
        <v>45832</v>
      </c>
      <c r="D2710" t="inlineStr">
        <is>
          <t>KRONOBERGS LÄN</t>
        </is>
      </c>
      <c r="E2710" t="inlineStr">
        <is>
          <t>LJUNGBY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15402-2021</t>
        </is>
      </c>
      <c r="B2711" s="1" t="n">
        <v>44285</v>
      </c>
      <c r="C2711" s="1" t="n">
        <v>45832</v>
      </c>
      <c r="D2711" t="inlineStr">
        <is>
          <t>KRONOBERGS LÄN</t>
        </is>
      </c>
      <c r="E2711" t="inlineStr">
        <is>
          <t>TINGSRYD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15408-2021</t>
        </is>
      </c>
      <c r="B2712" s="1" t="n">
        <v>44285</v>
      </c>
      <c r="C2712" s="1" t="n">
        <v>45832</v>
      </c>
      <c r="D2712" t="inlineStr">
        <is>
          <t>KRONOBERGS LÄN</t>
        </is>
      </c>
      <c r="E2712" t="inlineStr">
        <is>
          <t>UPPVIDINGE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15578-2021</t>
        </is>
      </c>
      <c r="B2713" s="1" t="n">
        <v>44285</v>
      </c>
      <c r="C2713" s="1" t="n">
        <v>45832</v>
      </c>
      <c r="D2713" t="inlineStr">
        <is>
          <t>KRONOBERGS LÄN</t>
        </is>
      </c>
      <c r="E2713" t="inlineStr">
        <is>
          <t>TINGSRYD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15551-2021</t>
        </is>
      </c>
      <c r="B2714" s="1" t="n">
        <v>44285</v>
      </c>
      <c r="C2714" s="1" t="n">
        <v>45832</v>
      </c>
      <c r="D2714" t="inlineStr">
        <is>
          <t>KRONOBERGS LÄN</t>
        </is>
      </c>
      <c r="E2714" t="inlineStr">
        <is>
          <t>VÄXJÖ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15566-2021</t>
        </is>
      </c>
      <c r="B2715" s="1" t="n">
        <v>44285</v>
      </c>
      <c r="C2715" s="1" t="n">
        <v>45832</v>
      </c>
      <c r="D2715" t="inlineStr">
        <is>
          <t>KRONOBERGS LÄN</t>
        </is>
      </c>
      <c r="E2715" t="inlineStr">
        <is>
          <t>TINGSRYD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15631-2021</t>
        </is>
      </c>
      <c r="B2716" s="1" t="n">
        <v>44285</v>
      </c>
      <c r="C2716" s="1" t="n">
        <v>45832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15630-2021</t>
        </is>
      </c>
      <c r="B2717" s="1" t="n">
        <v>44285</v>
      </c>
      <c r="C2717" s="1" t="n">
        <v>45832</v>
      </c>
      <c r="D2717" t="inlineStr">
        <is>
          <t>KRONOBERGS LÄN</t>
        </is>
      </c>
      <c r="E2717" t="inlineStr">
        <is>
          <t>UPPVIDINGE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15749-2021</t>
        </is>
      </c>
      <c r="B2718" s="1" t="n">
        <v>44286</v>
      </c>
      <c r="C2718" s="1" t="n">
        <v>45832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15855-2021</t>
        </is>
      </c>
      <c r="B2719" s="1" t="n">
        <v>44286</v>
      </c>
      <c r="C2719" s="1" t="n">
        <v>45832</v>
      </c>
      <c r="D2719" t="inlineStr">
        <is>
          <t>KRONOBERGS LÄN</t>
        </is>
      </c>
      <c r="E2719" t="inlineStr">
        <is>
          <t>ÄLMHULT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16081-2021</t>
        </is>
      </c>
      <c r="B2720" s="1" t="n">
        <v>44288</v>
      </c>
      <c r="C2720" s="1" t="n">
        <v>45832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16290-2021</t>
        </is>
      </c>
      <c r="B2721" s="1" t="n">
        <v>44292</v>
      </c>
      <c r="C2721" s="1" t="n">
        <v>45832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16224-2021</t>
        </is>
      </c>
      <c r="B2722" s="1" t="n">
        <v>44292</v>
      </c>
      <c r="C2722" s="1" t="n">
        <v>45832</v>
      </c>
      <c r="D2722" t="inlineStr">
        <is>
          <t>KRONOBERGS LÄN</t>
        </is>
      </c>
      <c r="E2722" t="inlineStr">
        <is>
          <t>LJUNGBY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16259-2021</t>
        </is>
      </c>
      <c r="B2723" s="1" t="n">
        <v>44292</v>
      </c>
      <c r="C2723" s="1" t="n">
        <v>45832</v>
      </c>
      <c r="D2723" t="inlineStr">
        <is>
          <t>KRONOBERGS LÄN</t>
        </is>
      </c>
      <c r="E2723" t="inlineStr">
        <is>
          <t>ÄLMHULT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16280-2021</t>
        </is>
      </c>
      <c r="B2724" s="1" t="n">
        <v>44292</v>
      </c>
      <c r="C2724" s="1" t="n">
        <v>45832</v>
      </c>
      <c r="D2724" t="inlineStr">
        <is>
          <t>KRONOBERGS LÄN</t>
        </is>
      </c>
      <c r="E2724" t="inlineStr">
        <is>
          <t>TINGSRYD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16328-2021</t>
        </is>
      </c>
      <c r="B2725" s="1" t="n">
        <v>44292</v>
      </c>
      <c r="C2725" s="1" t="n">
        <v>45832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16162-2021</t>
        </is>
      </c>
      <c r="B2726" s="1" t="n">
        <v>44292</v>
      </c>
      <c r="C2726" s="1" t="n">
        <v>45832</v>
      </c>
      <c r="D2726" t="inlineStr">
        <is>
          <t>KRONOBERGS LÄN</t>
        </is>
      </c>
      <c r="E2726" t="inlineStr">
        <is>
          <t>VÄXJÖ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16313-2021</t>
        </is>
      </c>
      <c r="B2727" s="1" t="n">
        <v>44292</v>
      </c>
      <c r="C2727" s="1" t="n">
        <v>45832</v>
      </c>
      <c r="D2727" t="inlineStr">
        <is>
          <t>KRONOBERGS LÄN</t>
        </is>
      </c>
      <c r="E2727" t="inlineStr">
        <is>
          <t>ALVESTA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16361-2021</t>
        </is>
      </c>
      <c r="B2728" s="1" t="n">
        <v>44293</v>
      </c>
      <c r="C2728" s="1" t="n">
        <v>45832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16399-2021</t>
        </is>
      </c>
      <c r="B2729" s="1" t="n">
        <v>44293</v>
      </c>
      <c r="C2729" s="1" t="n">
        <v>45832</v>
      </c>
      <c r="D2729" t="inlineStr">
        <is>
          <t>KRONOBERGS LÄN</t>
        </is>
      </c>
      <c r="E2729" t="inlineStr">
        <is>
          <t>ALVESTA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16721-2021</t>
        </is>
      </c>
      <c r="B2730" s="1" t="n">
        <v>44294</v>
      </c>
      <c r="C2730" s="1" t="n">
        <v>45832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16948-2021</t>
        </is>
      </c>
      <c r="B2731" s="1" t="n">
        <v>44295</v>
      </c>
      <c r="C2731" s="1" t="n">
        <v>45832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16955-2021</t>
        </is>
      </c>
      <c r="B2732" s="1" t="n">
        <v>44295</v>
      </c>
      <c r="C2732" s="1" t="n">
        <v>45832</v>
      </c>
      <c r="D2732" t="inlineStr">
        <is>
          <t>KRONOBERGS LÄN</t>
        </is>
      </c>
      <c r="E2732" t="inlineStr">
        <is>
          <t>UPPVIDINGE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16965-2021</t>
        </is>
      </c>
      <c r="B2733" s="1" t="n">
        <v>44295</v>
      </c>
      <c r="C2733" s="1" t="n">
        <v>45832</v>
      </c>
      <c r="D2733" t="inlineStr">
        <is>
          <t>KRONOBERGS LÄN</t>
        </is>
      </c>
      <c r="E2733" t="inlineStr">
        <is>
          <t>ALVESTA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16803-2021</t>
        </is>
      </c>
      <c r="B2734" s="1" t="n">
        <v>44295</v>
      </c>
      <c r="C2734" s="1" t="n">
        <v>45832</v>
      </c>
      <c r="D2734" t="inlineStr">
        <is>
          <t>KRONOBERGS LÄN</t>
        </is>
      </c>
      <c r="E2734" t="inlineStr">
        <is>
          <t>LJUNGBY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16800-2021</t>
        </is>
      </c>
      <c r="B2735" s="1" t="n">
        <v>44295</v>
      </c>
      <c r="C2735" s="1" t="n">
        <v>45832</v>
      </c>
      <c r="D2735" t="inlineStr">
        <is>
          <t>KRONOBERGS LÄN</t>
        </is>
      </c>
      <c r="E2735" t="inlineStr">
        <is>
          <t>ALVESTA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16949-2021</t>
        </is>
      </c>
      <c r="B2736" s="1" t="n">
        <v>44295</v>
      </c>
      <c r="C2736" s="1" t="n">
        <v>45832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17039-2021</t>
        </is>
      </c>
      <c r="B2737" s="1" t="n">
        <v>44295</v>
      </c>
      <c r="C2737" s="1" t="n">
        <v>45832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17073-2021</t>
        </is>
      </c>
      <c r="B2738" s="1" t="n">
        <v>44297</v>
      </c>
      <c r="C2738" s="1" t="n">
        <v>45832</v>
      </c>
      <c r="D2738" t="inlineStr">
        <is>
          <t>KRONOBERGS LÄN</t>
        </is>
      </c>
      <c r="E2738" t="inlineStr">
        <is>
          <t>LJUNGBY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17075-2021</t>
        </is>
      </c>
      <c r="B2739" s="1" t="n">
        <v>44297</v>
      </c>
      <c r="C2739" s="1" t="n">
        <v>45832</v>
      </c>
      <c r="D2739" t="inlineStr">
        <is>
          <t>KRONOBERGS LÄN</t>
        </is>
      </c>
      <c r="E2739" t="inlineStr">
        <is>
          <t>LJUNGBY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17188-2021</t>
        </is>
      </c>
      <c r="B2740" s="1" t="n">
        <v>44298</v>
      </c>
      <c r="C2740" s="1" t="n">
        <v>45832</v>
      </c>
      <c r="D2740" t="inlineStr">
        <is>
          <t>KRONOBERGS LÄN</t>
        </is>
      </c>
      <c r="E2740" t="inlineStr">
        <is>
          <t>VÄXJÖ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17212-2021</t>
        </is>
      </c>
      <c r="B2741" s="1" t="n">
        <v>44298</v>
      </c>
      <c r="C2741" s="1" t="n">
        <v>45832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17340-2021</t>
        </is>
      </c>
      <c r="B2742" s="1" t="n">
        <v>44298</v>
      </c>
      <c r="C2742" s="1" t="n">
        <v>45832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17336-2021</t>
        </is>
      </c>
      <c r="B2743" s="1" t="n">
        <v>44298</v>
      </c>
      <c r="C2743" s="1" t="n">
        <v>45832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17388-2021</t>
        </is>
      </c>
      <c r="B2744" s="1" t="n">
        <v>44298</v>
      </c>
      <c r="C2744" s="1" t="n">
        <v>45832</v>
      </c>
      <c r="D2744" t="inlineStr">
        <is>
          <t>KRONOBERGS LÄN</t>
        </is>
      </c>
      <c r="E2744" t="inlineStr">
        <is>
          <t>VÄXJÖ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17485-2021</t>
        </is>
      </c>
      <c r="B2745" s="1" t="n">
        <v>44299</v>
      </c>
      <c r="C2745" s="1" t="n">
        <v>45832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17514-2021</t>
        </is>
      </c>
      <c r="B2746" s="1" t="n">
        <v>44299</v>
      </c>
      <c r="C2746" s="1" t="n">
        <v>45832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17702-2021</t>
        </is>
      </c>
      <c r="B2747" s="1" t="n">
        <v>44300</v>
      </c>
      <c r="C2747" s="1" t="n">
        <v>45832</v>
      </c>
      <c r="D2747" t="inlineStr">
        <is>
          <t>KRONOBERGS LÄN</t>
        </is>
      </c>
      <c r="E2747" t="inlineStr">
        <is>
          <t>LESSEBO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17912-2021</t>
        </is>
      </c>
      <c r="B2748" s="1" t="n">
        <v>44301</v>
      </c>
      <c r="C2748" s="1" t="n">
        <v>45832</v>
      </c>
      <c r="D2748" t="inlineStr">
        <is>
          <t>KRONOBERGS LÄN</t>
        </is>
      </c>
      <c r="E2748" t="inlineStr">
        <is>
          <t>TINGSRYD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17924-2021</t>
        </is>
      </c>
      <c r="B2749" s="1" t="n">
        <v>44301</v>
      </c>
      <c r="C2749" s="1" t="n">
        <v>45832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18077-2021</t>
        </is>
      </c>
      <c r="B2750" s="1" t="n">
        <v>44302</v>
      </c>
      <c r="C2750" s="1" t="n">
        <v>45832</v>
      </c>
      <c r="D2750" t="inlineStr">
        <is>
          <t>KRONOBERGS LÄN</t>
        </is>
      </c>
      <c r="E2750" t="inlineStr">
        <is>
          <t>TINGSRYD</t>
        </is>
      </c>
      <c r="G2750" t="n">
        <v>20.4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18055-2021</t>
        </is>
      </c>
      <c r="B2751" s="1" t="n">
        <v>44302</v>
      </c>
      <c r="C2751" s="1" t="n">
        <v>45832</v>
      </c>
      <c r="D2751" t="inlineStr">
        <is>
          <t>KRONOBERGS LÄN</t>
        </is>
      </c>
      <c r="E2751" t="inlineStr">
        <is>
          <t>TINGSRYD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18229-2021</t>
        </is>
      </c>
      <c r="B2752" s="1" t="n">
        <v>44303</v>
      </c>
      <c r="C2752" s="1" t="n">
        <v>45832</v>
      </c>
      <c r="D2752" t="inlineStr">
        <is>
          <t>KRONOBERGS LÄN</t>
        </is>
      </c>
      <c r="E2752" t="inlineStr">
        <is>
          <t>MARKARYD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18228-2021</t>
        </is>
      </c>
      <c r="B2753" s="1" t="n">
        <v>44303</v>
      </c>
      <c r="C2753" s="1" t="n">
        <v>45832</v>
      </c>
      <c r="D2753" t="inlineStr">
        <is>
          <t>KRONOBERGS LÄN</t>
        </is>
      </c>
      <c r="E2753" t="inlineStr">
        <is>
          <t>MARKARYD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18233-2021</t>
        </is>
      </c>
      <c r="B2754" s="1" t="n">
        <v>44303</v>
      </c>
      <c r="C2754" s="1" t="n">
        <v>45832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18236-2021</t>
        </is>
      </c>
      <c r="B2755" s="1" t="n">
        <v>44304</v>
      </c>
      <c r="C2755" s="1" t="n">
        <v>45832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18426-2021</t>
        </is>
      </c>
      <c r="B2756" s="1" t="n">
        <v>44305</v>
      </c>
      <c r="C2756" s="1" t="n">
        <v>45832</v>
      </c>
      <c r="D2756" t="inlineStr">
        <is>
          <t>KRONOBERGS LÄN</t>
        </is>
      </c>
      <c r="E2756" t="inlineStr">
        <is>
          <t>VÄXJÖ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18416-2021</t>
        </is>
      </c>
      <c r="B2757" s="1" t="n">
        <v>44305</v>
      </c>
      <c r="C2757" s="1" t="n">
        <v>45832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18419-2021</t>
        </is>
      </c>
      <c r="B2758" s="1" t="n">
        <v>44305</v>
      </c>
      <c r="C2758" s="1" t="n">
        <v>45832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18427-2021</t>
        </is>
      </c>
      <c r="B2759" s="1" t="n">
        <v>44305</v>
      </c>
      <c r="C2759" s="1" t="n">
        <v>45832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18458-2021</t>
        </is>
      </c>
      <c r="B2760" s="1" t="n">
        <v>44305</v>
      </c>
      <c r="C2760" s="1" t="n">
        <v>45832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18568-2021</t>
        </is>
      </c>
      <c r="B2761" s="1" t="n">
        <v>44305</v>
      </c>
      <c r="C2761" s="1" t="n">
        <v>45832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18630-2021</t>
        </is>
      </c>
      <c r="B2762" s="1" t="n">
        <v>44306</v>
      </c>
      <c r="C2762" s="1" t="n">
        <v>45832</v>
      </c>
      <c r="D2762" t="inlineStr">
        <is>
          <t>KRONOBERGS LÄN</t>
        </is>
      </c>
      <c r="E2762" t="inlineStr">
        <is>
          <t>LESSEBO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18632-2021</t>
        </is>
      </c>
      <c r="B2763" s="1" t="n">
        <v>44306</v>
      </c>
      <c r="C2763" s="1" t="n">
        <v>45832</v>
      </c>
      <c r="D2763" t="inlineStr">
        <is>
          <t>KRONOBERGS LÄN</t>
        </is>
      </c>
      <c r="E2763" t="inlineStr">
        <is>
          <t>ALVESTA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18643-2021</t>
        </is>
      </c>
      <c r="B2764" s="1" t="n">
        <v>44306</v>
      </c>
      <c r="C2764" s="1" t="n">
        <v>45832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18605-2021</t>
        </is>
      </c>
      <c r="B2765" s="1" t="n">
        <v>44306</v>
      </c>
      <c r="C2765" s="1" t="n">
        <v>45832</v>
      </c>
      <c r="D2765" t="inlineStr">
        <is>
          <t>KRONOBERGS LÄN</t>
        </is>
      </c>
      <c r="E2765" t="inlineStr">
        <is>
          <t>ALVESTA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18621-2021</t>
        </is>
      </c>
      <c r="B2766" s="1" t="n">
        <v>44306</v>
      </c>
      <c r="C2766" s="1" t="n">
        <v>45832</v>
      </c>
      <c r="D2766" t="inlineStr">
        <is>
          <t>KRONOBERGS LÄN</t>
        </is>
      </c>
      <c r="E2766" t="inlineStr">
        <is>
          <t>TINGSRYD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18639-2021</t>
        </is>
      </c>
      <c r="B2767" s="1" t="n">
        <v>44306</v>
      </c>
      <c r="C2767" s="1" t="n">
        <v>45832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18729-2021</t>
        </is>
      </c>
      <c r="B2768" s="1" t="n">
        <v>44307</v>
      </c>
      <c r="C2768" s="1" t="n">
        <v>45832</v>
      </c>
      <c r="D2768" t="inlineStr">
        <is>
          <t>KRONOBERGS LÄN</t>
        </is>
      </c>
      <c r="E2768" t="inlineStr">
        <is>
          <t>LESSEBO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18753-2021</t>
        </is>
      </c>
      <c r="B2769" s="1" t="n">
        <v>44307</v>
      </c>
      <c r="C2769" s="1" t="n">
        <v>45832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18822-2021</t>
        </is>
      </c>
      <c r="B2770" s="1" t="n">
        <v>44307</v>
      </c>
      <c r="C2770" s="1" t="n">
        <v>45832</v>
      </c>
      <c r="D2770" t="inlineStr">
        <is>
          <t>KRONOBERGS LÄN</t>
        </is>
      </c>
      <c r="E2770" t="inlineStr">
        <is>
          <t>ALVESTA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18763-2021</t>
        </is>
      </c>
      <c r="B2771" s="1" t="n">
        <v>44307</v>
      </c>
      <c r="C2771" s="1" t="n">
        <v>45832</v>
      </c>
      <c r="D2771" t="inlineStr">
        <is>
          <t>KRONOBERGS LÄN</t>
        </is>
      </c>
      <c r="E2771" t="inlineStr">
        <is>
          <t>LJUNGBY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19108-2021</t>
        </is>
      </c>
      <c r="B2772" s="1" t="n">
        <v>44308</v>
      </c>
      <c r="C2772" s="1" t="n">
        <v>45832</v>
      </c>
      <c r="D2772" t="inlineStr">
        <is>
          <t>KRONOBERGS LÄN</t>
        </is>
      </c>
      <c r="E2772" t="inlineStr">
        <is>
          <t>UPPVIDINGE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18905-2021</t>
        </is>
      </c>
      <c r="B2773" s="1" t="n">
        <v>44308</v>
      </c>
      <c r="C2773" s="1" t="n">
        <v>45832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19495-2021</t>
        </is>
      </c>
      <c r="B2774" s="1" t="n">
        <v>44308</v>
      </c>
      <c r="C2774" s="1" t="n">
        <v>45832</v>
      </c>
      <c r="D2774" t="inlineStr">
        <is>
          <t>KRONOBERGS LÄN</t>
        </is>
      </c>
      <c r="E2774" t="inlineStr">
        <is>
          <t>VÄXJÖ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19501-2021</t>
        </is>
      </c>
      <c r="B2775" s="1" t="n">
        <v>44308</v>
      </c>
      <c r="C2775" s="1" t="n">
        <v>45832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19989-2021</t>
        </is>
      </c>
      <c r="B2776" s="1" t="n">
        <v>44308</v>
      </c>
      <c r="C2776" s="1" t="n">
        <v>45832</v>
      </c>
      <c r="D2776" t="inlineStr">
        <is>
          <t>KRONOBERGS LÄN</t>
        </is>
      </c>
      <c r="E2776" t="inlineStr">
        <is>
          <t>UPPVIDINGE</t>
        </is>
      </c>
      <c r="G2776" t="n">
        <v>32.4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19330-2021</t>
        </is>
      </c>
      <c r="B2777" s="1" t="n">
        <v>44309</v>
      </c>
      <c r="C2777" s="1" t="n">
        <v>45832</v>
      </c>
      <c r="D2777" t="inlineStr">
        <is>
          <t>KRONOBERGS LÄN</t>
        </is>
      </c>
      <c r="E2777" t="inlineStr">
        <is>
          <t>ALVESTA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19370-2021</t>
        </is>
      </c>
      <c r="B2778" s="1" t="n">
        <v>44309</v>
      </c>
      <c r="C2778" s="1" t="n">
        <v>45832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19286-2021</t>
        </is>
      </c>
      <c r="B2779" s="1" t="n">
        <v>44309</v>
      </c>
      <c r="C2779" s="1" t="n">
        <v>45832</v>
      </c>
      <c r="D2779" t="inlineStr">
        <is>
          <t>KRONOBERGS LÄN</t>
        </is>
      </c>
      <c r="E2779" t="inlineStr">
        <is>
          <t>ÄLMHULT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19336-2021</t>
        </is>
      </c>
      <c r="B2780" s="1" t="n">
        <v>44309</v>
      </c>
      <c r="C2780" s="1" t="n">
        <v>45832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19584-2021</t>
        </is>
      </c>
      <c r="B2781" s="1" t="n">
        <v>44312</v>
      </c>
      <c r="C2781" s="1" t="n">
        <v>45832</v>
      </c>
      <c r="D2781" t="inlineStr">
        <is>
          <t>KRONOBERGS LÄN</t>
        </is>
      </c>
      <c r="E2781" t="inlineStr">
        <is>
          <t>TINGSRYD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19663-2021</t>
        </is>
      </c>
      <c r="B2782" s="1" t="n">
        <v>44312</v>
      </c>
      <c r="C2782" s="1" t="n">
        <v>45832</v>
      </c>
      <c r="D2782" t="inlineStr">
        <is>
          <t>KRONOBERGS LÄN</t>
        </is>
      </c>
      <c r="E2782" t="inlineStr">
        <is>
          <t>ÄLMHULT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19481-2021</t>
        </is>
      </c>
      <c r="B2783" s="1" t="n">
        <v>44312</v>
      </c>
      <c r="C2783" s="1" t="n">
        <v>45832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19780-2021</t>
        </is>
      </c>
      <c r="B2784" s="1" t="n">
        <v>44313</v>
      </c>
      <c r="C2784" s="1" t="n">
        <v>45832</v>
      </c>
      <c r="D2784" t="inlineStr">
        <is>
          <t>KRONOBERGS LÄN</t>
        </is>
      </c>
      <c r="E2784" t="inlineStr">
        <is>
          <t>TINGSRYD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19907-2021</t>
        </is>
      </c>
      <c r="B2785" s="1" t="n">
        <v>44313</v>
      </c>
      <c r="C2785" s="1" t="n">
        <v>45832</v>
      </c>
      <c r="D2785" t="inlineStr">
        <is>
          <t>KRONOBERGS LÄN</t>
        </is>
      </c>
      <c r="E2785" t="inlineStr">
        <is>
          <t>ALVESTA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20028-2021</t>
        </is>
      </c>
      <c r="B2786" s="1" t="n">
        <v>44313</v>
      </c>
      <c r="C2786" s="1" t="n">
        <v>45832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20057-2021</t>
        </is>
      </c>
      <c r="B2787" s="1" t="n">
        <v>44314</v>
      </c>
      <c r="C2787" s="1" t="n">
        <v>45832</v>
      </c>
      <c r="D2787" t="inlineStr">
        <is>
          <t>KRONOBERGS LÄN</t>
        </is>
      </c>
      <c r="E2787" t="inlineStr">
        <is>
          <t>ÄLMHULT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20148-2021</t>
        </is>
      </c>
      <c r="B2788" s="1" t="n">
        <v>44314</v>
      </c>
      <c r="C2788" s="1" t="n">
        <v>45832</v>
      </c>
      <c r="D2788" t="inlineStr">
        <is>
          <t>KRONOBERGS LÄN</t>
        </is>
      </c>
      <c r="E2788" t="inlineStr">
        <is>
          <t>VÄXJÖ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20147-2021</t>
        </is>
      </c>
      <c r="B2789" s="1" t="n">
        <v>44314</v>
      </c>
      <c r="C2789" s="1" t="n">
        <v>45832</v>
      </c>
      <c r="D2789" t="inlineStr">
        <is>
          <t>KRONOBERGS LÄN</t>
        </is>
      </c>
      <c r="E2789" t="inlineStr">
        <is>
          <t>VÄXJÖ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20178-2021</t>
        </is>
      </c>
      <c r="B2790" s="1" t="n">
        <v>44314</v>
      </c>
      <c r="C2790" s="1" t="n">
        <v>45832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20364-2021</t>
        </is>
      </c>
      <c r="B2791" s="1" t="n">
        <v>44315</v>
      </c>
      <c r="C2791" s="1" t="n">
        <v>45832</v>
      </c>
      <c r="D2791" t="inlineStr">
        <is>
          <t>KRONOBERGS LÄN</t>
        </is>
      </c>
      <c r="E2791" t="inlineStr">
        <is>
          <t>ÄLMHULT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20425-2021</t>
        </is>
      </c>
      <c r="B2792" s="1" t="n">
        <v>44315</v>
      </c>
      <c r="C2792" s="1" t="n">
        <v>45832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20430-2021</t>
        </is>
      </c>
      <c r="B2793" s="1" t="n">
        <v>44315</v>
      </c>
      <c r="C2793" s="1" t="n">
        <v>45832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20495-2021</t>
        </is>
      </c>
      <c r="B2794" s="1" t="n">
        <v>44315</v>
      </c>
      <c r="C2794" s="1" t="n">
        <v>45832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20421-2021</t>
        </is>
      </c>
      <c r="B2795" s="1" t="n">
        <v>44315</v>
      </c>
      <c r="C2795" s="1" t="n">
        <v>45832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20538-2021</t>
        </is>
      </c>
      <c r="B2796" s="1" t="n">
        <v>44315</v>
      </c>
      <c r="C2796" s="1" t="n">
        <v>45832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20626-2021</t>
        </is>
      </c>
      <c r="B2797" s="1" t="n">
        <v>44316</v>
      </c>
      <c r="C2797" s="1" t="n">
        <v>45832</v>
      </c>
      <c r="D2797" t="inlineStr">
        <is>
          <t>KRONOBERGS LÄN</t>
        </is>
      </c>
      <c r="E2797" t="inlineStr">
        <is>
          <t>ÄLMHULT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20925-2021</t>
        </is>
      </c>
      <c r="B2798" s="1" t="n">
        <v>44316</v>
      </c>
      <c r="C2798" s="1" t="n">
        <v>45832</v>
      </c>
      <c r="D2798" t="inlineStr">
        <is>
          <t>KRONOBERGS LÄN</t>
        </is>
      </c>
      <c r="E2798" t="inlineStr">
        <is>
          <t>TINGSRYD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20809-2021</t>
        </is>
      </c>
      <c r="B2799" s="1" t="n">
        <v>44317</v>
      </c>
      <c r="C2799" s="1" t="n">
        <v>45832</v>
      </c>
      <c r="D2799" t="inlineStr">
        <is>
          <t>KRONOBERGS LÄN</t>
        </is>
      </c>
      <c r="E2799" t="inlineStr">
        <is>
          <t>VÄXJÖ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20852-2021</t>
        </is>
      </c>
      <c r="B2800" s="1" t="n">
        <v>44319</v>
      </c>
      <c r="C2800" s="1" t="n">
        <v>45832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21168-2021</t>
        </is>
      </c>
      <c r="B2801" s="1" t="n">
        <v>44320</v>
      </c>
      <c r="C2801" s="1" t="n">
        <v>45832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21323-2021</t>
        </is>
      </c>
      <c r="B2802" s="1" t="n">
        <v>44320</v>
      </c>
      <c r="C2802" s="1" t="n">
        <v>45832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21188-2021</t>
        </is>
      </c>
      <c r="B2803" s="1" t="n">
        <v>44320</v>
      </c>
      <c r="C2803" s="1" t="n">
        <v>45832</v>
      </c>
      <c r="D2803" t="inlineStr">
        <is>
          <t>KRONOBERGS LÄN</t>
        </is>
      </c>
      <c r="E2803" t="inlineStr">
        <is>
          <t>LJUNGBY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21214-2021</t>
        </is>
      </c>
      <c r="B2804" s="1" t="n">
        <v>44320</v>
      </c>
      <c r="C2804" s="1" t="n">
        <v>45832</v>
      </c>
      <c r="D2804" t="inlineStr">
        <is>
          <t>KRONOBERGS LÄN</t>
        </is>
      </c>
      <c r="E2804" t="inlineStr">
        <is>
          <t>TINGSRYD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21165-2021</t>
        </is>
      </c>
      <c r="B2805" s="1" t="n">
        <v>44320</v>
      </c>
      <c r="C2805" s="1" t="n">
        <v>45832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21167-2021</t>
        </is>
      </c>
      <c r="B2806" s="1" t="n">
        <v>44320</v>
      </c>
      <c r="C2806" s="1" t="n">
        <v>45832</v>
      </c>
      <c r="D2806" t="inlineStr">
        <is>
          <t>KRONOBERGS LÄN</t>
        </is>
      </c>
      <c r="E2806" t="inlineStr">
        <is>
          <t>UPPVIDINGE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21173-2021</t>
        </is>
      </c>
      <c r="B2807" s="1" t="n">
        <v>44320</v>
      </c>
      <c r="C2807" s="1" t="n">
        <v>45832</v>
      </c>
      <c r="D2807" t="inlineStr">
        <is>
          <t>KRONOBERGS LÄN</t>
        </is>
      </c>
      <c r="E2807" t="inlineStr">
        <is>
          <t>ALVESTA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21223-2021</t>
        </is>
      </c>
      <c r="B2808" s="1" t="n">
        <v>44320</v>
      </c>
      <c r="C2808" s="1" t="n">
        <v>45832</v>
      </c>
      <c r="D2808" t="inlineStr">
        <is>
          <t>KRONOBERGS LÄN</t>
        </is>
      </c>
      <c r="E2808" t="inlineStr">
        <is>
          <t>TINGSRYD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21239-2021</t>
        </is>
      </c>
      <c r="B2809" s="1" t="n">
        <v>44320</v>
      </c>
      <c r="C2809" s="1" t="n">
        <v>45832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21485-2021</t>
        </is>
      </c>
      <c r="B2810" s="1" t="n">
        <v>44321</v>
      </c>
      <c r="C2810" s="1" t="n">
        <v>45832</v>
      </c>
      <c r="D2810" t="inlineStr">
        <is>
          <t>KRONOBERGS LÄN</t>
        </is>
      </c>
      <c r="E2810" t="inlineStr">
        <is>
          <t>LJUNGBY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21524-2021</t>
        </is>
      </c>
      <c r="B2811" s="1" t="n">
        <v>44321</v>
      </c>
      <c r="C2811" s="1" t="n">
        <v>45832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21609-2021</t>
        </is>
      </c>
      <c r="B2812" s="1" t="n">
        <v>44321</v>
      </c>
      <c r="C2812" s="1" t="n">
        <v>45832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21597-2021</t>
        </is>
      </c>
      <c r="B2813" s="1" t="n">
        <v>44321</v>
      </c>
      <c r="C2813" s="1" t="n">
        <v>45832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22312-2021</t>
        </is>
      </c>
      <c r="B2814" s="1" t="n">
        <v>44321</v>
      </c>
      <c r="C2814" s="1" t="n">
        <v>45832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22294-2021</t>
        </is>
      </c>
      <c r="B2815" s="1" t="n">
        <v>44321</v>
      </c>
      <c r="C2815" s="1" t="n">
        <v>45832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21777-2021</t>
        </is>
      </c>
      <c r="B2816" s="1" t="n">
        <v>44322</v>
      </c>
      <c r="C2816" s="1" t="n">
        <v>45832</v>
      </c>
      <c r="D2816" t="inlineStr">
        <is>
          <t>KRONOBERGS LÄN</t>
        </is>
      </c>
      <c r="E2816" t="inlineStr">
        <is>
          <t>VÄXJÖ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21856-2021</t>
        </is>
      </c>
      <c r="B2817" s="1" t="n">
        <v>44322</v>
      </c>
      <c r="C2817" s="1" t="n">
        <v>45832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21888-2021</t>
        </is>
      </c>
      <c r="B2818" s="1" t="n">
        <v>44322</v>
      </c>
      <c r="C2818" s="1" t="n">
        <v>45832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21850-2021</t>
        </is>
      </c>
      <c r="B2819" s="1" t="n">
        <v>44322</v>
      </c>
      <c r="C2819" s="1" t="n">
        <v>45832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21892-2021</t>
        </is>
      </c>
      <c r="B2820" s="1" t="n">
        <v>44322</v>
      </c>
      <c r="C2820" s="1" t="n">
        <v>45832</v>
      </c>
      <c r="D2820" t="inlineStr">
        <is>
          <t>KRONOBERGS LÄN</t>
        </is>
      </c>
      <c r="E2820" t="inlineStr">
        <is>
          <t>LJUNGBY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21973-2021</t>
        </is>
      </c>
      <c r="B2821" s="1" t="n">
        <v>44323</v>
      </c>
      <c r="C2821" s="1" t="n">
        <v>45832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22738-2021</t>
        </is>
      </c>
      <c r="B2822" s="1" t="n">
        <v>44323</v>
      </c>
      <c r="C2822" s="1" t="n">
        <v>45832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21970-2021</t>
        </is>
      </c>
      <c r="B2823" s="1" t="n">
        <v>44323</v>
      </c>
      <c r="C2823" s="1" t="n">
        <v>45832</v>
      </c>
      <c r="D2823" t="inlineStr">
        <is>
          <t>KRONOBERGS LÄN</t>
        </is>
      </c>
      <c r="E2823" t="inlineStr">
        <is>
          <t>LJUNGBY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22010-2021</t>
        </is>
      </c>
      <c r="B2824" s="1" t="n">
        <v>44323</v>
      </c>
      <c r="C2824" s="1" t="n">
        <v>45832</v>
      </c>
      <c r="D2824" t="inlineStr">
        <is>
          <t>KRONOBERGS LÄN</t>
        </is>
      </c>
      <c r="E2824" t="inlineStr">
        <is>
          <t>VÄXJÖ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22085-2021</t>
        </is>
      </c>
      <c r="B2825" s="1" t="n">
        <v>44323</v>
      </c>
      <c r="C2825" s="1" t="n">
        <v>45832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22735-2021</t>
        </is>
      </c>
      <c r="B2826" s="1" t="n">
        <v>44323</v>
      </c>
      <c r="C2826" s="1" t="n">
        <v>45832</v>
      </c>
      <c r="D2826" t="inlineStr">
        <is>
          <t>KRONOBERGS LÄN</t>
        </is>
      </c>
      <c r="E2826" t="inlineStr">
        <is>
          <t>ALVESTA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22277-2021</t>
        </is>
      </c>
      <c r="B2827" s="1" t="n">
        <v>44326</v>
      </c>
      <c r="C2827" s="1" t="n">
        <v>45832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22218-2021</t>
        </is>
      </c>
      <c r="B2828" s="1" t="n">
        <v>44326</v>
      </c>
      <c r="C2828" s="1" t="n">
        <v>45832</v>
      </c>
      <c r="D2828" t="inlineStr">
        <is>
          <t>KRONOBERGS LÄN</t>
        </is>
      </c>
      <c r="E2828" t="inlineStr">
        <is>
          <t>ALVESTA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22229-2021</t>
        </is>
      </c>
      <c r="B2829" s="1" t="n">
        <v>44326</v>
      </c>
      <c r="C2829" s="1" t="n">
        <v>45832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22397-2021</t>
        </is>
      </c>
      <c r="B2830" s="1" t="n">
        <v>44326</v>
      </c>
      <c r="C2830" s="1" t="n">
        <v>45832</v>
      </c>
      <c r="D2830" t="inlineStr">
        <is>
          <t>KRONOBERGS LÄN</t>
        </is>
      </c>
      <c r="E2830" t="inlineStr">
        <is>
          <t>VÄXJÖ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22607-2021</t>
        </is>
      </c>
      <c r="B2831" s="1" t="n">
        <v>44326</v>
      </c>
      <c r="C2831" s="1" t="n">
        <v>45832</v>
      </c>
      <c r="D2831" t="inlineStr">
        <is>
          <t>KRONOBERGS LÄN</t>
        </is>
      </c>
      <c r="E2831" t="inlineStr">
        <is>
          <t>TINGSRYD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22616-2021</t>
        </is>
      </c>
      <c r="B2832" s="1" t="n">
        <v>44326</v>
      </c>
      <c r="C2832" s="1" t="n">
        <v>45832</v>
      </c>
      <c r="D2832" t="inlineStr">
        <is>
          <t>KRONOBERGS LÄN</t>
        </is>
      </c>
      <c r="E2832" t="inlineStr">
        <is>
          <t>TINGSRYD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22623-2021</t>
        </is>
      </c>
      <c r="B2833" s="1" t="n">
        <v>44327</v>
      </c>
      <c r="C2833" s="1" t="n">
        <v>45832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22570-2021</t>
        </is>
      </c>
      <c r="B2834" s="1" t="n">
        <v>44327</v>
      </c>
      <c r="C2834" s="1" t="n">
        <v>45832</v>
      </c>
      <c r="D2834" t="inlineStr">
        <is>
          <t>KRONOBERGS LÄN</t>
        </is>
      </c>
      <c r="E2834" t="inlineStr">
        <is>
          <t>TINGSRYD</t>
        </is>
      </c>
      <c r="F2834" t="inlineStr">
        <is>
          <t>Kommuner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22618-2021</t>
        </is>
      </c>
      <c r="B2835" s="1" t="n">
        <v>44327</v>
      </c>
      <c r="C2835" s="1" t="n">
        <v>45832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22639-2021</t>
        </is>
      </c>
      <c r="B2836" s="1" t="n">
        <v>44327</v>
      </c>
      <c r="C2836" s="1" t="n">
        <v>45832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22679-2021</t>
        </is>
      </c>
      <c r="B2837" s="1" t="n">
        <v>44327</v>
      </c>
      <c r="C2837" s="1" t="n">
        <v>45832</v>
      </c>
      <c r="D2837" t="inlineStr">
        <is>
          <t>KRONOBERGS LÄN</t>
        </is>
      </c>
      <c r="E2837" t="inlineStr">
        <is>
          <t>ÄLMHULT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22695-2021</t>
        </is>
      </c>
      <c r="B2838" s="1" t="n">
        <v>44327</v>
      </c>
      <c r="C2838" s="1" t="n">
        <v>45832</v>
      </c>
      <c r="D2838" t="inlineStr">
        <is>
          <t>KRONOBERGS LÄN</t>
        </is>
      </c>
      <c r="E2838" t="inlineStr">
        <is>
          <t>LJUNGBY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22576-2021</t>
        </is>
      </c>
      <c r="B2839" s="1" t="n">
        <v>44327</v>
      </c>
      <c r="C2839" s="1" t="n">
        <v>45832</v>
      </c>
      <c r="D2839" t="inlineStr">
        <is>
          <t>KRONOBERGS LÄN</t>
        </is>
      </c>
      <c r="E2839" t="inlineStr">
        <is>
          <t>VÄXJÖ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22614-2021</t>
        </is>
      </c>
      <c r="B2840" s="1" t="n">
        <v>44327</v>
      </c>
      <c r="C2840" s="1" t="n">
        <v>45832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22678-2021</t>
        </is>
      </c>
      <c r="B2841" s="1" t="n">
        <v>44327</v>
      </c>
      <c r="C2841" s="1" t="n">
        <v>45832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22681-2021</t>
        </is>
      </c>
      <c r="B2842" s="1" t="n">
        <v>44327</v>
      </c>
      <c r="C2842" s="1" t="n">
        <v>45832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22765-2021</t>
        </is>
      </c>
      <c r="B2843" s="1" t="n">
        <v>44327</v>
      </c>
      <c r="C2843" s="1" t="n">
        <v>45832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22857-2021</t>
        </is>
      </c>
      <c r="B2844" s="1" t="n">
        <v>44328</v>
      </c>
      <c r="C2844" s="1" t="n">
        <v>45832</v>
      </c>
      <c r="D2844" t="inlineStr">
        <is>
          <t>KRONOBERGS LÄN</t>
        </is>
      </c>
      <c r="E2844" t="inlineStr">
        <is>
          <t>ALVESTA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22830-2021</t>
        </is>
      </c>
      <c r="B2845" s="1" t="n">
        <v>44328</v>
      </c>
      <c r="C2845" s="1" t="n">
        <v>45832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22845-2021</t>
        </is>
      </c>
      <c r="B2846" s="1" t="n">
        <v>44328</v>
      </c>
      <c r="C2846" s="1" t="n">
        <v>45832</v>
      </c>
      <c r="D2846" t="inlineStr">
        <is>
          <t>KRONOBERGS LÄN</t>
        </is>
      </c>
      <c r="E2846" t="inlineStr">
        <is>
          <t>UPPVIDINGE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23075-2021</t>
        </is>
      </c>
      <c r="B2847" s="1" t="n">
        <v>44330</v>
      </c>
      <c r="C2847" s="1" t="n">
        <v>45832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23128-2021</t>
        </is>
      </c>
      <c r="B2848" s="1" t="n">
        <v>44330</v>
      </c>
      <c r="C2848" s="1" t="n">
        <v>45832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23129-2021</t>
        </is>
      </c>
      <c r="B2849" s="1" t="n">
        <v>44330</v>
      </c>
      <c r="C2849" s="1" t="n">
        <v>45832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23160-2021</t>
        </is>
      </c>
      <c r="B2850" s="1" t="n">
        <v>44332</v>
      </c>
      <c r="C2850" s="1" t="n">
        <v>45832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23381-2021</t>
        </is>
      </c>
      <c r="B2851" s="1" t="n">
        <v>44333</v>
      </c>
      <c r="C2851" s="1" t="n">
        <v>45832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23440-2021</t>
        </is>
      </c>
      <c r="B2852" s="1" t="n">
        <v>44333</v>
      </c>
      <c r="C2852" s="1" t="n">
        <v>45832</v>
      </c>
      <c r="D2852" t="inlineStr">
        <is>
          <t>KRONOBERGS LÄN</t>
        </is>
      </c>
      <c r="E2852" t="inlineStr">
        <is>
          <t>MARKARYD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23617-2021</t>
        </is>
      </c>
      <c r="B2853" s="1" t="n">
        <v>44334</v>
      </c>
      <c r="C2853" s="1" t="n">
        <v>45832</v>
      </c>
      <c r="D2853" t="inlineStr">
        <is>
          <t>KRONOBERGS LÄN</t>
        </is>
      </c>
      <c r="E2853" t="inlineStr">
        <is>
          <t>TINGSRYD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23678-2021</t>
        </is>
      </c>
      <c r="B2854" s="1" t="n">
        <v>44334</v>
      </c>
      <c r="C2854" s="1" t="n">
        <v>45832</v>
      </c>
      <c r="D2854" t="inlineStr">
        <is>
          <t>KRONOBERGS LÄN</t>
        </is>
      </c>
      <c r="E2854" t="inlineStr">
        <is>
          <t>TINGSRYD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23541-2021</t>
        </is>
      </c>
      <c r="B2855" s="1" t="n">
        <v>44334</v>
      </c>
      <c r="C2855" s="1" t="n">
        <v>45832</v>
      </c>
      <c r="D2855" t="inlineStr">
        <is>
          <t>KRONOBERGS LÄN</t>
        </is>
      </c>
      <c r="E2855" t="inlineStr">
        <is>
          <t>VÄXJÖ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23535-2021</t>
        </is>
      </c>
      <c r="B2856" s="1" t="n">
        <v>44334</v>
      </c>
      <c r="C2856" s="1" t="n">
        <v>45832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23610-2021</t>
        </is>
      </c>
      <c r="B2857" s="1" t="n">
        <v>44334</v>
      </c>
      <c r="C2857" s="1" t="n">
        <v>45832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Kyrkan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23634-2021</t>
        </is>
      </c>
      <c r="B2858" s="1" t="n">
        <v>44334</v>
      </c>
      <c r="C2858" s="1" t="n">
        <v>45832</v>
      </c>
      <c r="D2858" t="inlineStr">
        <is>
          <t>KRONOBERGS LÄN</t>
        </is>
      </c>
      <c r="E2858" t="inlineStr">
        <is>
          <t>VÄXJÖ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23844-2021</t>
        </is>
      </c>
      <c r="B2859" s="1" t="n">
        <v>44335</v>
      </c>
      <c r="C2859" s="1" t="n">
        <v>45832</v>
      </c>
      <c r="D2859" t="inlineStr">
        <is>
          <t>KRONOBERGS LÄN</t>
        </is>
      </c>
      <c r="E2859" t="inlineStr">
        <is>
          <t>ÄLMHULT</t>
        </is>
      </c>
      <c r="F2859" t="inlineStr">
        <is>
          <t>Kommuner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23852-2021</t>
        </is>
      </c>
      <c r="B2860" s="1" t="n">
        <v>44335</v>
      </c>
      <c r="C2860" s="1" t="n">
        <v>45832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24058-2021</t>
        </is>
      </c>
      <c r="B2861" s="1" t="n">
        <v>44336</v>
      </c>
      <c r="C2861" s="1" t="n">
        <v>45832</v>
      </c>
      <c r="D2861" t="inlineStr">
        <is>
          <t>KRONOBERGS LÄN</t>
        </is>
      </c>
      <c r="E2861" t="inlineStr">
        <is>
          <t>UPPVIDINGE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45832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45832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45832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45832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45832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45832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45832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45832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45832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45832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45832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45832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45832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45832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45832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45832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45832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45832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45832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45832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45832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45832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45832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45832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45832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45832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45832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45832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45832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45832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45832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45832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45832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45832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45832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45832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45832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45832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45832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45832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45832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45832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45832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45832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45832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45832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45832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45832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45832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45832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45832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45832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45832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45832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45832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45832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45832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45832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45832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45832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45832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45832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45832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45832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45832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45832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45832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45832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45832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45832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45832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45832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45832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45832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45832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45832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45832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45832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45832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45832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45832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45832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45832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45832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45832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45832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45832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45832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45832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45832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45832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45832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45832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45832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45832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45832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45832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45832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45832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45832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45832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45832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45832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45832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45832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45832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45832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45832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45832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45832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45832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45832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45832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45832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45832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45832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45832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45832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45832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45832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45832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45832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45832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45832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45832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45832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45832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45832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45832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45832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45832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45832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45832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45832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45832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45832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45832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45832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45832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45832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45832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45832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45832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45832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45832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45832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45832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45832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45832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45832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45832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45832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45832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45832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45832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45832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45832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45832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45832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45832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45832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45832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45832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45832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45832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45832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45832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45832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45832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45832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45832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45832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45832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45832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45832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45832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45832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45832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45832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45832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45832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45832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45832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45832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45832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45832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45832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45832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45832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45832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45832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45832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45832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45832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45832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45832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45832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45832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45832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45832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45832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45832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45832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45832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45832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45832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45832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45832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45832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45832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45832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45832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45832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45832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45832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45832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45832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45832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45832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45832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45832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45832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45832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45832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45832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45832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45832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45832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45832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45832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45832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45832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45832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45832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45832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45832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45832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45832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45832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45832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45832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45832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45832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45832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45832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45832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45832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45832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45832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45832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45832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45832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45832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45832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45832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45832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45832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45832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45832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45832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45832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45832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45832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45832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45832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45832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45832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45832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45832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45832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45832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45832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45832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45832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45832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45832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45832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45832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45832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45832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45832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45832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45832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45832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45832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45832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45832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45832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45832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45832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45832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45832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45832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45832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45832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45832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45832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45832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45832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45832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45832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45832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45832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45832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45832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45832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45832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45832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45832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45832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45832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45832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45832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45832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45832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45832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45832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45832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45832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45832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45832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45832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45832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45832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45832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45832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45832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45832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45832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45832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45832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45832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45832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45832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45832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45832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45832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45832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45832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45832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45832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45832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45832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45832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45832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45832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45832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45832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45832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45832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45832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45832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45832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45832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45832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45832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45832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45832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45832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45832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45832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45832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45832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45832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45832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45832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45832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45832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45832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45832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45832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45832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45832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45832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45832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45832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45832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45832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45832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45832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45832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45832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45832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45832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45832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45832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45832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45832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45832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45832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45832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45832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45832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45832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45832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45832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45832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45832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45832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45832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45832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45832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45832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45832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45832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45832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45832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45832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45832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45832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45832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45832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45832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45832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45832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45832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45832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45832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45832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45832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45832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45832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45832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45832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45832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45832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45832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45832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45832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45832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45832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45832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45832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45832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45832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45832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45832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45832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45832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45832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45832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45832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45832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45832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45832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45832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45832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45832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45832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45832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45832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45832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45832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45832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45832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45832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45832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45832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45832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45832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45832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45832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45832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45832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45832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45832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45832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45832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45832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45832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45832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45832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45832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45832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45832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45832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45832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45832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45832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45832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45832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45832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45832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45832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45832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45832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45832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45832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45832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45832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45832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45832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45832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45832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45832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45832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45832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45832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45832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45832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45832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45832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45832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45832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45832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45832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45832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45832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45832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45832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45832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45832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45832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45832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45832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45832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45832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45832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45832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45832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45832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45832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45832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45832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45832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45832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45832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45832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45832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45832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45832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45832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45832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45832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45832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45832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45832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45832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45832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45832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45832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45832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45832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45832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45832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45832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45832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45832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45832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45832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45832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45832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45832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45832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45832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45832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45832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45832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45832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45832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45832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45832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45832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45832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45832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45832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45832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45832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45832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45832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45832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45832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45832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45832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45832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45832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45832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45832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45832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45832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45832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45832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45832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45832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45832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45832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45832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45832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45832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45832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45832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45832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45832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45832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45832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45832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45832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45832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45832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45832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45832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45832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45832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45832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45832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45832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45832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45832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45832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45832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45832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45832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45832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45832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45832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45832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45832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45832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45832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45832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45832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45832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45832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45832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45832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45832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45832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45832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45832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45832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45832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45832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45832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45832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45832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45832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45832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45832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45832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45832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45832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45832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45832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45832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45832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45832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45832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45832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45832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45832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45832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45832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45832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45832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45832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45832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45832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45832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45832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45832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45832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45832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45832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45832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45832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45832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45832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45832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45832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45832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45832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45832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45832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45832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45832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45832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45832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45832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45832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45832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45832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45832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45832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45832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45832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45832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45832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45832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45832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45832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45832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45832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45832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45832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45832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45832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45832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45832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45832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45832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45832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45832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45832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45832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45832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45832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45832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45832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45832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45832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45832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45832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45832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45832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45832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45832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45832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45832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45832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45832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45832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45832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45832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45832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45832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45832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45832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45832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45832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45832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45832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45832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45832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45832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45832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45832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45832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45832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45832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45832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45832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45832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45832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45832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45832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45832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45832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45832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45832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45832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45832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45832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45832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45832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45832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45832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45832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45832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45832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45832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45832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45832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45832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45832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45832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45832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45832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45832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45832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45832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45832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45832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45832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45832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45832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45832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45832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45832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45832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45832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45832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45832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45832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45832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45832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45832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45832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45832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45832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45832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45832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45832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45832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45832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45832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45832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45832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45832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45832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45832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45832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45832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45832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45832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45832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45832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45832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45832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45832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45832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45832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45832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45832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45832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45832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45832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45832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45832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45832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45832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45832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45832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45832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45832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45832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45832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45832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45832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45832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45832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45832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45832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45832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45832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45832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45832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45832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45832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45832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45832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45832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45832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45832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45832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45832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45832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45832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45832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45832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45832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45832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45832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45832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45832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45832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45832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45832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45832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45832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45832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45832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45832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45832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45832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45832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45832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45832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45832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45832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45832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45832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45832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45832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45832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45832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45832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45832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45832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45832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45832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45832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45832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45832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45832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45832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45832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45832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45832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45832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45832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45832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45832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45832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45832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45832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45832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45832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45832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45832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45832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45832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45832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45832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45832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45832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45832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45832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45832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45832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45832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45832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45832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45832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45832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45832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45832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45832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45832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45832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45832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45832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45832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45832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45832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45832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45832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45832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45832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45832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45832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45832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45832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45832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45832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45832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45832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45832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45832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45832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45832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45832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45832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45832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45832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45832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45832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45832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45832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45832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45832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45832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45832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45832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45832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45832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45832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45832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45832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45832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45832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45832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45832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45832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45832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45832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45832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45832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45832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45832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45832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45832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45832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45832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45832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45832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45832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45832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45832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45832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45832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45832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45832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45832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45832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45832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45832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45832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45832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45832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45832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45832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45832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45832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45832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45832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45832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45832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45832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45832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45832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45832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45832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45832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45832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45832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45832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45832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45832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45832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45832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45832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45832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45832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45832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45832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45832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45832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45832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45832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45832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45832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45832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45832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45832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45832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45832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45832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45832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45832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45832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45832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45832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45832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45832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45832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45832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45832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45832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45832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45832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45832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45832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45832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45832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45832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45832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45832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45832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45832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45832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45832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45832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45832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45832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45832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45832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45832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45832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45832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45832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45832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45832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45832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45832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45832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45832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45832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45832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45832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45832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45832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45832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45832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45832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45832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45832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45832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45832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45832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45832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45832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45832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45832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45832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45832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45832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45832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45832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45832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45832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45832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45832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45832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45832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45832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45832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45832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45832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45832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45832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45832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45832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45832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45832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45832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45832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45832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45832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45832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45832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45832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45832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45832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45832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45832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45832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45832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45832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45832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45832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45832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45832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45832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45832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45832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45832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45832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45832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45832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45832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45832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45832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45832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45832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45832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45832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45832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45832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45832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45832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45832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45832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45832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45832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45832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45832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45832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45832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45832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45832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45832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45832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45832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45832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45832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45832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45832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45832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45832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45832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45832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45832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45832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45832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45832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45832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45832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45832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45832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45832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45832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45832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45832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45832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45832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45832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45832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45832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45832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45832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45832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45832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45832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45832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45832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45832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45832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45832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45832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45832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45832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45832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45832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45832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45832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45832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45832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45832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45832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45832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45832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45832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45832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45832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45832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45832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45832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45832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45832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45832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45832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45832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45832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45832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45832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45832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45832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45832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45832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45832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45832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45832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45832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45832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45832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45832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45832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45832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45832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45832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45832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45832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45832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45832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45832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45832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45832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45832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45832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45832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45832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45832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45832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45832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45832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45832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45832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45832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45832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45832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45832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45832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45832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45832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45832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45832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45832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45832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45832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45832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45832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45832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45832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45832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45832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45832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45832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45832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45832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45832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45832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45832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45832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45832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45832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45832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45832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45832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45832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45832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45832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45832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45832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45832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45832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45832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45832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45832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45832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45832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45832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45832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45832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45832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45832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45832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45832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45832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45832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45832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45832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45832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45832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45832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45832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45832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45832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45832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45832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45832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45832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45832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45832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45832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45832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45832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45832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45832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45832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45832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45832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45832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45832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45832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45832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45832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45832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45832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45832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45832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45832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45832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45832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45832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45832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45832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45832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45832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45832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45832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45832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45832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45832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45832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45832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45832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45832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45832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45832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45832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45832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45832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45832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45832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45832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45832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45832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45832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45832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45832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45832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45832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45832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45832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45832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45832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45832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45832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45832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45832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45832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45832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45832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45832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45832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45832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45832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45832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45832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45832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45832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45832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45832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45832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45832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45832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45832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45832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45832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45832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45832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45832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45832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45832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45832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45832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45832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45832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45832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45832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45832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45832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45832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45832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45832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45832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45832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45832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45832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45832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45832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45832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45832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45832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45832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45832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45832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45832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45832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45832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45832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45832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45832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45832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45832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45832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45832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45832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45832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45832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45832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45832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45832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45832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45832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45832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45832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45832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45832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45832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45832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45832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45832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45832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45832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45832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45832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45832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45832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45832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45832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45832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45832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45832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45832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45832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45832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45832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45832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45832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45832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45832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45832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45832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45832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45832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45832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45832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45832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45832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45832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45832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45832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45832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45832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45832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45832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45832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45832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45832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45832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45832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45832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45832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45832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45832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45832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45832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45832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45832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45832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45832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45832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45832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45832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45832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45832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45832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45832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45832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45832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45832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45832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45832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45832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45832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45832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45832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45832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45832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45832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45832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45832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45832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45832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45832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45832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45832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45832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45832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45832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45832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45832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45832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45832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45832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45832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45832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45832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45832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45832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45832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45832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45832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45832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45832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45832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45832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45832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45832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45832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45832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45832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45832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45832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45832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45832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45832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45832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45832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45832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45832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45832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45832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45832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45832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45832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45832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45832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45832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45832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45832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45832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45832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45832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45832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45832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45832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45832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45832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45832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45832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45832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45832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45832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45832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45832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45832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45832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45832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45832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45832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45832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45832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45832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45832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45832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45832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45832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45832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45832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45832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45832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45832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45832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45832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45832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45832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45832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45832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45832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45832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45832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45832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45832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45832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45832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45832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45832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45832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45832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45832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45832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45832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45832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45832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45832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45832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45832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45832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45832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45832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45832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45832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45832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45832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45832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45832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45832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45832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45832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45832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45832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45832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45832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45832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45832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45832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45832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45832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45832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45832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45832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45832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45832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45832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45832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45832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45832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45832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45832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45832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45832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45832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45832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45832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45832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45832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45832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45832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45832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45832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45832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45832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45832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45832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45832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45832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45832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45832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45832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45832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45832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45832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45832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45832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45832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45832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45832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45832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45832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45832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45832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45832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45832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45832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45832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45832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45832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45832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45832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45832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45832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45832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45832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45832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45832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45832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45832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45832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45832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45832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45832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45832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45832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45832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45832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45832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45832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45832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45832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45832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45832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45832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45832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45832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45832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45832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45832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45832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45832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45832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45832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45832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45832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45832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45832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45832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45832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45832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45832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45832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45832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45832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45832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45832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45832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45832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45832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45832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45832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45832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45832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45832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45832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45832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45832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45832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45832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45832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45832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45832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45832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45832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45832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45832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45832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45832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45832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45832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45832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45832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45832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45832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45832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45832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45832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45832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45832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45832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45832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45832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45832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45832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45832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45832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45832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45832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45832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45832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45832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45832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45832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45832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45832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45832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45832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45832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45832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45832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45832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45832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45832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45832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45832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45832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45832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45832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45832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45832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45832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45832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45832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45832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45832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45832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45832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45832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45832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45832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45832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45832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45832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45832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45832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45832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45832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45832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45832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45832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45832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45832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45832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45832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45832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45832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45832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45832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45832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45832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45832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45832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45832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45832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45832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45832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45832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45832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45832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45832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45832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45832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45832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45832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45832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45832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45832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45832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45832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45832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45832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45832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45832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45832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45832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45832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45832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45832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45832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45832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45832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45832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45832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45832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45832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45832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45832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45832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45832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45832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45832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45832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45832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45832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45832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45832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45832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45832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45832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45832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45832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45832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45832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45832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45832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45832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45832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45832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45832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45832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45832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45832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45832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45832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45832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45832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45832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45832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45832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45832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45832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45832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45832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45832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45832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45832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45832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45832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45832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45832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45832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45832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45832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45832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45832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45832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45832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45832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45832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45832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45832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45832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45832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45832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45832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45832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45832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45832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45832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45832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45832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45832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45832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45832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45832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45832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45832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45832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45832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45832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45832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45832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45832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45832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45832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45832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45832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45832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45832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45832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45832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45832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45832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45832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45832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45832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45832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45832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45832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45832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45832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45832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45832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45832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45832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45832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45832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45832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45832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45832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45832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45832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45832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45832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45832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45832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45832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45832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45832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45832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45832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45832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45832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45832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45832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45832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45832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45832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45832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45832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45832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45832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45832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45832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45832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45832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45832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45832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45832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45832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45832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45832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45832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45832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45832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45832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45832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45832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45832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45832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45832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45832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45832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45832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45832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45832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45832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45832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45832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45832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45832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45832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45832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45832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45832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45832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45832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45832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45832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45832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45832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45832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45832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45832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45832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45832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45832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45832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45832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45832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45832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45832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45832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45832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45832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45832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45832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45832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45832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45832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45832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45832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45832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45832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45832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45832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45832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45832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45832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45832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45832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45832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45832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45832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45832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45832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45832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45832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45832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45832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45832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45832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45832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45832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45832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45832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45832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45832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45832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45832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45832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45832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45832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45832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45832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45832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45832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45832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45832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45832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45832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45832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45832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45832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45832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45832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45832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45832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45832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45832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45832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45832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45832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45832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45832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45832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45832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45832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45832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45832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45832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45832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45832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45832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45832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45832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45832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45832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45832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45832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45832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45832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45832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45832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45832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45832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45832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45832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45832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45832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45832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45832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45832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45832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45832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45832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45832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45832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45832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45832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45832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45832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45832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45832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45832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45832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45832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45832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45832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45832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45832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45832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45832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45832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45832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45832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45832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45832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45832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45832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45832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45832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45832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45832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45832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45832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45832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45832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45832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45832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45832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45832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45832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45832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45832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45832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45832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45832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45832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45832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45832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45832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45832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45832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45832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45832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45832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45832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45832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45832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45832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45832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45832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45832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45832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45832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45832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45832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45832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45832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45832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45832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45832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45832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45832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45832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45832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45832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45832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45832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45832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45832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45832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45832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45832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45832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45832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45832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45832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45832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45832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45832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45832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45832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45832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45832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45832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45832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45832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45832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45832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45832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45832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45832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45832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45832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45832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45832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45832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45832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45832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45832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45832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45832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45832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45832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45832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45832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45832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45832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45832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45832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45832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45832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45832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45832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45832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45832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45832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45832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45832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45832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45832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45832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45832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45832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45832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45832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45832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45832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45832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45832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45832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45832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45832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45832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45832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45832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45832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45832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45832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45832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45832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45832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45832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45832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45832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45832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45832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45832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45832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45832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45832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45832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45832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45832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45832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45832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45832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45832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45832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45832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45832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45832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45832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45832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45832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45832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45832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45832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45832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45832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45832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45832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45832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45832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45832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45832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45832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45832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45832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45832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45832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45832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45832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45832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45832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45832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45832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45832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45832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45832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45832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45832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45832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45832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45832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45832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45832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45832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45832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45832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45832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45832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45832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45832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45832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45832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45832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45832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45832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45832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45832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45832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45832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45832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45832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45832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45832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45832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45832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45832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45832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45832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45832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45832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45832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45832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45832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45832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45832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45832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45832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45832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45832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45832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45832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45832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45832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45832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45832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45832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45832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45832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45832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45832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45832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45832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45832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45832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45832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45832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45832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45832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45832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45832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45832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45832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45832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45832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45832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45832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45832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45832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45832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45832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45832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45832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45832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45832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45832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45832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45832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45832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45832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45832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45832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45832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45832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45832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45832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45832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45832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45832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45832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45832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45832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45832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45832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45832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45832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45832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45832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45832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45832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45832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45832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45832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45832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45832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45832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45832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45832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45832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45832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45832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45832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45832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45832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45832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45832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45832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45832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45832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45832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45832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45832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45832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45832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45832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45832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45832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45832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45832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45832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45832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45832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45832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45832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45832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45832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45832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45832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45832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45832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45832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45832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45832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45832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45832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45832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45832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45832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45832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45832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45832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45832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45832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45832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45832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45832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45832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45832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45832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45832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45832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45832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45832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45832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45832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45832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45832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45832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45832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45832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45832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45832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45832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45832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45832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45832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45832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45832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45832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45832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45832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45832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45832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45832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45832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45832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45832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45832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45832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45832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45832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45832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45832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45832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45832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45832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45832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45832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45832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45832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45832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45832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45832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45832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45832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45832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45832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45832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45832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45832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45832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45832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45832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45832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45832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45832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45832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45832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45832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45832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45832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45832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45832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45832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45832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45832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45832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45832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45832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45832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45832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45832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45832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45832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45832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45832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45832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45832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45832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45832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45832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45832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45832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45832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45832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45832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45832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45832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45832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45832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45832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45832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45832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45832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45832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45832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45832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45832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45832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45832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45832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45832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45832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45832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45832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45832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45832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45832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45832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45832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45832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45832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45832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45832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45832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45832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45832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45832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45832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45832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45832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45832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45832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45832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45832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45832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45832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45832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45832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45832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45832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45832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45832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45832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45832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45832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45832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45832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45832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45832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45832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45832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45832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45832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45832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45832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45832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45832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45832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45832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45832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45832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45832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45832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45832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45832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45832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45832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45832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45832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45832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45832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45832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45832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45832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45832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45832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45832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45832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45832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45832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45832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45832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45832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45832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45832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45832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45832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45832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45832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45832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45832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45832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45832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45832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45832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45832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45832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45832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45832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45832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45832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45832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45832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45832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45832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45832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45832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45832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45832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45832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45832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45832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45832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45832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45832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45832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45832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45832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45832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45832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45832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45832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45832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45832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45832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45832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45832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45832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45832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45832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45832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45832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45832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45832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45832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45832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45832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45832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45832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45832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45832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45832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45832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45832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45832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45832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45832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45832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45832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45832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45832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45832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45832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45832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45832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45832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45832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45832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45832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45832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45832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45832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45832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45832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45832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45832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45832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45832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45832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45832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45832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45832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45832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45832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45832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45832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45832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45832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45832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45832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45832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45832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45832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45832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45832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45832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45832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45832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45832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45832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45832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45832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45832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45832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45832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45832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45832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45832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45832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45832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45832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45832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45832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45832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45832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45832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45832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45832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45832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45832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45832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45832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45832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45832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45832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45832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45832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45832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45832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45832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45832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45832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45832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45832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45832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45832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45832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45832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45832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45832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45832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45832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45832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45832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45832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45832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45832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45832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45832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45832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45832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45832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45832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45832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45832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45832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45832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45832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45832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45832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45832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45832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45832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45832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45832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45832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45832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45832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45832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45832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45832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45832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45832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45832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45832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45832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45832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45832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45832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45832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45832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45832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45832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45832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45832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45832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45832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45832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45832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45832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45832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45832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45832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45832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45832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45832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45832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45832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45832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45832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45832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45832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45832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45832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45832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45832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45832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45832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45832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45832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45832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45832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45832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45832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45832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45832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45832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45832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45832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45832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45832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45832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45832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45832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45832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45832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45832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45832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45832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45832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45832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45832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45832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45832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45832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45832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45832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45832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45832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45832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45832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45832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45832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45832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45832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45832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45832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45832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45832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45832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45832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45832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45832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45832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45832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45832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45832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45832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45832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45832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45832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45832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45832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45832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45832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45832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45832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45832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45832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45832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45832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45832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45832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45832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45832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45832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45832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45832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45832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45832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45832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45832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45832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45832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45832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45832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45832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45832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45832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45832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45832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45832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45832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45832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45832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45832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45832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45832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45832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45832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45832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45832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45832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45832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45832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45832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45832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45832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45832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45832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45832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45832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45832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45832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45832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45832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45832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45832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45832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45832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45832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45832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45832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45832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45832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45832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45832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45832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45832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45832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45832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45832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45832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45832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45832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45832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45832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45832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45832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45832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45832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45832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45832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45832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45832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45832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45832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45832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45832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45832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45832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45832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45832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45832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45832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45832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45832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45832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45832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45832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45832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45832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45832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45832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45832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45832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45832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45832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45832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45832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45832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45832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45832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45832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45832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45832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45832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45832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45832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45832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45832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45832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45832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45832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45832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45832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45832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45832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45832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45832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45832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45832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45832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45832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45832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45832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45832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45832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45832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45832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45832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45832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45832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45832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45832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45832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45832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45832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45832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45832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45832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45832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45832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45832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45832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45832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45832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45832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45832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45832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45832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45832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45832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45832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45832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45832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45832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45832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45832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45832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45832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45832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45832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45832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45832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45832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45832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45832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45832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45832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45832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45832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45832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45832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45832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45832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45832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45832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45832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45832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45832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45832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45832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45832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45832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45832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45832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45832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45832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45832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45832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45832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45832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45832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45832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45832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45832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45832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45832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45832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45832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45832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45832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45832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45832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45832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45832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45832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45832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45832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45832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45832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45832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45832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45832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45832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45832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45832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45832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45832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45832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45832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45832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45832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45832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45832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45832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45832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45832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45832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45832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45832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45832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45832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45832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45832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45832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45832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45832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45832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45832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45832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45832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45832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45832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45832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45832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45832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45832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45832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45832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45832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45832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45832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45832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45832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45832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45832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45832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45832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45832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45832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45832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45832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45832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45832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45832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45832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45832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45832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45832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45832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45832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45832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45832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45832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45832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45832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45832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45832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45832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45832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45832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45832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45832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45832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45832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45832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45832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45832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45832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45832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45832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45832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45832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45832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45832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45832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45832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45832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45832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45832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45832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45832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45832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45832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45832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45832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45832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45832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45832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45832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45832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45832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45832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45832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45832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45832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45832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45832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45832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45832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45832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45832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45832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45832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45832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45832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45832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45832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45832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45832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45832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45832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45832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45832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45832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45832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45832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45832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45832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45832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45832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45832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45832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45832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45832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45832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45832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45832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45832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45832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45832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45832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45832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45832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45832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45832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45832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45832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45832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45832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45832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45832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45832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45832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45832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45832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45832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45832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45832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45832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45832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45832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45832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45832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45832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45832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45832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45832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45832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45832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45832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45832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45832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45832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45832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45832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45832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45832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45832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45832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45832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45832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45832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45832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45832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45832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45832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45832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45832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45832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45832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45832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45832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45832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45832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45832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45832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45832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45832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45832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45832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45832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45832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45832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45832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45832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45832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45832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45832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45832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45832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45832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45832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45832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45832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45832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45832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45832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45832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45832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45832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45832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45832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45832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45832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45832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45832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45832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45832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45832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45832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45832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45832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45832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45832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45832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45832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45832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45832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45832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45832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45832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45832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45832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45832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45832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45832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45832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45832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45832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45832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45832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45832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45832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45832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45832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45832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45832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45832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45832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45832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45832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45832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45832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45832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45832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45832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45832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45832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45832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45832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45832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45832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45832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45832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45832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45832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45832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45832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45832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45832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45832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45832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45832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45832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45832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45832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45832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45832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45832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45832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45832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45832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45832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45832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45832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45832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45832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45832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45832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45832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45832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45832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45832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45832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45832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45832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45832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45832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45832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45832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45832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45832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45832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45832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45832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45832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45832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45832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45832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45832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45832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45832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45832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45832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45832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45832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45832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45832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45832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45832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45832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45832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45832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45832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45832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45832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45832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45832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45832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45832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45832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45832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45832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45832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45832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45832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45832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45832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45832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45832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45832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45832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45832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45832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45832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45832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45832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45832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45832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45832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45832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45832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45832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45832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45832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45832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45832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45832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45832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45832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45832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45832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45832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45832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45832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45832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45832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45832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45832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45832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45832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45832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45832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45832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45832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45832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45832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45832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45832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45832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45832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45832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45832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45832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45832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45832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45832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45832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45832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45832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45832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45832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45832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45832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45832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45832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45832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45832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45832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45832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45832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45832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45832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45832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45832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45832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45832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45832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45832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45832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45832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45832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45832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45832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45832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45832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45832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45832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45832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45832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45832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45832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45832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45832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45832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45832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45832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45832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45832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45832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45832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45832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45832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45832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45832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45832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45832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45832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45832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45832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45832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45832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45832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45832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45832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45832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45832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45832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45832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45832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45832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45832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45832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45832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45832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45832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45832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45832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45832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45832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45832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45832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45832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45832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45832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45832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45832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45832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45832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45832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45832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45832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45832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45832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45832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45832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45832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45832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45832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45832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45832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45832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45832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45832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45832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45832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45832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45832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45832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45832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45832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45832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45832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45832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45832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45832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45832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45832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45832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45832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45832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45832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45832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45832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45832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45832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45832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45832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45832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45832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45832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45832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45832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45832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45832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45832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45832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45832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45832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45832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45832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45832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45832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45832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45832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45832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45832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45832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45832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45832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45832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45832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45832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45832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45832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45832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45832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45832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45832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45832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45832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45832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45832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45832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45832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45832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45832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45832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45832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45832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45832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45832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45832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45832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45832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45832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45832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45832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45832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45832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45832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45832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45832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45832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45832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45832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45832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45832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45832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45832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45832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45832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45832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45832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45832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45832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45832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45832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45832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45832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45832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45832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45832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45832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45832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45832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45832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45832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45832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45832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45832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45832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45832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45832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45832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45832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45832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45832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45832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45832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45832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45832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45832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45832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45832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45832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45832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45832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45832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45832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45832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45832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45832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45832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45832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45832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45832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45832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45832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45832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45832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45832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45832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45832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45832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45832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45832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45832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45832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45832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45832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45832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45832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45832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45832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45832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45832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45832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45832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45832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45832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45832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45832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45832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45832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45832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45832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45832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45832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45832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45832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45832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45832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45832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45832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45832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45832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45832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45832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45832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45832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45832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45832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45832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45832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45832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45832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45832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45832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45832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45832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45832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45832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45832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45832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45832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45832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45832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45832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45832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45832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45832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45832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45832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45832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45832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45832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45832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45832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45832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45832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45832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45832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45832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45832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45832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45832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45832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45832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45832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45832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45832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45832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45832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45832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45832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45832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45832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45832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45832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45832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45832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45832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45832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45832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45832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45832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45832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45832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45832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45832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45832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45832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45832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45832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45832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45832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45832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45832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45832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45832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45832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45832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45832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45832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45832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45832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45832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45832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45832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45832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45832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45832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45832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45832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45832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45832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45832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45832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45832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45832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45832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45832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45832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45832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45832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45832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45832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45832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45832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45832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45832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45832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45832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45832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45832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45832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45832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45832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45832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45832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45832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45832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45832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45832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45832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45832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45832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45832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45832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45832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45832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45832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45832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45832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45832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45832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45832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45832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45832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45832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45832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45832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45832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45832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45832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45832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45832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45832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45832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45832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45832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45832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45832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45832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45832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45832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45832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45832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45832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45832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45832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45832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45832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45832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45832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45832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45832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45832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45832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45832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45832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45832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45832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45832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45832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45832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45832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45832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45832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45832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45832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45832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45832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45832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45832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45832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45832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45832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45832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45832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45832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45832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45832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45832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45832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45832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45832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45832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45832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45832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45832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45832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45832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45832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45832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45832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45832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45832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45832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45832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45832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45832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45832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45832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45832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45832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45832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45832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45832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45832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45832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45832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45832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45832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45832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45832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45832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45832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45832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45832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45832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45832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45832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45832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45832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45832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45832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45832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45832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45832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45832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45832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45832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45832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45832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45832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45832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45832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45832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45832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45832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45832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45832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45832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45832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45832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45832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45832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45832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45832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45832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45832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45832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45832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45832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45832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45832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45832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45832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45832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45832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45832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45832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45832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45832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45832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45832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45832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45832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45832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45832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45832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45832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45832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45832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45832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45832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45832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45832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45832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45832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45832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45832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45832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45832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45832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45832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45832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45832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45832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45832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45832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45832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45832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45832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45832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45832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45832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45832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45832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45832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45832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45832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45832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45832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45832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45832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45832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45832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45832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45832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45832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45832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45832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45832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45832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45832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45832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45832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45832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45832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45832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45832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45832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45832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45832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45832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45832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45832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45832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45832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45832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45832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45832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45832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45832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45832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45832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45832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45832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45832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45832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45832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45832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45832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45832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45832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45832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45832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45832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45832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45832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45832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45832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45832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45832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45832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45832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45832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45832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45832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45832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45832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45832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45832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45832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45832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45832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45832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45832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45832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45832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45832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45832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45832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45832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45832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45832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45832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45832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45832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45832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45832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45832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45832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45832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45832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45832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45832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45832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45832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45832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45832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45832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45832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45832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45832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45832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45832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45832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45832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45832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45832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45832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45832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45832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45832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45832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45832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45832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45832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45832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45832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45832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45832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45832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45832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45832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45832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45832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45832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45832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45832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45832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45832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45832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45832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45832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45832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45832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45832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45832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45832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45832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45832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45832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45832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45832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45832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45832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45832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45832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45832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45832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45832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45832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45832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45832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45832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45832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45832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45832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45832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45832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45832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45832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45832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45832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45832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45832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45832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45832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45832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45832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45832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45832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45832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45832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45832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45832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45832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45832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45832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45832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45832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45832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45832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45832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45832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45832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45832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45832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45832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45832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45832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45832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45832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45832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45832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45832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45832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45832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45832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45832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45832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45832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45832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45832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45832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45832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45832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45832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45832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45832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45832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45832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45832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45832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45832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45832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45832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45832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45832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45832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45832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45832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45832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45832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45832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45832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45832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45832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45832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45832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45832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45832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45832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45832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45832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45832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45832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45832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45832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45832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45832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45832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45832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45832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45832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45832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45832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45832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45832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45832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45832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45832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45832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45832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45832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45832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45832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45832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45832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45832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45832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45832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45832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45832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45832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45832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45832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45832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45832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45832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45832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45832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45832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45832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45832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45832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45832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45832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45832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45832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45832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45832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45832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45832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45832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45832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45832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45832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45832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45832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45832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45832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45832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45832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45832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45832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45832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45832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45832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45832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45832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45832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45832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45832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45832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45832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45832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45832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45832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45832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45832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45832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45832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45832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45832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45832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45832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45832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45832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45832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45832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45832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45832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45832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45832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45832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45832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45832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45832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45832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45832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45832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45832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45832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45832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45832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45832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45832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45832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45832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45832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45832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45832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45832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45832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45832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45832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45832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45832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45832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45832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45832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45832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45832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45832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45832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45832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45832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45832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45832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45832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45832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45832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45832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45832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45832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45832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45832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45832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45832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45832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45832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45832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45832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45832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45832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45832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45832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45832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45832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45832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45832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45832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45832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45832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45832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45832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45832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45832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45832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45832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45832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45832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45832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45832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45832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45832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45832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45832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45832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45832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45832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45832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45832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45832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45832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45832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45832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45832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45832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45832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45832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45832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45832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45832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45832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45832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45832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45832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45832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45832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45832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45832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45832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45832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45832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45832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45832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45832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45832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45832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45832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45832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45832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45832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45832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45832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45832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45832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45832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45832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45832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45832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45832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45832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45832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45832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45832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45832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45832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45832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45832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45832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45832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45832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45832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45832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45832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45832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45832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45832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45832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45832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45832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45832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45832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45832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45832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45832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45832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45832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45832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45832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45832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45832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45832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45832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45832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45832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45832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45832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45832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45832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45832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45832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45832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45832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45832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45832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45832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45832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45832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45832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45832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45832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45832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45832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45832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45832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45832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45832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45832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45832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45832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45832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45832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45832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45832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45832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45832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45832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45832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45832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45832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45832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45832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45832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45832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45832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45832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45832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45832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45832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45832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45832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45832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45832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45832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45832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45832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45832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45832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45832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45832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45832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45832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45832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45832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45832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45832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45832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45832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45832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45832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45832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45832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45832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45832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45832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45832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45832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45832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45832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45832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45832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45832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45832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45832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45832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45832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45832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45832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45832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45832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45832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45832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45832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45832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45832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45832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45832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45832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45832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45832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45832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45832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45832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45832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45832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45832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45832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45832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45832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45832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45832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45832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45832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45832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45832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45832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45832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45832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45832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45832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45832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45832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45832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45832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45832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45832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45832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45832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45832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45832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45832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45832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45832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45832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45832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45832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45832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45832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45832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45832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45832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45832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45832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45832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45832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45832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45832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45832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45832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45832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45832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45832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45832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45832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45832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45832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45832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45832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45832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45832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45832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45832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45832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45832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45832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45832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45832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45832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45832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45832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45832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45832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45832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45832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45832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45832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45832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45832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45832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45832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45832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45832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45832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45832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45832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45832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45832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45832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45832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45832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45832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45832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45832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45832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45832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45832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45832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45832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45832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45832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45832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45832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45832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45832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45832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45832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45832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45832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45832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45832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45832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45832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45832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45832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45832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45832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45832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45832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45832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45832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45832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45832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45832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45832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45832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45832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45832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45832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45832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45832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45832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45832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45832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45832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45832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45832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45832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45832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45832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45832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45832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45832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45832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45832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45832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45832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45832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45832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45832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45832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45832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45832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45832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45832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45832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45832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45832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45832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45832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45832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45832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45832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45832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45832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45832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45832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45832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45832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45832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45832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45832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45832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45832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45832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45832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45832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45832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45832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45832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45832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45832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45832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45832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45832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45832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45832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45832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45832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45832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45832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45832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45832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45832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45832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45832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45832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45832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45832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45832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45832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45832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45832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45832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45832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45832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45832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45832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45832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45832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45832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45832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45832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45832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45832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45832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45832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45832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45832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45832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45832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45832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45832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45832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45832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45832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45832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45832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45832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45832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45832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45832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45832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45832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45832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45832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45832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45832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45832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45832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45832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45832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45832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45832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45832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45832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45832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45832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45832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45832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45832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45832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45832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45832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45832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45832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45832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45832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45832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45832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45832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45832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45832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45832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45832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45832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45832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45832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45832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45832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45832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45832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45832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45832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45832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45832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45832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45832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45832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45832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45832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45832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45832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45832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45832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45832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45832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45832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45832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45832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45832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45832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45832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45832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45832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45832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45832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45832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45832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45832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45832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45832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45832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45832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45832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45832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45832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45832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45832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45832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45832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45832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45832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45832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45832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45832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45832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45832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45832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45832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45832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45832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45832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45832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45832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45832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45832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45832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45832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45832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45832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45832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45832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45832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45832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45832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45832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45832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45832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45832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45832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45832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45832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45832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45832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45832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45832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45832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45832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45832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45832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45832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45832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45832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45832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45832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45832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45832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45832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45832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45832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45832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45832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45832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45832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45832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45832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45832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45832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45832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45832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45832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45832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45832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45832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45832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45832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45832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45832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45832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45832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45832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45832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45832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45832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45832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45832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45832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45832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45832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45832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45832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45832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45832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45832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45832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45832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45832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45832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45832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45832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45832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45832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45832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45832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45832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45832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45832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45832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45832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45832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45832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45832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45832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45832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45832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45832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45832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45832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45832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45832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45832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45832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45832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45832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45832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45832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45832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45832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45832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45832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45832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45832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45832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45832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45832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45832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45832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45832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45832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45832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45832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45832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45832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45832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45832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45832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45832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45832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45832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45832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45832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45832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45832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45832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45832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45832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45832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45832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45832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45832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45832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45832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45832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45832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45832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45832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45832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45832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45832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45832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45832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45832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45832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45832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45832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45832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45832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45832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45832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45832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45832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45832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45832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45832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45832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45832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45832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45832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45832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45832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45832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45832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45832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45832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45832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45832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45832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45832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45832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45832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45832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45832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45832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45832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45832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45832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45832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45832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45832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45832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45832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45832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45832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45832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45832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45832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45832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45832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45832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45832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45832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45832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45832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45832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45832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45832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45832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45832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45832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45832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45832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45832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45832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45832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45832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45832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45832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45832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45832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45832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45832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45832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45832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45832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45832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45832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45832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45832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45832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45832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45832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45832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45832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45832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45832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45832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45832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45832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45832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45832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45832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45832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45832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45832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45832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45832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45832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45832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45832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45832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45832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45832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45832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45832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45832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45832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45832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45832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45832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45832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45832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45832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45832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45832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45832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45832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45832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45832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45832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45832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45832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45832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45832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45832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45832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45832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45832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45832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45832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45832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45832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45832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45832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45832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45832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45832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45832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45832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45832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45832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45832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45832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45832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45832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45832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45832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45832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45832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45832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45832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45832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45832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45832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45832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45832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45832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45832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45832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45832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45832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45832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45832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45832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45832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45832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45832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45832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45832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45832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45832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45832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45832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45832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45832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45832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45832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45832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45832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45832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45832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45832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45832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45832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45832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45832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45832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45832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45832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45832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45832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45832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45832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45832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45832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45832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45832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45832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45832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45832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45832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45832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45832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45832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45832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45832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45832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45832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45832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45832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45832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45832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45832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45832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45832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45832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45832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45832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45832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45832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45832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45832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45832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45832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45832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45832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45832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45832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45832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45832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45832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45832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45832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45832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45832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45832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45832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45832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45832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45832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45832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45832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45832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45832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45832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45832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45832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45832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45832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45832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45832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45832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45832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45832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45832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45832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45832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45832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45832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45832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45832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45832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45832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45832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45832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45832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45832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45832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45832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45832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45832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45832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45832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45832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45832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45832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45832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45832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45832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45832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45832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45832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45832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45832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45832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45832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45832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45832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45832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45832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45832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45832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45832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45832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45832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45832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45832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45832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45832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45832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45832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45832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45832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45832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45832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45832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45832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45832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45832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45832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45832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45832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45832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45832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45832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45832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45832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45832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45832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45832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45832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45832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45832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45832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45832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45832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45832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45832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45832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45832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45832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45832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45832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45832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45832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45832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45832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45832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45832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45832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45832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45832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45832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45832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45832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45832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45832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45832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45832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45832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45832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45832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45832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45832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45832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45832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45832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45832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45832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45832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45832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45832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45832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45832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45832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45832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45832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45832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45832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45832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45832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45832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45832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45832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45832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45832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45832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45832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45832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45832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45832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45832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45832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45832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45832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45832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45832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45832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45832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45832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45832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45832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45832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45832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45832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45832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45832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45832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45832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45832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45832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45832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45832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45832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45832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45832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45832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45832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45832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45832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45832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45832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45832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45832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45832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45832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45832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45832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45832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45832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45832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45832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45832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45832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45832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45832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45832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45832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45832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45832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45832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45832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45832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45832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45832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45832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45832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45832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45832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45832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45832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45832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45832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45832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45832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45832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45832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45832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45832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45832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45832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45832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45832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45832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45832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45832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45832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45832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45832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45832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45832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45832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45832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45832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45832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45832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45832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45832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45832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45832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45832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45832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45832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45832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45832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45832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45832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45832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45832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45832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45832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45832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45832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45832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45832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45832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45832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45832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45832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45832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45832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45832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45832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45832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45832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45832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45832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45832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45832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45832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45832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45832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45832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45832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45832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45832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45832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45832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45832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45832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45832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45832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45832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45832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45832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45832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45832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45832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45832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45832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45832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45832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45832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45832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45832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45832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45832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45832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45832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45832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45832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45832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45832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45832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45832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45832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45832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45832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45832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45832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45832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45832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45832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45832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45832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45832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45832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45832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45832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45832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45832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45832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45832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45832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45832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45832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45832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45832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45832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45832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45832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45832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45832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45832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45832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45832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45832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45832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45832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45832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45832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45832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45832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45832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45832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45832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45832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45832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45832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45832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45832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45832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45832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45832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45832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45832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45832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45832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45832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45832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45832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45832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45832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45832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45832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45832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45832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45832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45832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45832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45832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45832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45832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45832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45832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45832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45832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45832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45832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45832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45832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45832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45832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45832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45832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45832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45832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45832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45832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45832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45832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45832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45832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45832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45832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45832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45832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45832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45832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45832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45832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45832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45832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45832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45832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45832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45832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45832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45832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45832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45832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45832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45832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45832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45832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45832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45832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45832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45832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45832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45832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45832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45832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45832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45832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45832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45832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45832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45832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45832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45832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45832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45832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45832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45832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45832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45832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45832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45832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45832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45832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45832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45832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45832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45832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45832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45832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45832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45832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45832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45832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45832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45832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45832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45832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45832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45832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45832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45832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45832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45832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45832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45832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45832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45832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45832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45832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45832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45832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45832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45832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45832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45832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45832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45832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45832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45832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45832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45832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45832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45832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45832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45832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45832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45832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45832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45832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45832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45832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45832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45832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45832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45832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45832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45832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45832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45832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45832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45832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45832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45832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45832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45832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45832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45832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45832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45832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45832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45832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45832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45832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45832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45832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45832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45832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45832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45832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45832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45832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45832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45832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45832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45832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45832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45832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45832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45832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45832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45832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45832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45832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45832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45832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45832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45832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45832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45832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45832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45832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45832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45832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45832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45832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45832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45832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45832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45832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45832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45832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45832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45832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45832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45832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45832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45832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45832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45832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45832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45832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45832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45832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45832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45832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45832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45832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45832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45832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45832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45832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45832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45832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45832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45832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45832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45832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45832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45832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45832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45832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45832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45832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45832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45832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45832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45832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45832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45832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45832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45832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45832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45832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45832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45832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45832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45832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45832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45832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45832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45832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45832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45832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45832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45832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45832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45832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45832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45832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45832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45832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45832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45832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45832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45832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45832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45832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45832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45832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45832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45832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45832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45832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45832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45832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45832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45832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45832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45832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45832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45832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45832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45832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45832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45832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45832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45832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45832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45832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45832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45832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45832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45832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45832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45832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45832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45832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45832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45832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45832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45832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45832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45832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45832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45832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45832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45832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45832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45832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45832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45832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45832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45832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45832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45832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45832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45832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45832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45832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45832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45832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45832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45832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45832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45832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45832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45832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45832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45832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45832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45832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45832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45832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45832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45832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45832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45832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45832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45832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45832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45832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45832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45832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45832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45832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45832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45832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45832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45832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45832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45832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45832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45832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45832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45832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45832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45832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45832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45832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45832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45832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45832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45832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45832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45832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45832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45832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45832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45832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45832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45832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45832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45832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45832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45832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45832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45832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45832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45832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45832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45832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45832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45832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45832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45832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45832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45832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45832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45832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45832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45832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45832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45832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45832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45832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45832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45832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45832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45832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45832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45832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45832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45832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45832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45832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45832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45832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45832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45832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45832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45832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45832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45832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45832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45832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45832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45832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45832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45832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45832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45832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45832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45832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45832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45832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45832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45832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45832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45832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45832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45832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45832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45832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45832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45832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45832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45832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45832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45832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45832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45832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45832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45832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45832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45832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45832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45832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45832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45832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45832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45832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45832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45832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45832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45832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45832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45832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45832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45832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45832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45832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45832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45832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45832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45832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45832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45832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45832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45832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45832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45832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45832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45832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45832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45832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45832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45832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45832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45832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45832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45832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45832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45832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45832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45832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45832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45832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45832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45832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45832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45832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45832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45832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45832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45832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45832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45832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45832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45832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45832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45832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45832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45832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45832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45832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45832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45832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45832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45832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45832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45832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45832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45832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45832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45832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45832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45832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45832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45832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45832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45832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45832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45832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45832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45832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45832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45832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45832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45832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45832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45832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45832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45832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45832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45832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45832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45832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45832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45832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45832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45832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45832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45832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45832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45832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45832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45832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45832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45832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45832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45832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45832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45832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45832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45832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45832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45832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45832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45832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45832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45832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45832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45832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45832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45832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45832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45832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45832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45832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45832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45832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45832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45832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45832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45832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45832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45832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45832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45832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45832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45832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45832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45832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45832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45832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45832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45832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45832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45832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45832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45832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45832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45832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45832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45832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45832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45832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45832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45832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45832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45832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45832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45832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45832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45832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45832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45832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45832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45832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45832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45832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45832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45832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45832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45832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45832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45832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45832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45832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45832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45832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45832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45832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45832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45832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45832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45832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45832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45832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45832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45832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45832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45832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45832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45832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45832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45832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45832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45832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45832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45832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45832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45832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45832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45832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45832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45832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45832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45832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45832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45832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45832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45832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45832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45832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45832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45832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45832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45832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45832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45832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45832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45832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45832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45832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45832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45832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45832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45832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45832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45832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45832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45832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45832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45832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45832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45832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45832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45832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45832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45832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45832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45832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45832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45832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45832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45832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45832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45832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45832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45832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45832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45832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45832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45832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45832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45832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45832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45832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45832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45832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45832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45832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45832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45832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45832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45832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45832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45832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45832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45832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45832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45832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45832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45832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45832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45832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45832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45832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45832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45832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45832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45832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45832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45832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45832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45832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45832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45832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45832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45832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45832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45832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45832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45832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45832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45832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45832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45832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45832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45832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45832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45832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45832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45832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45832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45832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45832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45832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45832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45832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45832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45832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45832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45832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45832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45832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45832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45832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45832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45832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45832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45832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45832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45832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45832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45832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45832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45832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45832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45832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45832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45832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45832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45832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45832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45832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45832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45832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45832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45832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45832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45832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45832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45832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45832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45832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45832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45832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45832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45832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45832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45832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45832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45832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45832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45832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45832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45832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45832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45832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45832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45832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45832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45832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45832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45832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45832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45832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45832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45832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45832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45832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45832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45832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45832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45832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45832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45832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45832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45832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45832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45832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45832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45832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45832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45832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45832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45832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45832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45832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45832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45832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45832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45832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45832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45832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45832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45832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45832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45832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45832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45832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45832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45832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45832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45832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45832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45832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45832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45832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45832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45832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45832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45832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45832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45832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45832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45832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45832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45832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45832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45832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45832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45832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45832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45832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45832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45832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45832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45832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45832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45832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45832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45832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45832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45832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45832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45832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45832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45832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45832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45832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45832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45832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45832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45832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45832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45832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45832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45832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45832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45832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45832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45832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45832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45832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45832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45832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45832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45832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45832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45832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45832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45832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45832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45832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45832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45832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45832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45832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45832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45832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45832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45832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45832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45832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45832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45832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45832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45832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45832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45832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45832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45832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45832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45832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45832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45832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45832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45832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45832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45832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45832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45832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45832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45832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45832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45832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45832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45832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45832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45832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45832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45832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45832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45832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45832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45832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45832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45832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45832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45832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45832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45832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45832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45832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45832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45832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45832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45832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45832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45832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45832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45832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45832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45832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45832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45832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45832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45832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45832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45832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45832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45832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45832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45832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45832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45832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45832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45832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45832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45832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45832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45832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45832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45832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45832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45832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45832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45832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45832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45832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45832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45832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45832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45832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45832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45832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45832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45832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45832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45832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45832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45832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45832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45832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45832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45832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45832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45832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45832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45832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45832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45832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45832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45832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45832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45832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45832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45832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45832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45832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45832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45832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45832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45832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45832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45832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45832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45832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45832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45832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45832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45832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45832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45832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45832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45832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45832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45832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45832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45832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45832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45832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45832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45832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45832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45832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45832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45832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45832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45832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45832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45832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45832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45832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45832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45832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45832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45832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45832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45832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45832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45832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45832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45832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45832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45832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45832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45832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45832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45832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45832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45832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45832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45832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45832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45832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45832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45832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45832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45832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45832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45832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45832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45832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45832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45832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45832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45832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45832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45832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45832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45832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45832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45832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45832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45832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45832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45832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45832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45832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45832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45832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45832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45832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45832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45832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45832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45832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45832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45832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45832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45832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45832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45832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45832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45832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45832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45832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45832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45832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45832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45832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45832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45832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45832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45832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45832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45832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45832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45832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45832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45832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45832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45832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45832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45832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45832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45832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45832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45832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45832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45832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45832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45832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45832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45832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45832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45832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45832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45832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45832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45832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45832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45832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45832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45832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45832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45832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45832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45832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45832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45832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45832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45832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45832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45832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45832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45832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45832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45832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45832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45832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45832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45832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45832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45832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45832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45832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45832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45832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45832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45832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45832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45832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45832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45832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45832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45832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45832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45832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45832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45832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45832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45832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45832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45832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45832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45832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45832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45832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45832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45832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45832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45832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45832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45832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45832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45832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45832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45832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45832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45832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45832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45832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45832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45832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45832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45832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45832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45832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45832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45832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45832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45832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45832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45832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45832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45832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45832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45832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45832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45832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45832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45832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45832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45832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45832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45832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45832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45832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45832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45832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45832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45832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45832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45832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45832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45832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45832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45832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45832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45832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45832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45832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45832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45832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45832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45832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45832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45832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45832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45832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45832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45832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45832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45832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45832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45832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45832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45832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45832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45832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45832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45832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45832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45832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45832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45832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45832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45832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45832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45832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45832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45832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45832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45832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45832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45832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45832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45832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45832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45832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45832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45832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45832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45832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45832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45832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45832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45832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45832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45832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45832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45832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45832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45832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45832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45832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45832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45832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45832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45832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45832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45832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45832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45832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45832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45832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45832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45832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45832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45832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45832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45832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45832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45832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45832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45832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45832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45832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45832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45832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45832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45832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45832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45832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45832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45832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45832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45832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45832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45832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45832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45832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45832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45832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45832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45832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45832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45832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45832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45832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45832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45832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45832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45832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45832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45832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45832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45832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45832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45832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45832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45832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45832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45832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45832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45832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45832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45832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45832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45832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45832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45832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45832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45832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45832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45832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45832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45832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45832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45832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45832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45832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45832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45832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45832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45832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45832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45832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45832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45832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45832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45832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45832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45832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45832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45832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45832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45832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45832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45832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45832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45832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45832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45832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45832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45832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45832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45832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45832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45832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45832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45832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45832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45832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45832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45832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45832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45832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45832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45832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45832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45832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45832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45832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45832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45832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45832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45832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45832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45832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45832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45832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45832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45832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45832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45832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45832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45832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45832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45832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45832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45832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45832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45832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45832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45832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45832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45832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45832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45832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45832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45832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45832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45832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45832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45832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45832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45832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45832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45832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45832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45832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45832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45832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45832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45832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45832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45832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45832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45832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45832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45832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45832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45832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45832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45832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45832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45832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45832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45832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45832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45832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45832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45832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45832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45832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45832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45832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45832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45832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45832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45832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45832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45832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45832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45832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45832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45832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45832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45832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45832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45832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45832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45832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45832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45832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45832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45832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45832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45832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45832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45832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45832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45832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45832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45832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45832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45832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45832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45832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45832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45832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45832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45832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45832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45832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45832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45832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45832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45832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45832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45832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45832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45832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45832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45832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45832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45832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45832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45832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45832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45832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45832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45832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45832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45832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45832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45832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45832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45832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45832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45832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45832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45832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45832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45832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45832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45832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45832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45832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45832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45832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45832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45832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45832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45832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45832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45832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45832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45832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45832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45832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45832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45832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45832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45832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45832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45832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45832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45832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45832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45832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45832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45832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45832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45832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45832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45832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45832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45832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45832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45832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45832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45832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45832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45832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45832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45832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45832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45832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45832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45832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45832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45832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45832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45832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45832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45832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45832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45832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45832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45832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45832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45832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45832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45832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45832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45832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45832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45832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45832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45832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45832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45832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45832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45832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45832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45832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45832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45832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45832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45832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45832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45832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45832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45832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45832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45832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45832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45832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45832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45832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45832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45832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45832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45832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45832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45832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45832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45832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45832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45832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45832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45832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45832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45832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45832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45832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45832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45832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45832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45832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45832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45832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45832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45832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45832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45832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45832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45832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45832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45832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45832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45832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45832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45832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45832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45832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45832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45832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45832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45832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45832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45832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45832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45832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45832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45832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45832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45832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45832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45832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45832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45832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45832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45832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45832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45832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45832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45832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45832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45832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45832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45832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45832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45832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45832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45832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45832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45832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45832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45832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45832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45832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45832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45832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45832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45832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45832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45832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45832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45832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45832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45832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45832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45832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45832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45832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45832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45832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45832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45832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45832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45832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45832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45832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45832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45832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45832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45832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45832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45832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45832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45832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45832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45832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45832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45832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45832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45832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45832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45832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45832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45832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45832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45832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45832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45832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45832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45832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45832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45832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45832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45832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45832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45832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45832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45832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45832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45832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45832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45832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45832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45832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45832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45832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45832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45832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45832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45832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45832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45832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45832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45832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45832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45832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45832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45832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45832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45832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45832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45832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45832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45832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45832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45832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45832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45832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45832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45832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45832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45832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45832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45832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45832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45832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45832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45832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45832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45832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45832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45832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45832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45832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45832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45832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45832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45832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45832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45832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45832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45832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45832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45832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45832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45832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45832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45832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45832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45832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45832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45832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45832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45832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45832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45832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45832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45832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45832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45832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45832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45832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45832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45832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45832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45832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45832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45832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45832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45832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45832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45832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45832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45832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45832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45832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45832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45832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45832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45832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45832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45832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45832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45832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45832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45832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45832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45832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45832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45832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45832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45832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45832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45832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45832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45832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45832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45832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45832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45832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45832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45832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45832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45832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45832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45832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45832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45832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45832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45832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45832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45832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45832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45832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45832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45832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45832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45832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45832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45832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45832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45832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45832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45832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45832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45832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45832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45832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45832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45832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45832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45832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45832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45832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45832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45832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45832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45832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45832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45832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45832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45832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45832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45832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45832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45832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45832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45832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45832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45832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45832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45832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45832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45832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45832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45832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45832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45832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45832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45832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45832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45832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45832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45832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45832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45832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45832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45832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45832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45832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45832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45832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45832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45832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45832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45832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45832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45832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45832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45832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45832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45832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45832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45832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45832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45832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45832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45832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45832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45832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45832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45832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45832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45832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45832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45832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45832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45832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45832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45832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45832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45832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45832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45832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45832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45832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45832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45832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45832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45832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45832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45832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45832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45832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45832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45832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45832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45832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45832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45832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45832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45832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45832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45832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45832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45832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45832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45832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45832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45832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45832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45832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45832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45832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45832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45832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45832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45832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45832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45832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45832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45832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45832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45832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45832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45832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45832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45832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45832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45832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45832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45832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45832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45832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45832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45832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45832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45832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45832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45832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45832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45832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45832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45832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45832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45832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45832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45832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45832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45832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45832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45832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45832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45832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45832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45832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45832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45832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45832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45832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45832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45832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45832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45832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45832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45832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45832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45832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45832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45832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45832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45832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45832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45832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45832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45832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45832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45832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45832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45832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45832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45832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45832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45832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45832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45832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45832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45832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45832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45832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25636-2025</t>
        </is>
      </c>
      <c r="B10702" s="1" t="n">
        <v>45803</v>
      </c>
      <c r="C10702" s="1" t="n">
        <v>45832</v>
      </c>
      <c r="D10702" t="inlineStr">
        <is>
          <t>KRONOBERGS LÄN</t>
        </is>
      </c>
      <c r="E10702" t="inlineStr">
        <is>
          <t>LJUNGBY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25530-2025</t>
        </is>
      </c>
      <c r="B10703" s="1" t="n">
        <v>45803</v>
      </c>
      <c r="C10703" s="1" t="n">
        <v>45832</v>
      </c>
      <c r="D10703" t="inlineStr">
        <is>
          <t>KRONOBERGS LÄN</t>
        </is>
      </c>
      <c r="E10703" t="inlineStr">
        <is>
          <t>VÄXJÖ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25739-2025</t>
        </is>
      </c>
      <c r="B10704" s="1" t="n">
        <v>45803</v>
      </c>
      <c r="C10704" s="1" t="n">
        <v>45832</v>
      </c>
      <c r="D10704" t="inlineStr">
        <is>
          <t>KRONOBERGS LÄN</t>
        </is>
      </c>
      <c r="E10704" t="inlineStr">
        <is>
          <t>TINGSRYD</t>
        </is>
      </c>
      <c r="G10704" t="n">
        <v>3.2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25584-2025</t>
        </is>
      </c>
      <c r="B10705" s="1" t="n">
        <v>45803</v>
      </c>
      <c r="C10705" s="1" t="n">
        <v>45832</v>
      </c>
      <c r="D10705" t="inlineStr">
        <is>
          <t>KRONOBERGS LÄN</t>
        </is>
      </c>
      <c r="E10705" t="inlineStr">
        <is>
          <t>VÄXJÖ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25583-2025</t>
        </is>
      </c>
      <c r="B10706" s="1" t="n">
        <v>45803</v>
      </c>
      <c r="C10706" s="1" t="n">
        <v>45832</v>
      </c>
      <c r="D10706" t="inlineStr">
        <is>
          <t>KRONOBERGS LÄN</t>
        </is>
      </c>
      <c r="E10706" t="inlineStr">
        <is>
          <t>VÄXJÖ</t>
        </is>
      </c>
      <c r="G10706" t="n">
        <v>3.6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25528-2025</t>
        </is>
      </c>
      <c r="B10707" s="1" t="n">
        <v>45803</v>
      </c>
      <c r="C10707" s="1" t="n">
        <v>45832</v>
      </c>
      <c r="D10707" t="inlineStr">
        <is>
          <t>KRONOBERGS LÄN</t>
        </is>
      </c>
      <c r="E10707" t="inlineStr">
        <is>
          <t>VÄXJÖ</t>
        </is>
      </c>
      <c r="G10707" t="n">
        <v>4.1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25742-2025</t>
        </is>
      </c>
      <c r="B10708" s="1" t="n">
        <v>45803</v>
      </c>
      <c r="C10708" s="1" t="n">
        <v>45832</v>
      </c>
      <c r="D10708" t="inlineStr">
        <is>
          <t>KRONOBERGS LÄN</t>
        </is>
      </c>
      <c r="E10708" t="inlineStr">
        <is>
          <t>TINGSRYD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25592-2025</t>
        </is>
      </c>
      <c r="B10709" s="1" t="n">
        <v>45803</v>
      </c>
      <c r="C10709" s="1" t="n">
        <v>45832</v>
      </c>
      <c r="D10709" t="inlineStr">
        <is>
          <t>KRONOBERGS LÄN</t>
        </is>
      </c>
      <c r="E10709" t="inlineStr">
        <is>
          <t>VÄXJÖ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25593-2025</t>
        </is>
      </c>
      <c r="B10710" s="1" t="n">
        <v>45803</v>
      </c>
      <c r="C10710" s="1" t="n">
        <v>45832</v>
      </c>
      <c r="D10710" t="inlineStr">
        <is>
          <t>KRONOBERGS LÄN</t>
        </is>
      </c>
      <c r="E10710" t="inlineStr">
        <is>
          <t>VÄXJÖ</t>
        </is>
      </c>
      <c r="G10710" t="n">
        <v>0.6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25529-2025</t>
        </is>
      </c>
      <c r="B10711" s="1" t="n">
        <v>45803</v>
      </c>
      <c r="C10711" s="1" t="n">
        <v>45832</v>
      </c>
      <c r="D10711" t="inlineStr">
        <is>
          <t>KRONOBERGS LÄN</t>
        </is>
      </c>
      <c r="E10711" t="inlineStr">
        <is>
          <t>VÄXJÖ</t>
        </is>
      </c>
      <c r="G10711" t="n">
        <v>2.9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25904-2025</t>
        </is>
      </c>
      <c r="B10712" s="1" t="n">
        <v>45804</v>
      </c>
      <c r="C10712" s="1" t="n">
        <v>45832</v>
      </c>
      <c r="D10712" t="inlineStr">
        <is>
          <t>KRONOBERGS LÄN</t>
        </is>
      </c>
      <c r="E10712" t="inlineStr">
        <is>
          <t>ALVESTA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25785-2025</t>
        </is>
      </c>
      <c r="B10713" s="1" t="n">
        <v>45804</v>
      </c>
      <c r="C10713" s="1" t="n">
        <v>45832</v>
      </c>
      <c r="D10713" t="inlineStr">
        <is>
          <t>KRONOBERGS LÄN</t>
        </is>
      </c>
      <c r="E10713" t="inlineStr">
        <is>
          <t>ÄLMHULT</t>
        </is>
      </c>
      <c r="F10713" t="inlineStr">
        <is>
          <t>Sveaskog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25806-2025</t>
        </is>
      </c>
      <c r="B10714" s="1" t="n">
        <v>45804</v>
      </c>
      <c r="C10714" s="1" t="n">
        <v>45832</v>
      </c>
      <c r="D10714" t="inlineStr">
        <is>
          <t>KRONOBERGS LÄN</t>
        </is>
      </c>
      <c r="E10714" t="inlineStr">
        <is>
          <t>UPPVIDINGE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25889-2025</t>
        </is>
      </c>
      <c r="B10715" s="1" t="n">
        <v>45804</v>
      </c>
      <c r="C10715" s="1" t="n">
        <v>45832</v>
      </c>
      <c r="D10715" t="inlineStr">
        <is>
          <t>KRONOBERGS LÄN</t>
        </is>
      </c>
      <c r="E10715" t="inlineStr">
        <is>
          <t>UPPVIDINGE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25997-2025</t>
        </is>
      </c>
      <c r="B10716" s="1" t="n">
        <v>45804</v>
      </c>
      <c r="C10716" s="1" t="n">
        <v>45832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25880-2025</t>
        </is>
      </c>
      <c r="B10717" s="1" t="n">
        <v>45804</v>
      </c>
      <c r="C10717" s="1" t="n">
        <v>45832</v>
      </c>
      <c r="D10717" t="inlineStr">
        <is>
          <t>KRONOBERGS LÄN</t>
        </is>
      </c>
      <c r="E10717" t="inlineStr">
        <is>
          <t>ÄLMHULT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25883-2025</t>
        </is>
      </c>
      <c r="B10718" s="1" t="n">
        <v>45804</v>
      </c>
      <c r="C10718" s="1" t="n">
        <v>45832</v>
      </c>
      <c r="D10718" t="inlineStr">
        <is>
          <t>KRONOBERGS LÄN</t>
        </is>
      </c>
      <c r="E10718" t="inlineStr">
        <is>
          <t>UPPVIDINGE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25761-2025</t>
        </is>
      </c>
      <c r="B10719" s="1" t="n">
        <v>45804</v>
      </c>
      <c r="C10719" s="1" t="n">
        <v>45832</v>
      </c>
      <c r="D10719" t="inlineStr">
        <is>
          <t>KRONOBERGS LÄN</t>
        </is>
      </c>
      <c r="E10719" t="inlineStr">
        <is>
          <t>LESSEBO</t>
        </is>
      </c>
      <c r="F10719" t="inlineStr">
        <is>
          <t>Sveaskog</t>
        </is>
      </c>
      <c r="G10719" t="n">
        <v>1.7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25865-2025</t>
        </is>
      </c>
      <c r="B10720" s="1" t="n">
        <v>45804</v>
      </c>
      <c r="C10720" s="1" t="n">
        <v>45832</v>
      </c>
      <c r="D10720" t="inlineStr">
        <is>
          <t>KRONOBERGS LÄN</t>
        </is>
      </c>
      <c r="E10720" t="inlineStr">
        <is>
          <t>ÄLMHULT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26009-2025</t>
        </is>
      </c>
      <c r="B10721" s="1" t="n">
        <v>45804</v>
      </c>
      <c r="C10721" s="1" t="n">
        <v>45832</v>
      </c>
      <c r="D10721" t="inlineStr">
        <is>
          <t>KRONOBERGS LÄN</t>
        </is>
      </c>
      <c r="E10721" t="inlineStr">
        <is>
          <t>UPPVIDINGE</t>
        </is>
      </c>
      <c r="G10721" t="n">
        <v>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25999-2025</t>
        </is>
      </c>
      <c r="B10722" s="1" t="n">
        <v>45804</v>
      </c>
      <c r="C10722" s="1" t="n">
        <v>45832</v>
      </c>
      <c r="D10722" t="inlineStr">
        <is>
          <t>KRONOBERGS LÄN</t>
        </is>
      </c>
      <c r="E10722" t="inlineStr">
        <is>
          <t>LJUNGBY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25779-2025</t>
        </is>
      </c>
      <c r="B10723" s="1" t="n">
        <v>45804</v>
      </c>
      <c r="C10723" s="1" t="n">
        <v>45832</v>
      </c>
      <c r="D10723" t="inlineStr">
        <is>
          <t>KRONOBERGS LÄN</t>
        </is>
      </c>
      <c r="E10723" t="inlineStr">
        <is>
          <t>ÄLMHULT</t>
        </is>
      </c>
      <c r="F10723" t="inlineStr">
        <is>
          <t>Sveaskog</t>
        </is>
      </c>
      <c r="G10723" t="n">
        <v>4.7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25783-2025</t>
        </is>
      </c>
      <c r="B10724" s="1" t="n">
        <v>45804</v>
      </c>
      <c r="C10724" s="1" t="n">
        <v>45832</v>
      </c>
      <c r="D10724" t="inlineStr">
        <is>
          <t>KRONOBERGS LÄN</t>
        </is>
      </c>
      <c r="E10724" t="inlineStr">
        <is>
          <t>ÄLMHULT</t>
        </is>
      </c>
      <c r="F10724" t="inlineStr">
        <is>
          <t>Sveaskog</t>
        </is>
      </c>
      <c r="G10724" t="n">
        <v>2.2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26001-2025</t>
        </is>
      </c>
      <c r="B10725" s="1" t="n">
        <v>45804</v>
      </c>
      <c r="C10725" s="1" t="n">
        <v>45832</v>
      </c>
      <c r="D10725" t="inlineStr">
        <is>
          <t>KRONOBERGS LÄN</t>
        </is>
      </c>
      <c r="E10725" t="inlineStr">
        <is>
          <t>LJUNGBY</t>
        </is>
      </c>
      <c r="G10725" t="n">
        <v>1.6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26267-2025</t>
        </is>
      </c>
      <c r="B10726" s="1" t="n">
        <v>45805</v>
      </c>
      <c r="C10726" s="1" t="n">
        <v>45832</v>
      </c>
      <c r="D10726" t="inlineStr">
        <is>
          <t>KRONOBERGS LÄN</t>
        </is>
      </c>
      <c r="E10726" t="inlineStr">
        <is>
          <t>UPPVIDINGE</t>
        </is>
      </c>
      <c r="G10726" t="n">
        <v>4.9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26063-2025</t>
        </is>
      </c>
      <c r="B10727" s="1" t="n">
        <v>45805</v>
      </c>
      <c r="C10727" s="1" t="n">
        <v>45832</v>
      </c>
      <c r="D10727" t="inlineStr">
        <is>
          <t>KRONOBERGS LÄN</t>
        </is>
      </c>
      <c r="E10727" t="inlineStr">
        <is>
          <t>LJUNGBY</t>
        </is>
      </c>
      <c r="F10727" t="inlineStr">
        <is>
          <t>Sveaskog</t>
        </is>
      </c>
      <c r="G10727" t="n">
        <v>2.3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26314-2025</t>
        </is>
      </c>
      <c r="B10728" s="1" t="n">
        <v>45805</v>
      </c>
      <c r="C10728" s="1" t="n">
        <v>45832</v>
      </c>
      <c r="D10728" t="inlineStr">
        <is>
          <t>KRONOBERGS LÄN</t>
        </is>
      </c>
      <c r="E10728" t="inlineStr">
        <is>
          <t>ÄLMHULT</t>
        </is>
      </c>
      <c r="F10728" t="inlineStr">
        <is>
          <t>Sveaskog</t>
        </is>
      </c>
      <c r="G10728" t="n">
        <v>3.8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26311-2025</t>
        </is>
      </c>
      <c r="B10729" s="1" t="n">
        <v>45805</v>
      </c>
      <c r="C10729" s="1" t="n">
        <v>45832</v>
      </c>
      <c r="D10729" t="inlineStr">
        <is>
          <t>KRONOBERGS LÄN</t>
        </is>
      </c>
      <c r="E10729" t="inlineStr">
        <is>
          <t>TINGSRYD</t>
        </is>
      </c>
      <c r="G10729" t="n">
        <v>2.7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26312-2025</t>
        </is>
      </c>
      <c r="B10730" s="1" t="n">
        <v>45805</v>
      </c>
      <c r="C10730" s="1" t="n">
        <v>45832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6.5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26326-2025</t>
        </is>
      </c>
      <c r="B10731" s="1" t="n">
        <v>45805</v>
      </c>
      <c r="C10731" s="1" t="n">
        <v>45832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4.7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26068-2025</t>
        </is>
      </c>
      <c r="B10732" s="1" t="n">
        <v>45805</v>
      </c>
      <c r="C10732" s="1" t="n">
        <v>45832</v>
      </c>
      <c r="D10732" t="inlineStr">
        <is>
          <t>KRONOBERGS LÄN</t>
        </is>
      </c>
      <c r="E10732" t="inlineStr">
        <is>
          <t>VÄXJÖ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26072-2025</t>
        </is>
      </c>
      <c r="B10733" s="1" t="n">
        <v>45805</v>
      </c>
      <c r="C10733" s="1" t="n">
        <v>45832</v>
      </c>
      <c r="D10733" t="inlineStr">
        <is>
          <t>KRONOBERGS LÄN</t>
        </is>
      </c>
      <c r="E10733" t="inlineStr">
        <is>
          <t>VÄXJÖ</t>
        </is>
      </c>
      <c r="G10733" t="n">
        <v>0.4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26166-2025</t>
        </is>
      </c>
      <c r="B10734" s="1" t="n">
        <v>45805</v>
      </c>
      <c r="C10734" s="1" t="n">
        <v>45832</v>
      </c>
      <c r="D10734" t="inlineStr">
        <is>
          <t>KRONOBERGS LÄN</t>
        </is>
      </c>
      <c r="E10734" t="inlineStr">
        <is>
          <t>MARKARYD</t>
        </is>
      </c>
      <c r="G10734" t="n">
        <v>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26065-2025</t>
        </is>
      </c>
      <c r="B10735" s="1" t="n">
        <v>45805</v>
      </c>
      <c r="C10735" s="1" t="n">
        <v>45832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1.5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26236-2025</t>
        </is>
      </c>
      <c r="B10736" s="1" t="n">
        <v>45805</v>
      </c>
      <c r="C10736" s="1" t="n">
        <v>45832</v>
      </c>
      <c r="D10736" t="inlineStr">
        <is>
          <t>KRONOBERGS LÄN</t>
        </is>
      </c>
      <c r="E10736" t="inlineStr">
        <is>
          <t>ALVESTA</t>
        </is>
      </c>
      <c r="G10736" t="n">
        <v>1.6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26064-2025</t>
        </is>
      </c>
      <c r="B10737" s="1" t="n">
        <v>45805</v>
      </c>
      <c r="C10737" s="1" t="n">
        <v>45832</v>
      </c>
      <c r="D10737" t="inlineStr">
        <is>
          <t>KRONOBERGS LÄN</t>
        </is>
      </c>
      <c r="E10737" t="inlineStr">
        <is>
          <t>LJUNGBY</t>
        </is>
      </c>
      <c r="F10737" t="inlineStr">
        <is>
          <t>Sveaskog</t>
        </is>
      </c>
      <c r="G10737" t="n">
        <v>3.9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26241-2025</t>
        </is>
      </c>
      <c r="B10738" s="1" t="n">
        <v>45805</v>
      </c>
      <c r="C10738" s="1" t="n">
        <v>45832</v>
      </c>
      <c r="D10738" t="inlineStr">
        <is>
          <t>KRONOBERGS LÄN</t>
        </is>
      </c>
      <c r="E10738" t="inlineStr">
        <is>
          <t>ALVESTA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26070-2025</t>
        </is>
      </c>
      <c r="B10739" s="1" t="n">
        <v>45805</v>
      </c>
      <c r="C10739" s="1" t="n">
        <v>45832</v>
      </c>
      <c r="D10739" t="inlineStr">
        <is>
          <t>KRONOBERGS LÄN</t>
        </is>
      </c>
      <c r="E10739" t="inlineStr">
        <is>
          <t>LJUNGBY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26306-2025</t>
        </is>
      </c>
      <c r="B10740" s="1" t="n">
        <v>45805</v>
      </c>
      <c r="C10740" s="1" t="n">
        <v>45832</v>
      </c>
      <c r="D10740" t="inlineStr">
        <is>
          <t>KRONOBERGS LÄN</t>
        </is>
      </c>
      <c r="E10740" t="inlineStr">
        <is>
          <t>ÄLMHULT</t>
        </is>
      </c>
      <c r="F10740" t="inlineStr">
        <is>
          <t>Sveaskog</t>
        </is>
      </c>
      <c r="G10740" t="n">
        <v>3.1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26309-2025</t>
        </is>
      </c>
      <c r="B10741" s="1" t="n">
        <v>45805</v>
      </c>
      <c r="C10741" s="1" t="n">
        <v>45832</v>
      </c>
      <c r="D10741" t="inlineStr">
        <is>
          <t>KRONOBERGS LÄN</t>
        </is>
      </c>
      <c r="E10741" t="inlineStr">
        <is>
          <t>ÄLMHULT</t>
        </is>
      </c>
      <c r="F10741" t="inlineStr">
        <is>
          <t>Sveaskog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45832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26471-2025</t>
        </is>
      </c>
      <c r="B10743" s="1" t="n">
        <v>45807</v>
      </c>
      <c r="C10743" s="1" t="n">
        <v>45832</v>
      </c>
      <c r="D10743" t="inlineStr">
        <is>
          <t>KRONOBERGS LÄN</t>
        </is>
      </c>
      <c r="E10743" t="inlineStr">
        <is>
          <t>UPPVIDINGE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26470-2025</t>
        </is>
      </c>
      <c r="B10744" s="1" t="n">
        <v>45807</v>
      </c>
      <c r="C10744" s="1" t="n">
        <v>45832</v>
      </c>
      <c r="D10744" t="inlineStr">
        <is>
          <t>KRONOBERGS LÄN</t>
        </is>
      </c>
      <c r="E10744" t="inlineStr">
        <is>
          <t>UPPVIDINGE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26472-2025</t>
        </is>
      </c>
      <c r="B10745" s="1" t="n">
        <v>45807</v>
      </c>
      <c r="C10745" s="1" t="n">
        <v>45832</v>
      </c>
      <c r="D10745" t="inlineStr">
        <is>
          <t>KRONOBERGS LÄN</t>
        </is>
      </c>
      <c r="E10745" t="inlineStr">
        <is>
          <t>UPPVIDINGE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26692-2025</t>
        </is>
      </c>
      <c r="B10746" s="1" t="n">
        <v>45810</v>
      </c>
      <c r="C10746" s="1" t="n">
        <v>45832</v>
      </c>
      <c r="D10746" t="inlineStr">
        <is>
          <t>KRONOBERGS LÄN</t>
        </is>
      </c>
      <c r="E10746" t="inlineStr">
        <is>
          <t>LESSEBO</t>
        </is>
      </c>
      <c r="G10746" t="n">
        <v>3.5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26808-2025</t>
        </is>
      </c>
      <c r="B10747" s="1" t="n">
        <v>45810</v>
      </c>
      <c r="C10747" s="1" t="n">
        <v>45832</v>
      </c>
      <c r="D10747" t="inlineStr">
        <is>
          <t>KRONOBERGS LÄN</t>
        </is>
      </c>
      <c r="E10747" t="inlineStr">
        <is>
          <t>ALVESTA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26762-2025</t>
        </is>
      </c>
      <c r="B10748" s="1" t="n">
        <v>45810</v>
      </c>
      <c r="C10748" s="1" t="n">
        <v>45832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26737-2025</t>
        </is>
      </c>
      <c r="B10749" s="1" t="n">
        <v>45810</v>
      </c>
      <c r="C10749" s="1" t="n">
        <v>45832</v>
      </c>
      <c r="D10749" t="inlineStr">
        <is>
          <t>KRONOBERGS LÄN</t>
        </is>
      </c>
      <c r="E10749" t="inlineStr">
        <is>
          <t>ÄLMHULT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26798-2025</t>
        </is>
      </c>
      <c r="B10750" s="1" t="n">
        <v>45810</v>
      </c>
      <c r="C10750" s="1" t="n">
        <v>45832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26844-2025</t>
        </is>
      </c>
      <c r="B10751" s="1" t="n">
        <v>45810</v>
      </c>
      <c r="C10751" s="1" t="n">
        <v>45832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1.8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26690-2025</t>
        </is>
      </c>
      <c r="B10752" s="1" t="n">
        <v>45810</v>
      </c>
      <c r="C10752" s="1" t="n">
        <v>45832</v>
      </c>
      <c r="D10752" t="inlineStr">
        <is>
          <t>KRONOBERGS LÄN</t>
        </is>
      </c>
      <c r="E10752" t="inlineStr">
        <is>
          <t>LESSEBO</t>
        </is>
      </c>
      <c r="G10752" t="n">
        <v>8.300000000000001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26846-2025</t>
        </is>
      </c>
      <c r="B10753" s="1" t="n">
        <v>45810</v>
      </c>
      <c r="C10753" s="1" t="n">
        <v>45832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26848-2025</t>
        </is>
      </c>
      <c r="B10754" s="1" t="n">
        <v>45810</v>
      </c>
      <c r="C10754" s="1" t="n">
        <v>45832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26801-2025</t>
        </is>
      </c>
      <c r="B10755" s="1" t="n">
        <v>45810</v>
      </c>
      <c r="C10755" s="1" t="n">
        <v>45832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26840-2025</t>
        </is>
      </c>
      <c r="B10756" s="1" t="n">
        <v>45810</v>
      </c>
      <c r="C10756" s="1" t="n">
        <v>45832</v>
      </c>
      <c r="D10756" t="inlineStr">
        <is>
          <t>KRONOBERGS LÄN</t>
        </is>
      </c>
      <c r="E10756" t="inlineStr">
        <is>
          <t>MARKARYD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26807-2025</t>
        </is>
      </c>
      <c r="B10757" s="1" t="n">
        <v>45810</v>
      </c>
      <c r="C10757" s="1" t="n">
        <v>45832</v>
      </c>
      <c r="D10757" t="inlineStr">
        <is>
          <t>KRONOBERGS LÄN</t>
        </is>
      </c>
      <c r="E10757" t="inlineStr">
        <is>
          <t>ALVESTA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26965-2025</t>
        </is>
      </c>
      <c r="B10758" s="1" t="n">
        <v>45811</v>
      </c>
      <c r="C10758" s="1" t="n">
        <v>45832</v>
      </c>
      <c r="D10758" t="inlineStr">
        <is>
          <t>KRONOBERGS LÄN</t>
        </is>
      </c>
      <c r="E10758" t="inlineStr">
        <is>
          <t>ALVESTA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27012-2025</t>
        </is>
      </c>
      <c r="B10759" s="1" t="n">
        <v>45811</v>
      </c>
      <c r="C10759" s="1" t="n">
        <v>45832</v>
      </c>
      <c r="D10759" t="inlineStr">
        <is>
          <t>KRONOBERGS LÄN</t>
        </is>
      </c>
      <c r="E10759" t="inlineStr">
        <is>
          <t>LJUNGBY</t>
        </is>
      </c>
      <c r="G10759" t="n">
        <v>3.5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27013-2025</t>
        </is>
      </c>
      <c r="B10760" s="1" t="n">
        <v>45811</v>
      </c>
      <c r="C10760" s="1" t="n">
        <v>45832</v>
      </c>
      <c r="D10760" t="inlineStr">
        <is>
          <t>KRONOBERGS LÄN</t>
        </is>
      </c>
      <c r="E10760" t="inlineStr">
        <is>
          <t>LJUNGBY</t>
        </is>
      </c>
      <c r="G10760" t="n">
        <v>1.7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26928-2025</t>
        </is>
      </c>
      <c r="B10761" s="1" t="n">
        <v>45811</v>
      </c>
      <c r="C10761" s="1" t="n">
        <v>45832</v>
      </c>
      <c r="D10761" t="inlineStr">
        <is>
          <t>KRONOBERGS LÄN</t>
        </is>
      </c>
      <c r="E10761" t="inlineStr">
        <is>
          <t>LJUNGBY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26977-2025</t>
        </is>
      </c>
      <c r="B10762" s="1" t="n">
        <v>45811</v>
      </c>
      <c r="C10762" s="1" t="n">
        <v>45832</v>
      </c>
      <c r="D10762" t="inlineStr">
        <is>
          <t>KRONOBERGS LÄN</t>
        </is>
      </c>
      <c r="E10762" t="inlineStr">
        <is>
          <t>ALVESTA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26936-2025</t>
        </is>
      </c>
      <c r="B10763" s="1" t="n">
        <v>45811</v>
      </c>
      <c r="C10763" s="1" t="n">
        <v>45832</v>
      </c>
      <c r="D10763" t="inlineStr">
        <is>
          <t>KRONOBERGS LÄN</t>
        </is>
      </c>
      <c r="E10763" t="inlineStr">
        <is>
          <t>LJUNGBY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26979-2025</t>
        </is>
      </c>
      <c r="B10764" s="1" t="n">
        <v>45811</v>
      </c>
      <c r="C10764" s="1" t="n">
        <v>45832</v>
      </c>
      <c r="D10764" t="inlineStr">
        <is>
          <t>KRONOBERGS LÄN</t>
        </is>
      </c>
      <c r="E10764" t="inlineStr">
        <is>
          <t>LJUNGBY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27019-2025</t>
        </is>
      </c>
      <c r="B10765" s="1" t="n">
        <v>45811</v>
      </c>
      <c r="C10765" s="1" t="n">
        <v>45832</v>
      </c>
      <c r="D10765" t="inlineStr">
        <is>
          <t>KRONOBERGS LÄN</t>
        </is>
      </c>
      <c r="E10765" t="inlineStr">
        <is>
          <t>LJUNGBY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27037-2025</t>
        </is>
      </c>
      <c r="B10766" s="1" t="n">
        <v>45811</v>
      </c>
      <c r="C10766" s="1" t="n">
        <v>45832</v>
      </c>
      <c r="D10766" t="inlineStr">
        <is>
          <t>KRONOBERGS LÄN</t>
        </is>
      </c>
      <c r="E10766" t="inlineStr">
        <is>
          <t>UPPVIDINGE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26969-2025</t>
        </is>
      </c>
      <c r="B10767" s="1" t="n">
        <v>45811</v>
      </c>
      <c r="C10767" s="1" t="n">
        <v>45832</v>
      </c>
      <c r="D10767" t="inlineStr">
        <is>
          <t>KRONOBERGS LÄN</t>
        </is>
      </c>
      <c r="E10767" t="inlineStr">
        <is>
          <t>ALVESTA</t>
        </is>
      </c>
      <c r="G10767" t="n">
        <v>2.9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26972-2025</t>
        </is>
      </c>
      <c r="B10768" s="1" t="n">
        <v>45811</v>
      </c>
      <c r="C10768" s="1" t="n">
        <v>45832</v>
      </c>
      <c r="D10768" t="inlineStr">
        <is>
          <t>KRONOBERGS LÄN</t>
        </is>
      </c>
      <c r="E10768" t="inlineStr">
        <is>
          <t>LJUNGBY</t>
        </is>
      </c>
      <c r="G10768" t="n">
        <v>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26974-2025</t>
        </is>
      </c>
      <c r="B10769" s="1" t="n">
        <v>45811</v>
      </c>
      <c r="C10769" s="1" t="n">
        <v>45832</v>
      </c>
      <c r="D10769" t="inlineStr">
        <is>
          <t>KRONOBERGS LÄN</t>
        </is>
      </c>
      <c r="E10769" t="inlineStr">
        <is>
          <t>ALVESTA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26975-2025</t>
        </is>
      </c>
      <c r="B10770" s="1" t="n">
        <v>45811</v>
      </c>
      <c r="C10770" s="1" t="n">
        <v>45832</v>
      </c>
      <c r="D10770" t="inlineStr">
        <is>
          <t>KRONOBERGS LÄN</t>
        </is>
      </c>
      <c r="E10770" t="inlineStr">
        <is>
          <t>LJUNGBY</t>
        </is>
      </c>
      <c r="G10770" t="n">
        <v>5.5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26983-2025</t>
        </is>
      </c>
      <c r="B10771" s="1" t="n">
        <v>45811</v>
      </c>
      <c r="C10771" s="1" t="n">
        <v>45832</v>
      </c>
      <c r="D10771" t="inlineStr">
        <is>
          <t>KRONOBERGS LÄN</t>
        </is>
      </c>
      <c r="E10771" t="inlineStr">
        <is>
          <t>TINGSRYD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26971-2025</t>
        </is>
      </c>
      <c r="B10772" s="1" t="n">
        <v>45811</v>
      </c>
      <c r="C10772" s="1" t="n">
        <v>45832</v>
      </c>
      <c r="D10772" t="inlineStr">
        <is>
          <t>KRONOBERGS LÄN</t>
        </is>
      </c>
      <c r="E10772" t="inlineStr">
        <is>
          <t>ALVESTA</t>
        </is>
      </c>
      <c r="G10772" t="n">
        <v>1.8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27004-2025</t>
        </is>
      </c>
      <c r="B10773" s="1" t="n">
        <v>45811</v>
      </c>
      <c r="C10773" s="1" t="n">
        <v>45832</v>
      </c>
      <c r="D10773" t="inlineStr">
        <is>
          <t>KRONOBERGS LÄN</t>
        </is>
      </c>
      <c r="E10773" t="inlineStr">
        <is>
          <t>LJUNGBY</t>
        </is>
      </c>
      <c r="G10773" t="n">
        <v>3.8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26926-2025</t>
        </is>
      </c>
      <c r="B10774" s="1" t="n">
        <v>45811</v>
      </c>
      <c r="C10774" s="1" t="n">
        <v>45832</v>
      </c>
      <c r="D10774" t="inlineStr">
        <is>
          <t>KRONOBERGS LÄN</t>
        </is>
      </c>
      <c r="E10774" t="inlineStr">
        <is>
          <t>LJUNGBY</t>
        </is>
      </c>
      <c r="G10774" t="n">
        <v>2.2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27127-2025</t>
        </is>
      </c>
      <c r="B10775" s="1" t="n">
        <v>45811</v>
      </c>
      <c r="C10775" s="1" t="n">
        <v>45832</v>
      </c>
      <c r="D10775" t="inlineStr">
        <is>
          <t>KRONOBERGS LÄN</t>
        </is>
      </c>
      <c r="E10775" t="inlineStr">
        <is>
          <t>MARKARYD</t>
        </is>
      </c>
      <c r="F10775" t="inlineStr">
        <is>
          <t>Kyrkan</t>
        </is>
      </c>
      <c r="G10775" t="n">
        <v>7.2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26957-2025</t>
        </is>
      </c>
      <c r="B10776" s="1" t="n">
        <v>45811</v>
      </c>
      <c r="C10776" s="1" t="n">
        <v>45832</v>
      </c>
      <c r="D10776" t="inlineStr">
        <is>
          <t>KRONOBERGS LÄN</t>
        </is>
      </c>
      <c r="E10776" t="inlineStr">
        <is>
          <t>LJUNGBY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27334-2025</t>
        </is>
      </c>
      <c r="B10777" s="1" t="n">
        <v>45812</v>
      </c>
      <c r="C10777" s="1" t="n">
        <v>45832</v>
      </c>
      <c r="D10777" t="inlineStr">
        <is>
          <t>KRONOBERGS LÄN</t>
        </is>
      </c>
      <c r="E10777" t="inlineStr">
        <is>
          <t>ÄLMHULT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27424-2025</t>
        </is>
      </c>
      <c r="B10778" s="1" t="n">
        <v>45813</v>
      </c>
      <c r="C10778" s="1" t="n">
        <v>45832</v>
      </c>
      <c r="D10778" t="inlineStr">
        <is>
          <t>KRONOBERGS LÄN</t>
        </is>
      </c>
      <c r="E10778" t="inlineStr">
        <is>
          <t>ÄLMHULT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27318-2025</t>
        </is>
      </c>
      <c r="B10779" s="1" t="n">
        <v>45812</v>
      </c>
      <c r="C10779" s="1" t="n">
        <v>45832</v>
      </c>
      <c r="D10779" t="inlineStr">
        <is>
          <t>KRONOBERGS LÄN</t>
        </is>
      </c>
      <c r="E10779" t="inlineStr">
        <is>
          <t>LJUNGBY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27423-2025</t>
        </is>
      </c>
      <c r="B10780" s="1" t="n">
        <v>45813</v>
      </c>
      <c r="C10780" s="1" t="n">
        <v>45832</v>
      </c>
      <c r="D10780" t="inlineStr">
        <is>
          <t>KRONOBERGS LÄN</t>
        </is>
      </c>
      <c r="E10780" t="inlineStr">
        <is>
          <t>ÄLMHULT</t>
        </is>
      </c>
      <c r="G10780" t="n">
        <v>5.5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27266-2025</t>
        </is>
      </c>
      <c r="B10781" s="1" t="n">
        <v>45812</v>
      </c>
      <c r="C10781" s="1" t="n">
        <v>45832</v>
      </c>
      <c r="D10781" t="inlineStr">
        <is>
          <t>KRONOBERGS LÄN</t>
        </is>
      </c>
      <c r="E10781" t="inlineStr">
        <is>
          <t>VÄXJÖ</t>
        </is>
      </c>
      <c r="G10781" t="n">
        <v>2.3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45832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27846-2025</t>
        </is>
      </c>
      <c r="B10783" s="1" t="n">
        <v>45817</v>
      </c>
      <c r="C10783" s="1" t="n">
        <v>45832</v>
      </c>
      <c r="D10783" t="inlineStr">
        <is>
          <t>KRONOBERGS LÄN</t>
        </is>
      </c>
      <c r="E10783" t="inlineStr">
        <is>
          <t>LJUNGBY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28036-2025</t>
        </is>
      </c>
      <c r="B10784" s="1" t="n">
        <v>45817</v>
      </c>
      <c r="C10784" s="1" t="n">
        <v>45832</v>
      </c>
      <c r="D10784" t="inlineStr">
        <is>
          <t>KRONOBERGS LÄN</t>
        </is>
      </c>
      <c r="E10784" t="inlineStr">
        <is>
          <t>VÄXJÖ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28035-2025</t>
        </is>
      </c>
      <c r="B10785" s="1" t="n">
        <v>45817</v>
      </c>
      <c r="C10785" s="1" t="n">
        <v>45832</v>
      </c>
      <c r="D10785" t="inlineStr">
        <is>
          <t>KRONOBERGS LÄN</t>
        </is>
      </c>
      <c r="E10785" t="inlineStr">
        <is>
          <t>ÄLMHULT</t>
        </is>
      </c>
      <c r="G10785" t="n">
        <v>6.2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27849-2025</t>
        </is>
      </c>
      <c r="B10786" s="1" t="n">
        <v>45817</v>
      </c>
      <c r="C10786" s="1" t="n">
        <v>45832</v>
      </c>
      <c r="D10786" t="inlineStr">
        <is>
          <t>KRONOBERGS LÄN</t>
        </is>
      </c>
      <c r="E10786" t="inlineStr">
        <is>
          <t>LJUNGBY</t>
        </is>
      </c>
      <c r="G10786" t="n">
        <v>3.1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27942-2025</t>
        </is>
      </c>
      <c r="B10787" s="1" t="n">
        <v>45817</v>
      </c>
      <c r="C10787" s="1" t="n">
        <v>45832</v>
      </c>
      <c r="D10787" t="inlineStr">
        <is>
          <t>KRONOBERGS LÄN</t>
        </is>
      </c>
      <c r="E10787" t="inlineStr">
        <is>
          <t>ÄLMHULT</t>
        </is>
      </c>
      <c r="G10787" t="n">
        <v>1.2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27972-2025</t>
        </is>
      </c>
      <c r="B10788" s="1" t="n">
        <v>45817</v>
      </c>
      <c r="C10788" s="1" t="n">
        <v>45832</v>
      </c>
      <c r="D10788" t="inlineStr">
        <is>
          <t>KRONOBERGS LÄN</t>
        </is>
      </c>
      <c r="E10788" t="inlineStr">
        <is>
          <t>LJUNGBY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28081-2025</t>
        </is>
      </c>
      <c r="B10789" s="1" t="n">
        <v>45817</v>
      </c>
      <c r="C10789" s="1" t="n">
        <v>45832</v>
      </c>
      <c r="D10789" t="inlineStr">
        <is>
          <t>KRONOBERGS LÄN</t>
        </is>
      </c>
      <c r="E10789" t="inlineStr">
        <is>
          <t>VÄXJÖ</t>
        </is>
      </c>
      <c r="G10789" t="n">
        <v>0.5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28227-2025</t>
        </is>
      </c>
      <c r="B10790" s="1" t="n">
        <v>45818</v>
      </c>
      <c r="C10790" s="1" t="n">
        <v>45832</v>
      </c>
      <c r="D10790" t="inlineStr">
        <is>
          <t>KRONOBERGS LÄN</t>
        </is>
      </c>
      <c r="E10790" t="inlineStr">
        <is>
          <t>LJUNGBY</t>
        </is>
      </c>
      <c r="G10790" t="n">
        <v>3.6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28335-2025</t>
        </is>
      </c>
      <c r="B10791" s="1" t="n">
        <v>45818</v>
      </c>
      <c r="C10791" s="1" t="n">
        <v>45832</v>
      </c>
      <c r="D10791" t="inlineStr">
        <is>
          <t>KRONOBERGS LÄN</t>
        </is>
      </c>
      <c r="E10791" t="inlineStr">
        <is>
          <t>LJUNGBY</t>
        </is>
      </c>
      <c r="G10791" t="n">
        <v>1.1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28148-2025</t>
        </is>
      </c>
      <c r="B10792" s="1" t="n">
        <v>45818</v>
      </c>
      <c r="C10792" s="1" t="n">
        <v>45832</v>
      </c>
      <c r="D10792" t="inlineStr">
        <is>
          <t>KRONOBERGS LÄN</t>
        </is>
      </c>
      <c r="E10792" t="inlineStr">
        <is>
          <t>UPPVIDINGE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28225-2025</t>
        </is>
      </c>
      <c r="B10793" s="1" t="n">
        <v>45818</v>
      </c>
      <c r="C10793" s="1" t="n">
        <v>45832</v>
      </c>
      <c r="D10793" t="inlineStr">
        <is>
          <t>KRONOBERGS LÄN</t>
        </is>
      </c>
      <c r="E10793" t="inlineStr">
        <is>
          <t>ALVESTA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28334-2025</t>
        </is>
      </c>
      <c r="B10794" s="1" t="n">
        <v>45818</v>
      </c>
      <c r="C10794" s="1" t="n">
        <v>45832</v>
      </c>
      <c r="D10794" t="inlineStr">
        <is>
          <t>KRONOBERGS LÄN</t>
        </is>
      </c>
      <c r="E10794" t="inlineStr">
        <is>
          <t>LJUNGBY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28165-2025</t>
        </is>
      </c>
      <c r="B10795" s="1" t="n">
        <v>45818</v>
      </c>
      <c r="C10795" s="1" t="n">
        <v>45832</v>
      </c>
      <c r="D10795" t="inlineStr">
        <is>
          <t>KRONOBERGS LÄN</t>
        </is>
      </c>
      <c r="E10795" t="inlineStr">
        <is>
          <t>VÄXJÖ</t>
        </is>
      </c>
      <c r="G10795" t="n">
        <v>3.5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28292-2025</t>
        </is>
      </c>
      <c r="B10796" s="1" t="n">
        <v>45818</v>
      </c>
      <c r="C10796" s="1" t="n">
        <v>45832</v>
      </c>
      <c r="D10796" t="inlineStr">
        <is>
          <t>KRONOBERGS LÄN</t>
        </is>
      </c>
      <c r="E10796" t="inlineStr">
        <is>
          <t>MARKARYD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28176-2025</t>
        </is>
      </c>
      <c r="B10797" s="1" t="n">
        <v>45818</v>
      </c>
      <c r="C10797" s="1" t="n">
        <v>45832</v>
      </c>
      <c r="D10797" t="inlineStr">
        <is>
          <t>KRONOBERGS LÄN</t>
        </is>
      </c>
      <c r="E10797" t="inlineStr">
        <is>
          <t>VÄXJÖ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28301-2025</t>
        </is>
      </c>
      <c r="B10798" s="1" t="n">
        <v>45818</v>
      </c>
      <c r="C10798" s="1" t="n">
        <v>45832</v>
      </c>
      <c r="D10798" t="inlineStr">
        <is>
          <t>KRONOBERGS LÄN</t>
        </is>
      </c>
      <c r="E10798" t="inlineStr">
        <is>
          <t>ÄLMHULT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28171-2025</t>
        </is>
      </c>
      <c r="B10799" s="1" t="n">
        <v>45818</v>
      </c>
      <c r="C10799" s="1" t="n">
        <v>45832</v>
      </c>
      <c r="D10799" t="inlineStr">
        <is>
          <t>KRONOBERGS LÄN</t>
        </is>
      </c>
      <c r="E10799" t="inlineStr">
        <is>
          <t>VÄXJÖ</t>
        </is>
      </c>
      <c r="G10799" t="n">
        <v>19.3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28174-2025</t>
        </is>
      </c>
      <c r="B10800" s="1" t="n">
        <v>45818</v>
      </c>
      <c r="C10800" s="1" t="n">
        <v>45832</v>
      </c>
      <c r="D10800" t="inlineStr">
        <is>
          <t>KRONOBERGS LÄN</t>
        </is>
      </c>
      <c r="E10800" t="inlineStr">
        <is>
          <t>VÄXJÖ</t>
        </is>
      </c>
      <c r="G10800" t="n">
        <v>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28177-2025</t>
        </is>
      </c>
      <c r="B10801" s="1" t="n">
        <v>45818</v>
      </c>
      <c r="C10801" s="1" t="n">
        <v>45832</v>
      </c>
      <c r="D10801" t="inlineStr">
        <is>
          <t>KRONOBERGS LÄN</t>
        </is>
      </c>
      <c r="E10801" t="inlineStr">
        <is>
          <t>ÄLMHULT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28490-2025</t>
        </is>
      </c>
      <c r="B10802" s="1" t="n">
        <v>45819</v>
      </c>
      <c r="C10802" s="1" t="n">
        <v>45832</v>
      </c>
      <c r="D10802" t="inlineStr">
        <is>
          <t>KRONOBERGS LÄN</t>
        </is>
      </c>
      <c r="E10802" t="inlineStr">
        <is>
          <t>UPPVIDINGE</t>
        </is>
      </c>
      <c r="G10802" t="n">
        <v>1.7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28666-2025</t>
        </is>
      </c>
      <c r="B10803" s="1" t="n">
        <v>45819</v>
      </c>
      <c r="C10803" s="1" t="n">
        <v>45832</v>
      </c>
      <c r="D10803" t="inlineStr">
        <is>
          <t>KRONOBERGS LÄN</t>
        </is>
      </c>
      <c r="E10803" t="inlineStr">
        <is>
          <t>ÄLMHULT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28641-2025</t>
        </is>
      </c>
      <c r="B10804" s="1" t="n">
        <v>45819</v>
      </c>
      <c r="C10804" s="1" t="n">
        <v>45832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28391-2025</t>
        </is>
      </c>
      <c r="B10805" s="1" t="n">
        <v>45819</v>
      </c>
      <c r="C10805" s="1" t="n">
        <v>45832</v>
      </c>
      <c r="D10805" t="inlineStr">
        <is>
          <t>KRONOBERGS LÄN</t>
        </is>
      </c>
      <c r="E10805" t="inlineStr">
        <is>
          <t>UPPVIDINGE</t>
        </is>
      </c>
      <c r="F10805" t="inlineStr">
        <is>
          <t>Sveaskog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45832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28642-2025</t>
        </is>
      </c>
      <c r="B10807" s="1" t="n">
        <v>45819</v>
      </c>
      <c r="C10807" s="1" t="n">
        <v>45832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45832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28904-2025</t>
        </is>
      </c>
      <c r="B10809" s="1" t="n">
        <v>45820</v>
      </c>
      <c r="C10809" s="1" t="n">
        <v>45832</v>
      </c>
      <c r="D10809" t="inlineStr">
        <is>
          <t>KRONOBERGS LÄN</t>
        </is>
      </c>
      <c r="E10809" t="inlineStr">
        <is>
          <t>VÄXJÖ</t>
        </is>
      </c>
      <c r="G10809" t="n">
        <v>3.6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28947-2025</t>
        </is>
      </c>
      <c r="B10810" s="1" t="n">
        <v>45820</v>
      </c>
      <c r="C10810" s="1" t="n">
        <v>45832</v>
      </c>
      <c r="D10810" t="inlineStr">
        <is>
          <t>KRONOBERGS LÄN</t>
        </is>
      </c>
      <c r="E10810" t="inlineStr">
        <is>
          <t>TINGSRYD</t>
        </is>
      </c>
      <c r="F10810" t="inlineStr">
        <is>
          <t>Sveaskog</t>
        </is>
      </c>
      <c r="G10810" t="n">
        <v>1.8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28889-2025</t>
        </is>
      </c>
      <c r="B10811" s="1" t="n">
        <v>45820</v>
      </c>
      <c r="C10811" s="1" t="n">
        <v>45832</v>
      </c>
      <c r="D10811" t="inlineStr">
        <is>
          <t>KRONOBERGS LÄN</t>
        </is>
      </c>
      <c r="E10811" t="inlineStr">
        <is>
          <t>LJUNGBY</t>
        </is>
      </c>
      <c r="F10811" t="inlineStr">
        <is>
          <t>Kyrkan</t>
        </is>
      </c>
      <c r="G10811" t="n">
        <v>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28795-2025</t>
        </is>
      </c>
      <c r="B10812" s="1" t="n">
        <v>45820</v>
      </c>
      <c r="C10812" s="1" t="n">
        <v>45832</v>
      </c>
      <c r="D10812" t="inlineStr">
        <is>
          <t>KRONOBERGS LÄN</t>
        </is>
      </c>
      <c r="E10812" t="inlineStr">
        <is>
          <t>ALVESTA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28732-2025</t>
        </is>
      </c>
      <c r="B10813" s="1" t="n">
        <v>45820</v>
      </c>
      <c r="C10813" s="1" t="n">
        <v>45832</v>
      </c>
      <c r="D10813" t="inlineStr">
        <is>
          <t>KRONOBERGS LÄN</t>
        </is>
      </c>
      <c r="E10813" t="inlineStr">
        <is>
          <t>TINGSRYD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28794-2025</t>
        </is>
      </c>
      <c r="B10814" s="1" t="n">
        <v>45820</v>
      </c>
      <c r="C10814" s="1" t="n">
        <v>45832</v>
      </c>
      <c r="D10814" t="inlineStr">
        <is>
          <t>KRONOBERGS LÄN</t>
        </is>
      </c>
      <c r="E10814" t="inlineStr">
        <is>
          <t>LESSEBO</t>
        </is>
      </c>
      <c r="G10814" t="n">
        <v>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28801-2025</t>
        </is>
      </c>
      <c r="B10815" s="1" t="n">
        <v>45820</v>
      </c>
      <c r="C10815" s="1" t="n">
        <v>45832</v>
      </c>
      <c r="D10815" t="inlineStr">
        <is>
          <t>KRONOBERGS LÄN</t>
        </is>
      </c>
      <c r="E10815" t="inlineStr">
        <is>
          <t>VÄXJÖ</t>
        </is>
      </c>
      <c r="G10815" t="n">
        <v>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29163-2025</t>
        </is>
      </c>
      <c r="B10816" s="1" t="n">
        <v>45821</v>
      </c>
      <c r="C10816" s="1" t="n">
        <v>45832</v>
      </c>
      <c r="D10816" t="inlineStr">
        <is>
          <t>KRONOBERGS LÄN</t>
        </is>
      </c>
      <c r="E10816" t="inlineStr">
        <is>
          <t>ALVESTA</t>
        </is>
      </c>
      <c r="G10816" t="n">
        <v>5.6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45832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28965-2025</t>
        </is>
      </c>
      <c r="B10818" s="1" t="n">
        <v>45821</v>
      </c>
      <c r="C10818" s="1" t="n">
        <v>45832</v>
      </c>
      <c r="D10818" t="inlineStr">
        <is>
          <t>KRONOBERGS LÄN</t>
        </is>
      </c>
      <c r="E10818" t="inlineStr">
        <is>
          <t>TINGSRYD</t>
        </is>
      </c>
      <c r="G10818" t="n">
        <v>8.9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45832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29461-2025</t>
        </is>
      </c>
      <c r="B10820" s="1" t="n">
        <v>45824</v>
      </c>
      <c r="C10820" s="1" t="n">
        <v>45832</v>
      </c>
      <c r="D10820" t="inlineStr">
        <is>
          <t>KRONOBERGS LÄN</t>
        </is>
      </c>
      <c r="E10820" t="inlineStr">
        <is>
          <t>ALVESTA</t>
        </is>
      </c>
      <c r="G10820" t="n">
        <v>6.3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29479-2025</t>
        </is>
      </c>
      <c r="B10821" s="1" t="n">
        <v>45824</v>
      </c>
      <c r="C10821" s="1" t="n">
        <v>45832</v>
      </c>
      <c r="D10821" t="inlineStr">
        <is>
          <t>KRONOBERGS LÄN</t>
        </is>
      </c>
      <c r="E10821" t="inlineStr">
        <is>
          <t>ÄLMHULT</t>
        </is>
      </c>
      <c r="G10821" t="n">
        <v>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29322-2025</t>
        </is>
      </c>
      <c r="B10822" s="1" t="n">
        <v>45824</v>
      </c>
      <c r="C10822" s="1" t="n">
        <v>45832</v>
      </c>
      <c r="D10822" t="inlineStr">
        <is>
          <t>KRONOBERGS LÄN</t>
        </is>
      </c>
      <c r="E10822" t="inlineStr">
        <is>
          <t>MARKARYD</t>
        </is>
      </c>
      <c r="G10822" t="n">
        <v>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29331-2025</t>
        </is>
      </c>
      <c r="B10823" s="1" t="n">
        <v>45824</v>
      </c>
      <c r="C10823" s="1" t="n">
        <v>45832</v>
      </c>
      <c r="D10823" t="inlineStr">
        <is>
          <t>KRONOBERGS LÄN</t>
        </is>
      </c>
      <c r="E10823" t="inlineStr">
        <is>
          <t>UPPVIDINGE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29399-2025</t>
        </is>
      </c>
      <c r="B10824" s="1" t="n">
        <v>45824</v>
      </c>
      <c r="C10824" s="1" t="n">
        <v>45832</v>
      </c>
      <c r="D10824" t="inlineStr">
        <is>
          <t>KRONOBERGS LÄN</t>
        </is>
      </c>
      <c r="E10824" t="inlineStr">
        <is>
          <t>ALVESTA</t>
        </is>
      </c>
      <c r="G10824" t="n">
        <v>5.7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29326-2025</t>
        </is>
      </c>
      <c r="B10825" s="1" t="n">
        <v>45824</v>
      </c>
      <c r="C10825" s="1" t="n">
        <v>45832</v>
      </c>
      <c r="D10825" t="inlineStr">
        <is>
          <t>KRONOBERGS LÄN</t>
        </is>
      </c>
      <c r="E10825" t="inlineStr">
        <is>
          <t>VÄXJÖ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29313-2025</t>
        </is>
      </c>
      <c r="B10826" s="1" t="n">
        <v>45824</v>
      </c>
      <c r="C10826" s="1" t="n">
        <v>45832</v>
      </c>
      <c r="D10826" t="inlineStr">
        <is>
          <t>KRONOBERGS LÄN</t>
        </is>
      </c>
      <c r="E10826" t="inlineStr">
        <is>
          <t>ALVESTA</t>
        </is>
      </c>
      <c r="G10826" t="n">
        <v>2.7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29408-2025</t>
        </is>
      </c>
      <c r="B10827" s="1" t="n">
        <v>45824</v>
      </c>
      <c r="C10827" s="1" t="n">
        <v>45832</v>
      </c>
      <c r="D10827" t="inlineStr">
        <is>
          <t>KRONOBERGS LÄN</t>
        </is>
      </c>
      <c r="E10827" t="inlineStr">
        <is>
          <t>LJUNGBY</t>
        </is>
      </c>
      <c r="G10827" t="n">
        <v>0.5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29406-2025</t>
        </is>
      </c>
      <c r="B10828" s="1" t="n">
        <v>45824</v>
      </c>
      <c r="C10828" s="1" t="n">
        <v>45832</v>
      </c>
      <c r="D10828" t="inlineStr">
        <is>
          <t>KRONOBERGS LÄN</t>
        </is>
      </c>
      <c r="E10828" t="inlineStr">
        <is>
          <t>LJUNGBY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29356-2025</t>
        </is>
      </c>
      <c r="B10829" s="1" t="n">
        <v>45824</v>
      </c>
      <c r="C10829" s="1" t="n">
        <v>45832</v>
      </c>
      <c r="D10829" t="inlineStr">
        <is>
          <t>KRONOBERGS LÄN</t>
        </is>
      </c>
      <c r="E10829" t="inlineStr">
        <is>
          <t>LJUNGBY</t>
        </is>
      </c>
      <c r="G10829" t="n">
        <v>1.5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29439-2025</t>
        </is>
      </c>
      <c r="B10830" s="1" t="n">
        <v>45824</v>
      </c>
      <c r="C10830" s="1" t="n">
        <v>45832</v>
      </c>
      <c r="D10830" t="inlineStr">
        <is>
          <t>KRONOBERGS LÄN</t>
        </is>
      </c>
      <c r="E10830" t="inlineStr">
        <is>
          <t>MARKARYD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29324-2025</t>
        </is>
      </c>
      <c r="B10831" s="1" t="n">
        <v>45824</v>
      </c>
      <c r="C10831" s="1" t="n">
        <v>45832</v>
      </c>
      <c r="D10831" t="inlineStr">
        <is>
          <t>KRONOBERGS LÄN</t>
        </is>
      </c>
      <c r="E10831" t="inlineStr">
        <is>
          <t>VÄXJÖ</t>
        </is>
      </c>
      <c r="G10831" t="n">
        <v>2.2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29799-2025</t>
        </is>
      </c>
      <c r="B10832" s="1" t="n">
        <v>45825</v>
      </c>
      <c r="C10832" s="1" t="n">
        <v>45832</v>
      </c>
      <c r="D10832" t="inlineStr">
        <is>
          <t>KRONOBERGS LÄN</t>
        </is>
      </c>
      <c r="E10832" t="inlineStr">
        <is>
          <t>VÄXJÖ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29785-2025</t>
        </is>
      </c>
      <c r="B10833" s="1" t="n">
        <v>45825</v>
      </c>
      <c r="C10833" s="1" t="n">
        <v>45832</v>
      </c>
      <c r="D10833" t="inlineStr">
        <is>
          <t>KRONOBERGS LÄN</t>
        </is>
      </c>
      <c r="E10833" t="inlineStr">
        <is>
          <t>LJUNGBY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29602-2025</t>
        </is>
      </c>
      <c r="B10834" s="1" t="n">
        <v>45825</v>
      </c>
      <c r="C10834" s="1" t="n">
        <v>45832</v>
      </c>
      <c r="D10834" t="inlineStr">
        <is>
          <t>KRONOBERGS LÄN</t>
        </is>
      </c>
      <c r="E10834" t="inlineStr">
        <is>
          <t>TINGSRYD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29659-2025</t>
        </is>
      </c>
      <c r="B10835" s="1" t="n">
        <v>45825</v>
      </c>
      <c r="C10835" s="1" t="n">
        <v>45832</v>
      </c>
      <c r="D10835" t="inlineStr">
        <is>
          <t>KRONOBERGS LÄN</t>
        </is>
      </c>
      <c r="E10835" t="inlineStr">
        <is>
          <t>LESSEBO</t>
        </is>
      </c>
      <c r="G10835" t="n">
        <v>3.3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29643-2025</t>
        </is>
      </c>
      <c r="B10836" s="1" t="n">
        <v>45825</v>
      </c>
      <c r="C10836" s="1" t="n">
        <v>45832</v>
      </c>
      <c r="D10836" t="inlineStr">
        <is>
          <t>KRONOBERGS LÄN</t>
        </is>
      </c>
      <c r="E10836" t="inlineStr">
        <is>
          <t>UPPVIDINGE</t>
        </is>
      </c>
      <c r="G10836" t="n">
        <v>3.8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29758-2025</t>
        </is>
      </c>
      <c r="B10837" s="1" t="n">
        <v>45825</v>
      </c>
      <c r="C10837" s="1" t="n">
        <v>45832</v>
      </c>
      <c r="D10837" t="inlineStr">
        <is>
          <t>KRONOBERGS LÄN</t>
        </is>
      </c>
      <c r="E10837" t="inlineStr">
        <is>
          <t>ALVESTA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29803-2025</t>
        </is>
      </c>
      <c r="B10838" s="1" t="n">
        <v>45825</v>
      </c>
      <c r="C10838" s="1" t="n">
        <v>45832</v>
      </c>
      <c r="D10838" t="inlineStr">
        <is>
          <t>KRONOBERGS LÄN</t>
        </is>
      </c>
      <c r="E10838" t="inlineStr">
        <is>
          <t>TINGSRYD</t>
        </is>
      </c>
      <c r="G10838" t="n">
        <v>3.6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29749-2025</t>
        </is>
      </c>
      <c r="B10839" s="1" t="n">
        <v>45825</v>
      </c>
      <c r="C10839" s="1" t="n">
        <v>45832</v>
      </c>
      <c r="D10839" t="inlineStr">
        <is>
          <t>KRONOBERGS LÄN</t>
        </is>
      </c>
      <c r="E10839" t="inlineStr">
        <is>
          <t>ALVESTA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29582-2025</t>
        </is>
      </c>
      <c r="B10840" s="1" t="n">
        <v>45825</v>
      </c>
      <c r="C10840" s="1" t="n">
        <v>45832</v>
      </c>
      <c r="D10840" t="inlineStr">
        <is>
          <t>KRONOBERGS LÄN</t>
        </is>
      </c>
      <c r="E10840" t="inlineStr">
        <is>
          <t>VÄXJÖ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29592-2025</t>
        </is>
      </c>
      <c r="B10841" s="1" t="n">
        <v>45825</v>
      </c>
      <c r="C10841" s="1" t="n">
        <v>45832</v>
      </c>
      <c r="D10841" t="inlineStr">
        <is>
          <t>KRONOBERGS LÄN</t>
        </is>
      </c>
      <c r="E10841" t="inlineStr">
        <is>
          <t>UPPVIDINGE</t>
        </is>
      </c>
      <c r="G10841" t="n">
        <v>1.7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29804-2025</t>
        </is>
      </c>
      <c r="B10842" s="1" t="n">
        <v>45825</v>
      </c>
      <c r="C10842" s="1" t="n">
        <v>45832</v>
      </c>
      <c r="D10842" t="inlineStr">
        <is>
          <t>KRONOBERGS LÄN</t>
        </is>
      </c>
      <c r="E10842" t="inlineStr">
        <is>
          <t>TINGSRYD</t>
        </is>
      </c>
      <c r="G10842" t="n">
        <v>1.9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29629-2025</t>
        </is>
      </c>
      <c r="B10843" s="1" t="n">
        <v>45825</v>
      </c>
      <c r="C10843" s="1" t="n">
        <v>45832</v>
      </c>
      <c r="D10843" t="inlineStr">
        <is>
          <t>KRONOBERGS LÄN</t>
        </is>
      </c>
      <c r="E10843" t="inlineStr">
        <is>
          <t>TINGSRYD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29734-2025</t>
        </is>
      </c>
      <c r="B10844" s="1" t="n">
        <v>45825</v>
      </c>
      <c r="C10844" s="1" t="n">
        <v>45832</v>
      </c>
      <c r="D10844" t="inlineStr">
        <is>
          <t>KRONOBERGS LÄN</t>
        </is>
      </c>
      <c r="E10844" t="inlineStr">
        <is>
          <t>UPPVIDINGE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29915-2025</t>
        </is>
      </c>
      <c r="B10845" s="1" t="n">
        <v>45826</v>
      </c>
      <c r="C10845" s="1" t="n">
        <v>45832</v>
      </c>
      <c r="D10845" t="inlineStr">
        <is>
          <t>KRONOBERGS LÄN</t>
        </is>
      </c>
      <c r="E10845" t="inlineStr">
        <is>
          <t>LJUNGBY</t>
        </is>
      </c>
      <c r="G10845" t="n">
        <v>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29893-2025</t>
        </is>
      </c>
      <c r="B10846" s="1" t="n">
        <v>45826</v>
      </c>
      <c r="C10846" s="1" t="n">
        <v>45832</v>
      </c>
      <c r="D10846" t="inlineStr">
        <is>
          <t>KRONOBERGS LÄN</t>
        </is>
      </c>
      <c r="E10846" t="inlineStr">
        <is>
          <t>UPPVIDINGE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30144-2025</t>
        </is>
      </c>
      <c r="B10847" s="1" t="n">
        <v>45827</v>
      </c>
      <c r="C10847" s="1" t="n">
        <v>45832</v>
      </c>
      <c r="D10847" t="inlineStr">
        <is>
          <t>KRONOBERGS LÄN</t>
        </is>
      </c>
      <c r="E10847" t="inlineStr">
        <is>
          <t>MARKARYD</t>
        </is>
      </c>
      <c r="G10847" t="n">
        <v>1.7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30126-2025</t>
        </is>
      </c>
      <c r="B10848" s="1" t="n">
        <v>45826</v>
      </c>
      <c r="C10848" s="1" t="n">
        <v>45832</v>
      </c>
      <c r="D10848" t="inlineStr">
        <is>
          <t>KRONOBERGS LÄN</t>
        </is>
      </c>
      <c r="E10848" t="inlineStr">
        <is>
          <t>MARKARYD</t>
        </is>
      </c>
      <c r="F10848" t="inlineStr">
        <is>
          <t>Kyrkan</t>
        </is>
      </c>
      <c r="G10848" t="n">
        <v>3.4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30129-2025</t>
        </is>
      </c>
      <c r="B10849" s="1" t="n">
        <v>45826</v>
      </c>
      <c r="C10849" s="1" t="n">
        <v>45832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5.9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30131-2025</t>
        </is>
      </c>
      <c r="B10850" s="1" t="n">
        <v>45826</v>
      </c>
      <c r="C10850" s="1" t="n">
        <v>45832</v>
      </c>
      <c r="D10850" t="inlineStr">
        <is>
          <t>KRONOBERGS LÄN</t>
        </is>
      </c>
      <c r="E10850" t="inlineStr">
        <is>
          <t>ALVESTA</t>
        </is>
      </c>
      <c r="F10850" t="inlineStr">
        <is>
          <t>Kyrkan</t>
        </is>
      </c>
      <c r="G10850" t="n">
        <v>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30132-2025</t>
        </is>
      </c>
      <c r="B10851" s="1" t="n">
        <v>45826</v>
      </c>
      <c r="C10851" s="1" t="n">
        <v>45832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3.1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30110-2025</t>
        </is>
      </c>
      <c r="B10852" s="1" t="n">
        <v>45826</v>
      </c>
      <c r="C10852" s="1" t="n">
        <v>45832</v>
      </c>
      <c r="D10852" t="inlineStr">
        <is>
          <t>KRONOBERGS LÄN</t>
        </is>
      </c>
      <c r="E10852" t="inlineStr">
        <is>
          <t>LJUNGBY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30103-2025</t>
        </is>
      </c>
      <c r="B10853" s="1" t="n">
        <v>45826</v>
      </c>
      <c r="C10853" s="1" t="n">
        <v>45832</v>
      </c>
      <c r="D10853" t="inlineStr">
        <is>
          <t>KRONOBERGS LÄN</t>
        </is>
      </c>
      <c r="E10853" t="inlineStr">
        <is>
          <t>LJUNGBY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29989-2025</t>
        </is>
      </c>
      <c r="B10854" s="1" t="n">
        <v>45826</v>
      </c>
      <c r="C10854" s="1" t="n">
        <v>45832</v>
      </c>
      <c r="D10854" t="inlineStr">
        <is>
          <t>KRONOBERGS LÄN</t>
        </is>
      </c>
      <c r="E10854" t="inlineStr">
        <is>
          <t>UPPVIDINGE</t>
        </is>
      </c>
      <c r="G10854" t="n">
        <v>0.5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30127-2025</t>
        </is>
      </c>
      <c r="B10855" s="1" t="n">
        <v>45826</v>
      </c>
      <c r="C10855" s="1" t="n">
        <v>45832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6.5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30128-2025</t>
        </is>
      </c>
      <c r="B10856" s="1" t="n">
        <v>45826</v>
      </c>
      <c r="C10856" s="1" t="n">
        <v>45832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3.5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30130-2025</t>
        </is>
      </c>
      <c r="B10857" s="1" t="n">
        <v>45826</v>
      </c>
      <c r="C10857" s="1" t="n">
        <v>45832</v>
      </c>
      <c r="D10857" t="inlineStr">
        <is>
          <t>KRONOBERGS LÄN</t>
        </is>
      </c>
      <c r="E10857" t="inlineStr">
        <is>
          <t>VÄXJÖ</t>
        </is>
      </c>
      <c r="F10857" t="inlineStr">
        <is>
          <t>Kyrkan</t>
        </is>
      </c>
      <c r="G10857" t="n">
        <v>4.4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29959-2025</t>
        </is>
      </c>
      <c r="B10858" s="1" t="n">
        <v>45826</v>
      </c>
      <c r="C10858" s="1" t="n">
        <v>45832</v>
      </c>
      <c r="D10858" t="inlineStr">
        <is>
          <t>KRONOBERGS LÄN</t>
        </is>
      </c>
      <c r="E10858" t="inlineStr">
        <is>
          <t>LJUNGBY</t>
        </is>
      </c>
      <c r="G10858" t="n">
        <v>3.8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29980-2025</t>
        </is>
      </c>
      <c r="B10859" s="1" t="n">
        <v>45826</v>
      </c>
      <c r="C10859" s="1" t="n">
        <v>45832</v>
      </c>
      <c r="D10859" t="inlineStr">
        <is>
          <t>KRONOBERGS LÄN</t>
        </is>
      </c>
      <c r="E10859" t="inlineStr">
        <is>
          <t>UPPVIDINGE</t>
        </is>
      </c>
      <c r="G10859" t="n">
        <v>4.1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29992-2025</t>
        </is>
      </c>
      <c r="B10860" s="1" t="n">
        <v>45826</v>
      </c>
      <c r="C10860" s="1" t="n">
        <v>45832</v>
      </c>
      <c r="D10860" t="inlineStr">
        <is>
          <t>KRONOBERGS LÄN</t>
        </is>
      </c>
      <c r="E10860" t="inlineStr">
        <is>
          <t>UPPVIDINGE</t>
        </is>
      </c>
      <c r="G10860" t="n">
        <v>5.5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30410-2025</t>
        </is>
      </c>
      <c r="B10861" s="1" t="n">
        <v>45827</v>
      </c>
      <c r="C10861" s="1" t="n">
        <v>45832</v>
      </c>
      <c r="D10861" t="inlineStr">
        <is>
          <t>KRONOBERGS LÄN</t>
        </is>
      </c>
      <c r="E10861" t="inlineStr">
        <is>
          <t>ÄLMHULT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30419-2025</t>
        </is>
      </c>
      <c r="B10862" s="1" t="n">
        <v>45827</v>
      </c>
      <c r="C10862" s="1" t="n">
        <v>45832</v>
      </c>
      <c r="D10862" t="inlineStr">
        <is>
          <t>KRONOBERGS LÄN</t>
        </is>
      </c>
      <c r="E10862" t="inlineStr">
        <is>
          <t>MARKARYD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30321-2025</t>
        </is>
      </c>
      <c r="B10863" s="1" t="n">
        <v>45827</v>
      </c>
      <c r="C10863" s="1" t="n">
        <v>45832</v>
      </c>
      <c r="D10863" t="inlineStr">
        <is>
          <t>KRONOBERGS LÄN</t>
        </is>
      </c>
      <c r="E10863" t="inlineStr">
        <is>
          <t>VÄXJÖ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30322-2025</t>
        </is>
      </c>
      <c r="B10864" s="1" t="n">
        <v>45827</v>
      </c>
      <c r="C10864" s="1" t="n">
        <v>45832</v>
      </c>
      <c r="D10864" t="inlineStr">
        <is>
          <t>KRONOBERGS LÄN</t>
        </is>
      </c>
      <c r="E10864" t="inlineStr">
        <is>
          <t>ÄLMHULT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30222-2025</t>
        </is>
      </c>
      <c r="B10865" s="1" t="n">
        <v>45827</v>
      </c>
      <c r="C10865" s="1" t="n">
        <v>45832</v>
      </c>
      <c r="D10865" t="inlineStr">
        <is>
          <t>KRONOBERGS LÄN</t>
        </is>
      </c>
      <c r="E10865" t="inlineStr">
        <is>
          <t>ALVESTA</t>
        </is>
      </c>
      <c r="G10865" t="n">
        <v>0.5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30223-2025</t>
        </is>
      </c>
      <c r="B10866" s="1" t="n">
        <v>45827</v>
      </c>
      <c r="C10866" s="1" t="n">
        <v>45832</v>
      </c>
      <c r="D10866" t="inlineStr">
        <is>
          <t>KRONOBERGS LÄN</t>
        </is>
      </c>
      <c r="E10866" t="inlineStr">
        <is>
          <t>ALVESTA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30230-2025</t>
        </is>
      </c>
      <c r="B10867" s="1" t="n">
        <v>45827</v>
      </c>
      <c r="C10867" s="1" t="n">
        <v>45832</v>
      </c>
      <c r="D10867" t="inlineStr">
        <is>
          <t>KRONOBERGS LÄN</t>
        </is>
      </c>
      <c r="E10867" t="inlineStr">
        <is>
          <t>TINGSRYD</t>
        </is>
      </c>
      <c r="G10867" t="n">
        <v>1.1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30191-2025</t>
        </is>
      </c>
      <c r="B10868" s="1" t="n">
        <v>45827</v>
      </c>
      <c r="C10868" s="1" t="n">
        <v>45832</v>
      </c>
      <c r="D10868" t="inlineStr">
        <is>
          <t>KRONOBERGS LÄN</t>
        </is>
      </c>
      <c r="E10868" t="inlineStr">
        <is>
          <t>ALVESTA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30337-2025</t>
        </is>
      </c>
      <c r="B10869" s="1" t="n">
        <v>45827</v>
      </c>
      <c r="C10869" s="1" t="n">
        <v>45832</v>
      </c>
      <c r="D10869" t="inlineStr">
        <is>
          <t>KRONOBERGS LÄN</t>
        </is>
      </c>
      <c r="E10869" t="inlineStr">
        <is>
          <t>ÄLMHULT</t>
        </is>
      </c>
      <c r="G10869" t="n">
        <v>2.3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30367-2025</t>
        </is>
      </c>
      <c r="B10870" s="1" t="n">
        <v>45827</v>
      </c>
      <c r="C10870" s="1" t="n">
        <v>45832</v>
      </c>
      <c r="D10870" t="inlineStr">
        <is>
          <t>KRONOBERGS LÄN</t>
        </is>
      </c>
      <c r="E10870" t="inlineStr">
        <is>
          <t>VÄXJÖ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30374-2025</t>
        </is>
      </c>
      <c r="B10871" s="1" t="n">
        <v>45827</v>
      </c>
      <c r="C10871" s="1" t="n">
        <v>45832</v>
      </c>
      <c r="D10871" t="inlineStr">
        <is>
          <t>KRONOBERGS LÄN</t>
        </is>
      </c>
      <c r="E10871" t="inlineStr">
        <is>
          <t>VÄXJÖ</t>
        </is>
      </c>
      <c r="G10871" t="n">
        <v>1.3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30423-2025</t>
        </is>
      </c>
      <c r="B10872" s="1" t="n">
        <v>45827</v>
      </c>
      <c r="C10872" s="1" t="n">
        <v>45832</v>
      </c>
      <c r="D10872" t="inlineStr">
        <is>
          <t>KRONOBERGS LÄN</t>
        </is>
      </c>
      <c r="E10872" t="inlineStr">
        <is>
          <t>MARKARYD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30720-2025</t>
        </is>
      </c>
      <c r="B10873" s="1" t="n">
        <v>45831</v>
      </c>
      <c r="C10873" s="1" t="n">
        <v>45832</v>
      </c>
      <c r="D10873" t="inlineStr">
        <is>
          <t>KRONOBERGS LÄN</t>
        </is>
      </c>
      <c r="E10873" t="inlineStr">
        <is>
          <t>LJUNGBY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30771-2025</t>
        </is>
      </c>
      <c r="B10874" s="1" t="n">
        <v>45831</v>
      </c>
      <c r="C10874" s="1" t="n">
        <v>45832</v>
      </c>
      <c r="D10874" t="inlineStr">
        <is>
          <t>KRONOBERGS LÄN</t>
        </is>
      </c>
      <c r="E10874" t="inlineStr">
        <is>
          <t>LESSEBO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30815-2025</t>
        </is>
      </c>
      <c r="B10875" s="1" t="n">
        <v>45831</v>
      </c>
      <c r="C10875" s="1" t="n">
        <v>45832</v>
      </c>
      <c r="D10875" t="inlineStr">
        <is>
          <t>KRONOBERGS LÄN</t>
        </is>
      </c>
      <c r="E10875" t="inlineStr">
        <is>
          <t>UPPVIDINGE</t>
        </is>
      </c>
      <c r="G10875" t="n">
        <v>2.2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30523-2025</t>
        </is>
      </c>
      <c r="B10876" s="1" t="n">
        <v>45831</v>
      </c>
      <c r="C10876" s="1" t="n">
        <v>45832</v>
      </c>
      <c r="D10876" t="inlineStr">
        <is>
          <t>KRONOBERGS LÄN</t>
        </is>
      </c>
      <c r="E10876" t="inlineStr">
        <is>
          <t>LJUNGBY</t>
        </is>
      </c>
      <c r="G10876" t="n">
        <v>0.5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30527-2025</t>
        </is>
      </c>
      <c r="B10877" s="1" t="n">
        <v>45831</v>
      </c>
      <c r="C10877" s="1" t="n">
        <v>45832</v>
      </c>
      <c r="D10877" t="inlineStr">
        <is>
          <t>KRONOBERGS LÄN</t>
        </is>
      </c>
      <c r="E10877" t="inlineStr">
        <is>
          <t>LESSEBO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30533-2025</t>
        </is>
      </c>
      <c r="B10878" s="1" t="n">
        <v>45831</v>
      </c>
      <c r="C10878" s="1" t="n">
        <v>45832</v>
      </c>
      <c r="D10878" t="inlineStr">
        <is>
          <t>KRONOBERGS LÄN</t>
        </is>
      </c>
      <c r="E10878" t="inlineStr">
        <is>
          <t>UPPVIDINGE</t>
        </is>
      </c>
      <c r="G10878" t="n">
        <v>1.8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30547-2025</t>
        </is>
      </c>
      <c r="B10879" s="1" t="n">
        <v>45831</v>
      </c>
      <c r="C10879" s="1" t="n">
        <v>45832</v>
      </c>
      <c r="D10879" t="inlineStr">
        <is>
          <t>KRONOBERGS LÄN</t>
        </is>
      </c>
      <c r="E10879" t="inlineStr">
        <is>
          <t>UPPVIDINGE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30549-2025</t>
        </is>
      </c>
      <c r="B10880" s="1" t="n">
        <v>45831</v>
      </c>
      <c r="C10880" s="1" t="n">
        <v>45832</v>
      </c>
      <c r="D10880" t="inlineStr">
        <is>
          <t>KRONOBERGS LÄN</t>
        </is>
      </c>
      <c r="E10880" t="inlineStr">
        <is>
          <t>LJUNGBY</t>
        </is>
      </c>
      <c r="G10880" t="n">
        <v>2.9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30835-2025</t>
        </is>
      </c>
      <c r="B10881" s="1" t="n">
        <v>45831</v>
      </c>
      <c r="C10881" s="1" t="n">
        <v>45832</v>
      </c>
      <c r="D10881" t="inlineStr">
        <is>
          <t>KRONOBERGS LÄN</t>
        </is>
      </c>
      <c r="E10881" t="inlineStr">
        <is>
          <t>ÄLMHULT</t>
        </is>
      </c>
      <c r="G10881" t="n">
        <v>1.6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30627-2025</t>
        </is>
      </c>
      <c r="B10882" s="1" t="n">
        <v>45831</v>
      </c>
      <c r="C10882" s="1" t="n">
        <v>45832</v>
      </c>
      <c r="D10882" t="inlineStr">
        <is>
          <t>KRONOBERGS LÄN</t>
        </is>
      </c>
      <c r="E10882" t="inlineStr">
        <is>
          <t>VÄXJÖ</t>
        </is>
      </c>
      <c r="G10882" t="n">
        <v>1.8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30818-2025</t>
        </is>
      </c>
      <c r="B10883" s="1" t="n">
        <v>45831</v>
      </c>
      <c r="C10883" s="1" t="n">
        <v>45832</v>
      </c>
      <c r="D10883" t="inlineStr">
        <is>
          <t>KRONOBERGS LÄN</t>
        </is>
      </c>
      <c r="E10883" t="inlineStr">
        <is>
          <t>ÄLMHULT</t>
        </is>
      </c>
      <c r="G10883" t="n">
        <v>3.3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30842-2025</t>
        </is>
      </c>
      <c r="B10884" s="1" t="n">
        <v>45831</v>
      </c>
      <c r="C10884" s="1" t="n">
        <v>45832</v>
      </c>
      <c r="D10884" t="inlineStr">
        <is>
          <t>KRONOBERGS LÄN</t>
        </is>
      </c>
      <c r="E10884" t="inlineStr">
        <is>
          <t>TINGSRYD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30643-2025</t>
        </is>
      </c>
      <c r="B10885" s="1" t="n">
        <v>45831</v>
      </c>
      <c r="C10885" s="1" t="n">
        <v>45832</v>
      </c>
      <c r="D10885" t="inlineStr">
        <is>
          <t>KRONOBERGS LÄN</t>
        </is>
      </c>
      <c r="E10885" t="inlineStr">
        <is>
          <t>VÄXJÖ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30854-2025</t>
        </is>
      </c>
      <c r="B10886" s="1" t="n">
        <v>45831</v>
      </c>
      <c r="C10886" s="1" t="n">
        <v>45832</v>
      </c>
      <c r="D10886" t="inlineStr">
        <is>
          <t>KRONOBERGS LÄN</t>
        </is>
      </c>
      <c r="E10886" t="inlineStr">
        <is>
          <t>LJUNGBY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30801-2025</t>
        </is>
      </c>
      <c r="B10887" s="1" t="n">
        <v>45831</v>
      </c>
      <c r="C10887" s="1" t="n">
        <v>45832</v>
      </c>
      <c r="D10887" t="inlineStr">
        <is>
          <t>KRONOBERGS LÄN</t>
        </is>
      </c>
      <c r="E10887" t="inlineStr">
        <is>
          <t>ÄLMHULT</t>
        </is>
      </c>
      <c r="G10887" t="n">
        <v>2.6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30683-2025</t>
        </is>
      </c>
      <c r="B10888" s="1" t="n">
        <v>45831</v>
      </c>
      <c r="C10888" s="1" t="n">
        <v>45832</v>
      </c>
      <c r="D10888" t="inlineStr">
        <is>
          <t>KRONOBERGS LÄN</t>
        </is>
      </c>
      <c r="E10888" t="inlineStr">
        <is>
          <t>VÄXJÖ</t>
        </is>
      </c>
      <c r="G10888" t="n">
        <v>3.2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30538-2025</t>
        </is>
      </c>
      <c r="B10889" s="1" t="n">
        <v>45831</v>
      </c>
      <c r="C10889" s="1" t="n">
        <v>45832</v>
      </c>
      <c r="D10889" t="inlineStr">
        <is>
          <t>KRONOBERGS LÄN</t>
        </is>
      </c>
      <c r="E10889" t="inlineStr">
        <is>
          <t>LJUNGBY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30741-2025</t>
        </is>
      </c>
      <c r="B10890" s="1" t="n">
        <v>45831</v>
      </c>
      <c r="C10890" s="1" t="n">
        <v>45832</v>
      </c>
      <c r="D10890" t="inlineStr">
        <is>
          <t>KRONOBERGS LÄN</t>
        </is>
      </c>
      <c r="E10890" t="inlineStr">
        <is>
          <t>LJUNGBY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30545-2025</t>
        </is>
      </c>
      <c r="B10891" s="1" t="n">
        <v>45831</v>
      </c>
      <c r="C10891" s="1" t="n">
        <v>45832</v>
      </c>
      <c r="D10891" t="inlineStr">
        <is>
          <t>KRONOBERGS LÄN</t>
        </is>
      </c>
      <c r="E10891" t="inlineStr">
        <is>
          <t>UPPVIDINGE</t>
        </is>
      </c>
      <c r="G10891" t="n">
        <v>3.7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30745-2025</t>
        </is>
      </c>
      <c r="B10892" s="1" t="n">
        <v>45831</v>
      </c>
      <c r="C10892" s="1" t="n">
        <v>45832</v>
      </c>
      <c r="D10892" t="inlineStr">
        <is>
          <t>KRONOBERGS LÄN</t>
        </is>
      </c>
      <c r="E10892" t="inlineStr">
        <is>
          <t>UPPVIDINGE</t>
        </is>
      </c>
      <c r="G10892" t="n">
        <v>3.1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30662-2025</t>
        </is>
      </c>
      <c r="B10893" s="1" t="n">
        <v>45831</v>
      </c>
      <c r="C10893" s="1" t="n">
        <v>45832</v>
      </c>
      <c r="D10893" t="inlineStr">
        <is>
          <t>KRONOBERGS LÄN</t>
        </is>
      </c>
      <c r="E10893" t="inlineStr">
        <is>
          <t>UPPVIDINGE</t>
        </is>
      </c>
      <c r="G10893" t="n">
        <v>4.3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30857-2025</t>
        </is>
      </c>
      <c r="B10894" s="1" t="n">
        <v>45831</v>
      </c>
      <c r="C10894" s="1" t="n">
        <v>45832</v>
      </c>
      <c r="D10894" t="inlineStr">
        <is>
          <t>KRONOBERGS LÄN</t>
        </is>
      </c>
      <c r="E10894" t="inlineStr">
        <is>
          <t>LJUNGBY</t>
        </is>
      </c>
      <c r="G10894" t="n">
        <v>2.3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30521-2025</t>
        </is>
      </c>
      <c r="B10895" s="1" t="n">
        <v>45831</v>
      </c>
      <c r="C10895" s="1" t="n">
        <v>45832</v>
      </c>
      <c r="D10895" t="inlineStr">
        <is>
          <t>KRONOBERGS LÄN</t>
        </is>
      </c>
      <c r="E10895" t="inlineStr">
        <is>
          <t>LJUNGBY</t>
        </is>
      </c>
      <c r="G10895" t="n">
        <v>1.5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30840-2025</t>
        </is>
      </c>
      <c r="B10896" s="1" t="n">
        <v>45831</v>
      </c>
      <c r="C10896" s="1" t="n">
        <v>45832</v>
      </c>
      <c r="D10896" t="inlineStr">
        <is>
          <t>KRONOBERGS LÄN</t>
        </is>
      </c>
      <c r="E10896" t="inlineStr">
        <is>
          <t>TINGSRYD</t>
        </is>
      </c>
      <c r="G10896" t="n">
        <v>0.5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30522-2025</t>
        </is>
      </c>
      <c r="B10897" s="1" t="n">
        <v>45831</v>
      </c>
      <c r="C10897" s="1" t="n">
        <v>45832</v>
      </c>
      <c r="D10897" t="inlineStr">
        <is>
          <t>KRONOBERGS LÄN</t>
        </is>
      </c>
      <c r="E10897" t="inlineStr">
        <is>
          <t>LESSEBO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30529-2025</t>
        </is>
      </c>
      <c r="B10898" s="1" t="n">
        <v>45831</v>
      </c>
      <c r="C10898" s="1" t="n">
        <v>45832</v>
      </c>
      <c r="D10898" t="inlineStr">
        <is>
          <t>KRONOBERGS LÄN</t>
        </is>
      </c>
      <c r="E10898" t="inlineStr">
        <is>
          <t>LJUNGBY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30561-2025</t>
        </is>
      </c>
      <c r="B10899" s="1" t="n">
        <v>45831</v>
      </c>
      <c r="C10899" s="1" t="n">
        <v>45832</v>
      </c>
      <c r="D10899" t="inlineStr">
        <is>
          <t>KRONOBERGS LÄN</t>
        </is>
      </c>
      <c r="E10899" t="inlineStr">
        <is>
          <t>LJUNGBY</t>
        </is>
      </c>
      <c r="G10899" t="n">
        <v>7.1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30599-2025</t>
        </is>
      </c>
      <c r="B10900" s="1" t="n">
        <v>45831</v>
      </c>
      <c r="C10900" s="1" t="n">
        <v>45832</v>
      </c>
      <c r="D10900" t="inlineStr">
        <is>
          <t>KRONOBERGS LÄN</t>
        </is>
      </c>
      <c r="E10900" t="inlineStr">
        <is>
          <t>VÄXJÖ</t>
        </is>
      </c>
      <c r="G10900" t="n">
        <v>1.3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>
      <c r="A10901" t="inlineStr">
        <is>
          <t>A 30666-2025</t>
        </is>
      </c>
      <c r="B10901" s="1" t="n">
        <v>45831</v>
      </c>
      <c r="C10901" s="1" t="n">
        <v>45832</v>
      </c>
      <c r="D10901" t="inlineStr">
        <is>
          <t>KRONOBERGS LÄN</t>
        </is>
      </c>
      <c r="E10901" t="inlineStr">
        <is>
          <t>VÄXJÖ</t>
        </is>
      </c>
      <c r="G10901" t="n">
        <v>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2025-06-24T19:58:23Z</dcterms:created>
  <dcterms:modified xmlns:dcterms="http://purl.org/dc/terms/" xmlns:xsi="http://www.w3.org/2001/XMLSchema-instance" xsi:type="dcterms:W3CDTF">2025-06-24T19:58:32Z</dcterms:modified>
</cp:coreProperties>
</file>