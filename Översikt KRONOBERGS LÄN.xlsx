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45694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45694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45694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45694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45694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45694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45694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45694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45694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45694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45694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45694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45694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45694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45694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45694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45694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45694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45694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45694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45694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45694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45694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45694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45694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45694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45694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45694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45694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45694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45694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45694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45694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45694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45694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45694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45694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45694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45694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45694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45694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45694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45694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45694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45694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45694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45694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45694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45694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45694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45694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45694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45694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45694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45694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45694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45694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45694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45694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45694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45694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45694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45694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45694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45694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45694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45694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45694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45694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45694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45694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45694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45694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45694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45694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45694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45694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45694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45694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45694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45694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45694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45694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45694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45694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45694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45694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45694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45694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45694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45694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45694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45694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45694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45694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45694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45694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45694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45694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45694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45694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45694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45694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45694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45694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45694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45694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45694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45694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45694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45694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45694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45694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45694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45694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45694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45694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45694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45694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45694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45694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45694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45694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45694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45694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45694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45694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45694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45694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45694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45694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45694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45694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45694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45694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45694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45694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45694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45694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45694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45694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45694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45694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45694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45694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45694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45694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45694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45694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45694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45694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45694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45694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45694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45694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45694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45694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45694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45694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45694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45694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45694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45694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45694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45694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45694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45694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45694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45694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45694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45694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45694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45694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45694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45694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45694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45694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45694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45694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45694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45694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45694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45694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45694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45694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45694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45694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45694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45694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45694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45694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45694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45694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45694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45694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45694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45694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45694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45694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45694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45694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45694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45694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45694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45694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45694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45694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45694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45694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45694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45694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45694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45694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45694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45694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45694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45694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45694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45694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45694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45694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45694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45694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45694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45694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45694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45694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45694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45694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45694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45694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45694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45694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45694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45694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45694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45694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45694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45694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45694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45694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45694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45694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45694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45694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45694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45694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45694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45694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45694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45694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45694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45694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45694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45694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45694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45694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4801-2025</t>
        </is>
      </c>
      <c r="B303" s="1" t="n">
        <v>45688</v>
      </c>
      <c r="C303" s="1" t="n">
        <v>45694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4801-2025 artfynd.xlsx", "A 4801-2025")</f>
        <v/>
      </c>
      <c r="T303">
        <f>HYPERLINK("https://klasma.github.io/Logging_0760/kartor/A 4801-2025 karta.png", "A 4801-2025")</f>
        <v/>
      </c>
      <c r="V303">
        <f>HYPERLINK("https://klasma.github.io/Logging_0760/klagomål/A 4801-2025 FSC-klagomål.docx", "A 4801-2025")</f>
        <v/>
      </c>
      <c r="W303">
        <f>HYPERLINK("https://klasma.github.io/Logging_0760/klagomålsmail/A 4801-2025 FSC-klagomål mail.docx", "A 4801-2025")</f>
        <v/>
      </c>
      <c r="X303">
        <f>HYPERLINK("https://klasma.github.io/Logging_0760/tillsyn/A 4801-2025 tillsynsbegäran.docx", "A 4801-2025")</f>
        <v/>
      </c>
      <c r="Y303">
        <f>HYPERLINK("https://klasma.github.io/Logging_0760/tillsynsmail/A 4801-2025 tillsynsbegäran mail.docx", "A 4801-2025")</f>
        <v/>
      </c>
    </row>
    <row r="304" ht="15" customHeight="1">
      <c r="A304" t="inlineStr">
        <is>
          <t>A 4720-2025</t>
        </is>
      </c>
      <c r="B304" s="1" t="n">
        <v>45688</v>
      </c>
      <c r="C304" s="1" t="n">
        <v>45694</v>
      </c>
      <c r="D304" t="inlineStr">
        <is>
          <t>KRONOBERGS LÄN</t>
        </is>
      </c>
      <c r="E304" t="inlineStr">
        <is>
          <t>UPPVIDINGE</t>
        </is>
      </c>
      <c r="G304" t="n">
        <v>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4720-2025 artfynd.xlsx", "A 4720-2025")</f>
        <v/>
      </c>
      <c r="T304">
        <f>HYPERLINK("https://klasma.github.io/Logging_0760/kartor/A 4720-2025 karta.png", "A 4720-2025")</f>
        <v/>
      </c>
      <c r="V304">
        <f>HYPERLINK("https://klasma.github.io/Logging_0760/klagomål/A 4720-2025 FSC-klagomål.docx", "A 4720-2025")</f>
        <v/>
      </c>
      <c r="W304">
        <f>HYPERLINK("https://klasma.github.io/Logging_0760/klagomålsmail/A 4720-2025 FSC-klagomål mail.docx", "A 4720-2025")</f>
        <v/>
      </c>
      <c r="X304">
        <f>HYPERLINK("https://klasma.github.io/Logging_0760/tillsyn/A 4720-2025 tillsynsbegäran.docx", "A 4720-2025")</f>
        <v/>
      </c>
      <c r="Y304">
        <f>HYPERLINK("https://klasma.github.io/Logging_0760/tillsynsmail/A 4720-2025 tillsynsbegäran mail.docx", "A 4720-2025")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45694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45694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45694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45694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45694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45694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45694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45694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45694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45694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45694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45694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45694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45694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45694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45694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45694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45694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45694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45694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45694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45694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45694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45694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45694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45694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45694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45694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45694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45694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45694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45694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45694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45694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45694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45694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45694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45694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45694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45694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45694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45694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45694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45694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45694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45694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45694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45694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45694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45694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45694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45694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45694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45694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45694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45694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45694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45694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45694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45694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45694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45694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45694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45694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45694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45694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45694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45694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45694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45694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45694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45694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45694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45694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45694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45694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45694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45694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45694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45694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45694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45694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45694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45694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45694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45694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45694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45694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45694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45694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45694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45694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45694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45694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45694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45694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45694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45694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45694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45694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45694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45694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45694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45694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45694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45694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45694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45694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45694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45694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45694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45694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45694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45694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45694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45694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45694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45694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45694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45694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45694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45694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45694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45694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45694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45694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45694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45694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45694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45694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45694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45694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45694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45694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45694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45694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45694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45694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45694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45694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45694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45694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45694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45694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45694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45694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45694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45694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45694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45694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45694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45694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45694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45694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45694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45694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45694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45694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45694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45694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45694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45694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45694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45694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45694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45694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45694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45694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45694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45694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45694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45694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45694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45694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45694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45694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45694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45694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45694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45694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45694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45694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45694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45694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45694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45694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45694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45694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45694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45694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45694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45694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45694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45694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45694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45694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45694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45694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45694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45694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45694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45694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45694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45694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45694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45694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45694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45694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45694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45694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45694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45694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45694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45694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45694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45694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45694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45694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45694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45694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45694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45694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45694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45694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45694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45694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45694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45694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45694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45694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45694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45694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45694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45694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45694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45694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45694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45694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45694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45694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45694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45694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45694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45694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45694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45694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45694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45694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45694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45694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45694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45694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45694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45694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45694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45694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45694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45694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45694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45694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45694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45694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45694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45694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45694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45694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45694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45694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45694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45694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45694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45694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45694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45694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45694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45694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45694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45694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45694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45694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45694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45694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45694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45694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45694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45694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45694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45694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45694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45694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45694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45694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45694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45694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45694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45694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45694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45694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45694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45694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45694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45694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45694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45694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45694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45694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45694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45694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45694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45694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45694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45694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45694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45694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45694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45694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45694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45694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45694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45694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45694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45694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45694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45694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45694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45694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45694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45694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45694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45694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45694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45694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45694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45694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45694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45694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45694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45694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45694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45694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45694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45694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45694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45694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45694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45694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45694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45694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45694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45694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45694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45694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45694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45694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45694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45694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45694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45694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45694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45694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45694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45694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45694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45694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45694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45694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45694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45694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45694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45694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45694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45694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45694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45694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45694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45694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45694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45694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45694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45694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45694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45694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45694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45694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45694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45694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45694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45694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45694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45694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45694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45694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45694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45694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45694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45694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45694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45694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45694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45694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45694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45694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45694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45694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45694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45694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45694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45694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45694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45694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45694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45694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45694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45694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45694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45694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45694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45694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45694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45694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45694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45694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45694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45694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45694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45694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45694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45694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45694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45694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45694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45694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45694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45694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45694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45694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45694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45694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45694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45694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45694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45694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45694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45694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45694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45694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45694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45694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45694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45694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45694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45694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45694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45694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45694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45694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45694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45694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45694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45694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45694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45694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45694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45694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45694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45694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45694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45694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45694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45694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45694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45694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45694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45694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45694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45694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45694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45694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45694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45694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45694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45694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45694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45694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45694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45694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45694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45694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45694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45694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45694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45694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45694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45694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45694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45694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45694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45694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45694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45694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45694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45694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45694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45694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45694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45694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45694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45694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45694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45694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45694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45694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45694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45694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45694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45694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45694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45694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45694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45694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45694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45694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45694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45694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45694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45694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45694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45694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45694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45694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45694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45694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45694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45694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45694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45694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45694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45694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45694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45694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45694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45694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45694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45694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45694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45694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45694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45694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45694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45694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45694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45694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45694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45694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45694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45694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45694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45694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45694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45694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45694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45694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45694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45694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45694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45694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45694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45694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45694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45694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45694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45694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45694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45694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45694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45694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45694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45694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45694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45694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45694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45694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45694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45694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45694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45694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45694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45694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45694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45694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45694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45694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45694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45694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45694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45694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45694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45694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45694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45694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45694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45694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45694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45694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45694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45694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45694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45694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45694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45694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45694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45694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45694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45694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45694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45694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45694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45694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45694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45694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45694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45694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45694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45694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45694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45694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45694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45694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45694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45694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45694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45694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45694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45694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45694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45694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45694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45694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45694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45694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45694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45694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45694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45694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45694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45694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45694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45694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45694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45694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45694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45694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45694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45694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45694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45694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45694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45694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45694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45694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45694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45694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45694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45694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45694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45694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45694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45694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45694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45694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45694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45694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45694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45694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45694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45694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45694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45694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45694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45694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45694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45694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45694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45694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45694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45694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45694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45694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45694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45694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45694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45694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45694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45694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45694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45694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45694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45694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45694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45694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45694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45694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45694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45694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45694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45694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45694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45694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45694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45694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45694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45694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45694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45694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45694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45694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45694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45694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45694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45694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45694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45694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45694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45694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45694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45694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45694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45694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45694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45694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45694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45694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45694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45694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45694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45694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45694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45694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45694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45694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45694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45694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45694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45694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45694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45694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45694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45694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45694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45694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45694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45694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45694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45694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45694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45694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45694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45694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45694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45694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45694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45694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45694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45694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45694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45694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45694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45694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45694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45694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45694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45694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45694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45694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45694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45694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45694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45694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45694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45694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45694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45694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45694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45694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45694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45694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45694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45694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45694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45694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45694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45694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45694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45694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45694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45694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45694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45694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45694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45694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45694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45694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45694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45694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45694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45694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45694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45694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45694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45694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45694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45694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45694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45694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45694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45694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45694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45694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45694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45694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45694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45694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45694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45694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45694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45694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45694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45694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45694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45694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45694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45694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45694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45694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45694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45694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45694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45694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45694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45694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45694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45694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45694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45694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45694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45694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45694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45694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45694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45694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45694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45694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45694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45694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45694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45694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45694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45694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45694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45694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45694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45694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45694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45694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45694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45694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45694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45694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45694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45694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45694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45694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45694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45694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45694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45694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45694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45694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45694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45694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45694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45694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45694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45694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45694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45694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45694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45694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45694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45694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45694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45694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45694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45694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45694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45694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45694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45694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45694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45694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45694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45694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45694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45694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45694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45694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45694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45694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45694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45694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45694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45694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45694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45694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45694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45694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45694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45694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45694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45694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45694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45694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45694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45694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45694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45694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45694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45694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45694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45694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45694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45694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45694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45694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45694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45694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45694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45694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45694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45694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45694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45694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45694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45694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45694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45694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45694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45694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45694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45694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45694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45694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45694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45694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45694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45694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45694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45694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45694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45694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45694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45694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45694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45694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45694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45694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45694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45694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45694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45694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45694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45694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45694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45694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45694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45694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45694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45694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45694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45694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45694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45694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45694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45694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45694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45694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45694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45694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45694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45694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45694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45694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45694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45694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45694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45694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45694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45694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45694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45694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45694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45694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45694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45694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45694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45694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45694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45694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45694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45694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45694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45694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45694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45694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45694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45694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45694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45694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45694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45694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45694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45694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45694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45694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45694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45694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45694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45694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45694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45694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45694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45694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45694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45694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45694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45694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45694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45694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45694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45694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45694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45694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45694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45694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45694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45694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45694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45694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45694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45694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45694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45694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45694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45694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45694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45694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45694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45694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45694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45694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45694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45694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45694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45694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45694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45694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45694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45694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45694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45694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45694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45694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45694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45694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45694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45694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45694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45694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45694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45694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45694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45694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45694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45694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45694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45694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45694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45694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45694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45694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45694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45694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45694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45694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45694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45694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45694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45694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45694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45694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45694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45694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45694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45694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45694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45694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45694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45694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45694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45694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45694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45694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45694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45694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45694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45694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45694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45694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45694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45694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45694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45694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45694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45694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45694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45694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45694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45694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45694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45694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45694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45694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45694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45694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45694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45694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45694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45694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45694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45694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45694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45694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45694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45694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45694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45694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45694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45694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45694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45694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45694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45694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45694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45694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45694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45694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45694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45694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45694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45694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45694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45694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45694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45694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45694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45694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45694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45694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45694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45694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45694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45694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45694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45694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45694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45694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45694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45694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45694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45694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45694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45694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45694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45694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45694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45694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45694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45694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45694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45694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45694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45694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45694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45694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45694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45694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45694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45694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45694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45694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45694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45694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45694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45694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45694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45694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45694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45694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45694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45694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45694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45694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45694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45694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45694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45694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45694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45694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45694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45694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45694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45694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45694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45694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45694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45694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45694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45694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45694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45694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45694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45694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45694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45694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45694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45694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45694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45694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45694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45694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45694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45694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45694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45694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45694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45694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45694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45694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45694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45694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45694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45694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45694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45694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45694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45694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45694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45694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45694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45694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45694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45694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45694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45694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45694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45694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45694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45694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45694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45694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45694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45694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45694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45694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45694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45694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45694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45694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45694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45694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45694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45694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45694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45694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45694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45694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45694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45694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45694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45694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45694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45694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45694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45694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45694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45694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45694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45694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45694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45694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45694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45694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45694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45694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45694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45694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45694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45694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45694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45694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45694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45694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45694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45694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45694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45694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45694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45694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45694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45694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45694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45694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45694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45694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45694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45694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45694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45694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45694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45694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45694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45694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45694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45694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45694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45694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45694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45694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45694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45694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45694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45694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45694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45694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45694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45694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45694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45694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45694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45694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45694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45694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45694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45694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45694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45694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45694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45694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45694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45694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45694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45694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45694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45694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45694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45694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45694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45694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45694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45694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45694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45694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45694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45694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45694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45694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45694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45694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45694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45694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45694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45694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45694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45694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45694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45694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45694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45694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45694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45694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45694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45694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45694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45694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45694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45694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45694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45694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45694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45694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45694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45694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45694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45694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45694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45694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45694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45694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45694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45694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45694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45694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45694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45694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45694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45694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45694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45694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45694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45694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45694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45694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45694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45694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45694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45694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45694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45694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45694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45694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45694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45694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45694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45694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45694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45694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45694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45694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45694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45694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45694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45694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45694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45694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45694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45694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45694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45694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45694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45694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45694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45694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45694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45694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45694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45694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45694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45694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45694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45694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45694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45694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45694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45694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45694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45694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45694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45694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45694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45694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45694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45694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45694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45694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45694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45694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45694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45694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45694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45694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45694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45694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45694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45694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45694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45694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45694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45694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45694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45694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45694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45694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45694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45694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45694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45694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45694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45694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45694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45694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45694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45694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45694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45694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45694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45694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45694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45694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45694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45694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45694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45694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45694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45694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45694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45694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45694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45694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45694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45694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45694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45694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45694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45694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45694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45694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45694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45694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45694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45694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45694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45694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45694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45694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45694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45694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45694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45694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45694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45694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45694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45694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45694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45694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45694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45694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45694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45694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45694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45694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45694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45694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45694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45694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45694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45694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45694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45694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45694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45694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45694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45694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45694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45694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45694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45694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45694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45694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45694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45694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45694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45694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45694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45694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45694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45694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45694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45694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45694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45694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45694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45694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45694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45694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45694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45694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45694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45694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45694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45694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45694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45694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45694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45694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45694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45694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45694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45694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45694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45694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45694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45694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45694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45694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45694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45694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45694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45694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45694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45694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45694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45694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45694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45694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45694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45694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45694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45694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45694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45694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45694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45694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45694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45694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45694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45694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45694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45694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45694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45694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45694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45694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45694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45694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45694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45694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45694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45694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45694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45694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45694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45694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45694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45694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45694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45694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45694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45694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45694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45694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45694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45694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45694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45694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45694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45694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45694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45694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45694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45694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45694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45694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45694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45694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45694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45694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45694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45694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45694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45694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45694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45694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45694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45694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45694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45694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45694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45694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45694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45694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45694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45694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45694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45694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45694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45694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45694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45694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45694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45694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45694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45694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45694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45694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45694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45694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45694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45694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45694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45694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45694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45694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45694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45694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45694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45694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45694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45694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45694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45694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45694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45694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45694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45694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45694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45694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45694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45694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45694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45694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45694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45694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45694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45694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45694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45694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45694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45694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45694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45694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45694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45694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45694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45694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45694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45694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45694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45694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45694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45694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45694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45694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45694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45694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45694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45694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45694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45694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45694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45694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45694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45694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45694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45694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45694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45694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45694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45694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45694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45694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45694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45694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45694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45694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45694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45694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45694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45694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45694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45694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45694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45694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45694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45694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45694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45694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45694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45694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45694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45694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45694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45694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45694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45694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45694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45694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45694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45694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45694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45694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45694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45694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45694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45694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45694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45694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45694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45694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45694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45694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45694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45694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45694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45694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45694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45694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45694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45694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45694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45694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45694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45694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45694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45694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45694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45694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45694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45694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45694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45694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45694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45694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45694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45694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45694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45694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45694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45694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45694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45694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45694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45694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45694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45694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45694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45694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45694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45694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45694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45694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45694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45694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45694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45694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45694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45694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45694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45694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45694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45694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45694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45694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45694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45694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45694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45694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45694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45694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45694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45694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45694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45694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45694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45694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45694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45694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45694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45694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45694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45694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45694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45694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45694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45694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45694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45694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45694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45694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45694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45694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45694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45694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45694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45694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45694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45694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45694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45694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45694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45694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45694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45694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45694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45694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45694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45694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45694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45694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45694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45694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45694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45694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45694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45694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45694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45694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45694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45694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45694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45694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45694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45694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45694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45694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45694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45694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45694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45694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45694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45694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45694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45694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45694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45694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45694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45694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45694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45694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45694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45694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45694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45694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45694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45694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45694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45694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45694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45694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45694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45694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45694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45694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45694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45694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45694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45694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45694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45694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45694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45694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45694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45694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45694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45694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45694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45694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45694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45694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45694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45694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45694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45694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45694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45694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45694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45694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45694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45694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45694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45694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45694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45694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45694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45694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45694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45694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45694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45694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45694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45694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45694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45694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45694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45694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45694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45694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45694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45694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45694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45694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45694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45694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45694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45694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45694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45694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45694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45694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45694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45694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45694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45694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45694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45694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45694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45694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45694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45694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45694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45694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45694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45694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45694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45694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45694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45694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45694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45694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45694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45694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45694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45694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45694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45694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45694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45694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45694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45694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45694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45694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45694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45694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45694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45694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45694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45694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45694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45694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45694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45694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45694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45694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45694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45694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45694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45694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45694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45694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45694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45694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45694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45694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45694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45694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45694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45694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45694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45694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45694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45694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45694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45694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45694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45694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45694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45694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45694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45694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45694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45694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45694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45694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45694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45694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45694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45694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45694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45694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45694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45694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45694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45694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45694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45694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45694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45694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45694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45694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45694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45694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45694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45694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45694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45694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45694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45694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45694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45694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45694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45694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45694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45694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45694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45694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45694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45694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45694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45694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45694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45694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45694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45694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45694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45694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45694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45694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45694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45694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45694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45694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45694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45694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45694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45694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45694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45694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45694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45694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45694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45694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45694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45694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45694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45694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45694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45694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45694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45694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45694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45694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45694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45694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45694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45694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45694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45694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45694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45694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45694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45694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45694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45694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45694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45694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45694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45694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45694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45694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45694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45694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45694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45694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45694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45694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45694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45694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45694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45694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45694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45694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45694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45694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45694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45694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45694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45694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45694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45694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45694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45694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45694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45694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45694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45694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45694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45694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45694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45694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45694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45694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45694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45694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45694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45694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45694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45694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45694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45694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45694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45694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45694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45694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45694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45694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45694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45694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45694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45694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45694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45694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45694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45694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45694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45694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45694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45694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45694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45694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45694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45694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45694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45694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45694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45694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45694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45694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45694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45694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45694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45694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45694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45694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45694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45694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45694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45694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45694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45694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45694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45694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45694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45694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45694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45694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45694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45694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45694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45694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45694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45694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45694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45694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45694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45694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45694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45694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45694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45694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45694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45694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45694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45694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45694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45694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45694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45694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45694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45694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45694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45694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45694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45694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45694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45694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45694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45694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45694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45694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45694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45694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45694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45694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45694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45694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45694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45694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45694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45694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45694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45694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45694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45694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45694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45694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45694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45694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45694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45694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45694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45694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45694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45694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45694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45694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45694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45694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45694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45694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45694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45694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45694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45694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45694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45694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45694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45694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45694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45694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45694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45694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45694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45694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45694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45694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45694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45694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45694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45694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45694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45694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45694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45694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45694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45694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45694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45694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45694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45694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45694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45694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45694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45694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45694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45694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45694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45694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45694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45694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45694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45694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45694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45694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45694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45694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45694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45694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45694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45694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45694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45694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45694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45694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45694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45694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45694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45694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45694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45694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45694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45694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45694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45694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45694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45694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45694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45694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45694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45694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45694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45694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45694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45694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45694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45694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45694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45694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45694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45694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45694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45694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45694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45694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45694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45694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45694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45694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45694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45694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45694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45694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45694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45694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45694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45694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45694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45694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45694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45694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45694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45694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45694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45694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45694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45694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45694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45694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45694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45694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45694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45694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45694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45694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45694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45694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45694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45694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45694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45694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45694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45694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45694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45694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45694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45694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45694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45694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45694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45694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45694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45694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45694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45694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45694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45694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45694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45694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45694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45694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45694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45694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45694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45694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45694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45694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45694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45694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45694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45694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45694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45694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45694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45694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45694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45694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45694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45694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45694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45694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45694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45694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45694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45694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45694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45694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45694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45694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45694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45694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45694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45694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45694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45694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45694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45694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45694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45694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45694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45694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45694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45694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45694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45694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45694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45694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45694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45694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45694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45694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45694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45694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45694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45694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45694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45694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45694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45694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45694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45694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45694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45694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45694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45694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45694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45694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45694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45694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45694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45694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45694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45694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45694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45694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45694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45694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45694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45694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45694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45694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45694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45694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45694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45694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45694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45694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45694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45694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45694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45694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45694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45694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45694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45694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45694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45694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45694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45694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45694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45694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45694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45694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45694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45694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45694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45694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45694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45694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45694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45694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45694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45694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45694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45694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45694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45694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45694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45694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45694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45694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45694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45694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45694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45694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45694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45694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45694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45694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45694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45694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45694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45694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45694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45694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45694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45694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45694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45694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45694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45694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45694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45694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45694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45694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45694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45694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45694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45694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45694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45694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45694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45694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45694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45694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45694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45694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45694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45694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45694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45694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45694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45694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45694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45694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45694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45694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45694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45694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45694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45694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45694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45694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45694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45694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45694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45694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45694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45694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45694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45694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45694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45694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45694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45694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45694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45694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45694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45694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45694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45694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45694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45694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45694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45694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45694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45694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45694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45694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45694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45694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45694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45694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45694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45694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45694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45694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45694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45694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45694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45694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45694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45694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45694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45694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45694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45694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45694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45694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45694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45694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45694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45694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45694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45694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45694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45694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45694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45694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45694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45694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45694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45694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45694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45694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45694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45694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45694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45694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45694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45694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45694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45694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45694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45694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45694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45694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45694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45694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45694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45694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45694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45694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45694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45694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45694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45694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45694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45694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45694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45694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45694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45694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45694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45694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45694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45694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45694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45694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45694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45694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45694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45694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45694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45694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45694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45694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45694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45694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45694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45694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45694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45694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45694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45694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45694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45694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45694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45694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45694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45694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45694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45694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45694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45694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45694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45694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45694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45694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45694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45694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45694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45694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45694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45694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45694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45694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45694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45694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45694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45694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45694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45694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45694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45694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45694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45694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45694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45694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45694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45694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45694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45694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45694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45694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45694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45694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45694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45694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45694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45694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45694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45694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45694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45694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45694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45694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45694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45694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45694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45694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45694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45694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45694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45694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45694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45694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45694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45694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45694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45694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45694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45694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45694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45694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45694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45694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45694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45694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45694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45694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45694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45694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45694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45694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45694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45694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45694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45694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45694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45694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45694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45694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45694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45694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45694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45694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45694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45694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45694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45694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45694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45694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45694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45694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45694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45694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45694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45694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45694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45694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45694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45694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45694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45694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45694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45694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45694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45694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45694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45694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45694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45694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45694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45694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45694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45694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45694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45694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45694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45694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45694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45694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45694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45694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45694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45694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45694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45694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45694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45694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45694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45694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45694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45694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45694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45694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45694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45694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45694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45694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45694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45694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45694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45694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45694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45694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45694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45694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45694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45694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45694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45694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45694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45694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45694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45694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45694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45694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45694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45694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45694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45694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45694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45694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45694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45694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45694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45694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45694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45694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45694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45694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45694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45694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45694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45694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45694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45694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45694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45694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45694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45694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45694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45694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45694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45694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45694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45694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45694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45694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45694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45694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45694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45694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45694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45694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45694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45694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45694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45694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45694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45694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45694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45694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45694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45694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45694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45694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45694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45694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45694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45694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45694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45694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45694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45694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45694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45694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45694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45694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45694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45694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45694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45694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45694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45694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45694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45694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45694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45694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45694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45694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45694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45694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45694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45694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45694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45694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45694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45694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45694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45694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45694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45694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45694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45694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45694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45694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45694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45694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45694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45694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45694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45694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45694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45694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45694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45694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45694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45694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45694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45694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45694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45694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45694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45694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45694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45694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45694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45694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45694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45694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45694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45694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45694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45694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45694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45694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45694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45694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45694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45694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45694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45694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45694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45694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45694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45694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45694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45694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45694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45694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45694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45694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45694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45694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45694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45694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45694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45694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45694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45694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45694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45694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45694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45694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45694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45694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45694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45694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45694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45694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45694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45694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45694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45694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45694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45694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45694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45694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45694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45694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45694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45694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45694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45694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45694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45694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45694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45694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45694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45694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45694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45694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45694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45694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45694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45694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45694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45694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45694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45694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45694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45694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45694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45694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45694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45694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45694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45694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45694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45694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45694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45694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45694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45694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45694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45694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45694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45694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45694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45694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45694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45694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45694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45694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45694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45694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45694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45694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45694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45694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45694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45694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45694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45694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45694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45694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45694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45694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45694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45694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45694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45694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45694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45694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45694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45694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45694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45694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45694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45694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45694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45694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45694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45694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45694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45694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45694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45694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45694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45694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45694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45694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45694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45694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45694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45694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45694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45694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45694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45694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45694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45694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45694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45694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45694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45694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45694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45694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45694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45694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45694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45694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45694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45694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45694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45694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45694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45694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45694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45694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45694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45694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45694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45694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45694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45694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45694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45694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45694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45694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45694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45694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45694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45694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45694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45694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45694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45694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45694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45694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45694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45694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45694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45694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45694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45694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45694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45694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45694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45694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45694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45694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45694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45694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45694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45694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45694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45694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45694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45694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45694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45694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45694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45694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45694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45694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45694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45694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45694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45694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45694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45694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45694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45694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45694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45694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45694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45694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45694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45694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45694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45694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45694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45694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45694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45694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45694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45694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45694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45694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45694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45694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45694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45694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45694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45694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45694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45694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45694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45694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45694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45694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45694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45694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45694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45694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45694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45694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45694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45694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45694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45694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45694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45694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45694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45694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45694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45694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45694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45694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45694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45694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45694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45694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45694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45694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45694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45694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45694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45694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45694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45694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45694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45694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45694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45694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45694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45694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45694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45694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45694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45694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45694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45694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45694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45694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45694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45694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45694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45694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45694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45694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45694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45694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45694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45694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45694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45694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45694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45694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45694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45694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45694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45694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45694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45694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45694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45694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45694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45694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45694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45694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45694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45694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45694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45694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45694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45694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45694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45694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45694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45694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45694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45694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45694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45694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45694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45694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45694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45694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45694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45694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45694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45694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45694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45694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45694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45694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45694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45694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45694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45694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45694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45694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45694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45694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45694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45694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45694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45694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45694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45694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45694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45694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45694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45694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45694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45694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45694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45694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45694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45694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45694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45694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45694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45694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45694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45694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45694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45694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45694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45694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45694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45694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45694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45694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45694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45694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45694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45694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45694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45694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45694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45694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45694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45694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45694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45694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45694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45694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45694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45694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45694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45694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45694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45694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45694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45694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45694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45694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45694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45694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45694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45694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45694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45694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45694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45694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45694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45694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45694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45694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45694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45694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45694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45694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45694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45694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45694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45694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45694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45694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45694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45694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45694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45694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45694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45694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45694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45694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45694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45694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45694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45694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45694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45694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45694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45694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45694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45694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45694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45694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45694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45694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45694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45694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45694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45694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45694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45694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45694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45694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45694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45694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45694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45694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45694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45694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45694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45694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45694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45694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45694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45694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45694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45694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45694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45694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45694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45694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45694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45694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45694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45694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45694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45694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45694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45694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45694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45694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45694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45694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45694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45694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45694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45694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45694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45694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45694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45694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45694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45694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45694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45694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45694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45694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45694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45694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45694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45694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45694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45694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45694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45694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45694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45694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45694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45694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45694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45694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45694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45694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45694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45694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45694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45694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45694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45694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45694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45694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45694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45694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45694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45694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45694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45694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45694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45694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45694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45694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45694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45694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45694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45694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45694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45694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45694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45694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45694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45694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45694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45694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45694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45694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45694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45694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45694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45694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45694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45694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45694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45694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45694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45694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45694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45694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45694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45694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45694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45694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45694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45694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45694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45694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45694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45694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45694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45694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45694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45694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45694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45694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45694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45694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45694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45694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45694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45694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45694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45694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45694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45694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45694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45694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45694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45694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45694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45694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45694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45694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45694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45694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45694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45694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45694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45694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45694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45694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45694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45694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45694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45694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45694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45694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45694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45694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45694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45694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45694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45694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45694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45694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45694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45694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45694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45694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45694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45694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45694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45694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45694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45694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45694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45694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45694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45694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45694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45694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45694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45694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45694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45694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45694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45694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45694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45694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45694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45694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45694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45694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45694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45694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45694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45694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45694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45694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45694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45694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45694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45694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45694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45694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45694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45694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45694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45694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45694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45694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45694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45694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45694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45694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45694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45694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45694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45694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45694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45694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45694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45694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45694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45694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45694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45694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45694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45694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45694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45694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45694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45694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45694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45694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45694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45694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45694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45694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45694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45694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45694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45694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45694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45694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45694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45694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45694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45694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45694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45694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45694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45694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45694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45694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45694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45694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45694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45694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45694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45694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45694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45694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45694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45694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45694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45694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45694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45694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45694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45694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45694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45694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45694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45694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45694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45694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45694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45694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45694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45694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45694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45694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45694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45694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45694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45694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45694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45694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45694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45694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45694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45694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45694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45694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45694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45694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45694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45694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45694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45694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45694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45694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45694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45694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45694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45694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45694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45694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45694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45694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45694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45694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45694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45694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45694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45694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45694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45694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45694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45694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45694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45694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45694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45694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45694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45694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45694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45694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45694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45694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45694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45694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45694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45694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45694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45694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45694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45694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45694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45694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45694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45694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45694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45694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45694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45694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45694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45694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45694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45694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45694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45694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45694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45694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45694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45694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45694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45694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45694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45694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45694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45694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45694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45694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45694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45694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45694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45694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45694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45694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45694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45694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45694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45694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45694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45694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45694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45694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45694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45694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45694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45694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45694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45694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45694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45694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45694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45694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45694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45694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45694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45694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45694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45694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45694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45694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45694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45694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45694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45694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45694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45694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45694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45694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45694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45694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45694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45694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45694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45694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45694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45694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45694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45694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45694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45694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45694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45694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45694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45694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45694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45694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45694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45694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45694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45694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45694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45694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45694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45694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45694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45694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45694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45694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45694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45694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45694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45694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45694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45694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45694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45694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45694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45694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45694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45694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45694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45694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45694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45694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45694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45694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45694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45694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45694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45694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45694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45694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45694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45694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45694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45694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45694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45694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45694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45694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45694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45694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45694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45694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45694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45694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45694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45694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45694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45694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45694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45694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45694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45694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45694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45694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45694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45694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45694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45694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45694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45694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45694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45694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45694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45694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45694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45694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45694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45694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45694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45694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45694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45694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45694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45694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45694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45694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45694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45694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45694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45694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45694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45694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45694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45694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45694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45694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45694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45694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45694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45694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45694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45694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45694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45694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45694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45694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45694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45694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45694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45694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45694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45694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45694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45694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45694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45694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45694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45694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45694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45694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45694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45694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45694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45694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45694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45694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45694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45694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45694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45694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45694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45694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45694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45694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45694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45694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45694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45694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45694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45694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45694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45694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45694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45694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45694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45694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45694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45694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45694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45694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45694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45694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45694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45694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45694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45694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45694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45694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45694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45694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45694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45694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45694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45694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45694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45694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45694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45694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45694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45694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45694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45694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45694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45694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45694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45694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45694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45694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45694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45694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45694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45694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45694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45694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45694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45694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45694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45694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45694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45694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45694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45694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45694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45694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45694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45694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45694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45694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45694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45694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45694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45694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45694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45694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45694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45694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45694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45694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45694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45694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45694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45694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45694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45694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45694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45694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45694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45694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45694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45694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45694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45694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45694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45694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45694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45694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45694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45694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45694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45694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45694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45694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45694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45694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45694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45694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45694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45694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45694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45694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45694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45694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45694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45694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45694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45694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45694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45694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45694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45694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45694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45694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45694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45694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45694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45694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45694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45694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45694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45694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45694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45694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45694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45694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45694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45694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45694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45694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45694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45694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45694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45694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45694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45694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45694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45694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45694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45694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45694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45694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45694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45694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45694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45694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45694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45694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45694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45694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45694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45694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45694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45694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45694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45694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45694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45694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45694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45694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45694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45694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45694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45694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45694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45694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45694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45694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45694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45694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45694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45694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45694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45694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45694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45694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45694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45694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45694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45694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45694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45694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45694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45694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45694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45694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45694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45694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45694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45694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45694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45694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45694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45694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45694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45694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45694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45694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45694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45694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45694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45694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45694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45694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45694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45694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45694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45694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45694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45694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45694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45694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45694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45694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45694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45694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45694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45694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45694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45694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45694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45694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45694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45694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45694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45694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45694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45694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45694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45694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45694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45694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45694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45694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45694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45694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45694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45694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45694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45694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45694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45694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45694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45694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45694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45694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45694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45694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45694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45694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45694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45694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45694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45694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45694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45694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45694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45694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45694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45694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45694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45694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45694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45694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45694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45694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45694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45694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45694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45694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45694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45694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45694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45694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45694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45694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45694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45694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45694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45694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45694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45694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45694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45694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45694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45694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45694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45694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45694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45694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45694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45694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45694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45694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45694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45694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45694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45694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45694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45694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45694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45694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45694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45694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45694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45694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45694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45694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45694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45694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45694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45694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45694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45694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45694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45694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45694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45694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45694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45694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45694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45694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45694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45694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45694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45694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45694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45694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45694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45694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45694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45694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45694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45694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45694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45694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45694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45694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45694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45694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45694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45694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45694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45694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45694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45694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45694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45694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45694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45694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45694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45694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45694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45694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45694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45694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45694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45694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45694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45694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45694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45694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45694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45694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45694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45694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45694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45694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45694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45694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45694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45694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45694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45694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45694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45694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45694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45694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45694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45694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45694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45694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45694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45694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45694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45694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45694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45694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45694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45694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45694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45694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45694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45694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45694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45694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45694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45694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45694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45694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45694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45694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45694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45694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45694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45694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45694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45694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45694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45694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45694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45694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45694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45694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45694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45694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45694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45694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45694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45694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45694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45694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45694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45694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45694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45694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45694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45694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45694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45694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45694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45694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45694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45694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45694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45694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45694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45694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45694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45694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45694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45694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45694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45694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45694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45694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45694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45694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45694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45694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45694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45694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45694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45694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45694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45694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45694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45694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45694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45694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45694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45694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45694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45694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45694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45694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45694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45694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45694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45694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45694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45694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45694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45694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45694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45694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45694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45694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45694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45694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45694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45694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45694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45694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45694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45694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45694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45694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45694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45694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45694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45694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45694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45694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45694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45694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45694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45694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45694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45694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45694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45694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45694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45694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45694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45694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45694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45694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45694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45694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45694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45694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45694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45694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45694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45694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45694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45694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45694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45694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45694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45694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45694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45694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45694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45694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45694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45694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45694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45694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45694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45694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45694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45694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45694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45694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45694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45694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45694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45694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45694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45694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45694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45694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45694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45694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45694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45694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45694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45694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45694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45694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45694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45694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45694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45694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45694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45694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45694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45694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45694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45694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45694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45694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45694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45694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45694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45694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45694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45694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45694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45694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45694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45694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45694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45694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45694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45694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45694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45694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45694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45694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45694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45694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45694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45694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45694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45694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45694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45694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45694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45694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45694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45694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45694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45694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45694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45694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45694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45694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45694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45694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45694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45694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45694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45694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45694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45694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45694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45694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45694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45694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45694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45694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45694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45694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45694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45694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45694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45694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45694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45694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45694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45694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45694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45694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45694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45694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45694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45694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45694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45694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45694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45694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45694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45694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45694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45694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45694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45694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45694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45694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45694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45694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45694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45694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45694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45694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45694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45694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45694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45694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45694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45694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45694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45694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45694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45694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45694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45694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45694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45694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45694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45694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45694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45694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45694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45694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45694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45694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45694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45694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45694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45694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45694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45694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45694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45694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45694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45694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45694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45694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45694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45694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45694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45694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45694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45694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45694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45694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45694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45694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45694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45694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45694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45694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45694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45694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45694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45694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45694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45694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45694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45694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45694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45694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45694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45694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45694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45694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45694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45694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45694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45694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45694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45694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45694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45694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45694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45694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45694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45694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45694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45694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45694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45694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45694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45694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45694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45694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45694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45694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45694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45694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45694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45694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45694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45694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45694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45694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45694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45694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45694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45694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45694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45694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45694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45694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45694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45694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45694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45694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45694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45694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45694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45694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45694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45694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45694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45694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45694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45694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45694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45694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45694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45694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45694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45694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45694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45694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45694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45694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45694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45694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45694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45694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45694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45694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45694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45694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45694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45694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45694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45694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45694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45694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45694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45694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45694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45694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45694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45694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45694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45694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45694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45694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45694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45694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45694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45694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45694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45694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45694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45694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45694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45694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45694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45694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45694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45694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45694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45694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45694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45694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45694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45694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45694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45694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45694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45694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45694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45694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45694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45694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45694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45694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45694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45694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45694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45694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45694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45694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45694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45694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45694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45694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45694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45694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45694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45694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45694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45694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45694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45694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45694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45694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45694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45694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45694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45694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45694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45694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45694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45694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45694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45694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45694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45694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45694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45694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45694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45694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45694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45694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45694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45694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45694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45694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45694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45694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45694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45694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45694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45694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45694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45694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45694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45694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45694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45694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45694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45694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45694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45694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45694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45694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45694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45694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45694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45694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45694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45694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45694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45694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45694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45694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45694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45694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45694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45694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45694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45694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45694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45694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45694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45694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45694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45694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45694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45694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45694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45694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45694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45694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45694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45694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45694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45694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45694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45694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45694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45694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45694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45694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45694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45694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45694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45694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45694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45694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45694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45694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45694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45694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45694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45694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45694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45694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45694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45694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45694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45694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45694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45694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45694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45694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45694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45694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45694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45694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45694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45694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45694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45694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45694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45694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45694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45694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45694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45694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45694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45694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45694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45694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45694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45694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45694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45694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45694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45694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45694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45694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45694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45694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45694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45694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45694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45694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45694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45694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45694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45694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45694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45694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45694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45694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45694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45694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45694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45694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45694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45694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45694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45694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45694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45694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45694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45694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45694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45694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45694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45694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45694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45694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45694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45694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45694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45694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45694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45694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45694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45694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45694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45694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45694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45694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45694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45694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45694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45694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45694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45694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45694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45694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45694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45694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45694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45694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45694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45694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45694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45694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45694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45694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45694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45694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45694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45694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45694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45694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45694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45694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45694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45694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45694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45694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45694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45694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45694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45694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45694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45694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45694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45694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45694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45694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45694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45694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45694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45694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45694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45694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45694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45694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45694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45694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45694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45694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45694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45694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45694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45694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45694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45694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45694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45694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45694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45694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45694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45694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45694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45694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45694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45694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45694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45694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45694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45694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45694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45694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45694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45694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45694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45694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45694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45694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45694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45694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45694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45694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45694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45694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45694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45694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45694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45694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45694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45694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45694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45694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45694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45694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45694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45694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45694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45694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45694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45694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45694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45694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45694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45694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45694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45694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45694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45694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45694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45694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45694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45694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45694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45694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45694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45694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45694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45694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45694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45694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45694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45694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45694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45694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45694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45694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45694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45694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45694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45694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45694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45694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45694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45694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45694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45694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45694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45694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45694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45694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45694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45694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45694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45694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45694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45694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45694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45694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45694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45694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45694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45694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45694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45694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45694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45694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45694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45694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45694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45694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45694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45694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45694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45694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45694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45694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45694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45694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45694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45694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45694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45694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45694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45694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45694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45694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45694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45694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45694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45694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45694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45694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45694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45694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45694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45694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45694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45694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45694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45694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45694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45694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45694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45694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45694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45694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45694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45694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45694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45694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45694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45694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45694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45694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45694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45694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45694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45694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45694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45694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45694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45694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45694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45694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45694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45694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45694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45694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45694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45694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45694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45694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45694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45694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45694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45694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45694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45694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45694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45694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45694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45694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45694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45694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45694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45694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45694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45694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45694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45694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45694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45694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45694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45694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45694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45694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45694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45694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45694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45694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45694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45694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45694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45694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45694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45694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45694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45694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45694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45694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45694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45694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45694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45694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45694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45694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45694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45694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45694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45694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45694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45694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45694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45694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45694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45694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45694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45694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45694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45694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45694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45694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45694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45694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45694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45694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45694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45694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45694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45694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45694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45694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45694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45694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45694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45694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45694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45694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45694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45694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45694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45694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45694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45694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45694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45694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45694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45694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45694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45694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45694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45694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45694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45694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45694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45694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45694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45694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45694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45694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45694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45694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45694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45694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45694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45694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45694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45694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45694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45694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45694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45694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45694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45694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45694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45694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45694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45694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45694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45694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45694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45694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45694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45694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45694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45694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45694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45694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45694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45694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45694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45694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45694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45694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45694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45694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45694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45694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45694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45694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45694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45694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45694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45694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45694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45694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45694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45694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45694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45694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45694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45694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45694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45694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45694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45694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45694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45694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45694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45694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45694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45694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45694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45694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45694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45694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45694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45694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45694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45694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45694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45694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45694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45694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45694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45694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45694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45694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45694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45694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45694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45694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45694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45694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45694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45694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45694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45694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45694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45694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45694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45694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45694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45694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45694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45694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45694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45694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45694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45694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45694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45694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45694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45694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45694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45694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45694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45694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45694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45694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45694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45694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45694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45694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45694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45694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45694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45694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45694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45694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45694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45694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45694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45694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45694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45694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45694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45694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45694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45694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45694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45694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45694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45694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45694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45694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45694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45694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45694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45694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45694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45694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45694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45694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45694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45694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45694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45694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45694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45694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45694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45694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45694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45694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45694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45694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45694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45694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45694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45694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45694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45694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45694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45694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45694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45694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45694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45694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45694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45694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45694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45694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45694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45694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45694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45694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45694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45694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45694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45694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45694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45694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45694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45694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45694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45694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45694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45694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45694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45694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45694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45694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45694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45694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45694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45694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45694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45694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45694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45694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45694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45694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45694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45694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45694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45694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45694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45694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45694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45694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45694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45694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45694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45694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45694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45694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45694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45694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45694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45694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45694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45694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45694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45694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45694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45694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45694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45694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45694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45694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45694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45694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45694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45694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45694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45694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45694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45694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45694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45694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45694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45694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45694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45694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45694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45694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45694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45694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45694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45694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45694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45694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45694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45694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45694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45694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45694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45694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45694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45694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45694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45694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45694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45694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45694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45694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45694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45694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45694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45694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45694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45694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45694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45694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45694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45694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45694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45694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45694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45694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45694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45694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45694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45694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45694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45694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45694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45694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45694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45694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45694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45694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45694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45694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45694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45694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45694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45694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45694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45694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45694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45694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45694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45694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45694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45694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45694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45694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45694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45694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45694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45694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45694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45694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45694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45694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45694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45694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45694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45694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45694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45694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45694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45694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45694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45694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45694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45694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45694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45694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45694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45694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45694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45694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45694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45694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45694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45694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45694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45694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45694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45694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45694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45694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45694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45694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45694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45694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45694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45694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45694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45694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45694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45694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45694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45694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45694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45694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45694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45694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45694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45694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45694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45694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45694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45694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45694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45694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45694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45694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45694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45694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45694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45694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45694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45694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45694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45694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45694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45694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45694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45694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45694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45694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45694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45694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45694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45694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45694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45694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45694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45694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45694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45694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45694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45694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45694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45694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45694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45694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45694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45694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45694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45694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45694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45694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45694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45694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45694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45694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45694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45694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45694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45694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45694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45694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45694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45694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45694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45694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45694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45694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45694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45694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45694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45694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45694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45694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45694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45694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45694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45694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45694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45694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45694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45694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45694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45694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45694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45694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45694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45694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45694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45694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45694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45694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45694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45694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45694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45694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45694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45694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45694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45694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45694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45694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45694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45694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45694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45694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45694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45694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45694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45694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45694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45694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45694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45694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45694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45694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45694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45694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45694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45694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45694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45694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45694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45694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45694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45694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45694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45694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45694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45694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45694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45694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45694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45694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45694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45694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45694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45694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45694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45694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45694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45694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45694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45694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45694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45694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45694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45694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45694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45694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45694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45694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45694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45694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45694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45694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45694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45694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45694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45694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45694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45694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45694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45694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45694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45694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45694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45694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45694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45694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45694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45694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45694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45694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45694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45694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45694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45694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45694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45694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45694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45694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45694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45694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45694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45694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45694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45694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45694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45694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45694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45694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45694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45694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45694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45694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45694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45694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45694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45694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45694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45694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45694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45694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45694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45694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45694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45694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45694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45694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45694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45694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45694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45694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45694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45694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45694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45694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45694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45694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45694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45694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45694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45694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45694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45694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45694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45694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45694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45694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45694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45694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45694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45694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45694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45694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45694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45694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45694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45694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45694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45694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45694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45694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45694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45694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45694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45694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45694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45694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45694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45694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45694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45694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45694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45694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45694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45694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45694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45694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45694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45694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45694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45694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45694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45694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45694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45694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45694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45694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45694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45694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45694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45694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45694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45694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45694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45694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45694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45694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45694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45694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45694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45694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45694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45694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45694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45694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45694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45694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45694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45694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45694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45694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45694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45694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45694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45694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45694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45694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45694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45694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45694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45694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45694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45694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45694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45694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45694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45694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45694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45694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45694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45694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45694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45694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45694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45694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45694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45694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45694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45694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45694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45694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45694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45694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45694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45694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45694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45694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45694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45694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45694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45694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45694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45694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45694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45694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45694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45694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45694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45694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45694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45694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45694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45694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45694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45694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45694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45694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45694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45694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45694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45694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45694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45694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45694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45694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45694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45694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45694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45694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45694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45694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45694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45694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45694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45694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45694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45694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45694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45694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45694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45694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45694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45694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45694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45694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45694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45694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45694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45694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45694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45694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45694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45694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45694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45694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45694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45694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45694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45694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45694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45694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45694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45694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45694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45694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45694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45694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45694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45694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45694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45694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45694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45694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45694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45694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45694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45694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45694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45694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45694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45694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45694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45694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45694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45694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45694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45694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45694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45694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45694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45694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45694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45694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45694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45694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45694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45694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45694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45694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45694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45694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45694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45694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45694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45694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45694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45694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45694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45694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45694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45694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45694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45694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45694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45694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45694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45694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45694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45694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45694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45694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45694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45694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45694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45694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45694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45694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45694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45694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45694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45694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45694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45694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45694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45694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45694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45694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45694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45694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45694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45694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45694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45694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45694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45694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45694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45694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45694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45694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45694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45694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45694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45694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45694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45694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45694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45694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45694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45694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45694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45694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45694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45694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45694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45694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45694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45694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45694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45694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45694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45694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45694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45694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45694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45694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45694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45694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45694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45694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45694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45694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45694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45694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45694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45694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45694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45694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45694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45694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45694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45694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45694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45694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45694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45694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45694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45694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45694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45694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45694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45694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45694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45694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45694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45694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45694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45694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45694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45694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45694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45694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45694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45694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45694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45694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45694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45694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45694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45694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45694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45694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45694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45694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45694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45694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45694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45694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45694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45694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45694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45694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45694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45694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45694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45694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45694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45694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45694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45694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45694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45694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45694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45694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45694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45694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45694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45694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45694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45694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45694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45694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45694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45694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45694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45694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45694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45694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45694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45694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45694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45694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45694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45694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45694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45694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45694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45694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45694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45694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45694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45694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45694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45694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45694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45694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45694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45694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45694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45694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45694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45694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45694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45694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45694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45694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45694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45694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45694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45694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45694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45694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45694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45694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45694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45694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45694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45694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45694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45694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45694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45694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45694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45694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45694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45694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45694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45694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45694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45694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45694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45694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45694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45694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45694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45694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45694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45694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45694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45694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45694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45694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45694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45694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45694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45694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45694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45694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45694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45694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45694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45694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45694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45694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45694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45694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45694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45694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45694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45694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45694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45694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45694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45694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45694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45694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45694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45694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45694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45694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45694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45694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45694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45694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45694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45694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45694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45694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45694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45694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45694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45694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45694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45694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45694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45694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45694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45694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45694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45694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45694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45694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45694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45694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45694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45694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45694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45694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45694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45694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45694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45694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45694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45694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45694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45694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45694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45694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45694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45694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45694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45694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45694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45694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45694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45694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45694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45694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45694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45694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45694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45694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45694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45694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45694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45694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45694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45694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45694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45694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45694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45694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45694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45694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45694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45694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45694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45694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45694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45694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45694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45694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45694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45694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45694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45694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45694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45694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45694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45694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45694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45694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45694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45694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45694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45694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45694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45694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45694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45694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45694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45694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45694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45694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45694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45694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45694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45694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45694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45694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45694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45694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45694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45694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45694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45694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45694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45694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45694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45694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45694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45694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45694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45694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45694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45694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45694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45694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45694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45694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45694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45694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45694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45694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45694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45694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45694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45694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45694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45694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45694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45694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45694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45694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45694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45694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45694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45694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45694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45694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45694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45694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45694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45694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45694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45694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45694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45694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45694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45694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45694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45694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45694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45694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45694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45694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45694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45694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45694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45694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45694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45694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45694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45694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45694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45694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45694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45694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45694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45694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45694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45694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45694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45694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45694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45694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45694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45694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45694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45694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45694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45694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45694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45694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45694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45694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45694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45694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45694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45694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45694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45694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45694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45694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45694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45694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45694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45694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45694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45694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45694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45694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45694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45694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45694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45694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45694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45694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45694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45694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45694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45694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45694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45694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45694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45694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45694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45694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45694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45694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45694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45694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45694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45694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45694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45694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45694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45694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45694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45694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45694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45694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45694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45694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45694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45694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45694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45694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45694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45694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45694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45694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45694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45694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45694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45694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45694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45694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45694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45694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45694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45694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45694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45694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45694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45694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45694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45694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45694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45694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45694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45694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45694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45694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45694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45694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45694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45694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45694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45694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45694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45694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45694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45694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45694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45694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45694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45694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45694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45694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45694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45694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45694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45694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45694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45694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45694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45694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45694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45694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45694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45694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45694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45694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45694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45694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45694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45694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45694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45694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45694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45694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45694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45694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45694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45694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45694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45694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45694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45694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45694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45694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45694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45694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45694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45694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45694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45694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45694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45694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45694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45694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45694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45694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45694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45694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45694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45694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45694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45694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45694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45694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45694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45694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45694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45694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45694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45694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45694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45694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45694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45694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45694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45694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45694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45694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45694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45694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45694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45694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45694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45694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45694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45694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45694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45694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45694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45694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45694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45694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45694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45694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45694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45694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45694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45694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45694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45694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45694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45694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45694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45694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45694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45694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45694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45694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45694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45694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45694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45694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45694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45694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45694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45694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45694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45694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45694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45694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45694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45694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45694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45694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45694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45694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45694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45694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45694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45694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45694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45694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45694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45694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45694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45694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45694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45694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45694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45694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45694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45694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45694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45694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45694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45694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45694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45694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45694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45694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45694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45694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45694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45694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45694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45694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45694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45694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45694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45694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45694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45694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45694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45694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45694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45694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45694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45694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45694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45694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45694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45694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45694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45694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45694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45694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45694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45694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45694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45694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45694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45694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45694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45694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45694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45694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45694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45694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45694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45694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45694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45694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45694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45694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45694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45694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45694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45694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45694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45694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45694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45694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45694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45694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45694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45694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45694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45694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45694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45694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45694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45694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45694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45694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45694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45694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45694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45694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45694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45694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45694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45694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45694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45694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45694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45694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45694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45694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45694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45694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45694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45694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45694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45694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45694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45694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45694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45694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45694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45694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45694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45694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45694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45694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45694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45694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45694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45694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45694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45694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45694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45694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45694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45694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45694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45694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45694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45694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45694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45694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45694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45694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45694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45694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45694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45694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45694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45694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45694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45694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45694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45694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45694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45694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45694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45694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45694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45694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45694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45694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45694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45694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45694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45694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45694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45694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45694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45694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45694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45694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45694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45694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45694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45694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45694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45694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45694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45694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45694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45694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45694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45694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45694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45694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45694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45694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45694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45694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45694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45694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45694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45694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45694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45694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45694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45694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45694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45694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45694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45694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45694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45694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45694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45694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45694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45694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45694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45694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45694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45694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45694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45694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45694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45694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45694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45694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45694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45694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45694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45694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45694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45694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45694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45694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45694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45694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45694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45694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45694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45694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45694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45694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45694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45694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45694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45694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45694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45694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45694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45694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45694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45694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45694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45694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45694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45694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45694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45694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45694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45694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45694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45694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45694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45694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45694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45694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45694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45694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45694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45694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45694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45694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45694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45694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45694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45694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45694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45694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45694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45694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45694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45694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45694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45694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45694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45694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45694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45694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45694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45694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45694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45694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45694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45694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45694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45694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45694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45694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45694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45694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45694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45694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45694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45694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45694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45694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45694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45694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45694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45694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45694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45694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45694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45694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45694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45694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45694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45694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45694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45694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45694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45694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45694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45694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45694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45694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45694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45694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45694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45694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45694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45694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45694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45694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45694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45694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45694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45694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45694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45694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45694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45694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45694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45694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45694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45694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45694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45694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45694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45694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45694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45694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45694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45694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45694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45694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45694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45694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45694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45694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45694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45694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45694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45694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45694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45694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45694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45694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45694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45694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45694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45694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45694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45694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45694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45694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45694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45694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45694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45694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45694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45694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45694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45694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45694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45694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45694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45694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45694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45694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45694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45694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45694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45694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45694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45694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45694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45694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45694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45694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45694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45694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45694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45694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45694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45694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45694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45694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45694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45694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45694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45694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45694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45694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45694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45694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45694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45694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45694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45694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45694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45694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45694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45694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45694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45694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45694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45694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45694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45694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45694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45694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45694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45694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45694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45694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45694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45694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45694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45694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45694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45694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45694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45694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45694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45694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45694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45694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45694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45694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45694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45694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45694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45694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45694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45694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45694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45694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45694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45694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45694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45694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45694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45694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45694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45694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45694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45694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45694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45694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45694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45694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45694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45694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45694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45694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45694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45694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45694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45694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45694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45694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45694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45694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45694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45694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45694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45694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45694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45694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45694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45694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45694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45694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45694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45694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45694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45694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45694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45694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45694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45694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45694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45694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45694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45694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45694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45694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45694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45694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45694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45694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45694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45694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45694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45694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45694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45694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45694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45694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45694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45694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45694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45694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45694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45694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45694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45694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45694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45694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45694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45694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45694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45694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45694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45694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45694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45694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45694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45694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45694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45694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45694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45694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45694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45694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45694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45694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45694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45694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45694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45694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45694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45694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45694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45694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45694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45694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45694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45694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45694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45694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45694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45694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45694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45694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45694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45694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45694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45694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45694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45694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45694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45694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45694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45694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45694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45694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45694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45694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45694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45694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45694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45694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45694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45694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45694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45694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45694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45694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45694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45694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45694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45694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45694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45694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45694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45694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45694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45694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45694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45694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45694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45694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45694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45694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45694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45694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45694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45694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45694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45694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45694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45694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45694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45694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45694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45694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45694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45694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45694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45694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45694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45694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45694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45694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45694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45694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45694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45694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45694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45694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45694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45694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45694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45694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45694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45694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45694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45694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45694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45694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45694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45694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45694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45694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45694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45694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45694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45694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45694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45694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45694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45694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45694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45694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45694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45694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45694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45694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45694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45694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45694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45694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45694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45694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45694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45694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45694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45694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45694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45694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45694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45694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45694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45694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45694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45694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45694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45694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45694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45694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45694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45694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45694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45694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45694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45694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45694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45694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45694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45694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45694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45694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45694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45694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45694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45694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45694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45694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45694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45694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45694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45694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45694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45694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45694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45694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45694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45694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45694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45694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45694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45694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45694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45694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45694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45694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45694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45694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45694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45694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45694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45694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45694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45694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45694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45694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45694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45694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45694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45694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45694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45694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45694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45694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45694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45694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45694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45694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45694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45694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45694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45694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45694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45694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45694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45694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45694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45694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45694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45694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45694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45694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45694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45694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45694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45694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45694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45694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45694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45694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45694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45694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45694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45694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45694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45694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45694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45694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45694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45694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45694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45694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45694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45694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45694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45694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45694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45694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45694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45694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45694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45694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45694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45694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45694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45694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45694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45694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45694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45694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45694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45694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45694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45694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45694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45694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45694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45694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45694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45694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45694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45694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45694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45694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45694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45694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45694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45694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45694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45694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45694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45694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45694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45694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45694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45694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45694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45694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45694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45694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45694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45694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45694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45694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45694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45694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45694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45694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45694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45694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45694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45694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45694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45694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45694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45694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45694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45694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45694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45694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45694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45694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45694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45694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45694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45694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45694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45694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45694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45694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45694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45694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45694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45694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45694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45694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45694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45694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45694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45694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45694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45694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45694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45694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45694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45694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45694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45694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45694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45694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45694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45694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45694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45694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45694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45694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45694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45694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45694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45694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45694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45694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45694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45694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45694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45694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45694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45694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45694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45694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45694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45694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45694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45694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45694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45694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45694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45694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45694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45694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45694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45694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45694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45694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45694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45694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45694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45694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45694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45694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45694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45694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45694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45694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45694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45694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45694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45694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45694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45694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45694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45694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45694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45694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45694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45694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45694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45694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45694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45694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45694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45694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45694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45694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45694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45694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45694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45694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45694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45694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45694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45694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45694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45694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45694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45694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45694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45694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45694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45694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45694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45694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45694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45694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45694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45694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45694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45694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45694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45694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45694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45694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45694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45694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45694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45694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45694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45694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45694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45694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45694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45694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45694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45694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45694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45694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45694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45694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45694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45694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45694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45694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45694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45694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45694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45694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45694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45694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45694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45694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45694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45694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45694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45694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45694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45694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45694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45694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45694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45694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45694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45694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45694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45694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45694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45694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45694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45694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45694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45694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45694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45694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45694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45694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45694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45694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45694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45694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45694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45694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45694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45694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45694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45694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45694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45694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45694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45694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45694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45694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45694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45694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45694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45694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45694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45694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45694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45694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45694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45694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45694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45694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45694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45694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45694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45694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45694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45694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45694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45694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45694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45694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45694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45694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45694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45694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45694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45694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45694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45694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45694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45694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45694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45694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45694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45694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45694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45694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45694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45694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45694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45694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45694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45694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45694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45694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45694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45694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45694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45694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45694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45694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45694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45694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45694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45694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45694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45694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45694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45694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45694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45694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45694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45694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45694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45694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45694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45694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45694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45694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45694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45694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45694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45694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45694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45694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45694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45694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45694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45694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45694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45694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45694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45694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45694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45694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45694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45694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45694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45694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45694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45694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45694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45694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45694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45694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45694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45694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45694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45694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45694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45694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45694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45694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45694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45694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45694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45694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45694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45694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45694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45694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45694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45694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45694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45694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45694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45694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45694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45694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45694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45694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45694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45694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45694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45694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45694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45694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45694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45694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45694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45694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45694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45694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45694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45694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45694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45694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45694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45694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45694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45694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45694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45694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45694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45694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45694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45694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45694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45694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45694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45694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45694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45694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45694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45694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45694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45694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45694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45694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45694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45694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45694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45694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45694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45694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45694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45694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45694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45694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45694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45694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45694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45694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45694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45694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45694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45694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45694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45694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45694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45694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45694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45694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45694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45694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45694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45694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45694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45694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45694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45694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45694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45694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45694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45694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45694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45694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45694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45694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45694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45694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45694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45694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45694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45694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45694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45694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45694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45694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45694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45694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45694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45694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45694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45694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45694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45694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45694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45694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45694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45694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45694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45694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45694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45694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45694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45694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45694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45694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45694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45694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45694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45694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45694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45694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45694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45694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45694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45694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45694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45694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45694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45694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45694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45694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45694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45694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45694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45694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45694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45694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45694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45694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45694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45694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45694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45694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45694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45694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45694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45694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45694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45694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45694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45694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45694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45694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45694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45694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45694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45694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45694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45694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45694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45694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45694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45694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45694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45694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45694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45694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45694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45694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45694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45694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45694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45694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45694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45694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45694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45694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45694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45694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45694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45694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45694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45694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45694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45694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45694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45694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45694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45694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45694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45694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45694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45694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45694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45694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45694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45694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45694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45694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45694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45694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45694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45694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45694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45694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45694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45694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45694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45694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45694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45694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45694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45694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45694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45694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45694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45694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45694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45694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45694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45694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45694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45694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45694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45694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45694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45694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45694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45694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45694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45694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45694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45694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45694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45694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45694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45694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45694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45694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45694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45694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45694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45694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45694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45694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45694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45694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45694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45694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45694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45694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45694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45694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45694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45694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45694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45694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45694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45694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45694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45694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45694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45694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45694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45694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45694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45694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45694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45694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45694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45694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45694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45694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45694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45694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45694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45694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45694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45694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45694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45694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45694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45694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45694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45694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45694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45694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45694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45694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45694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45694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45694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45694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45694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45694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45694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45694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45694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45694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45694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45694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45694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45694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45694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45694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45694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45694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45694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45694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45694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45694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45694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45694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45694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45694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45694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45694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45694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45694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45694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45694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45694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45694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45694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45694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45694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45694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45694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45694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45694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45694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45694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45694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45694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45694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45694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45694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45694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45694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45694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45694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45694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45694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45694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45694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45694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45694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45694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45694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45694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45694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45694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45694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45694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45694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45694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45694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45694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45694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45694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45694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45694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45694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45694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45694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45694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45694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45694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45694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45694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45694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45694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45694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45694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45694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45694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45694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45694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45694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45694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45694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45694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45694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45694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45694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45694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45694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45694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45694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45694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45694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45694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45694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45694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45694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45694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45694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45694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45694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45694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45694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45694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45694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45694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45694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45694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45694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45694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45694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45694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45694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45694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45694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45694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45694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45694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45694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45694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45694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45694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45694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45694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45694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45694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45694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45694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45694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45694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45694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45694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45694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45694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45694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45694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45694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45694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45694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45694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45694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45694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45694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45694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45694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45694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45694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45694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45694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45694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45694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45694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45694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45694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45694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45694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45694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45694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45694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45694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45694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45694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45694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45694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45694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45694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45694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45694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45694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45694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45694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45694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45694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45694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45694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45694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45694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45694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45694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45694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45694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45694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45694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45694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45694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45694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45694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45694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45694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45694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45694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45694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45694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45694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45694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45694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45694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45694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45694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45694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45694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45694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45694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45694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45694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45694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45694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45694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45694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45694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45694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45694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45694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45694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45694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45694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45694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45694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45694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45694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45694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45694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45694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45694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45694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45694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45694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45694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45694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45694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45694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45694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45694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45694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45694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45694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45694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45694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45694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45694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45694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45694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45694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45694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45694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45694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45694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45694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45694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45694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45694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45694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45694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45694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45694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45694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45694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45694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45694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45694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45694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45694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45694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45694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45694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45694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45694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45694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45694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45694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45694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45694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45694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45694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45694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45694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45694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45694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45694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45694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45694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45694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45694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45694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45694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45694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45694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45694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45694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45694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45694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45694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45694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45694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45694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45694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45694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45694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45694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45694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45694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45694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45694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45694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45694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45694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45694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45694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45694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45694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45694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45694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45694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45694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45694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45694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45694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45694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45694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45694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45694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45694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45694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45694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45694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45694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45694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45694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45694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45694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45694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45694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45694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45694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45694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45694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45694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45694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45694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45694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45694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45694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45694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45694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45694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45694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45694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45694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45694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45694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45694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45694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45694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45694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45694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45694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45694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45694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45694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45694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45694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45694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45694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45694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45694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45694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45694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45694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45694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45694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45694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45694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45694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45694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45694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45694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45694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45694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45694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45694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45694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45694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45694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45694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45694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45694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45694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45694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45694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45694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45694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45694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45694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45694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45694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45694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45694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45694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45694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45694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45694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45694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45694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45694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45694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45694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45694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45694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45694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45694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45694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45694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45694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45694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45694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45694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45694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45694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45694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45694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45694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45694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45694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45694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45694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45694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45694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45694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45694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45694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45694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45694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45694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45694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45694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45694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45694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45694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45694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45694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45694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45694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45694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45694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45694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45694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45694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45694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45694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45694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45694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45694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45694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45694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45694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45694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45694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45694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45694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45694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45694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45694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45694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45694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45694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45694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45694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45694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45694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45694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45694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45694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45694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45694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45694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45694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45694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45694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45694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45694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45694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45694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45694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45694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45694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45694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45694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45694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45694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45694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45694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45694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45694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45694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45694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45694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45694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45694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45694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45694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45694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45694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45694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45694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45694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45694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45694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45694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45694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45694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45694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45694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45694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45694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45694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45694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45694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45694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45694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45694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45694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45694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45694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45694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45694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45694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45694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45694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45694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45694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45694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45694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45694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45694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45694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45694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45694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45694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45694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45694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45694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45694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45694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45694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45694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45694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45694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45694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45694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45694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45694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45694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45694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45694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45694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45694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45694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45694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45694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45694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45694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45694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45694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45694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45694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45694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45694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45694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45694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45694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45694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45694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45694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45694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45694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45694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45694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45694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45694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45694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45694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45694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45694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45694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45694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45694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45694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45694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45694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45694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45694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45694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45694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45694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45694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45694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45694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45694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45694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45694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45694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45694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45694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45694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45694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45694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45694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45694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45694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45694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45694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45694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45694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45694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45694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45694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45694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45694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45694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45694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45694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45694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45694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45694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45694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45694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45694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45694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45694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45694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45694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45694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45694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45694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45694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45694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45694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45694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45694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45694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45694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45694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45694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45694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45694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45694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45694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45694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45694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45694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45694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45694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45694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45694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45694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45694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45694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45694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45694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45694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45694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45694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45694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45694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45694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45694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45694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45694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45694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45694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45694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45694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45694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45694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45694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45694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45694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45694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45694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45694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45694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45694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45694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45694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45694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45694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45694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45694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45694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45694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45694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45694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45694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45694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45694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45694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45694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45694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45694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45694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45694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45694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45694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45694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45694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45694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45694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45694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45694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45694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45694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45694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45694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45694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45694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45694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45694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45694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45694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45694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45694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45694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45694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45694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45694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45694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45694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45694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45694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45694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45694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45694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45694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45694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45694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45694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45694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45694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45694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45694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45694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45694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45694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45694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45694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45694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45694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45694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45694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45694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45694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45694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45694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45694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45694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45694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45694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45694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45694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45694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45694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45694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45694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45694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45694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45694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45694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45694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45694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45694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45694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45694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45694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45694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45694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45694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45694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45694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45694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45694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45694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45694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45694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45694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45694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45694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45694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45694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45694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45694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45694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45694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45694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45694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45694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45694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45694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45694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45694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45694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45694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45694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45694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45694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45694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45694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45694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45694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45694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45694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45694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45694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45694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45694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45694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45694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45694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45694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45694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45694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45694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45694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45694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45694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45694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45694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45694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45694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45694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45694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45694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45694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45694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45694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45694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45694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45694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45694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45694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45694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45694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45694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45694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45694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45694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45694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45694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45694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45694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45694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45694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45694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45694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45694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45694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45694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45694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45694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45694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45694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45694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45694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45694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45694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45694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45694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45694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45694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45694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45694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45694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45694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45694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45694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45694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45694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45694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45694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45694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45694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45694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45694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45694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45694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45694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45694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45694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45694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45694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45694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45694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45694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45694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45694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45694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45694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45694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45694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45694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45694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45694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45694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45694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45694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45694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45694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45694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45694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45694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45694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45694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45694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45694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45694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45694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45694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45694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45694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45694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45694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45694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45694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45694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45694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45694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45694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45694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45694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45694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45694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45694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45694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45694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45694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45694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45694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45694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45694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45694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45694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45694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45694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45694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45694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45694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45694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45694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45694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45694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45694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45694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45694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45694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45694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45694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45694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45694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45694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45694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45694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45694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45694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45694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45694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45694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45694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45694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45694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45694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45694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45694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45694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45694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45694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45694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581-2025</t>
        </is>
      </c>
      <c r="B9582" s="1" t="n">
        <v>45664</v>
      </c>
      <c r="C9582" s="1" t="n">
        <v>45694</v>
      </c>
      <c r="D9582" t="inlineStr">
        <is>
          <t>KRONOBERGS LÄN</t>
        </is>
      </c>
      <c r="E9582" t="inlineStr">
        <is>
          <t>UPPVIDINGE</t>
        </is>
      </c>
      <c r="G9582" t="n">
        <v>6.7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640-2025</t>
        </is>
      </c>
      <c r="B9583" s="1" t="n">
        <v>45664</v>
      </c>
      <c r="C9583" s="1" t="n">
        <v>45694</v>
      </c>
      <c r="D9583" t="inlineStr">
        <is>
          <t>KRONOBERGS LÄN</t>
        </is>
      </c>
      <c r="E9583" t="inlineStr">
        <is>
          <t>UPPVIDINGE</t>
        </is>
      </c>
      <c r="G9583" t="n">
        <v>5.6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683-2025</t>
        </is>
      </c>
      <c r="B9584" s="1" t="n">
        <v>45665</v>
      </c>
      <c r="C9584" s="1" t="n">
        <v>45694</v>
      </c>
      <c r="D9584" t="inlineStr">
        <is>
          <t>KRONOBERGS LÄN</t>
        </is>
      </c>
      <c r="E9584" t="inlineStr">
        <is>
          <t>ALVESTA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913-2025</t>
        </is>
      </c>
      <c r="B9585" s="1" t="n">
        <v>45664</v>
      </c>
      <c r="C9585" s="1" t="n">
        <v>45694</v>
      </c>
      <c r="D9585" t="inlineStr">
        <is>
          <t>KRONOBERGS LÄN</t>
        </is>
      </c>
      <c r="E9585" t="inlineStr">
        <is>
          <t>UPPVIDINGE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45694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45694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45694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890-2025</t>
        </is>
      </c>
      <c r="B9589" s="1" t="n">
        <v>45665</v>
      </c>
      <c r="C9589" s="1" t="n">
        <v>45694</v>
      </c>
      <c r="D9589" t="inlineStr">
        <is>
          <t>KRONOBERGS LÄN</t>
        </is>
      </c>
      <c r="E9589" t="inlineStr">
        <is>
          <t>VÄXJÖ</t>
        </is>
      </c>
      <c r="G9589" t="n">
        <v>12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45694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45694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45694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939-2025</t>
        </is>
      </c>
      <c r="B9593" s="1" t="n">
        <v>45666</v>
      </c>
      <c r="C9593" s="1" t="n">
        <v>45694</v>
      </c>
      <c r="D9593" t="inlineStr">
        <is>
          <t>KRONOBERGS LÄN</t>
        </is>
      </c>
      <c r="E9593" t="inlineStr">
        <is>
          <t>UPPVIDINGE</t>
        </is>
      </c>
      <c r="G9593" t="n">
        <v>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994-2025</t>
        </is>
      </c>
      <c r="B9594" s="1" t="n">
        <v>45666</v>
      </c>
      <c r="C9594" s="1" t="n">
        <v>45694</v>
      </c>
      <c r="D9594" t="inlineStr">
        <is>
          <t>KRONOBERGS LÄN</t>
        </is>
      </c>
      <c r="E9594" t="inlineStr">
        <is>
          <t>ALVESTA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1144-2025</t>
        </is>
      </c>
      <c r="B9595" s="1" t="n">
        <v>45666</v>
      </c>
      <c r="C9595" s="1" t="n">
        <v>45694</v>
      </c>
      <c r="D9595" t="inlineStr">
        <is>
          <t>KRONOBERGS LÄN</t>
        </is>
      </c>
      <c r="E9595" t="inlineStr">
        <is>
          <t>MARKARYD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1129-2025</t>
        </is>
      </c>
      <c r="B9596" s="1" t="n">
        <v>45666</v>
      </c>
      <c r="C9596" s="1" t="n">
        <v>45694</v>
      </c>
      <c r="D9596" t="inlineStr">
        <is>
          <t>KRONOBERGS LÄN</t>
        </is>
      </c>
      <c r="E9596" t="inlineStr">
        <is>
          <t>MARKARYD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1137-2025</t>
        </is>
      </c>
      <c r="B9597" s="1" t="n">
        <v>45666</v>
      </c>
      <c r="C9597" s="1" t="n">
        <v>45694</v>
      </c>
      <c r="D9597" t="inlineStr">
        <is>
          <t>KRONOBERGS LÄN</t>
        </is>
      </c>
      <c r="E9597" t="inlineStr">
        <is>
          <t>MARKARYD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45694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1131-2025</t>
        </is>
      </c>
      <c r="B9599" s="1" t="n">
        <v>45666</v>
      </c>
      <c r="C9599" s="1" t="n">
        <v>45694</v>
      </c>
      <c r="D9599" t="inlineStr">
        <is>
          <t>KRONOBERGS LÄN</t>
        </is>
      </c>
      <c r="E9599" t="inlineStr">
        <is>
          <t>MARKARYD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45694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1265-2025</t>
        </is>
      </c>
      <c r="B9601" s="1" t="n">
        <v>45667</v>
      </c>
      <c r="C9601" s="1" t="n">
        <v>45694</v>
      </c>
      <c r="D9601" t="inlineStr">
        <is>
          <t>KRONOBERGS LÄN</t>
        </is>
      </c>
      <c r="E9601" t="inlineStr">
        <is>
          <t>LJUNGBY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1352-2025</t>
        </is>
      </c>
      <c r="B9602" s="1" t="n">
        <v>45667</v>
      </c>
      <c r="C9602" s="1" t="n">
        <v>45694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45694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1476-2025</t>
        </is>
      </c>
      <c r="B9604" s="1" t="n">
        <v>45670</v>
      </c>
      <c r="C9604" s="1" t="n">
        <v>45694</v>
      </c>
      <c r="D9604" t="inlineStr">
        <is>
          <t>KRONOBERGS LÄN</t>
        </is>
      </c>
      <c r="E9604" t="inlineStr">
        <is>
          <t>UPPVIDINGE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1461-2025</t>
        </is>
      </c>
      <c r="B9605" s="1" t="n">
        <v>45670</v>
      </c>
      <c r="C9605" s="1" t="n">
        <v>45694</v>
      </c>
      <c r="D9605" t="inlineStr">
        <is>
          <t>KRONOBERGS LÄN</t>
        </is>
      </c>
      <c r="E9605" t="inlineStr">
        <is>
          <t>MARKARYD</t>
        </is>
      </c>
      <c r="G9605" t="n">
        <v>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1626-2025</t>
        </is>
      </c>
      <c r="B9606" s="1" t="n">
        <v>45670</v>
      </c>
      <c r="C9606" s="1" t="n">
        <v>45694</v>
      </c>
      <c r="D9606" t="inlineStr">
        <is>
          <t>KRONOBERGS LÄN</t>
        </is>
      </c>
      <c r="E9606" t="inlineStr">
        <is>
          <t>TINGSRYD</t>
        </is>
      </c>
      <c r="F9606" t="inlineStr">
        <is>
          <t>Kyrkan</t>
        </is>
      </c>
      <c r="G9606" t="n">
        <v>2.1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1634-2025</t>
        </is>
      </c>
      <c r="B9607" s="1" t="n">
        <v>45670</v>
      </c>
      <c r="C9607" s="1" t="n">
        <v>45694</v>
      </c>
      <c r="D9607" t="inlineStr">
        <is>
          <t>KRONOBERGS LÄN</t>
        </is>
      </c>
      <c r="E9607" t="inlineStr">
        <is>
          <t>VÄXJÖ</t>
        </is>
      </c>
      <c r="F9607" t="inlineStr">
        <is>
          <t>Kyrkan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45694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1490-2025</t>
        </is>
      </c>
      <c r="B9609" s="1" t="n">
        <v>45670</v>
      </c>
      <c r="C9609" s="1" t="n">
        <v>45694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45694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1632-2025</t>
        </is>
      </c>
      <c r="B9611" s="1" t="n">
        <v>45670</v>
      </c>
      <c r="C9611" s="1" t="n">
        <v>45694</v>
      </c>
      <c r="D9611" t="inlineStr">
        <is>
          <t>KRONOBERGS LÄN</t>
        </is>
      </c>
      <c r="E9611" t="inlineStr">
        <is>
          <t>TINGSRYD</t>
        </is>
      </c>
      <c r="F9611" t="inlineStr">
        <is>
          <t>Kyrkan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1563-2025</t>
        </is>
      </c>
      <c r="B9612" s="1" t="n">
        <v>45670</v>
      </c>
      <c r="C9612" s="1" t="n">
        <v>45694</v>
      </c>
      <c r="D9612" t="inlineStr">
        <is>
          <t>KRONOBERGS LÄN</t>
        </is>
      </c>
      <c r="E9612" t="inlineStr">
        <is>
          <t>TINGSRYD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1704-2025</t>
        </is>
      </c>
      <c r="B9613" s="1" t="n">
        <v>45670</v>
      </c>
      <c r="C9613" s="1" t="n">
        <v>45694</v>
      </c>
      <c r="D9613" t="inlineStr">
        <is>
          <t>KRONOBERGS LÄN</t>
        </is>
      </c>
      <c r="E9613" t="inlineStr">
        <is>
          <t>VÄXJÖ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1808-2025</t>
        </is>
      </c>
      <c r="B9614" s="1" t="n">
        <v>45670</v>
      </c>
      <c r="C9614" s="1" t="n">
        <v>45694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1643-2025</t>
        </is>
      </c>
      <c r="B9615" s="1" t="n">
        <v>45670</v>
      </c>
      <c r="C9615" s="1" t="n">
        <v>45694</v>
      </c>
      <c r="D9615" t="inlineStr">
        <is>
          <t>KRONOBERGS LÄN</t>
        </is>
      </c>
      <c r="E9615" t="inlineStr">
        <is>
          <t>VÄXJÖ</t>
        </is>
      </c>
      <c r="G9615" t="n">
        <v>12.9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45694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45694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45694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1811-2025</t>
        </is>
      </c>
      <c r="B9619" s="1" t="n">
        <v>45670</v>
      </c>
      <c r="C9619" s="1" t="n">
        <v>45694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1755-2025</t>
        </is>
      </c>
      <c r="B9620" s="1" t="n">
        <v>45671</v>
      </c>
      <c r="C9620" s="1" t="n">
        <v>45694</v>
      </c>
      <c r="D9620" t="inlineStr">
        <is>
          <t>KRONOBERGS LÄN</t>
        </is>
      </c>
      <c r="E9620" t="inlineStr">
        <is>
          <t>UPPVIDINGE</t>
        </is>
      </c>
      <c r="G9620" t="n">
        <v>4.9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1784-2025</t>
        </is>
      </c>
      <c r="B9621" s="1" t="n">
        <v>45671</v>
      </c>
      <c r="C9621" s="1" t="n">
        <v>45694</v>
      </c>
      <c r="D9621" t="inlineStr">
        <is>
          <t>KRONOBERGS LÄN</t>
        </is>
      </c>
      <c r="E9621" t="inlineStr">
        <is>
          <t>TINGSRYD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1781-2025</t>
        </is>
      </c>
      <c r="B9622" s="1" t="n">
        <v>45671</v>
      </c>
      <c r="C9622" s="1" t="n">
        <v>45694</v>
      </c>
      <c r="D9622" t="inlineStr">
        <is>
          <t>KRONOBERGS LÄN</t>
        </is>
      </c>
      <c r="E9622" t="inlineStr">
        <is>
          <t>TINGSRYD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45694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1794-2025</t>
        </is>
      </c>
      <c r="B9624" s="1" t="n">
        <v>45671</v>
      </c>
      <c r="C9624" s="1" t="n">
        <v>45694</v>
      </c>
      <c r="D9624" t="inlineStr">
        <is>
          <t>KRONOBERGS LÄN</t>
        </is>
      </c>
      <c r="E9624" t="inlineStr">
        <is>
          <t>UPPVIDINGE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45694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1897-2025</t>
        </is>
      </c>
      <c r="B9626" s="1" t="n">
        <v>45671</v>
      </c>
      <c r="C9626" s="1" t="n">
        <v>45694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1993-2025</t>
        </is>
      </c>
      <c r="B9627" s="1" t="n">
        <v>45671</v>
      </c>
      <c r="C9627" s="1" t="n">
        <v>45694</v>
      </c>
      <c r="D9627" t="inlineStr">
        <is>
          <t>KRONOBERGS LÄN</t>
        </is>
      </c>
      <c r="E9627" t="inlineStr">
        <is>
          <t>ALVESTA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1774-2025</t>
        </is>
      </c>
      <c r="B9628" s="1" t="n">
        <v>45671</v>
      </c>
      <c r="C9628" s="1" t="n">
        <v>45694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1894-2025</t>
        </is>
      </c>
      <c r="B9629" s="1" t="n">
        <v>45671</v>
      </c>
      <c r="C9629" s="1" t="n">
        <v>45694</v>
      </c>
      <c r="D9629" t="inlineStr">
        <is>
          <t>KRONOBERGS LÄN</t>
        </is>
      </c>
      <c r="E9629" t="inlineStr">
        <is>
          <t>LESSEBO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1957-2025</t>
        </is>
      </c>
      <c r="B9630" s="1" t="n">
        <v>45672</v>
      </c>
      <c r="C9630" s="1" t="n">
        <v>45694</v>
      </c>
      <c r="D9630" t="inlineStr">
        <is>
          <t>KRONOBERGS LÄN</t>
        </is>
      </c>
      <c r="E9630" t="inlineStr">
        <is>
          <t>TINGSRYD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2088-2025</t>
        </is>
      </c>
      <c r="B9631" s="1" t="n">
        <v>45672</v>
      </c>
      <c r="C9631" s="1" t="n">
        <v>45694</v>
      </c>
      <c r="D9631" t="inlineStr">
        <is>
          <t>KRONOBERGS LÄN</t>
        </is>
      </c>
      <c r="E9631" t="inlineStr">
        <is>
          <t>LJUNGBY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2015-2025</t>
        </is>
      </c>
      <c r="B9632" s="1" t="n">
        <v>45672</v>
      </c>
      <c r="C9632" s="1" t="n">
        <v>45694</v>
      </c>
      <c r="D9632" t="inlineStr">
        <is>
          <t>KRONOBERGS LÄN</t>
        </is>
      </c>
      <c r="E9632" t="inlineStr">
        <is>
          <t>LJUNGBY</t>
        </is>
      </c>
      <c r="G9632" t="n">
        <v>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2023-2025</t>
        </is>
      </c>
      <c r="B9633" s="1" t="n">
        <v>45672</v>
      </c>
      <c r="C9633" s="1" t="n">
        <v>45694</v>
      </c>
      <c r="D9633" t="inlineStr">
        <is>
          <t>KRONOBERGS LÄN</t>
        </is>
      </c>
      <c r="E9633" t="inlineStr">
        <is>
          <t>VÄXJÖ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2081-2025</t>
        </is>
      </c>
      <c r="B9634" s="1" t="n">
        <v>45672</v>
      </c>
      <c r="C9634" s="1" t="n">
        <v>45694</v>
      </c>
      <c r="D9634" t="inlineStr">
        <is>
          <t>KRONOBERGS LÄN</t>
        </is>
      </c>
      <c r="E9634" t="inlineStr">
        <is>
          <t>LJUNGBY</t>
        </is>
      </c>
      <c r="G9634" t="n">
        <v>0.5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45694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45694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2301-2025</t>
        </is>
      </c>
      <c r="B9637" s="1" t="n">
        <v>45673</v>
      </c>
      <c r="C9637" s="1" t="n">
        <v>45694</v>
      </c>
      <c r="D9637" t="inlineStr">
        <is>
          <t>KRONOBERGS LÄN</t>
        </is>
      </c>
      <c r="E9637" t="inlineStr">
        <is>
          <t>ALVESTA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2338-2025</t>
        </is>
      </c>
      <c r="B9638" s="1" t="n">
        <v>45673</v>
      </c>
      <c r="C9638" s="1" t="n">
        <v>45694</v>
      </c>
      <c r="D9638" t="inlineStr">
        <is>
          <t>KRONOBERGS LÄN</t>
        </is>
      </c>
      <c r="E9638" t="inlineStr">
        <is>
          <t>MARKARYD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2375-2025</t>
        </is>
      </c>
      <c r="B9639" s="1" t="n">
        <v>45673</v>
      </c>
      <c r="C9639" s="1" t="n">
        <v>45694</v>
      </c>
      <c r="D9639" t="inlineStr">
        <is>
          <t>KRONOBERGS LÄN</t>
        </is>
      </c>
      <c r="E9639" t="inlineStr">
        <is>
          <t>UPPVIDINGE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2292-2025</t>
        </is>
      </c>
      <c r="B9640" s="1" t="n">
        <v>45673</v>
      </c>
      <c r="C9640" s="1" t="n">
        <v>45694</v>
      </c>
      <c r="D9640" t="inlineStr">
        <is>
          <t>KRONOBERGS LÄN</t>
        </is>
      </c>
      <c r="E9640" t="inlineStr">
        <is>
          <t>ALVESTA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45694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45694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2351-2025</t>
        </is>
      </c>
      <c r="B9643" s="1" t="n">
        <v>45673</v>
      </c>
      <c r="C9643" s="1" t="n">
        <v>45694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45694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2421-2025</t>
        </is>
      </c>
      <c r="B9645" s="1" t="n">
        <v>45674</v>
      </c>
      <c r="C9645" s="1" t="n">
        <v>45694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2420-2025</t>
        </is>
      </c>
      <c r="B9646" s="1" t="n">
        <v>45674</v>
      </c>
      <c r="C9646" s="1" t="n">
        <v>45694</v>
      </c>
      <c r="D9646" t="inlineStr">
        <is>
          <t>KRONOBERGS LÄN</t>
        </is>
      </c>
      <c r="E9646" t="inlineStr">
        <is>
          <t>UPPVIDINGE</t>
        </is>
      </c>
      <c r="F9646" t="inlineStr">
        <is>
          <t>Sveaskog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2444-2025</t>
        </is>
      </c>
      <c r="B9647" s="1" t="n">
        <v>45674</v>
      </c>
      <c r="C9647" s="1" t="n">
        <v>45694</v>
      </c>
      <c r="D9647" t="inlineStr">
        <is>
          <t>KRONOBERGS LÄN</t>
        </is>
      </c>
      <c r="E9647" t="inlineStr">
        <is>
          <t>TINGSRYD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2458-2025</t>
        </is>
      </c>
      <c r="B9648" s="1" t="n">
        <v>45674</v>
      </c>
      <c r="C9648" s="1" t="n">
        <v>45694</v>
      </c>
      <c r="D9648" t="inlineStr">
        <is>
          <t>KRONOBERGS LÄN</t>
        </is>
      </c>
      <c r="E9648" t="inlineStr">
        <is>
          <t>TINGSRYD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45694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2460-2025</t>
        </is>
      </c>
      <c r="B9650" s="1" t="n">
        <v>45674</v>
      </c>
      <c r="C9650" s="1" t="n">
        <v>45694</v>
      </c>
      <c r="D9650" t="inlineStr">
        <is>
          <t>KRONOBERGS LÄN</t>
        </is>
      </c>
      <c r="E9650" t="inlineStr">
        <is>
          <t>TINGSRYD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45694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2648-2025</t>
        </is>
      </c>
      <c r="B9652" s="1" t="n">
        <v>45676</v>
      </c>
      <c r="C9652" s="1" t="n">
        <v>45694</v>
      </c>
      <c r="D9652" t="inlineStr">
        <is>
          <t>KRONOBERGS LÄN</t>
        </is>
      </c>
      <c r="E9652" t="inlineStr">
        <is>
          <t>LJUNGBY</t>
        </is>
      </c>
      <c r="G9652" t="n">
        <v>4.2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45694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2693-2025</t>
        </is>
      </c>
      <c r="B9654" s="1" t="n">
        <v>45677</v>
      </c>
      <c r="C9654" s="1" t="n">
        <v>45694</v>
      </c>
      <c r="D9654" t="inlineStr">
        <is>
          <t>KRONOBERGS LÄN</t>
        </is>
      </c>
      <c r="E9654" t="inlineStr">
        <is>
          <t>LJUNGBY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2805-2025</t>
        </is>
      </c>
      <c r="B9655" s="1" t="n">
        <v>45677</v>
      </c>
      <c r="C9655" s="1" t="n">
        <v>45694</v>
      </c>
      <c r="D9655" t="inlineStr">
        <is>
          <t>KRONOBERGS LÄN</t>
        </is>
      </c>
      <c r="E9655" t="inlineStr">
        <is>
          <t>TINGSRYD</t>
        </is>
      </c>
      <c r="F9655" t="inlineStr">
        <is>
          <t>Sveaskog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2809-2025</t>
        </is>
      </c>
      <c r="B9656" s="1" t="n">
        <v>45677</v>
      </c>
      <c r="C9656" s="1" t="n">
        <v>45694</v>
      </c>
      <c r="D9656" t="inlineStr">
        <is>
          <t>KRONOBERGS LÄN</t>
        </is>
      </c>
      <c r="E9656" t="inlineStr">
        <is>
          <t>TINGSRYD</t>
        </is>
      </c>
      <c r="F9656" t="inlineStr">
        <is>
          <t>Sveaskog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2884-2025</t>
        </is>
      </c>
      <c r="B9657" s="1" t="n">
        <v>45677</v>
      </c>
      <c r="C9657" s="1" t="n">
        <v>45694</v>
      </c>
      <c r="D9657" t="inlineStr">
        <is>
          <t>KRONOBERGS LÄN</t>
        </is>
      </c>
      <c r="E9657" t="inlineStr">
        <is>
          <t>UPPVIDINGE</t>
        </is>
      </c>
      <c r="G9657" t="n">
        <v>5.3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2905-2025</t>
        </is>
      </c>
      <c r="B9658" s="1" t="n">
        <v>45677</v>
      </c>
      <c r="C9658" s="1" t="n">
        <v>45694</v>
      </c>
      <c r="D9658" t="inlineStr">
        <is>
          <t>KRONOBERGS LÄN</t>
        </is>
      </c>
      <c r="E9658" t="inlineStr">
        <is>
          <t>LJUNGBY</t>
        </is>
      </c>
      <c r="G9658" t="n">
        <v>3.2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2801-2025</t>
        </is>
      </c>
      <c r="B9659" s="1" t="n">
        <v>45677</v>
      </c>
      <c r="C9659" s="1" t="n">
        <v>45694</v>
      </c>
      <c r="D9659" t="inlineStr">
        <is>
          <t>KRONOBERGS LÄN</t>
        </is>
      </c>
      <c r="E9659" t="inlineStr">
        <is>
          <t>TINGSRYD</t>
        </is>
      </c>
      <c r="F9659" t="inlineStr">
        <is>
          <t>Sveaskog</t>
        </is>
      </c>
      <c r="G9659" t="n">
        <v>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45694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45694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2836-2025</t>
        </is>
      </c>
      <c r="B9662" s="1" t="n">
        <v>45677</v>
      </c>
      <c r="C9662" s="1" t="n">
        <v>45694</v>
      </c>
      <c r="D9662" t="inlineStr">
        <is>
          <t>KRONOBERGS LÄN</t>
        </is>
      </c>
      <c r="E9662" t="inlineStr">
        <is>
          <t>ÄLMHULT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2890-2025</t>
        </is>
      </c>
      <c r="B9663" s="1" t="n">
        <v>45677</v>
      </c>
      <c r="C9663" s="1" t="n">
        <v>45694</v>
      </c>
      <c r="D9663" t="inlineStr">
        <is>
          <t>KRONOBERGS LÄN</t>
        </is>
      </c>
      <c r="E9663" t="inlineStr">
        <is>
          <t>VÄXJÖ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2792-2025</t>
        </is>
      </c>
      <c r="B9664" s="1" t="n">
        <v>45677</v>
      </c>
      <c r="C9664" s="1" t="n">
        <v>45694</v>
      </c>
      <c r="D9664" t="inlineStr">
        <is>
          <t>KRONOBERGS LÄN</t>
        </is>
      </c>
      <c r="E9664" t="inlineStr">
        <is>
          <t>UPPVIDINGE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2919-2025</t>
        </is>
      </c>
      <c r="B9665" s="1" t="n">
        <v>45678</v>
      </c>
      <c r="C9665" s="1" t="n">
        <v>45694</v>
      </c>
      <c r="D9665" t="inlineStr">
        <is>
          <t>KRONOBERGS LÄN</t>
        </is>
      </c>
      <c r="E9665" t="inlineStr">
        <is>
          <t>VÄXJÖ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2953-2025</t>
        </is>
      </c>
      <c r="B9666" s="1" t="n">
        <v>45678</v>
      </c>
      <c r="C9666" s="1" t="n">
        <v>45694</v>
      </c>
      <c r="D9666" t="inlineStr">
        <is>
          <t>KRONOBERGS LÄN</t>
        </is>
      </c>
      <c r="E9666" t="inlineStr">
        <is>
          <t>VÄXJÖ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2961-2025</t>
        </is>
      </c>
      <c r="B9667" s="1" t="n">
        <v>45678</v>
      </c>
      <c r="C9667" s="1" t="n">
        <v>45694</v>
      </c>
      <c r="D9667" t="inlineStr">
        <is>
          <t>KRONOBERGS LÄN</t>
        </is>
      </c>
      <c r="E9667" t="inlineStr">
        <is>
          <t>VÄXJÖ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2932-2025</t>
        </is>
      </c>
      <c r="B9668" s="1" t="n">
        <v>45678</v>
      </c>
      <c r="C9668" s="1" t="n">
        <v>45694</v>
      </c>
      <c r="D9668" t="inlineStr">
        <is>
          <t>KRONOBERGS LÄN</t>
        </is>
      </c>
      <c r="E9668" t="inlineStr">
        <is>
          <t>ÄLMHULT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2952-2025</t>
        </is>
      </c>
      <c r="B9669" s="1" t="n">
        <v>45678</v>
      </c>
      <c r="C9669" s="1" t="n">
        <v>45694</v>
      </c>
      <c r="D9669" t="inlineStr">
        <is>
          <t>KRONOBERGS LÄN</t>
        </is>
      </c>
      <c r="E9669" t="inlineStr">
        <is>
          <t>TINGSRYD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3078-2025</t>
        </is>
      </c>
      <c r="B9670" s="1" t="n">
        <v>45678</v>
      </c>
      <c r="C9670" s="1" t="n">
        <v>45694</v>
      </c>
      <c r="D9670" t="inlineStr">
        <is>
          <t>KRONOBERGS LÄN</t>
        </is>
      </c>
      <c r="E9670" t="inlineStr">
        <is>
          <t>MARKARYD</t>
        </is>
      </c>
      <c r="G9670" t="n">
        <v>4.2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2956-2025</t>
        </is>
      </c>
      <c r="B9671" s="1" t="n">
        <v>45678</v>
      </c>
      <c r="C9671" s="1" t="n">
        <v>45694</v>
      </c>
      <c r="D9671" t="inlineStr">
        <is>
          <t>KRONOBERGS LÄN</t>
        </is>
      </c>
      <c r="E9671" t="inlineStr">
        <is>
          <t>VÄXJÖ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3146-2025</t>
        </is>
      </c>
      <c r="B9672" s="1" t="n">
        <v>45678</v>
      </c>
      <c r="C9672" s="1" t="n">
        <v>45694</v>
      </c>
      <c r="D9672" t="inlineStr">
        <is>
          <t>KRONOBERGS LÄN</t>
        </is>
      </c>
      <c r="E9672" t="inlineStr">
        <is>
          <t>MARKARYD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3142-2025</t>
        </is>
      </c>
      <c r="B9673" s="1" t="n">
        <v>45678</v>
      </c>
      <c r="C9673" s="1" t="n">
        <v>45694</v>
      </c>
      <c r="D9673" t="inlineStr">
        <is>
          <t>KRONOBERGS LÄN</t>
        </is>
      </c>
      <c r="E9673" t="inlineStr">
        <is>
          <t>MARKARYD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3138-2025</t>
        </is>
      </c>
      <c r="B9674" s="1" t="n">
        <v>45678</v>
      </c>
      <c r="C9674" s="1" t="n">
        <v>45694</v>
      </c>
      <c r="D9674" t="inlineStr">
        <is>
          <t>KRONOBERGS LÄN</t>
        </is>
      </c>
      <c r="E9674" t="inlineStr">
        <is>
          <t>MARKARYD</t>
        </is>
      </c>
      <c r="G9674" t="n">
        <v>7.8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3136-2025</t>
        </is>
      </c>
      <c r="B9675" s="1" t="n">
        <v>45678</v>
      </c>
      <c r="C9675" s="1" t="n">
        <v>45694</v>
      </c>
      <c r="D9675" t="inlineStr">
        <is>
          <t>KRONOBERGS LÄN</t>
        </is>
      </c>
      <c r="E9675" t="inlineStr">
        <is>
          <t>MARKARYD</t>
        </is>
      </c>
      <c r="G9675" t="n">
        <v>0.9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3140-2025</t>
        </is>
      </c>
      <c r="B9676" s="1" t="n">
        <v>45678</v>
      </c>
      <c r="C9676" s="1" t="n">
        <v>45694</v>
      </c>
      <c r="D9676" t="inlineStr">
        <is>
          <t>KRONOBERGS LÄN</t>
        </is>
      </c>
      <c r="E9676" t="inlineStr">
        <is>
          <t>MARKARYD</t>
        </is>
      </c>
      <c r="G9676" t="n">
        <v>9.4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45694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45694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3141-2025</t>
        </is>
      </c>
      <c r="B9679" s="1" t="n">
        <v>45678</v>
      </c>
      <c r="C9679" s="1" t="n">
        <v>45694</v>
      </c>
      <c r="D9679" t="inlineStr">
        <is>
          <t>KRONOBERGS LÄN</t>
        </is>
      </c>
      <c r="E9679" t="inlineStr">
        <is>
          <t>MARKARYD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3145-2025</t>
        </is>
      </c>
      <c r="B9680" s="1" t="n">
        <v>45678</v>
      </c>
      <c r="C9680" s="1" t="n">
        <v>45694</v>
      </c>
      <c r="D9680" t="inlineStr">
        <is>
          <t>KRONOBERGS LÄN</t>
        </is>
      </c>
      <c r="E9680" t="inlineStr">
        <is>
          <t>MARKARYD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3139-2025</t>
        </is>
      </c>
      <c r="B9681" s="1" t="n">
        <v>45678</v>
      </c>
      <c r="C9681" s="1" t="n">
        <v>45694</v>
      </c>
      <c r="D9681" t="inlineStr">
        <is>
          <t>KRONOBERGS LÄN</t>
        </is>
      </c>
      <c r="E9681" t="inlineStr">
        <is>
          <t>MARKARYD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3143-2025</t>
        </is>
      </c>
      <c r="B9682" s="1" t="n">
        <v>45678</v>
      </c>
      <c r="C9682" s="1" t="n">
        <v>45694</v>
      </c>
      <c r="D9682" t="inlineStr">
        <is>
          <t>KRONOBERGS LÄN</t>
        </is>
      </c>
      <c r="E9682" t="inlineStr">
        <is>
          <t>MARKARYD</t>
        </is>
      </c>
      <c r="G9682" t="n">
        <v>3.7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3280-2025</t>
        </is>
      </c>
      <c r="B9683" s="1" t="n">
        <v>45679</v>
      </c>
      <c r="C9683" s="1" t="n">
        <v>45694</v>
      </c>
      <c r="D9683" t="inlineStr">
        <is>
          <t>KRONOBERGS LÄN</t>
        </is>
      </c>
      <c r="E9683" t="inlineStr">
        <is>
          <t>VÄXJÖ</t>
        </is>
      </c>
      <c r="G9683" t="n">
        <v>0.2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3277-2025</t>
        </is>
      </c>
      <c r="B9684" s="1" t="n">
        <v>45679</v>
      </c>
      <c r="C9684" s="1" t="n">
        <v>45694</v>
      </c>
      <c r="D9684" t="inlineStr">
        <is>
          <t>KRONOBERGS LÄN</t>
        </is>
      </c>
      <c r="E9684" t="inlineStr">
        <is>
          <t>ÄLMHULT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3190-2025</t>
        </is>
      </c>
      <c r="B9685" s="1" t="n">
        <v>45679</v>
      </c>
      <c r="C9685" s="1" t="n">
        <v>45694</v>
      </c>
      <c r="D9685" t="inlineStr">
        <is>
          <t>KRONOBERGS LÄN</t>
        </is>
      </c>
      <c r="E9685" t="inlineStr">
        <is>
          <t>TINGSRYD</t>
        </is>
      </c>
      <c r="G9685" t="n">
        <v>5.9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3239-2025</t>
        </is>
      </c>
      <c r="B9686" s="1" t="n">
        <v>45679</v>
      </c>
      <c r="C9686" s="1" t="n">
        <v>45694</v>
      </c>
      <c r="D9686" t="inlineStr">
        <is>
          <t>KRONOBERGS LÄN</t>
        </is>
      </c>
      <c r="E9686" t="inlineStr">
        <is>
          <t>LESSEBO</t>
        </is>
      </c>
      <c r="F9686" t="inlineStr">
        <is>
          <t>Kommuner</t>
        </is>
      </c>
      <c r="G9686" t="n">
        <v>2.5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3243-2025</t>
        </is>
      </c>
      <c r="B9687" s="1" t="n">
        <v>45679</v>
      </c>
      <c r="C9687" s="1" t="n">
        <v>45694</v>
      </c>
      <c r="D9687" t="inlineStr">
        <is>
          <t>KRONOBERGS LÄN</t>
        </is>
      </c>
      <c r="E9687" t="inlineStr">
        <is>
          <t>UPPVIDINGE</t>
        </is>
      </c>
      <c r="G9687" t="n">
        <v>4.8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3356-2025</t>
        </is>
      </c>
      <c r="B9688" s="1" t="n">
        <v>45679</v>
      </c>
      <c r="C9688" s="1" t="n">
        <v>45694</v>
      </c>
      <c r="D9688" t="inlineStr">
        <is>
          <t>KRONOBERGS LÄN</t>
        </is>
      </c>
      <c r="E9688" t="inlineStr">
        <is>
          <t>VÄXJÖ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3240-2025</t>
        </is>
      </c>
      <c r="B9689" s="1" t="n">
        <v>45679</v>
      </c>
      <c r="C9689" s="1" t="n">
        <v>45694</v>
      </c>
      <c r="D9689" t="inlineStr">
        <is>
          <t>KRONOBERGS LÄN</t>
        </is>
      </c>
      <c r="E9689" t="inlineStr">
        <is>
          <t>LJUNGBY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3236-2025</t>
        </is>
      </c>
      <c r="B9690" s="1" t="n">
        <v>45679</v>
      </c>
      <c r="C9690" s="1" t="n">
        <v>45694</v>
      </c>
      <c r="D9690" t="inlineStr">
        <is>
          <t>KRONOBERGS LÄN</t>
        </is>
      </c>
      <c r="E9690" t="inlineStr">
        <is>
          <t>VÄXJÖ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3303-2025</t>
        </is>
      </c>
      <c r="B9691" s="1" t="n">
        <v>45679</v>
      </c>
      <c r="C9691" s="1" t="n">
        <v>45694</v>
      </c>
      <c r="D9691" t="inlineStr">
        <is>
          <t>KRONOBERGS LÄN</t>
        </is>
      </c>
      <c r="E9691" t="inlineStr">
        <is>
          <t>TINGSRYD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3351-2025</t>
        </is>
      </c>
      <c r="B9692" s="1" t="n">
        <v>45679</v>
      </c>
      <c r="C9692" s="1" t="n">
        <v>45694</v>
      </c>
      <c r="D9692" t="inlineStr">
        <is>
          <t>KRONOBERGS LÄN</t>
        </is>
      </c>
      <c r="E9692" t="inlineStr">
        <is>
          <t>VÄXJÖ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3357-2025</t>
        </is>
      </c>
      <c r="B9693" s="1" t="n">
        <v>45679</v>
      </c>
      <c r="C9693" s="1" t="n">
        <v>45694</v>
      </c>
      <c r="D9693" t="inlineStr">
        <is>
          <t>KRONOBERGS LÄN</t>
        </is>
      </c>
      <c r="E9693" t="inlineStr">
        <is>
          <t>VÄXJÖ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45694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3444-2025</t>
        </is>
      </c>
      <c r="B9695" s="1" t="n">
        <v>45679</v>
      </c>
      <c r="C9695" s="1" t="n">
        <v>45694</v>
      </c>
      <c r="D9695" t="inlineStr">
        <is>
          <t>KRONOBERGS LÄN</t>
        </is>
      </c>
      <c r="E9695" t="inlineStr">
        <is>
          <t>ÄLMHULT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3225-2025</t>
        </is>
      </c>
      <c r="B9696" s="1" t="n">
        <v>45679</v>
      </c>
      <c r="C9696" s="1" t="n">
        <v>45694</v>
      </c>
      <c r="D9696" t="inlineStr">
        <is>
          <t>KRONOBERGS LÄN</t>
        </is>
      </c>
      <c r="E9696" t="inlineStr">
        <is>
          <t>LJUNGBY</t>
        </is>
      </c>
      <c r="G9696" t="n">
        <v>20.8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3230-2025</t>
        </is>
      </c>
      <c r="B9697" s="1" t="n">
        <v>45679</v>
      </c>
      <c r="C9697" s="1" t="n">
        <v>45694</v>
      </c>
      <c r="D9697" t="inlineStr">
        <is>
          <t>KRONOBERGS LÄN</t>
        </is>
      </c>
      <c r="E9697" t="inlineStr">
        <is>
          <t>LJUNGBY</t>
        </is>
      </c>
      <c r="G9697" t="n">
        <v>7.3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3238-2025</t>
        </is>
      </c>
      <c r="B9698" s="1" t="n">
        <v>45679</v>
      </c>
      <c r="C9698" s="1" t="n">
        <v>45694</v>
      </c>
      <c r="D9698" t="inlineStr">
        <is>
          <t>KRONOBERGS LÄN</t>
        </is>
      </c>
      <c r="E9698" t="inlineStr">
        <is>
          <t>VÄXJÖ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45694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45694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3516-2025</t>
        </is>
      </c>
      <c r="B9701" s="1" t="n">
        <v>45680</v>
      </c>
      <c r="C9701" s="1" t="n">
        <v>45694</v>
      </c>
      <c r="D9701" t="inlineStr">
        <is>
          <t>KRONOBERGS LÄN</t>
        </is>
      </c>
      <c r="E9701" t="inlineStr">
        <is>
          <t>ÄLMHULT</t>
        </is>
      </c>
      <c r="F9701" t="inlineStr">
        <is>
          <t>Sveaskog</t>
        </is>
      </c>
      <c r="G9701" t="n">
        <v>7.2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3489-2025</t>
        </is>
      </c>
      <c r="B9702" s="1" t="n">
        <v>45680</v>
      </c>
      <c r="C9702" s="1" t="n">
        <v>45694</v>
      </c>
      <c r="D9702" t="inlineStr">
        <is>
          <t>KRONOBERGS LÄN</t>
        </is>
      </c>
      <c r="E9702" t="inlineStr">
        <is>
          <t>LESSEBO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3513-2025</t>
        </is>
      </c>
      <c r="B9703" s="1" t="n">
        <v>45680</v>
      </c>
      <c r="C9703" s="1" t="n">
        <v>45694</v>
      </c>
      <c r="D9703" t="inlineStr">
        <is>
          <t>KRONOBERGS LÄN</t>
        </is>
      </c>
      <c r="E9703" t="inlineStr">
        <is>
          <t>ÄLMHULT</t>
        </is>
      </c>
      <c r="F9703" t="inlineStr">
        <is>
          <t>Sveaskog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3517-2025</t>
        </is>
      </c>
      <c r="B9704" s="1" t="n">
        <v>45680</v>
      </c>
      <c r="C9704" s="1" t="n">
        <v>45694</v>
      </c>
      <c r="D9704" t="inlineStr">
        <is>
          <t>KRONOBERGS LÄN</t>
        </is>
      </c>
      <c r="E9704" t="inlineStr">
        <is>
          <t>ÄLMHULT</t>
        </is>
      </c>
      <c r="F9704" t="inlineStr">
        <is>
          <t>Sveaskog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3377-2025</t>
        </is>
      </c>
      <c r="B9705" s="1" t="n">
        <v>45680</v>
      </c>
      <c r="C9705" s="1" t="n">
        <v>45694</v>
      </c>
      <c r="D9705" t="inlineStr">
        <is>
          <t>KRONOBERGS LÄN</t>
        </is>
      </c>
      <c r="E9705" t="inlineStr">
        <is>
          <t>ÄLMHULT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3483-2025</t>
        </is>
      </c>
      <c r="B9706" s="1" t="n">
        <v>45680</v>
      </c>
      <c r="C9706" s="1" t="n">
        <v>45694</v>
      </c>
      <c r="D9706" t="inlineStr">
        <is>
          <t>KRONOBERGS LÄN</t>
        </is>
      </c>
      <c r="E9706" t="inlineStr">
        <is>
          <t>LESSEBO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3495-2025</t>
        </is>
      </c>
      <c r="B9707" s="1" t="n">
        <v>45680</v>
      </c>
      <c r="C9707" s="1" t="n">
        <v>45694</v>
      </c>
      <c r="D9707" t="inlineStr">
        <is>
          <t>KRONOBERGS LÄN</t>
        </is>
      </c>
      <c r="E9707" t="inlineStr">
        <is>
          <t>ÄLMHULT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3545-2025</t>
        </is>
      </c>
      <c r="B9708" s="1" t="n">
        <v>45680</v>
      </c>
      <c r="C9708" s="1" t="n">
        <v>45694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3583-2025</t>
        </is>
      </c>
      <c r="B9709" s="1" t="n">
        <v>45680</v>
      </c>
      <c r="C9709" s="1" t="n">
        <v>45694</v>
      </c>
      <c r="D9709" t="inlineStr">
        <is>
          <t>KRONOBERGS LÄN</t>
        </is>
      </c>
      <c r="E9709" t="inlineStr">
        <is>
          <t>MARKARYD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3488-2025</t>
        </is>
      </c>
      <c r="B9710" s="1" t="n">
        <v>45680</v>
      </c>
      <c r="C9710" s="1" t="n">
        <v>45694</v>
      </c>
      <c r="D9710" t="inlineStr">
        <is>
          <t>KRONOBERGS LÄN</t>
        </is>
      </c>
      <c r="E9710" t="inlineStr">
        <is>
          <t>MARKARYD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3480-2025</t>
        </is>
      </c>
      <c r="B9711" s="1" t="n">
        <v>45680</v>
      </c>
      <c r="C9711" s="1" t="n">
        <v>45694</v>
      </c>
      <c r="D9711" t="inlineStr">
        <is>
          <t>KRONOBERGS LÄN</t>
        </is>
      </c>
      <c r="E9711" t="inlineStr">
        <is>
          <t>TINGSRYD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3573-2025</t>
        </is>
      </c>
      <c r="B9712" s="1" t="n">
        <v>45680</v>
      </c>
      <c r="C9712" s="1" t="n">
        <v>45694</v>
      </c>
      <c r="D9712" t="inlineStr">
        <is>
          <t>KRONOBERGS LÄN</t>
        </is>
      </c>
      <c r="E9712" t="inlineStr">
        <is>
          <t>ÄLMHULT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3577-2025</t>
        </is>
      </c>
      <c r="B9713" s="1" t="n">
        <v>45680</v>
      </c>
      <c r="C9713" s="1" t="n">
        <v>45694</v>
      </c>
      <c r="D9713" t="inlineStr">
        <is>
          <t>KRONOBERGS LÄN</t>
        </is>
      </c>
      <c r="E9713" t="inlineStr">
        <is>
          <t>ÄLMHULT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3581-2025</t>
        </is>
      </c>
      <c r="B9714" s="1" t="n">
        <v>45680</v>
      </c>
      <c r="C9714" s="1" t="n">
        <v>45694</v>
      </c>
      <c r="D9714" t="inlineStr">
        <is>
          <t>KRONOBERGS LÄN</t>
        </is>
      </c>
      <c r="E9714" t="inlineStr">
        <is>
          <t>ALVESTA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3472-2025</t>
        </is>
      </c>
      <c r="B9715" s="1" t="n">
        <v>45680</v>
      </c>
      <c r="C9715" s="1" t="n">
        <v>45694</v>
      </c>
      <c r="D9715" t="inlineStr">
        <is>
          <t>KRONOBERGS LÄN</t>
        </is>
      </c>
      <c r="E9715" t="inlineStr">
        <is>
          <t>TINGSRYD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3514-2025</t>
        </is>
      </c>
      <c r="B9716" s="1" t="n">
        <v>45680</v>
      </c>
      <c r="C9716" s="1" t="n">
        <v>45694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3518-2025</t>
        </is>
      </c>
      <c r="B9717" s="1" t="n">
        <v>45680</v>
      </c>
      <c r="C9717" s="1" t="n">
        <v>45694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3531-2025</t>
        </is>
      </c>
      <c r="B9718" s="1" t="n">
        <v>45680</v>
      </c>
      <c r="C9718" s="1" t="n">
        <v>45694</v>
      </c>
      <c r="D9718" t="inlineStr">
        <is>
          <t>KRONOBERGS LÄN</t>
        </is>
      </c>
      <c r="E9718" t="inlineStr">
        <is>
          <t>TINGSRYD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3580-2025</t>
        </is>
      </c>
      <c r="B9719" s="1" t="n">
        <v>45680</v>
      </c>
      <c r="C9719" s="1" t="n">
        <v>45694</v>
      </c>
      <c r="D9719" t="inlineStr">
        <is>
          <t>KRONOBERGS LÄN</t>
        </is>
      </c>
      <c r="E9719" t="inlineStr">
        <is>
          <t>ALVESTA</t>
        </is>
      </c>
      <c r="G9719" t="n">
        <v>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3599-2025</t>
        </is>
      </c>
      <c r="B9720" s="1" t="n">
        <v>45681</v>
      </c>
      <c r="C9720" s="1" t="n">
        <v>45694</v>
      </c>
      <c r="D9720" t="inlineStr">
        <is>
          <t>KRONOBERGS LÄN</t>
        </is>
      </c>
      <c r="E9720" t="inlineStr">
        <is>
          <t>LJUNGBY</t>
        </is>
      </c>
      <c r="G9720" t="n">
        <v>1.2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3722-2025</t>
        </is>
      </c>
      <c r="B9721" s="1" t="n">
        <v>45681</v>
      </c>
      <c r="C9721" s="1" t="n">
        <v>45694</v>
      </c>
      <c r="D9721" t="inlineStr">
        <is>
          <t>KRONOBERGS LÄN</t>
        </is>
      </c>
      <c r="E9721" t="inlineStr">
        <is>
          <t>ALVESTA</t>
        </is>
      </c>
      <c r="G9721" t="n">
        <v>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3686-2025</t>
        </is>
      </c>
      <c r="B9722" s="1" t="n">
        <v>45681</v>
      </c>
      <c r="C9722" s="1" t="n">
        <v>45694</v>
      </c>
      <c r="D9722" t="inlineStr">
        <is>
          <t>KRONOBERGS LÄN</t>
        </is>
      </c>
      <c r="E9722" t="inlineStr">
        <is>
          <t>ÄLMHULT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3744-2025</t>
        </is>
      </c>
      <c r="B9723" s="1" t="n">
        <v>45681</v>
      </c>
      <c r="C9723" s="1" t="n">
        <v>45694</v>
      </c>
      <c r="D9723" t="inlineStr">
        <is>
          <t>KRONOBERGS LÄN</t>
        </is>
      </c>
      <c r="E9723" t="inlineStr">
        <is>
          <t>TINGSRYD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3768-2025</t>
        </is>
      </c>
      <c r="B9724" s="1" t="n">
        <v>45681</v>
      </c>
      <c r="C9724" s="1" t="n">
        <v>45694</v>
      </c>
      <c r="D9724" t="inlineStr">
        <is>
          <t>KRONOBERGS LÄN</t>
        </is>
      </c>
      <c r="E9724" t="inlineStr">
        <is>
          <t>MARKARYD</t>
        </is>
      </c>
      <c r="G9724" t="n">
        <v>6.2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3807-2025</t>
        </is>
      </c>
      <c r="B9725" s="1" t="n">
        <v>45681</v>
      </c>
      <c r="C9725" s="1" t="n">
        <v>45694</v>
      </c>
      <c r="D9725" t="inlineStr">
        <is>
          <t>KRONOBERGS LÄN</t>
        </is>
      </c>
      <c r="E9725" t="inlineStr">
        <is>
          <t>MARKARYD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3782-2025</t>
        </is>
      </c>
      <c r="B9726" s="1" t="n">
        <v>45681</v>
      </c>
      <c r="C9726" s="1" t="n">
        <v>45694</v>
      </c>
      <c r="D9726" t="inlineStr">
        <is>
          <t>KRONOBERGS LÄN</t>
        </is>
      </c>
      <c r="E9726" t="inlineStr">
        <is>
          <t>LJUNGBY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3798-2025</t>
        </is>
      </c>
      <c r="B9727" s="1" t="n">
        <v>45681</v>
      </c>
      <c r="C9727" s="1" t="n">
        <v>45694</v>
      </c>
      <c r="D9727" t="inlineStr">
        <is>
          <t>KRONOBERGS LÄN</t>
        </is>
      </c>
      <c r="E9727" t="inlineStr">
        <is>
          <t>VÄXJÖ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3690-2025</t>
        </is>
      </c>
      <c r="B9728" s="1" t="n">
        <v>45681</v>
      </c>
      <c r="C9728" s="1" t="n">
        <v>45694</v>
      </c>
      <c r="D9728" t="inlineStr">
        <is>
          <t>KRONOBERGS LÄN</t>
        </is>
      </c>
      <c r="E9728" t="inlineStr">
        <is>
          <t>ÄLMHULT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3755-2025</t>
        </is>
      </c>
      <c r="B9729" s="1" t="n">
        <v>45681</v>
      </c>
      <c r="C9729" s="1" t="n">
        <v>45694</v>
      </c>
      <c r="D9729" t="inlineStr">
        <is>
          <t>KRONOBERGS LÄN</t>
        </is>
      </c>
      <c r="E9729" t="inlineStr">
        <is>
          <t>VÄXJÖ</t>
        </is>
      </c>
      <c r="F9729" t="inlineStr">
        <is>
          <t>Kyrkan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3809-2025</t>
        </is>
      </c>
      <c r="B9730" s="1" t="n">
        <v>45681</v>
      </c>
      <c r="C9730" s="1" t="n">
        <v>45694</v>
      </c>
      <c r="D9730" t="inlineStr">
        <is>
          <t>KRONOBERGS LÄN</t>
        </is>
      </c>
      <c r="E9730" t="inlineStr">
        <is>
          <t>MARKARYD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3869-2025</t>
        </is>
      </c>
      <c r="B9731" s="1" t="n">
        <v>45684</v>
      </c>
      <c r="C9731" s="1" t="n">
        <v>45694</v>
      </c>
      <c r="D9731" t="inlineStr">
        <is>
          <t>KRONOBERGS LÄN</t>
        </is>
      </c>
      <c r="E9731" t="inlineStr">
        <is>
          <t>ÄLMHULT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3937-2025</t>
        </is>
      </c>
      <c r="B9732" s="1" t="n">
        <v>45684</v>
      </c>
      <c r="C9732" s="1" t="n">
        <v>45694</v>
      </c>
      <c r="D9732" t="inlineStr">
        <is>
          <t>KRONOBERGS LÄN</t>
        </is>
      </c>
      <c r="E9732" t="inlineStr">
        <is>
          <t>ALVESTA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3893-2025</t>
        </is>
      </c>
      <c r="B9733" s="1" t="n">
        <v>45684</v>
      </c>
      <c r="C9733" s="1" t="n">
        <v>45694</v>
      </c>
      <c r="D9733" t="inlineStr">
        <is>
          <t>KRONOBERGS LÄN</t>
        </is>
      </c>
      <c r="E9733" t="inlineStr">
        <is>
          <t>VÄXJÖ</t>
        </is>
      </c>
      <c r="G9733" t="n">
        <v>4.3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3976-2025</t>
        </is>
      </c>
      <c r="B9734" s="1" t="n">
        <v>45684</v>
      </c>
      <c r="C9734" s="1" t="n">
        <v>45694</v>
      </c>
      <c r="D9734" t="inlineStr">
        <is>
          <t>KRONOBERGS LÄN</t>
        </is>
      </c>
      <c r="E9734" t="inlineStr">
        <is>
          <t>LJUNGBY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3981-2025</t>
        </is>
      </c>
      <c r="B9735" s="1" t="n">
        <v>45684</v>
      </c>
      <c r="C9735" s="1" t="n">
        <v>45694</v>
      </c>
      <c r="D9735" t="inlineStr">
        <is>
          <t>KRONOBERGS LÄN</t>
        </is>
      </c>
      <c r="E9735" t="inlineStr">
        <is>
          <t>LJUNGBY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3876-2025</t>
        </is>
      </c>
      <c r="B9736" s="1" t="n">
        <v>45684</v>
      </c>
      <c r="C9736" s="1" t="n">
        <v>45694</v>
      </c>
      <c r="D9736" t="inlineStr">
        <is>
          <t>KRONOBERGS LÄN</t>
        </is>
      </c>
      <c r="E9736" t="inlineStr">
        <is>
          <t>LJUNGBY</t>
        </is>
      </c>
      <c r="G9736" t="n">
        <v>0.2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4106-2025</t>
        </is>
      </c>
      <c r="B9737" s="1" t="n">
        <v>45684</v>
      </c>
      <c r="C9737" s="1" t="n">
        <v>45694</v>
      </c>
      <c r="D9737" t="inlineStr">
        <is>
          <t>KRONOBERGS LÄN</t>
        </is>
      </c>
      <c r="E9737" t="inlineStr">
        <is>
          <t>LESSEBO</t>
        </is>
      </c>
      <c r="G9737" t="n">
        <v>3.7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3974-2025</t>
        </is>
      </c>
      <c r="B9738" s="1" t="n">
        <v>45684</v>
      </c>
      <c r="C9738" s="1" t="n">
        <v>45694</v>
      </c>
      <c r="D9738" t="inlineStr">
        <is>
          <t>KRONOBERGS LÄN</t>
        </is>
      </c>
      <c r="E9738" t="inlineStr">
        <is>
          <t>LJUNGBY</t>
        </is>
      </c>
      <c r="G9738" t="n">
        <v>3.1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3958-2025</t>
        </is>
      </c>
      <c r="B9739" s="1" t="n">
        <v>45684</v>
      </c>
      <c r="C9739" s="1" t="n">
        <v>45694</v>
      </c>
      <c r="D9739" t="inlineStr">
        <is>
          <t>KRONOBERGS LÄN</t>
        </is>
      </c>
      <c r="E9739" t="inlineStr">
        <is>
          <t>LJUNGBY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3929-2025</t>
        </is>
      </c>
      <c r="B9740" s="1" t="n">
        <v>45684</v>
      </c>
      <c r="C9740" s="1" t="n">
        <v>45694</v>
      </c>
      <c r="D9740" t="inlineStr">
        <is>
          <t>KRONOBERGS LÄN</t>
        </is>
      </c>
      <c r="E9740" t="inlineStr">
        <is>
          <t>LJUNGBY</t>
        </is>
      </c>
      <c r="F9740" t="inlineStr">
        <is>
          <t>Sveaskog</t>
        </is>
      </c>
      <c r="G9740" t="n">
        <v>3.3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3879-2025</t>
        </is>
      </c>
      <c r="B9741" s="1" t="n">
        <v>45684</v>
      </c>
      <c r="C9741" s="1" t="n">
        <v>45694</v>
      </c>
      <c r="D9741" t="inlineStr">
        <is>
          <t>KRONOBERGS LÄN</t>
        </is>
      </c>
      <c r="E9741" t="inlineStr">
        <is>
          <t>LJUNGBY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3875-2025</t>
        </is>
      </c>
      <c r="B9742" s="1" t="n">
        <v>45684</v>
      </c>
      <c r="C9742" s="1" t="n">
        <v>45694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4107-2025</t>
        </is>
      </c>
      <c r="B9743" s="1" t="n">
        <v>45684</v>
      </c>
      <c r="C9743" s="1" t="n">
        <v>45694</v>
      </c>
      <c r="D9743" t="inlineStr">
        <is>
          <t>KRONOBERGS LÄN</t>
        </is>
      </c>
      <c r="E9743" t="inlineStr">
        <is>
          <t>LESSEBO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3971-2025</t>
        </is>
      </c>
      <c r="B9744" s="1" t="n">
        <v>45684</v>
      </c>
      <c r="C9744" s="1" t="n">
        <v>45694</v>
      </c>
      <c r="D9744" t="inlineStr">
        <is>
          <t>KRONOBERGS LÄN</t>
        </is>
      </c>
      <c r="E9744" t="inlineStr">
        <is>
          <t>TINGSRYD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3987-2025</t>
        </is>
      </c>
      <c r="B9745" s="1" t="n">
        <v>45684</v>
      </c>
      <c r="C9745" s="1" t="n">
        <v>45694</v>
      </c>
      <c r="D9745" t="inlineStr">
        <is>
          <t>KRONOBERGS LÄN</t>
        </is>
      </c>
      <c r="E9745" t="inlineStr">
        <is>
          <t>TINGSRYD</t>
        </is>
      </c>
      <c r="G9745" t="n">
        <v>3.9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3991-2025</t>
        </is>
      </c>
      <c r="B9746" s="1" t="n">
        <v>45684</v>
      </c>
      <c r="C9746" s="1" t="n">
        <v>45694</v>
      </c>
      <c r="D9746" t="inlineStr">
        <is>
          <t>KRONOBERGS LÄN</t>
        </is>
      </c>
      <c r="E9746" t="inlineStr">
        <is>
          <t>TINGSRYD</t>
        </is>
      </c>
      <c r="G9746" t="n">
        <v>5.2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4108-2025</t>
        </is>
      </c>
      <c r="B9747" s="1" t="n">
        <v>45684</v>
      </c>
      <c r="C9747" s="1" t="n">
        <v>45694</v>
      </c>
      <c r="D9747" t="inlineStr">
        <is>
          <t>KRONOBERGS LÄN</t>
        </is>
      </c>
      <c r="E9747" t="inlineStr">
        <is>
          <t>LESSEBO</t>
        </is>
      </c>
      <c r="G9747" t="n">
        <v>3.2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4213-2025</t>
        </is>
      </c>
      <c r="B9748" s="1" t="n">
        <v>45685</v>
      </c>
      <c r="C9748" s="1" t="n">
        <v>45694</v>
      </c>
      <c r="D9748" t="inlineStr">
        <is>
          <t>KRONOBERGS LÄN</t>
        </is>
      </c>
      <c r="E9748" t="inlineStr">
        <is>
          <t>TINGSRYD</t>
        </is>
      </c>
      <c r="G9748" t="n">
        <v>4.9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4139-2025</t>
        </is>
      </c>
      <c r="B9749" s="1" t="n">
        <v>45685</v>
      </c>
      <c r="C9749" s="1" t="n">
        <v>45694</v>
      </c>
      <c r="D9749" t="inlineStr">
        <is>
          <t>KRONOBERGS LÄN</t>
        </is>
      </c>
      <c r="E9749" t="inlineStr">
        <is>
          <t>LJUNGBY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4230-2025</t>
        </is>
      </c>
      <c r="B9750" s="1" t="n">
        <v>45685</v>
      </c>
      <c r="C9750" s="1" t="n">
        <v>45694</v>
      </c>
      <c r="D9750" t="inlineStr">
        <is>
          <t>KRONOBERGS LÄN</t>
        </is>
      </c>
      <c r="E9750" t="inlineStr">
        <is>
          <t>UPPVIDINGE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4169-2025</t>
        </is>
      </c>
      <c r="B9751" s="1" t="n">
        <v>45685</v>
      </c>
      <c r="C9751" s="1" t="n">
        <v>45694</v>
      </c>
      <c r="D9751" t="inlineStr">
        <is>
          <t>KRONOBERGS LÄN</t>
        </is>
      </c>
      <c r="E9751" t="inlineStr">
        <is>
          <t>VÄXJÖ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4297-2025</t>
        </is>
      </c>
      <c r="B9752" s="1" t="n">
        <v>45685</v>
      </c>
      <c r="C9752" s="1" t="n">
        <v>45694</v>
      </c>
      <c r="D9752" t="inlineStr">
        <is>
          <t>KRONOBERGS LÄN</t>
        </is>
      </c>
      <c r="E9752" t="inlineStr">
        <is>
          <t>TINGSRYD</t>
        </is>
      </c>
      <c r="G9752" t="n">
        <v>2.6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4171-2025</t>
        </is>
      </c>
      <c r="B9753" s="1" t="n">
        <v>45685</v>
      </c>
      <c r="C9753" s="1" t="n">
        <v>45694</v>
      </c>
      <c r="D9753" t="inlineStr">
        <is>
          <t>KRONOBERGS LÄN</t>
        </is>
      </c>
      <c r="E9753" t="inlineStr">
        <is>
          <t>VÄXJÖ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4175-2025</t>
        </is>
      </c>
      <c r="B9754" s="1" t="n">
        <v>45685</v>
      </c>
      <c r="C9754" s="1" t="n">
        <v>45694</v>
      </c>
      <c r="D9754" t="inlineStr">
        <is>
          <t>KRONOBERGS LÄN</t>
        </is>
      </c>
      <c r="E9754" t="inlineStr">
        <is>
          <t>VÄXJÖ</t>
        </is>
      </c>
      <c r="G9754" t="n">
        <v>2.5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4165-2025</t>
        </is>
      </c>
      <c r="B9755" s="1" t="n">
        <v>45685</v>
      </c>
      <c r="C9755" s="1" t="n">
        <v>45694</v>
      </c>
      <c r="D9755" t="inlineStr">
        <is>
          <t>KRONOBERGS LÄN</t>
        </is>
      </c>
      <c r="E9755" t="inlineStr">
        <is>
          <t>TINGSRYD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4349-2025</t>
        </is>
      </c>
      <c r="B9756" s="1" t="n">
        <v>45686</v>
      </c>
      <c r="C9756" s="1" t="n">
        <v>45694</v>
      </c>
      <c r="D9756" t="inlineStr">
        <is>
          <t>KRONOBERGS LÄN</t>
        </is>
      </c>
      <c r="E9756" t="inlineStr">
        <is>
          <t>VÄXJÖ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4351-2025</t>
        </is>
      </c>
      <c r="B9757" s="1" t="n">
        <v>45686</v>
      </c>
      <c r="C9757" s="1" t="n">
        <v>45694</v>
      </c>
      <c r="D9757" t="inlineStr">
        <is>
          <t>KRONOBERGS LÄN</t>
        </is>
      </c>
      <c r="E9757" t="inlineStr">
        <is>
          <t>MARKARYD</t>
        </is>
      </c>
      <c r="G9757" t="n">
        <v>2.9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4442-2025</t>
        </is>
      </c>
      <c r="B9758" s="1" t="n">
        <v>45686</v>
      </c>
      <c r="C9758" s="1" t="n">
        <v>45694</v>
      </c>
      <c r="D9758" t="inlineStr">
        <is>
          <t>KRONOBERGS LÄN</t>
        </is>
      </c>
      <c r="E9758" t="inlineStr">
        <is>
          <t>LJUNGBY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4464-2025</t>
        </is>
      </c>
      <c r="B9759" s="1" t="n">
        <v>45686</v>
      </c>
      <c r="C9759" s="1" t="n">
        <v>45694</v>
      </c>
      <c r="D9759" t="inlineStr">
        <is>
          <t>KRONOBERGS LÄN</t>
        </is>
      </c>
      <c r="E9759" t="inlineStr">
        <is>
          <t>LJUNGBY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4352-2025</t>
        </is>
      </c>
      <c r="B9760" s="1" t="n">
        <v>45686</v>
      </c>
      <c r="C9760" s="1" t="n">
        <v>45694</v>
      </c>
      <c r="D9760" t="inlineStr">
        <is>
          <t>KRONOBERGS LÄN</t>
        </is>
      </c>
      <c r="E9760" t="inlineStr">
        <is>
          <t>LJUNGBY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4504-2025</t>
        </is>
      </c>
      <c r="B9761" s="1" t="n">
        <v>45686</v>
      </c>
      <c r="C9761" s="1" t="n">
        <v>45694</v>
      </c>
      <c r="D9761" t="inlineStr">
        <is>
          <t>KRONOBERGS LÄN</t>
        </is>
      </c>
      <c r="E9761" t="inlineStr">
        <is>
          <t>LESSEBO</t>
        </is>
      </c>
      <c r="F9761" t="inlineStr">
        <is>
          <t>Sveaskog</t>
        </is>
      </c>
      <c r="G9761" t="n">
        <v>0.8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4437-2025</t>
        </is>
      </c>
      <c r="B9762" s="1" t="n">
        <v>45686</v>
      </c>
      <c r="C9762" s="1" t="n">
        <v>45694</v>
      </c>
      <c r="D9762" t="inlineStr">
        <is>
          <t>KRONOBERGS LÄN</t>
        </is>
      </c>
      <c r="E9762" t="inlineStr">
        <is>
          <t>LJUNGBY</t>
        </is>
      </c>
      <c r="G9762" t="n">
        <v>3.5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4453-2025</t>
        </is>
      </c>
      <c r="B9763" s="1" t="n">
        <v>45686</v>
      </c>
      <c r="C9763" s="1" t="n">
        <v>45694</v>
      </c>
      <c r="D9763" t="inlineStr">
        <is>
          <t>KRONOBERGS LÄN</t>
        </is>
      </c>
      <c r="E9763" t="inlineStr">
        <is>
          <t>VÄXJÖ</t>
        </is>
      </c>
      <c r="G9763" t="n">
        <v>6.3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4468-2025</t>
        </is>
      </c>
      <c r="B9764" s="1" t="n">
        <v>45686</v>
      </c>
      <c r="C9764" s="1" t="n">
        <v>45694</v>
      </c>
      <c r="D9764" t="inlineStr">
        <is>
          <t>KRONOBERGS LÄN</t>
        </is>
      </c>
      <c r="E9764" t="inlineStr">
        <is>
          <t>VÄXJÖ</t>
        </is>
      </c>
      <c r="G9764" t="n">
        <v>9.9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4427-2025</t>
        </is>
      </c>
      <c r="B9765" s="1" t="n">
        <v>45686</v>
      </c>
      <c r="C9765" s="1" t="n">
        <v>45694</v>
      </c>
      <c r="D9765" t="inlineStr">
        <is>
          <t>KRONOBERGS LÄN</t>
        </is>
      </c>
      <c r="E9765" t="inlineStr">
        <is>
          <t>ALVESTA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4457-2025</t>
        </is>
      </c>
      <c r="B9766" s="1" t="n">
        <v>45686</v>
      </c>
      <c r="C9766" s="1" t="n">
        <v>45694</v>
      </c>
      <c r="D9766" t="inlineStr">
        <is>
          <t>KRONOBERGS LÄN</t>
        </is>
      </c>
      <c r="E9766" t="inlineStr">
        <is>
          <t>VÄXJÖ</t>
        </is>
      </c>
      <c r="G9766" t="n">
        <v>4.3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4469-2025</t>
        </is>
      </c>
      <c r="B9767" s="1" t="n">
        <v>45686</v>
      </c>
      <c r="C9767" s="1" t="n">
        <v>45694</v>
      </c>
      <c r="D9767" t="inlineStr">
        <is>
          <t>KRONOBERGS LÄN</t>
        </is>
      </c>
      <c r="E9767" t="inlineStr">
        <is>
          <t>VÄXJÖ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4477-2025</t>
        </is>
      </c>
      <c r="B9768" s="1" t="n">
        <v>45686</v>
      </c>
      <c r="C9768" s="1" t="n">
        <v>45694</v>
      </c>
      <c r="D9768" t="inlineStr">
        <is>
          <t>KRONOBERGS LÄN</t>
        </is>
      </c>
      <c r="E9768" t="inlineStr">
        <is>
          <t>LJUNGBY</t>
        </is>
      </c>
      <c r="G9768" t="n">
        <v>9.5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4362-2025</t>
        </is>
      </c>
      <c r="B9769" s="1" t="n">
        <v>45686</v>
      </c>
      <c r="C9769" s="1" t="n">
        <v>45694</v>
      </c>
      <c r="D9769" t="inlineStr">
        <is>
          <t>KRONOBERGS LÄN</t>
        </is>
      </c>
      <c r="E9769" t="inlineStr">
        <is>
          <t>VÄXJÖ</t>
        </is>
      </c>
      <c r="G9769" t="n">
        <v>5.7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4412-2025</t>
        </is>
      </c>
      <c r="B9770" s="1" t="n">
        <v>45686</v>
      </c>
      <c r="C9770" s="1" t="n">
        <v>45694</v>
      </c>
      <c r="D9770" t="inlineStr">
        <is>
          <t>KRONOBERGS LÄN</t>
        </is>
      </c>
      <c r="E9770" t="inlineStr">
        <is>
          <t>VÄXJÖ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4459-2025</t>
        </is>
      </c>
      <c r="B9771" s="1" t="n">
        <v>45686</v>
      </c>
      <c r="C9771" s="1" t="n">
        <v>45694</v>
      </c>
      <c r="D9771" t="inlineStr">
        <is>
          <t>KRONOBERGS LÄN</t>
        </is>
      </c>
      <c r="E9771" t="inlineStr">
        <is>
          <t>VÄXJÖ</t>
        </is>
      </c>
      <c r="G9771" t="n">
        <v>3.8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4463-2025</t>
        </is>
      </c>
      <c r="B9772" s="1" t="n">
        <v>45686</v>
      </c>
      <c r="C9772" s="1" t="n">
        <v>45694</v>
      </c>
      <c r="D9772" t="inlineStr">
        <is>
          <t>KRONOBERGS LÄN</t>
        </is>
      </c>
      <c r="E9772" t="inlineStr">
        <is>
          <t>VÄXJÖ</t>
        </is>
      </c>
      <c r="G9772" t="n">
        <v>2.8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4467-2025</t>
        </is>
      </c>
      <c r="B9773" s="1" t="n">
        <v>45686</v>
      </c>
      <c r="C9773" s="1" t="n">
        <v>45694</v>
      </c>
      <c r="D9773" t="inlineStr">
        <is>
          <t>KRONOBERGS LÄN</t>
        </is>
      </c>
      <c r="E9773" t="inlineStr">
        <is>
          <t>LJUNGBY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4577-2025</t>
        </is>
      </c>
      <c r="B9774" s="1" t="n">
        <v>45687</v>
      </c>
      <c r="C9774" s="1" t="n">
        <v>45694</v>
      </c>
      <c r="D9774" t="inlineStr">
        <is>
          <t>KRONOBERGS LÄN</t>
        </is>
      </c>
      <c r="E9774" t="inlineStr">
        <is>
          <t>ÄLMHULT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4674-2025</t>
        </is>
      </c>
      <c r="B9775" s="1" t="n">
        <v>45687</v>
      </c>
      <c r="C9775" s="1" t="n">
        <v>45694</v>
      </c>
      <c r="D9775" t="inlineStr">
        <is>
          <t>KRONOBERGS LÄN</t>
        </is>
      </c>
      <c r="E9775" t="inlineStr">
        <is>
          <t>MARKARYD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4679-2025</t>
        </is>
      </c>
      <c r="B9776" s="1" t="n">
        <v>45687</v>
      </c>
      <c r="C9776" s="1" t="n">
        <v>45694</v>
      </c>
      <c r="D9776" t="inlineStr">
        <is>
          <t>KRONOBERGS LÄN</t>
        </is>
      </c>
      <c r="E9776" t="inlineStr">
        <is>
          <t>MARKARYD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4557-2025</t>
        </is>
      </c>
      <c r="B9777" s="1" t="n">
        <v>45687</v>
      </c>
      <c r="C9777" s="1" t="n">
        <v>45694</v>
      </c>
      <c r="D9777" t="inlineStr">
        <is>
          <t>KRONOBERGS LÄN</t>
        </is>
      </c>
      <c r="E9777" t="inlineStr">
        <is>
          <t>MARKARYD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4680-2025</t>
        </is>
      </c>
      <c r="B9778" s="1" t="n">
        <v>45687</v>
      </c>
      <c r="C9778" s="1" t="n">
        <v>45694</v>
      </c>
      <c r="D9778" t="inlineStr">
        <is>
          <t>KRONOBERGS LÄN</t>
        </is>
      </c>
      <c r="E9778" t="inlineStr">
        <is>
          <t>MARKARYD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4684-2025</t>
        </is>
      </c>
      <c r="B9779" s="1" t="n">
        <v>45687</v>
      </c>
      <c r="C9779" s="1" t="n">
        <v>45694</v>
      </c>
      <c r="D9779" t="inlineStr">
        <is>
          <t>KRONOBERGS LÄN</t>
        </is>
      </c>
      <c r="E9779" t="inlineStr">
        <is>
          <t>VÄXJÖ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4681-2025</t>
        </is>
      </c>
      <c r="B9780" s="1" t="n">
        <v>45687</v>
      </c>
      <c r="C9780" s="1" t="n">
        <v>45694</v>
      </c>
      <c r="D9780" t="inlineStr">
        <is>
          <t>KRONOBERGS LÄN</t>
        </is>
      </c>
      <c r="E9780" t="inlineStr">
        <is>
          <t>MARKARYD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4691-2025</t>
        </is>
      </c>
      <c r="B9781" s="1" t="n">
        <v>45688</v>
      </c>
      <c r="C9781" s="1" t="n">
        <v>45694</v>
      </c>
      <c r="D9781" t="inlineStr">
        <is>
          <t>KRONOBERGS LÄN</t>
        </is>
      </c>
      <c r="E9781" t="inlineStr">
        <is>
          <t>VÄXJÖ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4789-2025</t>
        </is>
      </c>
      <c r="B9782" s="1" t="n">
        <v>45688</v>
      </c>
      <c r="C9782" s="1" t="n">
        <v>45694</v>
      </c>
      <c r="D9782" t="inlineStr">
        <is>
          <t>KRONOBERGS LÄN</t>
        </is>
      </c>
      <c r="E9782" t="inlineStr">
        <is>
          <t>ALVESTA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4798-2025</t>
        </is>
      </c>
      <c r="B9783" s="1" t="n">
        <v>45688</v>
      </c>
      <c r="C9783" s="1" t="n">
        <v>45694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4797-2025</t>
        </is>
      </c>
      <c r="B9784" s="1" t="n">
        <v>45688</v>
      </c>
      <c r="C9784" s="1" t="n">
        <v>45694</v>
      </c>
      <c r="D9784" t="inlineStr">
        <is>
          <t>KRONOBERGS LÄN</t>
        </is>
      </c>
      <c r="E9784" t="inlineStr">
        <is>
          <t>UPPVIDINGE</t>
        </is>
      </c>
      <c r="F9784" t="inlineStr">
        <is>
          <t>Sveaskog</t>
        </is>
      </c>
      <c r="G9784" t="n">
        <v>20.5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4730-2025</t>
        </is>
      </c>
      <c r="B9785" s="1" t="n">
        <v>45688</v>
      </c>
      <c r="C9785" s="1" t="n">
        <v>45694</v>
      </c>
      <c r="D9785" t="inlineStr">
        <is>
          <t>KRONOBERGS LÄN</t>
        </is>
      </c>
      <c r="E9785" t="inlineStr">
        <is>
          <t>TINGSRYD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4799-2025</t>
        </is>
      </c>
      <c r="B9786" s="1" t="n">
        <v>45688</v>
      </c>
      <c r="C9786" s="1" t="n">
        <v>45694</v>
      </c>
      <c r="D9786" t="inlineStr">
        <is>
          <t>KRONOBERGS LÄN</t>
        </is>
      </c>
      <c r="E9786" t="inlineStr">
        <is>
          <t>UPPVIDINGE</t>
        </is>
      </c>
      <c r="F9786" t="inlineStr">
        <is>
          <t>Sveaskog</t>
        </is>
      </c>
      <c r="G9786" t="n">
        <v>6.8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4819-2025</t>
        </is>
      </c>
      <c r="B9787" s="1" t="n">
        <v>45688</v>
      </c>
      <c r="C9787" s="1" t="n">
        <v>45694</v>
      </c>
      <c r="D9787" t="inlineStr">
        <is>
          <t>KRONOBERGS LÄN</t>
        </is>
      </c>
      <c r="E9787" t="inlineStr">
        <is>
          <t>VÄXJÖ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4727-2025</t>
        </is>
      </c>
      <c r="B9788" s="1" t="n">
        <v>45688</v>
      </c>
      <c r="C9788" s="1" t="n">
        <v>45694</v>
      </c>
      <c r="D9788" t="inlineStr">
        <is>
          <t>KRONOBERGS LÄN</t>
        </is>
      </c>
      <c r="E9788" t="inlineStr">
        <is>
          <t>UPPVIDINGE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4830-2025</t>
        </is>
      </c>
      <c r="B9789" s="1" t="n">
        <v>45688</v>
      </c>
      <c r="C9789" s="1" t="n">
        <v>45694</v>
      </c>
      <c r="D9789" t="inlineStr">
        <is>
          <t>KRONOBERGS LÄN</t>
        </is>
      </c>
      <c r="E9789" t="inlineStr">
        <is>
          <t>UPPVIDINGE</t>
        </is>
      </c>
      <c r="F9789" t="inlineStr">
        <is>
          <t>Sveaskog</t>
        </is>
      </c>
      <c r="G9789" t="n">
        <v>5.8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4825-2025</t>
        </is>
      </c>
      <c r="B9790" s="1" t="n">
        <v>45688</v>
      </c>
      <c r="C9790" s="1" t="n">
        <v>45694</v>
      </c>
      <c r="D9790" t="inlineStr">
        <is>
          <t>KRONOBERGS LÄN</t>
        </is>
      </c>
      <c r="E9790" t="inlineStr">
        <is>
          <t>UPPVIDINGE</t>
        </is>
      </c>
      <c r="F9790" t="inlineStr">
        <is>
          <t>Sveaskog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4728-2025</t>
        </is>
      </c>
      <c r="B9791" s="1" t="n">
        <v>45688</v>
      </c>
      <c r="C9791" s="1" t="n">
        <v>45694</v>
      </c>
      <c r="D9791" t="inlineStr">
        <is>
          <t>KRONOBERGS LÄN</t>
        </is>
      </c>
      <c r="E9791" t="inlineStr">
        <is>
          <t>VÄXJÖ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4724-2025</t>
        </is>
      </c>
      <c r="B9792" s="1" t="n">
        <v>45688</v>
      </c>
      <c r="C9792" s="1" t="n">
        <v>45694</v>
      </c>
      <c r="D9792" t="inlineStr">
        <is>
          <t>KRONOBERGS LÄN</t>
        </is>
      </c>
      <c r="E9792" t="inlineStr">
        <is>
          <t>TINGSRYD</t>
        </is>
      </c>
      <c r="G9792" t="n">
        <v>3.7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4716-2025</t>
        </is>
      </c>
      <c r="B9793" s="1" t="n">
        <v>45688</v>
      </c>
      <c r="C9793" s="1" t="n">
        <v>45694</v>
      </c>
      <c r="D9793" t="inlineStr">
        <is>
          <t>KRONOBERGS LÄN</t>
        </is>
      </c>
      <c r="E9793" t="inlineStr">
        <is>
          <t>LESSEBO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4742-2025</t>
        </is>
      </c>
      <c r="B9794" s="1" t="n">
        <v>45688</v>
      </c>
      <c r="C9794" s="1" t="n">
        <v>45694</v>
      </c>
      <c r="D9794" t="inlineStr">
        <is>
          <t>KRONOBERGS LÄN</t>
        </is>
      </c>
      <c r="E9794" t="inlineStr">
        <is>
          <t>LESSEBO</t>
        </is>
      </c>
      <c r="F9794" t="inlineStr">
        <is>
          <t>Kommuner</t>
        </is>
      </c>
      <c r="G9794" t="n">
        <v>3.6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4824-2025</t>
        </is>
      </c>
      <c r="B9795" s="1" t="n">
        <v>45688</v>
      </c>
      <c r="C9795" s="1" t="n">
        <v>45694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61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4828-2025</t>
        </is>
      </c>
      <c r="B9796" s="1" t="n">
        <v>45688</v>
      </c>
      <c r="C9796" s="1" t="n">
        <v>45694</v>
      </c>
      <c r="D9796" t="inlineStr">
        <is>
          <t>KRONOBERGS LÄN</t>
        </is>
      </c>
      <c r="E9796" t="inlineStr">
        <is>
          <t>VÄXJÖ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5176-2025</t>
        </is>
      </c>
      <c r="B9797" s="1" t="n">
        <v>45691</v>
      </c>
      <c r="C9797" s="1" t="n">
        <v>45694</v>
      </c>
      <c r="D9797" t="inlineStr">
        <is>
          <t>KRONOBERGS LÄN</t>
        </is>
      </c>
      <c r="E9797" t="inlineStr">
        <is>
          <t>MARKARYD</t>
        </is>
      </c>
      <c r="G9797" t="n">
        <v>1.5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5015-2025</t>
        </is>
      </c>
      <c r="B9798" s="1" t="n">
        <v>45691</v>
      </c>
      <c r="C9798" s="1" t="n">
        <v>45694</v>
      </c>
      <c r="D9798" t="inlineStr">
        <is>
          <t>KRONOBERGS LÄN</t>
        </is>
      </c>
      <c r="E9798" t="inlineStr">
        <is>
          <t>UPPVIDINGE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5222-2025</t>
        </is>
      </c>
      <c r="B9799" s="1" t="n">
        <v>45691</v>
      </c>
      <c r="C9799" s="1" t="n">
        <v>45694</v>
      </c>
      <c r="D9799" t="inlineStr">
        <is>
          <t>KRONOBERGS LÄN</t>
        </is>
      </c>
      <c r="E9799" t="inlineStr">
        <is>
          <t>TINGSRYD</t>
        </is>
      </c>
      <c r="F9799" t="inlineStr">
        <is>
          <t>Sveaskog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5126-2025</t>
        </is>
      </c>
      <c r="B9800" s="1" t="n">
        <v>45691</v>
      </c>
      <c r="C9800" s="1" t="n">
        <v>45694</v>
      </c>
      <c r="D9800" t="inlineStr">
        <is>
          <t>KRONOBERGS LÄN</t>
        </is>
      </c>
      <c r="E9800" t="inlineStr">
        <is>
          <t>UPPVIDINGE</t>
        </is>
      </c>
      <c r="G9800" t="n">
        <v>2.8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5219-2025</t>
        </is>
      </c>
      <c r="B9801" s="1" t="n">
        <v>45691</v>
      </c>
      <c r="C9801" s="1" t="n">
        <v>45694</v>
      </c>
      <c r="D9801" t="inlineStr">
        <is>
          <t>KRONOBERGS LÄN</t>
        </is>
      </c>
      <c r="E9801" t="inlineStr">
        <is>
          <t>TINGSRYD</t>
        </is>
      </c>
      <c r="F9801" t="inlineStr">
        <is>
          <t>Sveaskog</t>
        </is>
      </c>
      <c r="G9801" t="n">
        <v>3.9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5223-2025</t>
        </is>
      </c>
      <c r="B9802" s="1" t="n">
        <v>45691</v>
      </c>
      <c r="C9802" s="1" t="n">
        <v>45694</v>
      </c>
      <c r="D9802" t="inlineStr">
        <is>
          <t>KRONOBERGS LÄN</t>
        </is>
      </c>
      <c r="E9802" t="inlineStr">
        <is>
          <t>TINGSRYD</t>
        </is>
      </c>
      <c r="F9802" t="inlineStr">
        <is>
          <t>Sveaskog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5007-2025</t>
        </is>
      </c>
      <c r="B9803" s="1" t="n">
        <v>45691</v>
      </c>
      <c r="C9803" s="1" t="n">
        <v>45694</v>
      </c>
      <c r="D9803" t="inlineStr">
        <is>
          <t>KRONOBERGS LÄN</t>
        </is>
      </c>
      <c r="E9803" t="inlineStr">
        <is>
          <t>UPPVIDINGE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5179-2025</t>
        </is>
      </c>
      <c r="B9804" s="1" t="n">
        <v>45691</v>
      </c>
      <c r="C9804" s="1" t="n">
        <v>45694</v>
      </c>
      <c r="D9804" t="inlineStr">
        <is>
          <t>KRONOBERGS LÄN</t>
        </is>
      </c>
      <c r="E9804" t="inlineStr">
        <is>
          <t>VÄXJÖ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5220-2025</t>
        </is>
      </c>
      <c r="B9805" s="1" t="n">
        <v>45691</v>
      </c>
      <c r="C9805" s="1" t="n">
        <v>45694</v>
      </c>
      <c r="D9805" t="inlineStr">
        <is>
          <t>KRONOBERGS LÄN</t>
        </is>
      </c>
      <c r="E9805" t="inlineStr">
        <is>
          <t>TINGSRYD</t>
        </is>
      </c>
      <c r="F9805" t="inlineStr">
        <is>
          <t>Sveaskog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5265-2025</t>
        </is>
      </c>
      <c r="B9806" s="1" t="n">
        <v>45692</v>
      </c>
      <c r="C9806" s="1" t="n">
        <v>45694</v>
      </c>
      <c r="D9806" t="inlineStr">
        <is>
          <t>KRONOBERGS LÄN</t>
        </is>
      </c>
      <c r="E9806" t="inlineStr">
        <is>
          <t>TINGSRYD</t>
        </is>
      </c>
      <c r="G9806" t="n">
        <v>4.7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5275-2025</t>
        </is>
      </c>
      <c r="B9807" s="1" t="n">
        <v>45692</v>
      </c>
      <c r="C9807" s="1" t="n">
        <v>45694</v>
      </c>
      <c r="D9807" t="inlineStr">
        <is>
          <t>KRONOBERGS LÄN</t>
        </is>
      </c>
      <c r="E9807" t="inlineStr">
        <is>
          <t>VÄXJÖ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5273-2025</t>
        </is>
      </c>
      <c r="B9808" s="1" t="n">
        <v>45692</v>
      </c>
      <c r="C9808" s="1" t="n">
        <v>45694</v>
      </c>
      <c r="D9808" t="inlineStr">
        <is>
          <t>KRONOBERGS LÄN</t>
        </is>
      </c>
      <c r="E9808" t="inlineStr">
        <is>
          <t>UPPVIDINGE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5390-2025</t>
        </is>
      </c>
      <c r="B9809" s="1" t="n">
        <v>45692</v>
      </c>
      <c r="C9809" s="1" t="n">
        <v>45694</v>
      </c>
      <c r="D9809" t="inlineStr">
        <is>
          <t>KRONOBERGS LÄN</t>
        </is>
      </c>
      <c r="E9809" t="inlineStr">
        <is>
          <t>TINGSRYD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5428-2025</t>
        </is>
      </c>
      <c r="B9810" s="1" t="n">
        <v>45692</v>
      </c>
      <c r="C9810" s="1" t="n">
        <v>45694</v>
      </c>
      <c r="D9810" t="inlineStr">
        <is>
          <t>KRONOBERGS LÄN</t>
        </is>
      </c>
      <c r="E9810" t="inlineStr">
        <is>
          <t>LJUNGBY</t>
        </is>
      </c>
      <c r="G9810" t="n">
        <v>1.1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5500-2025</t>
        </is>
      </c>
      <c r="B9811" s="1" t="n">
        <v>45692</v>
      </c>
      <c r="C9811" s="1" t="n">
        <v>45694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Kyrkan</t>
        </is>
      </c>
      <c r="G9811" t="n">
        <v>9.4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5274-2025</t>
        </is>
      </c>
      <c r="B9812" s="1" t="n">
        <v>45692</v>
      </c>
      <c r="C9812" s="1" t="n">
        <v>45694</v>
      </c>
      <c r="D9812" t="inlineStr">
        <is>
          <t>KRONOBERGS LÄN</t>
        </is>
      </c>
      <c r="E9812" t="inlineStr">
        <is>
          <t>UPPVIDINGE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5282-2025</t>
        </is>
      </c>
      <c r="B9813" s="1" t="n">
        <v>45692</v>
      </c>
      <c r="C9813" s="1" t="n">
        <v>45694</v>
      </c>
      <c r="D9813" t="inlineStr">
        <is>
          <t>KRONOBERGS LÄN</t>
        </is>
      </c>
      <c r="E9813" t="inlineStr">
        <is>
          <t>UPPVIDINGE</t>
        </is>
      </c>
      <c r="G9813" t="n">
        <v>8.6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5298-2025</t>
        </is>
      </c>
      <c r="B9814" s="1" t="n">
        <v>45692</v>
      </c>
      <c r="C9814" s="1" t="n">
        <v>45694</v>
      </c>
      <c r="D9814" t="inlineStr">
        <is>
          <t>KRONOBERGS LÄN</t>
        </is>
      </c>
      <c r="E9814" t="inlineStr">
        <is>
          <t>ALVESTA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5493-2025</t>
        </is>
      </c>
      <c r="B9815" s="1" t="n">
        <v>45692</v>
      </c>
      <c r="C9815" s="1" t="n">
        <v>45694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Kyrkan</t>
        </is>
      </c>
      <c r="G9815" t="n">
        <v>6.2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5443-2025</t>
        </is>
      </c>
      <c r="B9816" s="1" t="n">
        <v>45692</v>
      </c>
      <c r="C9816" s="1" t="n">
        <v>45694</v>
      </c>
      <c r="D9816" t="inlineStr">
        <is>
          <t>KRONOBERGS LÄN</t>
        </is>
      </c>
      <c r="E9816" t="inlineStr">
        <is>
          <t>VÄXJÖ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5352-2025</t>
        </is>
      </c>
      <c r="B9817" s="1" t="n">
        <v>45692</v>
      </c>
      <c r="C9817" s="1" t="n">
        <v>45694</v>
      </c>
      <c r="D9817" t="inlineStr">
        <is>
          <t>KRONOBERGS LÄN</t>
        </is>
      </c>
      <c r="E9817" t="inlineStr">
        <is>
          <t>VÄXJÖ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5312-2025</t>
        </is>
      </c>
      <c r="B9818" s="1" t="n">
        <v>45692</v>
      </c>
      <c r="C9818" s="1" t="n">
        <v>45694</v>
      </c>
      <c r="D9818" t="inlineStr">
        <is>
          <t>KRONOBERGS LÄN</t>
        </is>
      </c>
      <c r="E9818" t="inlineStr">
        <is>
          <t>MARKARYD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45694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5288-2025</t>
        </is>
      </c>
      <c r="B9820" s="1" t="n">
        <v>45692</v>
      </c>
      <c r="C9820" s="1" t="n">
        <v>45694</v>
      </c>
      <c r="D9820" t="inlineStr">
        <is>
          <t>KRONOBERGS LÄN</t>
        </is>
      </c>
      <c r="E9820" t="inlineStr">
        <is>
          <t>VÄXJÖ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5376-2025</t>
        </is>
      </c>
      <c r="B9821" s="1" t="n">
        <v>45692</v>
      </c>
      <c r="C9821" s="1" t="n">
        <v>45694</v>
      </c>
      <c r="D9821" t="inlineStr">
        <is>
          <t>KRONOBERGS LÄN</t>
        </is>
      </c>
      <c r="E9821" t="inlineStr">
        <is>
          <t>ALVESTA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5486-2025</t>
        </is>
      </c>
      <c r="B9822" s="1" t="n">
        <v>45693</v>
      </c>
      <c r="C9822" s="1" t="n">
        <v>45694</v>
      </c>
      <c r="D9822" t="inlineStr">
        <is>
          <t>KRONOBERGS LÄN</t>
        </is>
      </c>
      <c r="E9822" t="inlineStr">
        <is>
          <t>VÄXJÖ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5565-2025</t>
        </is>
      </c>
      <c r="B9823" s="1" t="n">
        <v>45693</v>
      </c>
      <c r="C9823" s="1" t="n">
        <v>45694</v>
      </c>
      <c r="D9823" t="inlineStr">
        <is>
          <t>KRONOBERGS LÄN</t>
        </is>
      </c>
      <c r="E9823" t="inlineStr">
        <is>
          <t>ÄLMHULT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5579-2025</t>
        </is>
      </c>
      <c r="B9824" s="1" t="n">
        <v>45693</v>
      </c>
      <c r="C9824" s="1" t="n">
        <v>45694</v>
      </c>
      <c r="D9824" t="inlineStr">
        <is>
          <t>KRONOBERGS LÄN</t>
        </is>
      </c>
      <c r="E9824" t="inlineStr">
        <is>
          <t>ÄLMHULT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5480-2025</t>
        </is>
      </c>
      <c r="B9825" s="1" t="n">
        <v>45693</v>
      </c>
      <c r="C9825" s="1" t="n">
        <v>45694</v>
      </c>
      <c r="D9825" t="inlineStr">
        <is>
          <t>KRONOBERGS LÄN</t>
        </is>
      </c>
      <c r="E9825" t="inlineStr">
        <is>
          <t>ÄLMHULT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5600-2025</t>
        </is>
      </c>
      <c r="B9826" s="1" t="n">
        <v>45693</v>
      </c>
      <c r="C9826" s="1" t="n">
        <v>45694</v>
      </c>
      <c r="D9826" t="inlineStr">
        <is>
          <t>KRONOBERGS LÄN</t>
        </is>
      </c>
      <c r="E9826" t="inlineStr">
        <is>
          <t>VÄXJÖ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>
      <c r="A9827" t="inlineStr">
        <is>
          <t>A 5604-2025</t>
        </is>
      </c>
      <c r="B9827" s="1" t="n">
        <v>45693</v>
      </c>
      <c r="C9827" s="1" t="n">
        <v>45694</v>
      </c>
      <c r="D9827" t="inlineStr">
        <is>
          <t>KRONOBERGS LÄN</t>
        </is>
      </c>
      <c r="E9827" t="inlineStr">
        <is>
          <t>MARKARYD</t>
        </is>
      </c>
      <c r="F9827" t="inlineStr">
        <is>
          <t>Kyrkan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2025-02-06T16:46:12Z</dcterms:created>
  <dcterms:modified xmlns:dcterms="http://purl.org/dc/terms/" xmlns:xsi="http://www.w3.org/2001/XMLSchema-instance" xsi:type="dcterms:W3CDTF">2025-02-06T16:46:20Z</dcterms:modified>
</cp:coreProperties>
</file>